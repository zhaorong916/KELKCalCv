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工作文档(ST)\设计资料\选型计算\"/>
    </mc:Choice>
  </mc:AlternateContent>
  <xr:revisionPtr revIDLastSave="0" documentId="13_ncr:1_{F85285BC-46DD-4999-94E4-ACCABC980456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气包容量计算" sheetId="3" r:id="rId1"/>
    <sheet name="阀门动作时间计算" sheetId="4" r:id="rId2"/>
    <sheet name="rotork" sheetId="5" r:id="rId3"/>
    <sheet name="PricingSummary" sheetId="6" r:id="rId4"/>
  </sheets>
  <definedNames>
    <definedName name="_xlnm.Print_Area" localSheetId="1">阀门动作时间计算!$A$1:$I$31</definedName>
    <definedName name="_xlnm.Print_Area" localSheetId="0">气包容量计算!$A$1:$H$36</definedName>
  </definedNames>
  <calcPr calcId="191029"/>
</workbook>
</file>

<file path=xl/calcChain.xml><?xml version="1.0" encoding="utf-8"?>
<calcChain xmlns="http://schemas.openxmlformats.org/spreadsheetml/2006/main">
  <c r="K31" i="6" l="1"/>
  <c r="L31" i="6" s="1"/>
  <c r="M31" i="6" s="1"/>
  <c r="F31" i="6"/>
  <c r="K30" i="6"/>
  <c r="L30" i="6" s="1"/>
  <c r="M30" i="6" s="1"/>
  <c r="F30" i="6"/>
  <c r="L29" i="6"/>
  <c r="M29" i="6" s="1"/>
  <c r="K29" i="6"/>
  <c r="F29" i="6"/>
  <c r="K28" i="6"/>
  <c r="L28" i="6" s="1"/>
  <c r="M28" i="6" s="1"/>
  <c r="F28" i="6"/>
  <c r="M27" i="6"/>
  <c r="L27" i="6"/>
  <c r="K27" i="6"/>
  <c r="F27" i="6"/>
  <c r="L26" i="6"/>
  <c r="M26" i="6" s="1"/>
  <c r="K26" i="6"/>
  <c r="F26" i="6"/>
  <c r="K25" i="6"/>
  <c r="L25" i="6" s="1"/>
  <c r="M25" i="6" s="1"/>
  <c r="F25" i="6"/>
  <c r="M24" i="6"/>
  <c r="L24" i="6"/>
  <c r="K24" i="6"/>
  <c r="F24" i="6"/>
  <c r="L23" i="6"/>
  <c r="M23" i="6" s="1"/>
  <c r="K23" i="6"/>
  <c r="F23" i="6"/>
  <c r="K22" i="6"/>
  <c r="L22" i="6" s="1"/>
  <c r="M22" i="6" s="1"/>
  <c r="F22" i="6"/>
  <c r="M21" i="6"/>
  <c r="L21" i="6"/>
  <c r="K21" i="6"/>
  <c r="F21" i="6"/>
  <c r="L20" i="6"/>
  <c r="M20" i="6" s="1"/>
  <c r="K20" i="6"/>
  <c r="F20" i="6"/>
  <c r="K19" i="6"/>
  <c r="L19" i="6" s="1"/>
  <c r="M19" i="6" s="1"/>
  <c r="F19" i="6"/>
  <c r="M18" i="6"/>
  <c r="L18" i="6"/>
  <c r="K18" i="6"/>
  <c r="F18" i="6"/>
  <c r="L17" i="6"/>
  <c r="M17" i="6" s="1"/>
  <c r="K17" i="6"/>
  <c r="F17" i="6"/>
  <c r="K16" i="6"/>
  <c r="L16" i="6" s="1"/>
  <c r="M16" i="6" s="1"/>
  <c r="F16" i="6"/>
  <c r="M15" i="6"/>
  <c r="L15" i="6"/>
  <c r="K15" i="6"/>
  <c r="F15" i="6"/>
  <c r="L14" i="6"/>
  <c r="M14" i="6" s="1"/>
  <c r="K14" i="6"/>
  <c r="F14" i="6"/>
  <c r="K13" i="6"/>
  <c r="L13" i="6" s="1"/>
  <c r="M13" i="6" s="1"/>
  <c r="F13" i="6"/>
  <c r="M12" i="6"/>
  <c r="L12" i="6"/>
  <c r="K12" i="6"/>
  <c r="F12" i="6"/>
  <c r="L11" i="6"/>
  <c r="M11" i="6" s="1"/>
  <c r="K11" i="6"/>
  <c r="F11" i="6"/>
  <c r="K10" i="6"/>
  <c r="L10" i="6" s="1"/>
  <c r="M10" i="6" s="1"/>
  <c r="F10" i="6"/>
  <c r="M9" i="6"/>
  <c r="L9" i="6"/>
  <c r="K9" i="6"/>
  <c r="F9" i="6"/>
  <c r="D27" i="5" l="1"/>
  <c r="D30" i="5" s="1"/>
  <c r="D31" i="5" s="1"/>
  <c r="F16" i="5"/>
  <c r="F15" i="5"/>
  <c r="F14" i="5"/>
  <c r="D16" i="5"/>
  <c r="D15" i="5"/>
  <c r="D14" i="5"/>
  <c r="D12" i="5"/>
  <c r="D11" i="5"/>
  <c r="D8" i="5"/>
  <c r="Q24" i="4"/>
  <c r="Q22" i="4"/>
  <c r="Q23" i="4"/>
  <c r="I2" i="4"/>
  <c r="H2" i="3"/>
  <c r="C26" i="3"/>
  <c r="C27" i="3"/>
  <c r="C31" i="3"/>
  <c r="C28" i="3"/>
  <c r="C27" i="4"/>
  <c r="D34" i="5" l="1"/>
  <c r="F34" i="5" s="1"/>
  <c r="D33" i="5"/>
  <c r="F33" i="5" s="1"/>
  <c r="D35" i="5"/>
  <c r="F35" i="5" s="1"/>
</calcChain>
</file>

<file path=xl/sharedStrings.xml><?xml version="1.0" encoding="utf-8"?>
<sst xmlns="http://schemas.openxmlformats.org/spreadsheetml/2006/main" count="207" uniqueCount="138">
  <si>
    <t>Vt=</t>
    <phoneticPr fontId="2" type="noConversion"/>
  </si>
  <si>
    <t>10，20，39，50，100，200，300，400，600，800，1000</t>
    <phoneticPr fontId="2" type="noConversion"/>
  </si>
  <si>
    <t>输入数据：</t>
    <phoneticPr fontId="2" type="noConversion"/>
  </si>
  <si>
    <t>L</t>
    <phoneticPr fontId="2" type="noConversion"/>
  </si>
  <si>
    <t>Ps=</t>
    <phoneticPr fontId="2" type="noConversion"/>
  </si>
  <si>
    <t>Kg/cm2 abs</t>
    <phoneticPr fontId="2" type="noConversion"/>
  </si>
  <si>
    <t>n=</t>
    <phoneticPr fontId="2" type="noConversion"/>
  </si>
  <si>
    <t xml:space="preserve"> n=</t>
    <phoneticPr fontId="2" type="noConversion"/>
  </si>
  <si>
    <t>双动作</t>
    <phoneticPr fontId="2" type="noConversion"/>
  </si>
  <si>
    <t>单双动作选择：</t>
    <phoneticPr fontId="2" type="noConversion"/>
  </si>
  <si>
    <t>执行机构选择：</t>
    <phoneticPr fontId="2" type="noConversion"/>
  </si>
  <si>
    <t>输入最小Cv：</t>
    <phoneticPr fontId="2" type="noConversion"/>
  </si>
  <si>
    <t>Q=</t>
    <phoneticPr fontId="2" type="noConversion"/>
  </si>
  <si>
    <t>Cv=</t>
    <phoneticPr fontId="2" type="noConversion"/>
  </si>
  <si>
    <t>T=</t>
    <phoneticPr fontId="2" type="noConversion"/>
  </si>
  <si>
    <t>sec</t>
    <phoneticPr fontId="2" type="noConversion"/>
  </si>
  <si>
    <t>mm</t>
    <phoneticPr fontId="2" type="noConversion"/>
  </si>
  <si>
    <t>Vt:气包容量(L)</t>
    <phoneticPr fontId="2" type="noConversion"/>
  </si>
  <si>
    <t xml:space="preserve"> n:动作次数(一个来回，n=2)</t>
    <phoneticPr fontId="2" type="noConversion"/>
  </si>
  <si>
    <t>气包标准容量：</t>
    <phoneticPr fontId="2" type="noConversion"/>
  </si>
  <si>
    <t>输入动作次数：</t>
    <phoneticPr fontId="2" type="noConversion"/>
  </si>
  <si>
    <t>最低动作压力:</t>
    <phoneticPr fontId="2" type="noConversion"/>
  </si>
  <si>
    <t>Pc=</t>
    <phoneticPr fontId="2" type="noConversion"/>
  </si>
  <si>
    <t>气包供给压力:</t>
    <phoneticPr fontId="2" type="noConversion"/>
  </si>
  <si>
    <t>最终数据:</t>
    <phoneticPr fontId="2" type="noConversion"/>
  </si>
  <si>
    <t>Vc=</t>
    <phoneticPr fontId="2" type="noConversion"/>
  </si>
  <si>
    <t>计算结果：</t>
    <phoneticPr fontId="2" type="noConversion"/>
  </si>
  <si>
    <t>计算公式：</t>
    <phoneticPr fontId="2" type="noConversion"/>
  </si>
  <si>
    <t>参数说明：</t>
    <phoneticPr fontId="2" type="noConversion"/>
  </si>
  <si>
    <t>Vc:气缸容量(L)</t>
    <phoneticPr fontId="2" type="noConversion"/>
  </si>
  <si>
    <t>Pc:最低动作压力(Kg/cm2 abs)</t>
    <phoneticPr fontId="2" type="noConversion"/>
  </si>
  <si>
    <t>Ps:气包供给压力(Kg/cm2 abs)</t>
    <phoneticPr fontId="2" type="noConversion"/>
  </si>
  <si>
    <t>双动作</t>
    <phoneticPr fontId="2" type="noConversion"/>
  </si>
  <si>
    <t>排气侧</t>
    <phoneticPr fontId="2" type="noConversion"/>
  </si>
  <si>
    <t>进气侧</t>
    <phoneticPr fontId="2" type="noConversion"/>
  </si>
  <si>
    <t>T:动作时间(sec)</t>
    <phoneticPr fontId="2" type="noConversion"/>
  </si>
  <si>
    <t>配管Cv：</t>
    <phoneticPr fontId="2" type="noConversion"/>
  </si>
  <si>
    <t>T</t>
    <phoneticPr fontId="2" type="noConversion"/>
  </si>
  <si>
    <t>单动作 排气侧</t>
    <phoneticPr fontId="2" type="noConversion"/>
  </si>
  <si>
    <t>单动作 吸气侧</t>
    <phoneticPr fontId="2" type="noConversion"/>
  </si>
  <si>
    <t>计算公式：</t>
    <phoneticPr fontId="2" type="noConversion"/>
  </si>
  <si>
    <t>参数说明：</t>
    <phoneticPr fontId="2" type="noConversion"/>
  </si>
  <si>
    <t>单动作</t>
    <phoneticPr fontId="2" type="noConversion"/>
  </si>
  <si>
    <t>直行程的输入行程：</t>
    <phoneticPr fontId="2" type="noConversion"/>
  </si>
  <si>
    <t>最终选定气包容量</t>
    <phoneticPr fontId="2" type="noConversion"/>
  </si>
  <si>
    <t>气缸容量：</t>
    <phoneticPr fontId="2" type="noConversion"/>
  </si>
  <si>
    <t>Q:气缸容量(L)</t>
    <phoneticPr fontId="2" type="noConversion"/>
  </si>
  <si>
    <t>气缸容量</t>
    <phoneticPr fontId="2" type="noConversion"/>
  </si>
  <si>
    <t>阀门动作时间计算书</t>
    <phoneticPr fontId="2" type="noConversion"/>
  </si>
  <si>
    <t>气包容量选用计算书</t>
    <phoneticPr fontId="2" type="noConversion"/>
  </si>
  <si>
    <t>尺寸</t>
    <phoneticPr fontId="2" type="noConversion"/>
  </si>
  <si>
    <t>Cv</t>
    <phoneticPr fontId="2" type="noConversion"/>
  </si>
  <si>
    <t>Φ8</t>
    <phoneticPr fontId="2" type="noConversion"/>
  </si>
  <si>
    <t>Φ10</t>
    <phoneticPr fontId="2" type="noConversion"/>
  </si>
  <si>
    <t>3/8"SGP</t>
    <phoneticPr fontId="2" type="noConversion"/>
  </si>
  <si>
    <t>1/2"SGP</t>
    <phoneticPr fontId="2" type="noConversion"/>
  </si>
  <si>
    <t>3/4"SGP</t>
    <phoneticPr fontId="2" type="noConversion"/>
  </si>
  <si>
    <t>1"SGP</t>
    <phoneticPr fontId="2" type="noConversion"/>
  </si>
  <si>
    <t>Φ6</t>
    <phoneticPr fontId="2" type="noConversion"/>
  </si>
  <si>
    <t>单动作 吸气侧</t>
  </si>
  <si>
    <t xml:space="preserve">  执行器动作时间计算</t>
  </si>
  <si>
    <t>阀门口径</t>
  </si>
  <si>
    <t>12"</t>
  </si>
  <si>
    <t>表示需要输入的数据</t>
  </si>
  <si>
    <t>气缸型号</t>
  </si>
  <si>
    <t>表示计算结果</t>
  </si>
  <si>
    <t>气缸体积＝</t>
  </si>
  <si>
    <t>L</t>
  </si>
  <si>
    <t>气源压力＝</t>
  </si>
  <si>
    <t>BAR</t>
  </si>
  <si>
    <t>开关时间＝</t>
  </si>
  <si>
    <t>S</t>
  </si>
  <si>
    <t>耗气量Q＝</t>
  </si>
  <si>
    <t>m^3/h</t>
  </si>
  <si>
    <t>常量G=</t>
  </si>
  <si>
    <t>温度＝</t>
  </si>
  <si>
    <t>℃</t>
  </si>
  <si>
    <t>流量系数Cv＝</t>
  </si>
  <si>
    <t>流体有效面积＝</t>
  </si>
  <si>
    <t>mm^2</t>
  </si>
  <si>
    <t>钢管内径</t>
  </si>
  <si>
    <t>钢管尺寸</t>
  </si>
  <si>
    <t>安全系数</t>
  </si>
  <si>
    <t>优先</t>
  </si>
  <si>
    <t>注：本计算按照ROTORK公司公式</t>
  </si>
  <si>
    <t>Technical Pricing Schedule</t>
  </si>
  <si>
    <t>Quotation Ref:</t>
  </si>
  <si>
    <t>Customer Name:</t>
  </si>
  <si>
    <t>Date :</t>
  </si>
  <si>
    <t>Project:</t>
  </si>
  <si>
    <t>Item Number</t>
  </si>
  <si>
    <t>Actuator Model Number</t>
  </si>
  <si>
    <t>Volume</t>
  </si>
  <si>
    <t>Cv</t>
  </si>
  <si>
    <t>进气时间/s</t>
  </si>
  <si>
    <t>Q</t>
  </si>
  <si>
    <t>t</t>
  </si>
  <si>
    <t>1.3*t</t>
  </si>
  <si>
    <t>数量</t>
  </si>
  <si>
    <t>过滤器</t>
  </si>
  <si>
    <t>气控阀</t>
  </si>
  <si>
    <t>RPX004</t>
  </si>
  <si>
    <t>AW20-N02BG-A</t>
  </si>
  <si>
    <t>/</t>
  </si>
  <si>
    <t>RPX009</t>
  </si>
  <si>
    <t>RPX014</t>
  </si>
  <si>
    <t>RPX020</t>
  </si>
  <si>
    <t>RPX032</t>
  </si>
  <si>
    <t>电磁阀</t>
  </si>
  <si>
    <t>RPX052</t>
  </si>
  <si>
    <t>1/4''</t>
  </si>
  <si>
    <t>RPX084</t>
  </si>
  <si>
    <t>RPX140</t>
  </si>
  <si>
    <t>RPX240</t>
  </si>
  <si>
    <r>
      <t>C</t>
    </r>
    <r>
      <rPr>
        <sz val="11"/>
        <color indexed="8"/>
        <rFont val="等线"/>
        <family val="3"/>
        <charset val="134"/>
      </rPr>
      <t>BB315</t>
    </r>
  </si>
  <si>
    <t>CBB415</t>
  </si>
  <si>
    <r>
      <t>CBB</t>
    </r>
    <r>
      <rPr>
        <sz val="11"/>
        <color indexed="8"/>
        <rFont val="等线"/>
        <family val="3"/>
        <charset val="134"/>
      </rPr>
      <t>420</t>
    </r>
  </si>
  <si>
    <r>
      <t>CBB</t>
    </r>
    <r>
      <rPr>
        <sz val="11"/>
        <color indexed="8"/>
        <rFont val="等线"/>
        <family val="3"/>
        <charset val="134"/>
      </rPr>
      <t>5</t>
    </r>
    <r>
      <rPr>
        <sz val="11"/>
        <color theme="1"/>
        <rFont val="宋体"/>
        <family val="3"/>
        <charset val="134"/>
        <scheme val="minor"/>
      </rPr>
      <t>20</t>
    </r>
  </si>
  <si>
    <r>
      <t>CBB52</t>
    </r>
    <r>
      <rPr>
        <sz val="11"/>
        <color indexed="8"/>
        <rFont val="等线"/>
        <family val="3"/>
        <charset val="134"/>
      </rPr>
      <t>5</t>
    </r>
  </si>
  <si>
    <t>CBB725</t>
  </si>
  <si>
    <t>3/8''</t>
  </si>
  <si>
    <t>AW30-N03BG-A</t>
  </si>
  <si>
    <t>VSA3135-03-N</t>
  </si>
  <si>
    <t>VPA542-1-03NA</t>
  </si>
  <si>
    <r>
      <t>CBA</t>
    </r>
    <r>
      <rPr>
        <sz val="11"/>
        <color indexed="8"/>
        <rFont val="等线"/>
        <family val="3"/>
        <charset val="134"/>
      </rPr>
      <t>7</t>
    </r>
    <r>
      <rPr>
        <sz val="11"/>
        <color theme="1"/>
        <rFont val="宋体"/>
        <family val="3"/>
        <charset val="134"/>
        <scheme val="minor"/>
      </rPr>
      <t>30</t>
    </r>
  </si>
  <si>
    <r>
      <t>CBA</t>
    </r>
    <r>
      <rPr>
        <sz val="11"/>
        <color indexed="8"/>
        <rFont val="等线"/>
        <family val="3"/>
        <charset val="134"/>
      </rPr>
      <t>8</t>
    </r>
    <r>
      <rPr>
        <sz val="11"/>
        <color theme="1"/>
        <rFont val="宋体"/>
        <family val="3"/>
        <charset val="134"/>
        <scheme val="minor"/>
      </rPr>
      <t>30</t>
    </r>
  </si>
  <si>
    <t>1/2''</t>
  </si>
  <si>
    <r>
      <t>A</t>
    </r>
    <r>
      <rPr>
        <sz val="11"/>
        <color indexed="8"/>
        <rFont val="等线"/>
        <family val="3"/>
        <charset val="134"/>
      </rPr>
      <t>W40-N04BG-A</t>
    </r>
  </si>
  <si>
    <r>
      <t>V</t>
    </r>
    <r>
      <rPr>
        <sz val="11"/>
        <color indexed="8"/>
        <rFont val="等线"/>
        <family val="3"/>
        <charset val="134"/>
      </rPr>
      <t>SA3145-04-N</t>
    </r>
  </si>
  <si>
    <r>
      <t>V</t>
    </r>
    <r>
      <rPr>
        <b/>
        <sz val="11"/>
        <color indexed="8"/>
        <rFont val="等线"/>
        <family val="3"/>
        <charset val="134"/>
      </rPr>
      <t>GA342-04NA</t>
    </r>
  </si>
  <si>
    <t>VPA3145-04-N</t>
  </si>
  <si>
    <r>
      <t>CBA</t>
    </r>
    <r>
      <rPr>
        <sz val="11"/>
        <color indexed="8"/>
        <rFont val="等线"/>
        <family val="3"/>
        <charset val="134"/>
      </rPr>
      <t>9</t>
    </r>
    <r>
      <rPr>
        <sz val="11"/>
        <color theme="1"/>
        <rFont val="宋体"/>
        <family val="3"/>
        <charset val="134"/>
        <scheme val="minor"/>
      </rPr>
      <t>30</t>
    </r>
  </si>
  <si>
    <t>CBA1030</t>
  </si>
  <si>
    <t>G01010</t>
  </si>
  <si>
    <t>SF10-150SR4D</t>
  </si>
  <si>
    <t>SF10-170SR4D</t>
  </si>
  <si>
    <t>SF12-200SR4D</t>
  </si>
  <si>
    <t>VPA542-1-03A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</si>
</sst>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.0"/>
  </numFmts>
  <fonts count="23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24"/>
      <name val="宋体"/>
      <family val="3"/>
      <charset val="134"/>
    </font>
    <font>
      <sz val="12"/>
      <name val="宋体"/>
      <family val="3"/>
      <charset val="134"/>
    </font>
    <font>
      <sz val="8"/>
      <name val="宋体"/>
      <family val="3"/>
      <charset val="134"/>
    </font>
    <font>
      <sz val="10"/>
      <name val="宋体"/>
      <family val="3"/>
      <charset val="134"/>
    </font>
    <font>
      <b/>
      <sz val="24"/>
      <name val="宋体"/>
      <family val="3"/>
      <charset val="134"/>
    </font>
    <font>
      <sz val="12"/>
      <name val="等线"/>
      <family val="3"/>
      <charset val="134"/>
    </font>
    <font>
      <sz val="10"/>
      <name val="等线"/>
      <family val="3"/>
      <charset val="134"/>
    </font>
    <font>
      <b/>
      <sz val="24"/>
      <name val="等线"/>
      <family val="3"/>
      <charset val="134"/>
    </font>
    <font>
      <sz val="12"/>
      <color indexed="10"/>
      <name val="等线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color rgb="FF000000"/>
      <name val="Trebuchet MS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宋体"/>
      <family val="3"/>
      <charset val="134"/>
      <scheme val="minor"/>
    </font>
    <font>
      <sz val="11"/>
      <color indexed="8"/>
      <name val="等线"/>
      <family val="3"/>
      <charset val="134"/>
    </font>
    <font>
      <b/>
      <sz val="11"/>
      <color indexed="8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</cellStyleXfs>
  <cellXfs count="8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14" fontId="6" fillId="0" borderId="0" xfId="0" applyNumberFormat="1" applyFont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>
      <alignment vertical="center"/>
    </xf>
    <xf numFmtId="14" fontId="9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0" xfId="0" quotePrefix="1" applyFont="1">
      <alignment vertical="center"/>
    </xf>
    <xf numFmtId="0" fontId="8" fillId="0" borderId="0" xfId="0" applyFont="1" applyBorder="1">
      <alignment vertical="center"/>
    </xf>
    <xf numFmtId="0" fontId="8" fillId="0" borderId="0" xfId="0" applyFont="1" applyFill="1" applyBorder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Fill="1">
      <alignment vertical="center"/>
    </xf>
    <xf numFmtId="0" fontId="8" fillId="0" borderId="0" xfId="0" applyFont="1" applyFill="1" applyAlignment="1">
      <alignment vertical="center"/>
    </xf>
    <xf numFmtId="0" fontId="11" fillId="0" borderId="0" xfId="0" applyFont="1" applyFill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2" fillId="0" borderId="0" xfId="1">
      <alignment vertical="center"/>
    </xf>
    <xf numFmtId="0" fontId="12" fillId="0" borderId="1" xfId="1" applyBorder="1" applyAlignment="1">
      <alignment horizontal="center" vertical="center"/>
    </xf>
    <xf numFmtId="0" fontId="12" fillId="0" borderId="2" xfId="1" applyBorder="1" applyAlignment="1">
      <alignment horizontal="center" vertical="center"/>
    </xf>
    <xf numFmtId="0" fontId="12" fillId="0" borderId="0" xfId="1" applyFont="1">
      <alignment vertical="center"/>
    </xf>
    <xf numFmtId="0" fontId="12" fillId="2" borderId="3" xfId="1" applyFill="1" applyBorder="1" applyAlignment="1">
      <alignment horizontal="center" vertical="center"/>
    </xf>
    <xf numFmtId="0" fontId="12" fillId="3" borderId="1" xfId="1" applyFill="1" applyBorder="1" applyAlignment="1" applyProtection="1">
      <alignment horizontal="center" vertical="center"/>
      <protection locked="0"/>
    </xf>
    <xf numFmtId="0" fontId="12" fillId="2" borderId="0" xfId="1" applyFill="1">
      <alignment vertical="center"/>
    </xf>
    <xf numFmtId="0" fontId="12" fillId="0" borderId="4" xfId="1" applyFont="1" applyFill="1" applyBorder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2" borderId="2" xfId="1" applyFill="1" applyBorder="1" applyAlignment="1">
      <alignment horizontal="center" vertical="center"/>
    </xf>
    <xf numFmtId="0" fontId="12" fillId="0" borderId="5" xfId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0" fontId="14" fillId="0" borderId="0" xfId="1" applyFont="1" applyBorder="1" applyAlignment="1">
      <alignment horizontal="center" vertical="center"/>
    </xf>
    <xf numFmtId="0" fontId="12" fillId="0" borderId="6" xfId="1" applyBorder="1" applyAlignment="1">
      <alignment horizontal="center" vertical="center"/>
    </xf>
    <xf numFmtId="0" fontId="12" fillId="0" borderId="1" xfId="1" applyBorder="1" applyAlignment="1">
      <alignment horizontal="center" vertical="center"/>
    </xf>
    <xf numFmtId="176" fontId="12" fillId="0" borderId="1" xfId="1" applyNumberFormat="1" applyFill="1" applyBorder="1" applyAlignment="1">
      <alignment horizontal="center" vertical="center"/>
    </xf>
    <xf numFmtId="0" fontId="12" fillId="3" borderId="1" xfId="1" applyFill="1" applyBorder="1" applyAlignment="1" applyProtection="1">
      <alignment horizontal="center" vertical="center"/>
      <protection locked="0"/>
    </xf>
    <xf numFmtId="0" fontId="12" fillId="0" borderId="2" xfId="1" applyBorder="1" applyAlignment="1">
      <alignment horizontal="center" vertical="center"/>
    </xf>
    <xf numFmtId="0" fontId="12" fillId="0" borderId="8" xfId="1" applyBorder="1" applyAlignment="1">
      <alignment horizontal="center" vertical="center"/>
    </xf>
    <xf numFmtId="0" fontId="12" fillId="0" borderId="9" xfId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Border="1" applyAlignment="1">
      <alignment horizontal="center" vertical="center"/>
    </xf>
    <xf numFmtId="0" fontId="12" fillId="0" borderId="1" xfId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77" fontId="12" fillId="0" borderId="1" xfId="1" applyNumberFormat="1" applyBorder="1" applyAlignment="1">
      <alignment horizontal="center" vertical="center"/>
    </xf>
    <xf numFmtId="177" fontId="12" fillId="0" borderId="5" xfId="1" applyNumberForma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177" fontId="12" fillId="0" borderId="1" xfId="1" applyNumberFormat="1" applyFill="1" applyBorder="1" applyAlignment="1">
      <alignment horizontal="center" vertical="center"/>
    </xf>
    <xf numFmtId="0" fontId="12" fillId="0" borderId="11" xfId="1" applyBorder="1" applyAlignment="1">
      <alignment horizontal="center" vertical="center"/>
    </xf>
    <xf numFmtId="0" fontId="12" fillId="0" borderId="12" xfId="1" applyBorder="1" applyAlignment="1">
      <alignment horizontal="center" vertical="center"/>
    </xf>
    <xf numFmtId="0" fontId="15" fillId="4" borderId="0" xfId="2" applyFill="1" applyAlignment="1">
      <alignment vertical="top" wrapText="1"/>
    </xf>
    <xf numFmtId="0" fontId="15" fillId="0" borderId="0" xfId="2" applyAlignment="1">
      <alignment horizontal="center" vertical="center"/>
    </xf>
    <xf numFmtId="0" fontId="15" fillId="0" borderId="0" xfId="2">
      <alignment vertical="center"/>
    </xf>
    <xf numFmtId="0" fontId="16" fillId="4" borderId="0" xfId="2" applyFont="1" applyFill="1">
      <alignment vertical="center"/>
    </xf>
    <xf numFmtId="0" fontId="17" fillId="5" borderId="13" xfId="2" applyFont="1" applyFill="1" applyBorder="1" applyAlignment="1">
      <alignment horizontal="center" wrapText="1"/>
    </xf>
    <xf numFmtId="0" fontId="17" fillId="5" borderId="13" xfId="2" applyFont="1" applyFill="1" applyBorder="1" applyAlignment="1">
      <alignment horizontal="center"/>
    </xf>
    <xf numFmtId="0" fontId="15" fillId="0" borderId="1" xfId="2" applyBorder="1">
      <alignment vertical="center"/>
    </xf>
    <xf numFmtId="0" fontId="15" fillId="0" borderId="1" xfId="2" applyBorder="1" applyAlignment="1">
      <alignment horizontal="center" vertical="center"/>
    </xf>
    <xf numFmtId="0" fontId="18" fillId="4" borderId="1" xfId="2" applyFont="1" applyFill="1" applyBorder="1" applyAlignment="1">
      <alignment horizontal="center" wrapText="1"/>
    </xf>
    <xf numFmtId="0" fontId="19" fillId="0" borderId="1" xfId="2" applyFont="1" applyBorder="1" applyAlignment="1">
      <alignment horizontal="center" wrapText="1"/>
    </xf>
    <xf numFmtId="178" fontId="15" fillId="0" borderId="0" xfId="2" applyNumberFormat="1" applyAlignment="1">
      <alignment horizontal="center" vertical="center"/>
    </xf>
    <xf numFmtId="12" fontId="15" fillId="6" borderId="0" xfId="2" applyNumberFormat="1" applyFill="1" applyAlignment="1">
      <alignment horizontal="center" vertical="center"/>
    </xf>
    <xf numFmtId="1" fontId="15" fillId="0" borderId="1" xfId="2" applyNumberFormat="1" applyBorder="1" applyAlignment="1">
      <alignment horizontal="center" vertical="center"/>
    </xf>
    <xf numFmtId="0" fontId="19" fillId="4" borderId="1" xfId="2" applyFont="1" applyFill="1" applyBorder="1" applyAlignment="1">
      <alignment horizontal="center" wrapText="1"/>
    </xf>
    <xf numFmtId="49" fontId="15" fillId="6" borderId="0" xfId="2" applyNumberFormat="1" applyFill="1" applyAlignment="1">
      <alignment horizontal="center" vertical="center"/>
    </xf>
    <xf numFmtId="1" fontId="15" fillId="0" borderId="0" xfId="2" applyNumberFormat="1" applyAlignment="1">
      <alignment horizontal="center" vertical="center"/>
    </xf>
    <xf numFmtId="0" fontId="20" fillId="0" borderId="0" xfId="2" applyFont="1" applyAlignment="1">
      <alignment horizontal="center" vertical="center"/>
    </xf>
    <xf numFmtId="178" fontId="15" fillId="7" borderId="0" xfId="2" applyNumberFormat="1" applyFill="1" applyAlignment="1">
      <alignment horizontal="center" vertical="center"/>
    </xf>
    <xf numFmtId="178" fontId="15" fillId="6" borderId="0" xfId="2" applyNumberFormat="1" applyFill="1" applyAlignment="1">
      <alignment horizontal="center" vertical="center"/>
    </xf>
    <xf numFmtId="1" fontId="20" fillId="0" borderId="0" xfId="2" applyNumberFormat="1" applyFont="1" applyAlignment="1">
      <alignment horizontal="center" vertical="center"/>
    </xf>
    <xf numFmtId="178" fontId="15" fillId="0" borderId="1" xfId="2" applyNumberFormat="1" applyBorder="1" applyAlignment="1">
      <alignment horizontal="center" vertical="center"/>
    </xf>
    <xf numFmtId="0" fontId="20" fillId="0" borderId="1" xfId="2" applyFont="1" applyBorder="1" applyAlignment="1">
      <alignment horizontal="center" vertical="center"/>
    </xf>
    <xf numFmtId="0" fontId="15" fillId="6" borderId="1" xfId="2" applyFill="1" applyBorder="1" applyAlignment="1">
      <alignment horizontal="center" vertical="center"/>
    </xf>
    <xf numFmtId="0" fontId="15" fillId="6" borderId="0" xfId="2" applyFill="1" applyAlignment="1">
      <alignment horizontal="center" vertical="center"/>
    </xf>
    <xf numFmtId="0" fontId="15" fillId="0" borderId="14" xfId="2" applyBorder="1" applyAlignment="1">
      <alignment horizontal="center" vertical="center"/>
    </xf>
    <xf numFmtId="2" fontId="15" fillId="0" borderId="0" xfId="2" applyNumberFormat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5664EF99-79BD-4C67-93E8-1902461CA40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http://configurator-businessapps.emrsn.com:80/OA_HTML/ibcGetAttachment.jsp?cItemId=277088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</xdr:row>
          <xdr:rowOff>19050</xdr:rowOff>
        </xdr:from>
        <xdr:to>
          <xdr:col>4</xdr:col>
          <xdr:colOff>219075</xdr:colOff>
          <xdr:row>5</xdr:row>
          <xdr:rowOff>171450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38100</xdr:colOff>
      <xdr:row>32</xdr:row>
      <xdr:rowOff>123825</xdr:rowOff>
    </xdr:from>
    <xdr:to>
      <xdr:col>7</xdr:col>
      <xdr:colOff>981075</xdr:colOff>
      <xdr:row>35</xdr:row>
      <xdr:rowOff>95250</xdr:rowOff>
    </xdr:to>
    <xdr:grpSp>
      <xdr:nvGrpSpPr>
        <xdr:cNvPr id="3118" name="组合 4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GrpSpPr>
          <a:grpSpLocks/>
        </xdr:cNvGrpSpPr>
      </xdr:nvGrpSpPr>
      <xdr:grpSpPr bwMode="auto">
        <a:xfrm>
          <a:off x="1392936" y="6300216"/>
          <a:ext cx="2915412" cy="528828"/>
          <a:chOff x="1391478" y="6166402"/>
          <a:chExt cx="2907196" cy="521805"/>
        </a:xfrm>
      </xdr:grpSpPr>
      <xdr:sp macro="" textlink="">
        <xdr:nvSpPr>
          <xdr:cNvPr id="4" name="文本框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1914013" y="6166402"/>
            <a:ext cx="2384661" cy="521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zh-CN" altLang="en-US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江苏神通阀门股份有限公司</a:t>
            </a:r>
            <a:endParaRPr lang="en-US" altLang="zh-C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zh-CN" altLang="en-US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zh-CN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JIANGSU SHENTONG VALVE CO.LTD</a:t>
            </a:r>
            <a:br>
              <a:rPr lang="en-US" altLang="zh-CN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altLang="zh-CN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                  </a:t>
            </a:r>
            <a:endParaRPr lang="zh-CN" altLang="en-US" sz="1100"/>
          </a:p>
        </xdr:txBody>
      </xdr:sp>
      <xdr:pic>
        <xdr:nvPicPr>
          <xdr:cNvPr id="3120" name="Picture 1">
            <a:extLst>
              <a:ext uri="{FF2B5EF4-FFF2-40B4-BE49-F238E27FC236}">
                <a16:creationId xmlns:a16="http://schemas.microsoft.com/office/drawing/2014/main" id="{00000000-0008-0000-0000-0000300C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91478" y="6174330"/>
            <a:ext cx="539942" cy="5059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4</xdr:row>
          <xdr:rowOff>47625</xdr:rowOff>
        </xdr:from>
        <xdr:to>
          <xdr:col>3</xdr:col>
          <xdr:colOff>285750</xdr:colOff>
          <xdr:row>6</xdr:row>
          <xdr:rowOff>38100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4</xdr:row>
          <xdr:rowOff>57150</xdr:rowOff>
        </xdr:from>
        <xdr:to>
          <xdr:col>7</xdr:col>
          <xdr:colOff>495300</xdr:colOff>
          <xdr:row>6</xdr:row>
          <xdr:rowOff>47625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8</xdr:row>
          <xdr:rowOff>57150</xdr:rowOff>
        </xdr:from>
        <xdr:to>
          <xdr:col>7</xdr:col>
          <xdr:colOff>542925</xdr:colOff>
          <xdr:row>9</xdr:row>
          <xdr:rowOff>57150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466725</xdr:colOff>
      <xdr:row>27</xdr:row>
      <xdr:rowOff>57150</xdr:rowOff>
    </xdr:from>
    <xdr:to>
      <xdr:col>8</xdr:col>
      <xdr:colOff>619125</xdr:colOff>
      <xdr:row>30</xdr:row>
      <xdr:rowOff>28575</xdr:rowOff>
    </xdr:to>
    <xdr:grpSp>
      <xdr:nvGrpSpPr>
        <xdr:cNvPr id="4159" name="组合 5">
          <a:extLst>
            <a:ext uri="{FF2B5EF4-FFF2-40B4-BE49-F238E27FC236}">
              <a16:creationId xmlns:a16="http://schemas.microsoft.com/office/drawing/2014/main" id="{00000000-0008-0000-0100-00003F100000}"/>
            </a:ext>
          </a:extLst>
        </xdr:cNvPr>
        <xdr:cNvGrpSpPr>
          <a:grpSpLocks/>
        </xdr:cNvGrpSpPr>
      </xdr:nvGrpSpPr>
      <xdr:grpSpPr bwMode="auto">
        <a:xfrm>
          <a:off x="2214355" y="5606498"/>
          <a:ext cx="2935357" cy="567773"/>
          <a:chOff x="1391478" y="6166402"/>
          <a:chExt cx="2907196" cy="521805"/>
        </a:xfrm>
      </xdr:grpSpPr>
      <xdr:sp macro="" textlink="">
        <xdr:nvSpPr>
          <xdr:cNvPr id="7" name="文本框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920059" y="6166402"/>
            <a:ext cx="2378615" cy="521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zh-CN" altLang="en-US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江苏神通阀门股份有限公司</a:t>
            </a:r>
            <a:endParaRPr lang="en-US" altLang="zh-C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zh-CN" altLang="en-US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zh-CN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JIANGSU SHENTONG VALVE CO.LTD</a:t>
            </a:r>
            <a:br>
              <a:rPr lang="en-US" altLang="zh-CN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altLang="zh-CN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                  </a:t>
            </a:r>
            <a:endParaRPr lang="zh-CN" altLang="en-US" sz="1100"/>
          </a:p>
        </xdr:txBody>
      </xdr:sp>
      <xdr:pic>
        <xdr:nvPicPr>
          <xdr:cNvPr id="4161" name="Picture 1">
            <a:extLst>
              <a:ext uri="{FF2B5EF4-FFF2-40B4-BE49-F238E27FC236}">
                <a16:creationId xmlns:a16="http://schemas.microsoft.com/office/drawing/2014/main" id="{00000000-0008-0000-0100-000041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91478" y="6174330"/>
            <a:ext cx="539942" cy="5059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647700</xdr:colOff>
      <xdr:row>0</xdr:row>
      <xdr:rowOff>0</xdr:rowOff>
    </xdr:from>
    <xdr:to>
      <xdr:col>20</xdr:col>
      <xdr:colOff>428625</xdr:colOff>
      <xdr:row>44</xdr:row>
      <xdr:rowOff>104775</xdr:rowOff>
    </xdr:to>
    <xdr:pic>
      <xdr:nvPicPr>
        <xdr:cNvPr id="7170" name="Picture 1">
          <a:extLst>
            <a:ext uri="{FF2B5EF4-FFF2-40B4-BE49-F238E27FC236}">
              <a16:creationId xmlns:a16="http://schemas.microsoft.com/office/drawing/2014/main" id="{00000000-0008-0000-0200-00000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0"/>
          <a:ext cx="6638925" cy="8105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770890</xdr:colOff>
      <xdr:row>0</xdr:row>
      <xdr:rowOff>656590</xdr:rowOff>
    </xdr:to>
    <xdr:pic>
      <xdr:nvPicPr>
        <xdr:cNvPr id="2" name="Picture 1" descr="An Image">
          <a:extLst>
            <a:ext uri="{FF2B5EF4-FFF2-40B4-BE49-F238E27FC236}">
              <a16:creationId xmlns:a16="http://schemas.microsoft.com/office/drawing/2014/main" id="{54351A3C-FB97-4945-BA3D-2DA38EE8A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475740" cy="6565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2.bin"/><Relationship Id="rId9" Type="http://schemas.openxmlformats.org/officeDocument/2006/relationships/image" Target="../media/image5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31"/>
  <sheetViews>
    <sheetView view="pageBreakPreview" topLeftCell="A10" zoomScale="115" zoomScaleNormal="100" zoomScaleSheetLayoutView="100" workbookViewId="0">
      <selection activeCell="F34" sqref="F34"/>
    </sheetView>
  </sheetViews>
  <sheetFormatPr defaultRowHeight="14.25" x14ac:dyDescent="0.15"/>
  <cols>
    <col min="1" max="1" width="4.25" style="1" customWidth="1"/>
    <col min="2" max="2" width="5.25" style="1" customWidth="1"/>
    <col min="3" max="3" width="8.25" style="1" customWidth="1"/>
    <col min="4" max="4" width="3.375" style="1" customWidth="1"/>
    <col min="5" max="5" width="5.375" style="1" customWidth="1"/>
    <col min="6" max="6" width="11.125" style="1" customWidth="1"/>
    <col min="7" max="7" width="6" style="1" customWidth="1"/>
    <col min="8" max="8" width="15.75" style="1" customWidth="1"/>
    <col min="9" max="16384" width="9" style="1"/>
  </cols>
  <sheetData>
    <row r="1" spans="1:8" ht="31.5" x14ac:dyDescent="0.15">
      <c r="A1" s="36" t="s">
        <v>49</v>
      </c>
      <c r="B1" s="37"/>
      <c r="C1" s="37"/>
      <c r="D1" s="37"/>
      <c r="E1" s="37"/>
      <c r="F1" s="37"/>
      <c r="G1" s="37"/>
      <c r="H1" s="37"/>
    </row>
    <row r="2" spans="1:8" x14ac:dyDescent="0.15">
      <c r="G2" s="4"/>
      <c r="H2" s="7">
        <f ca="1">TODAY()</f>
        <v>44103</v>
      </c>
    </row>
    <row r="3" spans="1:8" x14ac:dyDescent="0.15">
      <c r="A3" s="1" t="s">
        <v>27</v>
      </c>
    </row>
    <row r="8" spans="1:8" x14ac:dyDescent="0.15">
      <c r="A8" s="1" t="s">
        <v>28</v>
      </c>
    </row>
    <row r="9" spans="1:8" x14ac:dyDescent="0.15">
      <c r="B9" s="1" t="s">
        <v>17</v>
      </c>
    </row>
    <row r="10" spans="1:8" x14ac:dyDescent="0.15">
      <c r="B10" s="5" t="s">
        <v>29</v>
      </c>
    </row>
    <row r="11" spans="1:8" x14ac:dyDescent="0.15">
      <c r="B11" s="1" t="s">
        <v>30</v>
      </c>
    </row>
    <row r="12" spans="1:8" x14ac:dyDescent="0.15">
      <c r="B12" s="1" t="s">
        <v>31</v>
      </c>
    </row>
    <row r="13" spans="1:8" x14ac:dyDescent="0.15">
      <c r="B13" s="1" t="s">
        <v>18</v>
      </c>
    </row>
    <row r="15" spans="1:8" x14ac:dyDescent="0.15">
      <c r="A15" s="1" t="s">
        <v>19</v>
      </c>
    </row>
    <row r="16" spans="1:8" x14ac:dyDescent="0.15">
      <c r="B16" s="1" t="s">
        <v>1</v>
      </c>
    </row>
    <row r="18" spans="1:8" x14ac:dyDescent="0.15">
      <c r="A18" s="1" t="s">
        <v>2</v>
      </c>
    </row>
    <row r="19" spans="1:8" x14ac:dyDescent="0.15">
      <c r="B19" s="2" t="s">
        <v>10</v>
      </c>
      <c r="C19" s="3"/>
      <c r="D19" s="35"/>
      <c r="E19" s="35"/>
      <c r="F19" s="2"/>
    </row>
    <row r="20" spans="1:8" x14ac:dyDescent="0.15">
      <c r="A20" s="2"/>
      <c r="B20" s="2" t="s">
        <v>20</v>
      </c>
      <c r="C20" s="2"/>
      <c r="D20" s="2" t="s">
        <v>6</v>
      </c>
      <c r="E20" s="8">
        <v>3</v>
      </c>
      <c r="F20" s="2"/>
      <c r="G20" s="2"/>
      <c r="H20" s="2"/>
    </row>
    <row r="21" spans="1:8" s="2" customFormat="1" x14ac:dyDescent="0.15">
      <c r="B21" s="2" t="s">
        <v>21</v>
      </c>
      <c r="D21" s="2" t="s">
        <v>22</v>
      </c>
      <c r="E21" s="8">
        <v>4</v>
      </c>
      <c r="F21" s="2" t="s">
        <v>5</v>
      </c>
    </row>
    <row r="22" spans="1:8" s="2" customFormat="1" x14ac:dyDescent="0.15">
      <c r="B22" s="2" t="s">
        <v>23</v>
      </c>
      <c r="D22" s="2" t="s">
        <v>4</v>
      </c>
      <c r="E22" s="8">
        <v>6.5</v>
      </c>
      <c r="F22" s="2" t="s">
        <v>5</v>
      </c>
    </row>
    <row r="23" spans="1:8" s="2" customFormat="1" x14ac:dyDescent="0.15">
      <c r="B23" s="6" t="s">
        <v>45</v>
      </c>
      <c r="D23" s="1" t="s">
        <v>25</v>
      </c>
      <c r="E23" s="8">
        <v>30</v>
      </c>
      <c r="F23" s="1" t="s">
        <v>3</v>
      </c>
      <c r="G23" s="1"/>
    </row>
    <row r="24" spans="1:8" s="2" customFormat="1" x14ac:dyDescent="0.15">
      <c r="A24" s="1" t="s">
        <v>24</v>
      </c>
      <c r="B24" s="1"/>
      <c r="D24" s="1"/>
      <c r="E24" s="1"/>
    </row>
    <row r="25" spans="1:8" s="2" customFormat="1" x14ac:dyDescent="0.15">
      <c r="A25" s="1"/>
    </row>
    <row r="26" spans="1:8" s="2" customFormat="1" x14ac:dyDescent="0.15">
      <c r="A26" s="1"/>
      <c r="B26" s="1" t="s">
        <v>7</v>
      </c>
      <c r="C26" s="8">
        <f>E20</f>
        <v>3</v>
      </c>
      <c r="D26" s="1"/>
      <c r="E26" s="1"/>
      <c r="F26" s="1"/>
      <c r="G26" s="1"/>
      <c r="H26" s="1"/>
    </row>
    <row r="27" spans="1:8" x14ac:dyDescent="0.15">
      <c r="B27" s="1" t="s">
        <v>22</v>
      </c>
      <c r="C27" s="8">
        <f>E21</f>
        <v>4</v>
      </c>
      <c r="D27" s="1" t="s">
        <v>5</v>
      </c>
    </row>
    <row r="28" spans="1:8" x14ac:dyDescent="0.15">
      <c r="B28" s="1" t="s">
        <v>4</v>
      </c>
      <c r="C28" s="8">
        <f>E22</f>
        <v>6.5</v>
      </c>
      <c r="D28" s="1" t="s">
        <v>5</v>
      </c>
    </row>
    <row r="30" spans="1:8" x14ac:dyDescent="0.15">
      <c r="A30" s="1" t="s">
        <v>26</v>
      </c>
    </row>
    <row r="31" spans="1:8" x14ac:dyDescent="0.15">
      <c r="B31" s="1" t="s">
        <v>0</v>
      </c>
      <c r="C31" s="8">
        <f>(E23*POWER(C27,1/C26))/(POWER(C28,1/C26)-POWER(C27,1/C26))</f>
        <v>170.77733026944458</v>
      </c>
      <c r="D31" s="1" t="s">
        <v>3</v>
      </c>
      <c r="E31" s="1" t="s">
        <v>44</v>
      </c>
      <c r="G31" s="9">
        <v>100</v>
      </c>
      <c r="H31" s="1" t="s">
        <v>3</v>
      </c>
    </row>
  </sheetData>
  <sheetProtection formatCells="0" formatColumns="0" formatRows="0" insertHyperlinks="0" sort="0" autoFilter="0" pivotTables="0"/>
  <protectedRanges>
    <protectedRange sqref="G31" name="区域3"/>
    <protectedRange sqref="E20:E22" name="区域1"/>
    <protectedRange sqref="D19" name="区域2"/>
  </protectedRanges>
  <mergeCells count="2">
    <mergeCell ref="D19:E19"/>
    <mergeCell ref="A1:H1"/>
  </mergeCells>
  <phoneticPr fontId="2" type="noConversion"/>
  <dataValidations disablePrompts="1" count="1">
    <dataValidation type="list" allowBlank="1" showInputMessage="1" showErrorMessage="1" sqref="D19:E19 G31" xr:uid="{00000000-0002-0000-0000-000000000000}">
      <formula1>#REF!</formula1>
    </dataValidation>
  </dataValidations>
  <pageMargins left="1.1399999999999999" right="0.61" top="1" bottom="0.66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073" r:id="rId4">
          <objectPr defaultSize="0" autoPict="0" r:id="rId5">
            <anchor moveWithCells="1">
              <from>
                <xdr:col>2</xdr:col>
                <xdr:colOff>19050</xdr:colOff>
                <xdr:row>3</xdr:row>
                <xdr:rowOff>19050</xdr:rowOff>
              </from>
              <to>
                <xdr:col>4</xdr:col>
                <xdr:colOff>219075</xdr:colOff>
                <xdr:row>5</xdr:row>
                <xdr:rowOff>171450</xdr:rowOff>
              </to>
            </anchor>
          </objectPr>
        </oleObject>
      </mc:Choice>
      <mc:Fallback>
        <oleObject progId="Equation.3" shapeId="307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W31"/>
  <sheetViews>
    <sheetView view="pageBreakPreview" topLeftCell="A4" zoomScale="115" zoomScaleNormal="100" workbookViewId="0">
      <selection activeCell="AB10" sqref="AB10"/>
    </sheetView>
  </sheetViews>
  <sheetFormatPr defaultRowHeight="15.75" x14ac:dyDescent="0.15"/>
  <cols>
    <col min="1" max="1" width="4.375" style="10" customWidth="1"/>
    <col min="2" max="2" width="5.25" style="10" customWidth="1"/>
    <col min="3" max="3" width="8.25" style="10" customWidth="1"/>
    <col min="4" max="4" width="5.125" style="10" customWidth="1"/>
    <col min="5" max="8" width="9.125" style="10" bestFit="1" customWidth="1"/>
    <col min="9" max="9" width="9.75" style="10" bestFit="1" customWidth="1"/>
    <col min="10" max="13" width="0" style="10" hidden="1" customWidth="1"/>
    <col min="14" max="14" width="2.625" style="10" hidden="1" customWidth="1"/>
    <col min="15" max="15" width="9" style="10" hidden="1" customWidth="1"/>
    <col min="16" max="16" width="13.875" style="10" hidden="1" customWidth="1"/>
    <col min="17" max="23" width="9" style="10" hidden="1" customWidth="1"/>
    <col min="24" max="25" width="0" style="10" hidden="1" customWidth="1"/>
    <col min="26" max="16384" width="9" style="10"/>
  </cols>
  <sheetData>
    <row r="1" spans="1:16" ht="30" x14ac:dyDescent="0.15">
      <c r="A1" s="39" t="s">
        <v>48</v>
      </c>
      <c r="B1" s="39"/>
      <c r="C1" s="39"/>
      <c r="D1" s="39"/>
      <c r="E1" s="39"/>
      <c r="F1" s="39"/>
      <c r="G1" s="39"/>
      <c r="H1" s="39"/>
      <c r="I1" s="39"/>
    </row>
    <row r="2" spans="1:16" x14ac:dyDescent="0.15">
      <c r="I2" s="11">
        <f ca="1">TODAY()</f>
        <v>44103</v>
      </c>
    </row>
    <row r="3" spans="1:16" x14ac:dyDescent="0.15">
      <c r="A3" s="10" t="s">
        <v>40</v>
      </c>
    </row>
    <row r="4" spans="1:16" x14ac:dyDescent="0.15">
      <c r="B4" s="10" t="s">
        <v>8</v>
      </c>
      <c r="F4" s="10" t="s">
        <v>42</v>
      </c>
    </row>
    <row r="5" spans="1:16" x14ac:dyDescent="0.15">
      <c r="F5" s="12" t="s">
        <v>33</v>
      </c>
    </row>
    <row r="9" spans="1:16" x14ac:dyDescent="0.15">
      <c r="F9" s="12" t="s">
        <v>34</v>
      </c>
    </row>
    <row r="12" spans="1:16" x14ac:dyDescent="0.15">
      <c r="A12" s="10" t="s">
        <v>41</v>
      </c>
    </row>
    <row r="13" spans="1:16" x14ac:dyDescent="0.15">
      <c r="B13" s="10" t="s">
        <v>35</v>
      </c>
    </row>
    <row r="14" spans="1:16" x14ac:dyDescent="0.15">
      <c r="B14" s="10" t="s">
        <v>46</v>
      </c>
    </row>
    <row r="15" spans="1:16" x14ac:dyDescent="0.15">
      <c r="P15" s="13"/>
    </row>
    <row r="16" spans="1:16" x14ac:dyDescent="0.15">
      <c r="A16" s="10" t="s">
        <v>36</v>
      </c>
      <c r="P16" s="13"/>
    </row>
    <row r="17" spans="1:17" x14ac:dyDescent="0.15">
      <c r="B17" s="20" t="s">
        <v>50</v>
      </c>
      <c r="C17" s="21" t="s">
        <v>58</v>
      </c>
      <c r="D17" s="21" t="s">
        <v>52</v>
      </c>
      <c r="E17" s="22" t="s">
        <v>53</v>
      </c>
      <c r="F17" s="22" t="s">
        <v>54</v>
      </c>
      <c r="G17" s="22" t="s">
        <v>55</v>
      </c>
      <c r="H17" s="22" t="s">
        <v>56</v>
      </c>
      <c r="I17" s="22" t="s">
        <v>57</v>
      </c>
      <c r="J17" s="14"/>
      <c r="K17" s="15"/>
    </row>
    <row r="18" spans="1:17" x14ac:dyDescent="0.15">
      <c r="B18" s="20" t="s">
        <v>51</v>
      </c>
      <c r="C18" s="21">
        <v>0.4</v>
      </c>
      <c r="D18" s="21">
        <v>1</v>
      </c>
      <c r="E18" s="21">
        <v>1.3</v>
      </c>
      <c r="F18" s="21">
        <v>2</v>
      </c>
      <c r="G18" s="21">
        <v>3.5</v>
      </c>
      <c r="H18" s="21">
        <v>7.5</v>
      </c>
      <c r="I18" s="21">
        <v>13</v>
      </c>
      <c r="J18" s="16"/>
      <c r="K18" s="16"/>
    </row>
    <row r="20" spans="1:17" x14ac:dyDescent="0.15">
      <c r="A20" s="17" t="s">
        <v>2</v>
      </c>
      <c r="B20" s="17"/>
      <c r="C20" s="17"/>
      <c r="D20" s="17"/>
      <c r="E20" s="17"/>
      <c r="F20" s="17"/>
      <c r="G20" s="17"/>
      <c r="H20" s="17"/>
      <c r="I20" s="17"/>
    </row>
    <row r="21" spans="1:17" s="17" customFormat="1" x14ac:dyDescent="0.15">
      <c r="B21" s="17" t="s">
        <v>10</v>
      </c>
      <c r="C21" s="18"/>
      <c r="D21" s="38"/>
      <c r="E21" s="38"/>
      <c r="F21" s="17" t="s">
        <v>43</v>
      </c>
      <c r="H21" s="17">
        <v>90</v>
      </c>
      <c r="I21" s="17" t="s">
        <v>16</v>
      </c>
      <c r="J21" s="19"/>
      <c r="Q21" s="17" t="s">
        <v>37</v>
      </c>
    </row>
    <row r="22" spans="1:17" s="17" customFormat="1" x14ac:dyDescent="0.15">
      <c r="B22" s="17" t="s">
        <v>11</v>
      </c>
      <c r="D22" s="17" t="s">
        <v>13</v>
      </c>
      <c r="E22" s="17">
        <v>5.55</v>
      </c>
      <c r="J22" s="19"/>
      <c r="P22" s="17" t="s">
        <v>38</v>
      </c>
      <c r="Q22" s="17">
        <f>E24/E22*0.75</f>
        <v>12.972972972972974</v>
      </c>
    </row>
    <row r="23" spans="1:17" s="17" customFormat="1" x14ac:dyDescent="0.15">
      <c r="B23" s="17" t="s">
        <v>9</v>
      </c>
      <c r="C23" s="18"/>
      <c r="D23" s="38" t="s">
        <v>59</v>
      </c>
      <c r="E23" s="38"/>
      <c r="J23" s="19"/>
      <c r="P23" s="17" t="s">
        <v>39</v>
      </c>
      <c r="Q23" s="17">
        <f>Q22*1.25</f>
        <v>16.216216216216218</v>
      </c>
    </row>
    <row r="24" spans="1:17" s="17" customFormat="1" x14ac:dyDescent="0.15">
      <c r="B24" s="17" t="s">
        <v>47</v>
      </c>
      <c r="D24" s="17" t="s">
        <v>12</v>
      </c>
      <c r="E24" s="17">
        <v>96</v>
      </c>
      <c r="F24" s="17" t="s">
        <v>3</v>
      </c>
      <c r="P24" s="17" t="s">
        <v>32</v>
      </c>
      <c r="Q24" s="17">
        <f>E24/E22*0.6</f>
        <v>10.378378378378379</v>
      </c>
    </row>
    <row r="25" spans="1:17" x14ac:dyDescent="0.15">
      <c r="A25" s="17"/>
      <c r="B25" s="17"/>
      <c r="C25" s="17"/>
      <c r="D25" s="17"/>
      <c r="E25" s="17"/>
      <c r="F25" s="17"/>
      <c r="G25" s="17"/>
      <c r="H25" s="17"/>
      <c r="I25" s="17"/>
      <c r="P25" s="17"/>
      <c r="Q25" s="17"/>
    </row>
    <row r="26" spans="1:17" x14ac:dyDescent="0.15">
      <c r="A26" s="17" t="s">
        <v>26</v>
      </c>
      <c r="B26" s="17"/>
      <c r="C26" s="17"/>
      <c r="D26" s="17"/>
      <c r="E26" s="17"/>
      <c r="F26" s="17"/>
      <c r="G26" s="17"/>
      <c r="H26" s="17"/>
      <c r="I26" s="17"/>
      <c r="P26" s="17"/>
      <c r="Q26" s="17"/>
    </row>
    <row r="27" spans="1:17" x14ac:dyDescent="0.15">
      <c r="A27" s="17"/>
      <c r="B27" s="17" t="s">
        <v>14</v>
      </c>
      <c r="C27" s="17">
        <f>VLOOKUP(D23,P22:Q24,2,FALSE)</f>
        <v>16.216216216216218</v>
      </c>
      <c r="D27" s="17" t="s">
        <v>15</v>
      </c>
      <c r="E27" s="17"/>
      <c r="F27" s="17"/>
      <c r="G27" s="17"/>
      <c r="H27" s="17"/>
      <c r="I27" s="17"/>
      <c r="P27" s="17"/>
      <c r="Q27" s="17"/>
    </row>
    <row r="28" spans="1:17" x14ac:dyDescent="0.15">
      <c r="A28" s="17"/>
      <c r="B28" s="17"/>
      <c r="C28" s="17"/>
      <c r="D28" s="17"/>
      <c r="E28" s="17"/>
      <c r="F28" s="17"/>
      <c r="G28" s="17"/>
      <c r="H28" s="17"/>
      <c r="I28" s="17"/>
      <c r="P28" s="17"/>
      <c r="Q28" s="17"/>
    </row>
    <row r="29" spans="1:17" x14ac:dyDescent="0.15">
      <c r="A29" s="17"/>
      <c r="B29" s="17"/>
      <c r="C29" s="17"/>
      <c r="D29" s="17"/>
      <c r="E29" s="17"/>
      <c r="F29" s="17"/>
      <c r="G29" s="17"/>
      <c r="H29" s="17"/>
      <c r="I29" s="17"/>
      <c r="P29" s="17"/>
      <c r="Q29" s="17"/>
    </row>
    <row r="30" spans="1:17" x14ac:dyDescent="0.15">
      <c r="A30" s="17"/>
      <c r="B30" s="17"/>
      <c r="C30" s="17"/>
      <c r="D30" s="17"/>
      <c r="E30" s="17"/>
      <c r="F30" s="17"/>
      <c r="G30" s="17"/>
      <c r="H30" s="17"/>
      <c r="I30" s="17"/>
      <c r="P30" s="17"/>
      <c r="Q30" s="17"/>
    </row>
    <row r="31" spans="1:17" x14ac:dyDescent="0.15">
      <c r="A31" s="17"/>
      <c r="B31" s="17"/>
      <c r="C31" s="17"/>
      <c r="D31" s="17"/>
      <c r="E31" s="17"/>
      <c r="F31" s="17"/>
      <c r="G31" s="17"/>
      <c r="H31" s="17"/>
      <c r="I31" s="17"/>
      <c r="P31" s="17"/>
      <c r="Q31" s="17"/>
    </row>
  </sheetData>
  <protectedRanges>
    <protectedRange sqref="H21" name="区域4"/>
    <protectedRange sqref="D23" name="区域3"/>
    <protectedRange sqref="E22" name="区域2"/>
    <protectedRange sqref="D21" name="区域1"/>
  </protectedRanges>
  <mergeCells count="3">
    <mergeCell ref="D23:E23"/>
    <mergeCell ref="D21:E21"/>
    <mergeCell ref="A1:I1"/>
  </mergeCells>
  <phoneticPr fontId="2" type="noConversion"/>
  <dataValidations count="2">
    <dataValidation type="list" allowBlank="1" showInputMessage="1" showErrorMessage="1" sqref="D23:E23" xr:uid="{00000000-0002-0000-0100-000000000000}">
      <formula1>$P$22:$P$24</formula1>
    </dataValidation>
    <dataValidation type="list" allowBlank="1" showInputMessage="1" showErrorMessage="1" sqref="D21:E21" xr:uid="{00000000-0002-0000-0100-000001000000}">
      <formula1>#REF!</formula1>
    </dataValidation>
  </dataValidations>
  <pageMargins left="1.1599999999999999" right="0.27" top="1" bottom="0.74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4097" r:id="rId4">
          <objectPr defaultSize="0" r:id="rId5">
            <anchor moveWithCells="1">
              <from>
                <xdr:col>2</xdr:col>
                <xdr:colOff>104775</xdr:colOff>
                <xdr:row>4</xdr:row>
                <xdr:rowOff>47625</xdr:rowOff>
              </from>
              <to>
                <xdr:col>3</xdr:col>
                <xdr:colOff>285750</xdr:colOff>
                <xdr:row>6</xdr:row>
                <xdr:rowOff>38100</xdr:rowOff>
              </to>
            </anchor>
          </objectPr>
        </oleObject>
      </mc:Choice>
      <mc:Fallback>
        <oleObject progId="Equation.3" shapeId="4097" r:id="rId4"/>
      </mc:Fallback>
    </mc:AlternateContent>
    <mc:AlternateContent xmlns:mc="http://schemas.openxmlformats.org/markup-compatibility/2006">
      <mc:Choice Requires="x14">
        <oleObject progId="Equation.3" shapeId="4098" r:id="rId6">
          <objectPr defaultSize="0" autoPict="0" r:id="rId7">
            <anchor moveWithCells="1">
              <from>
                <xdr:col>6</xdr:col>
                <xdr:colOff>57150</xdr:colOff>
                <xdr:row>4</xdr:row>
                <xdr:rowOff>57150</xdr:rowOff>
              </from>
              <to>
                <xdr:col>7</xdr:col>
                <xdr:colOff>495300</xdr:colOff>
                <xdr:row>6</xdr:row>
                <xdr:rowOff>47625</xdr:rowOff>
              </to>
            </anchor>
          </objectPr>
        </oleObject>
      </mc:Choice>
      <mc:Fallback>
        <oleObject progId="Equation.3" shapeId="4098" r:id="rId6"/>
      </mc:Fallback>
    </mc:AlternateContent>
    <mc:AlternateContent xmlns:mc="http://schemas.openxmlformats.org/markup-compatibility/2006">
      <mc:Choice Requires="x14">
        <oleObject progId="Equation.3" shapeId="4099" r:id="rId8">
          <objectPr defaultSize="0" r:id="rId9">
            <anchor moveWithCells="1">
              <from>
                <xdr:col>6</xdr:col>
                <xdr:colOff>47625</xdr:colOff>
                <xdr:row>8</xdr:row>
                <xdr:rowOff>57150</xdr:rowOff>
              </from>
              <to>
                <xdr:col>7</xdr:col>
                <xdr:colOff>542925</xdr:colOff>
                <xdr:row>9</xdr:row>
                <xdr:rowOff>57150</xdr:rowOff>
              </to>
            </anchor>
          </objectPr>
        </oleObject>
      </mc:Choice>
      <mc:Fallback>
        <oleObject progId="Equation.3" shapeId="4099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2:I48"/>
  <sheetViews>
    <sheetView workbookViewId="0">
      <selection activeCell="D8" sqref="D8:E8"/>
    </sheetView>
  </sheetViews>
  <sheetFormatPr defaultRowHeight="14.25" x14ac:dyDescent="0.15"/>
  <sheetData>
    <row r="2" spans="2:9" ht="15" thickBot="1" x14ac:dyDescent="0.2">
      <c r="B2" s="40" t="s">
        <v>60</v>
      </c>
      <c r="C2" s="40"/>
      <c r="D2" s="40"/>
      <c r="E2" s="40"/>
      <c r="F2" s="40"/>
      <c r="G2" s="23"/>
      <c r="H2" s="23"/>
      <c r="I2" s="23"/>
    </row>
    <row r="3" spans="2:9" x14ac:dyDescent="0.15">
      <c r="B3" s="46" t="s">
        <v>61</v>
      </c>
      <c r="C3" s="47"/>
      <c r="D3" s="48" t="s">
        <v>62</v>
      </c>
      <c r="E3" s="47"/>
      <c r="F3" s="49"/>
      <c r="G3" s="23"/>
      <c r="H3" s="28"/>
      <c r="I3" s="26" t="s">
        <v>63</v>
      </c>
    </row>
    <row r="4" spans="2:9" x14ac:dyDescent="0.15">
      <c r="B4" s="41" t="s">
        <v>64</v>
      </c>
      <c r="C4" s="42"/>
      <c r="D4" s="42"/>
      <c r="E4" s="42"/>
      <c r="F4" s="45"/>
      <c r="G4" s="23"/>
      <c r="H4" s="29"/>
      <c r="I4" s="26" t="s">
        <v>65</v>
      </c>
    </row>
    <row r="5" spans="2:9" x14ac:dyDescent="0.15">
      <c r="B5" s="41" t="s">
        <v>66</v>
      </c>
      <c r="C5" s="42"/>
      <c r="D5" s="44">
        <v>96</v>
      </c>
      <c r="E5" s="44"/>
      <c r="F5" s="25" t="s">
        <v>67</v>
      </c>
      <c r="G5" s="23"/>
      <c r="H5" s="23"/>
      <c r="I5" s="23"/>
    </row>
    <row r="6" spans="2:9" x14ac:dyDescent="0.15">
      <c r="B6" s="41" t="s">
        <v>68</v>
      </c>
      <c r="C6" s="42"/>
      <c r="D6" s="44">
        <v>5</v>
      </c>
      <c r="E6" s="44"/>
      <c r="F6" s="25" t="s">
        <v>69</v>
      </c>
      <c r="G6" s="23"/>
      <c r="H6" s="23"/>
      <c r="I6" s="23"/>
    </row>
    <row r="7" spans="2:9" x14ac:dyDescent="0.15">
      <c r="B7" s="41" t="s">
        <v>70</v>
      </c>
      <c r="C7" s="42"/>
      <c r="D7" s="44">
        <v>5</v>
      </c>
      <c r="E7" s="44"/>
      <c r="F7" s="25" t="s">
        <v>71</v>
      </c>
      <c r="G7" s="23"/>
      <c r="H7" s="23"/>
      <c r="I7" s="23"/>
    </row>
    <row r="8" spans="2:9" x14ac:dyDescent="0.15">
      <c r="B8" s="41" t="s">
        <v>72</v>
      </c>
      <c r="C8" s="42"/>
      <c r="D8" s="43">
        <f>3.485*D5*(D6+1.033)/D7</f>
        <v>403.68009599999993</v>
      </c>
      <c r="E8" s="43"/>
      <c r="F8" s="25" t="s">
        <v>73</v>
      </c>
      <c r="G8" s="23"/>
      <c r="H8" s="23"/>
      <c r="I8" s="23"/>
    </row>
    <row r="9" spans="2:9" x14ac:dyDescent="0.15">
      <c r="B9" s="41" t="s">
        <v>74</v>
      </c>
      <c r="C9" s="42"/>
      <c r="D9" s="50">
        <v>1</v>
      </c>
      <c r="E9" s="50"/>
      <c r="F9" s="25"/>
      <c r="G9" s="23"/>
      <c r="H9" s="23"/>
      <c r="I9" s="23"/>
    </row>
    <row r="10" spans="2:9" x14ac:dyDescent="0.15">
      <c r="B10" s="41" t="s">
        <v>75</v>
      </c>
      <c r="C10" s="42"/>
      <c r="D10" s="50">
        <v>20</v>
      </c>
      <c r="E10" s="50"/>
      <c r="F10" s="25" t="s">
        <v>76</v>
      </c>
      <c r="G10" s="23"/>
      <c r="H10" s="23"/>
      <c r="I10" s="23"/>
    </row>
    <row r="11" spans="2:9" x14ac:dyDescent="0.15">
      <c r="B11" s="41" t="s">
        <v>77</v>
      </c>
      <c r="C11" s="42"/>
      <c r="D11" s="43">
        <f>D8*SQRT((273+D10)*D9)/249/D6</f>
        <v>5.5501126137295715</v>
      </c>
      <c r="E11" s="43"/>
      <c r="F11" s="25"/>
      <c r="G11" s="23"/>
      <c r="H11" s="23"/>
      <c r="I11" s="23"/>
    </row>
    <row r="12" spans="2:9" x14ac:dyDescent="0.15">
      <c r="B12" s="41" t="s">
        <v>78</v>
      </c>
      <c r="C12" s="42"/>
      <c r="D12" s="43">
        <f>18.45*D11</f>
        <v>102.39957772331059</v>
      </c>
      <c r="E12" s="43"/>
      <c r="F12" s="25" t="s">
        <v>79</v>
      </c>
      <c r="G12" s="23"/>
      <c r="H12" s="23"/>
      <c r="I12" s="23"/>
    </row>
    <row r="13" spans="2:9" x14ac:dyDescent="0.15">
      <c r="B13" s="57"/>
      <c r="C13" s="58"/>
      <c r="D13" s="51" t="s">
        <v>80</v>
      </c>
      <c r="E13" s="51"/>
      <c r="F13" s="32" t="s">
        <v>81</v>
      </c>
      <c r="G13" s="23"/>
      <c r="H13" s="23"/>
      <c r="I13" s="23"/>
    </row>
    <row r="14" spans="2:9" x14ac:dyDescent="0.15">
      <c r="B14" s="54" t="s">
        <v>82</v>
      </c>
      <c r="C14" s="24">
        <v>1.5</v>
      </c>
      <c r="D14" s="56">
        <f>C14*2*SQRT(D12/3.14)</f>
        <v>17.131899321621546</v>
      </c>
      <c r="E14" s="56"/>
      <c r="F14" s="33" t="str">
        <f>IF(D14&gt;25,"&gt;1",IF(D14&gt;19,"1",IF(D14&gt;12.7,"3/4",IF(D14&gt;6.35,"1/2","1/4"))))</f>
        <v>3/4</v>
      </c>
      <c r="G14" s="26"/>
      <c r="H14" s="23"/>
      <c r="I14" s="23"/>
    </row>
    <row r="15" spans="2:9" x14ac:dyDescent="0.15">
      <c r="B15" s="54"/>
      <c r="C15" s="24">
        <v>2</v>
      </c>
      <c r="D15" s="52">
        <f>C15*2*SQRT(D12/3.14)</f>
        <v>22.842532428828729</v>
      </c>
      <c r="E15" s="52"/>
      <c r="F15" s="33" t="str">
        <f>IF(D15&gt;25,"&gt;1",IF(D15&gt;19,"1",IF(D15&gt;12.7,"3/4",IF(D15&gt;6.35,"1/2","1/4"))))</f>
        <v>1</v>
      </c>
      <c r="G15" s="26"/>
      <c r="H15" s="23"/>
      <c r="I15" s="23"/>
    </row>
    <row r="16" spans="2:9" ht="15" thickBot="1" x14ac:dyDescent="0.2">
      <c r="B16" s="55"/>
      <c r="C16" s="34">
        <v>2.5</v>
      </c>
      <c r="D16" s="53">
        <f>C16*2*SQRT(D12/3.14)</f>
        <v>28.553165536035912</v>
      </c>
      <c r="E16" s="53"/>
      <c r="F16" s="27" t="str">
        <f>IF(D16&gt;25,"&gt;1",IF(D16&gt;19,"1",IF(D16&gt;12.7,"3/4",IF(D16&gt;6.35,"1/2","1/4"))))</f>
        <v>&gt;1</v>
      </c>
      <c r="G16" s="31" t="s">
        <v>83</v>
      </c>
      <c r="H16" s="23"/>
      <c r="I16" s="23"/>
    </row>
    <row r="17" spans="2:6" x14ac:dyDescent="0.15">
      <c r="B17" s="30" t="s">
        <v>84</v>
      </c>
      <c r="C17" s="23"/>
      <c r="D17" s="23"/>
      <c r="E17" s="23"/>
      <c r="F17" s="23"/>
    </row>
    <row r="21" spans="2:6" ht="15" thickBot="1" x14ac:dyDescent="0.2">
      <c r="B21" s="40" t="s">
        <v>60</v>
      </c>
      <c r="C21" s="40"/>
      <c r="D21" s="40"/>
      <c r="E21" s="40"/>
      <c r="F21" s="40"/>
    </row>
    <row r="22" spans="2:6" x14ac:dyDescent="0.15">
      <c r="B22" s="46" t="s">
        <v>61</v>
      </c>
      <c r="C22" s="47"/>
      <c r="D22" s="48" t="s">
        <v>62</v>
      </c>
      <c r="E22" s="47"/>
      <c r="F22" s="49"/>
    </row>
    <row r="23" spans="2:6" x14ac:dyDescent="0.15">
      <c r="B23" s="41" t="s">
        <v>64</v>
      </c>
      <c r="C23" s="42"/>
      <c r="D23" s="42"/>
      <c r="E23" s="42"/>
      <c r="F23" s="45"/>
    </row>
    <row r="24" spans="2:6" x14ac:dyDescent="0.15">
      <c r="B24" s="41" t="s">
        <v>66</v>
      </c>
      <c r="C24" s="42"/>
      <c r="D24" s="44">
        <v>96</v>
      </c>
      <c r="E24" s="44"/>
      <c r="F24" s="25" t="s">
        <v>67</v>
      </c>
    </row>
    <row r="25" spans="2:6" x14ac:dyDescent="0.15">
      <c r="B25" s="41" t="s">
        <v>68</v>
      </c>
      <c r="C25" s="42"/>
      <c r="D25" s="44">
        <v>5</v>
      </c>
      <c r="E25" s="44"/>
      <c r="F25" s="25" t="s">
        <v>69</v>
      </c>
    </row>
    <row r="26" spans="2:6" x14ac:dyDescent="0.15">
      <c r="B26" s="41" t="s">
        <v>70</v>
      </c>
      <c r="C26" s="42"/>
      <c r="D26" s="44">
        <v>5</v>
      </c>
      <c r="E26" s="44"/>
      <c r="F26" s="25" t="s">
        <v>71</v>
      </c>
    </row>
    <row r="27" spans="2:6" x14ac:dyDescent="0.15">
      <c r="B27" s="41" t="s">
        <v>72</v>
      </c>
      <c r="C27" s="42"/>
      <c r="D27" s="43">
        <f>3.485*D24*(D25+1.033)/D26</f>
        <v>403.68009599999993</v>
      </c>
      <c r="E27" s="43"/>
      <c r="F27" s="25" t="s">
        <v>73</v>
      </c>
    </row>
    <row r="28" spans="2:6" x14ac:dyDescent="0.15">
      <c r="B28" s="41" t="s">
        <v>74</v>
      </c>
      <c r="C28" s="42"/>
      <c r="D28" s="50">
        <v>1</v>
      </c>
      <c r="E28" s="50"/>
      <c r="F28" s="25"/>
    </row>
    <row r="29" spans="2:6" x14ac:dyDescent="0.15">
      <c r="B29" s="41" t="s">
        <v>75</v>
      </c>
      <c r="C29" s="42"/>
      <c r="D29" s="50">
        <v>20</v>
      </c>
      <c r="E29" s="50"/>
      <c r="F29" s="25" t="s">
        <v>76</v>
      </c>
    </row>
    <row r="30" spans="2:6" x14ac:dyDescent="0.15">
      <c r="B30" s="41" t="s">
        <v>77</v>
      </c>
      <c r="C30" s="42"/>
      <c r="D30" s="43">
        <f>D27*SQRT((273+D29)*D28)/249/D25</f>
        <v>5.5501126137295715</v>
      </c>
      <c r="E30" s="43"/>
      <c r="F30" s="25"/>
    </row>
    <row r="31" spans="2:6" x14ac:dyDescent="0.15">
      <c r="B31" s="41" t="s">
        <v>78</v>
      </c>
      <c r="C31" s="42"/>
      <c r="D31" s="43">
        <f>18.45*D30</f>
        <v>102.39957772331059</v>
      </c>
      <c r="E31" s="43"/>
      <c r="F31" s="25" t="s">
        <v>79</v>
      </c>
    </row>
    <row r="32" spans="2:6" x14ac:dyDescent="0.15">
      <c r="B32" s="57"/>
      <c r="C32" s="58"/>
      <c r="D32" s="51" t="s">
        <v>80</v>
      </c>
      <c r="E32" s="51"/>
      <c r="F32" s="32" t="s">
        <v>81</v>
      </c>
    </row>
    <row r="33" spans="2:6" x14ac:dyDescent="0.15">
      <c r="B33" s="54" t="s">
        <v>82</v>
      </c>
      <c r="C33" s="24">
        <v>1.5</v>
      </c>
      <c r="D33" s="56">
        <f>C33*2*SQRT(D31/3.14)</f>
        <v>17.131899321621546</v>
      </c>
      <c r="E33" s="56"/>
      <c r="F33" s="33" t="str">
        <f>IF(D33&gt;25,"&gt;1",IF(D33&gt;19,"1",IF(D33&gt;12.7,"3/4",IF(D33&gt;6.35,"1/2","1/4"))))</f>
        <v>3/4</v>
      </c>
    </row>
    <row r="34" spans="2:6" x14ac:dyDescent="0.15">
      <c r="B34" s="54"/>
      <c r="C34" s="24">
        <v>2</v>
      </c>
      <c r="D34" s="52">
        <f>C34*2*SQRT(D31/3.14)</f>
        <v>22.842532428828729</v>
      </c>
      <c r="E34" s="52"/>
      <c r="F34" s="33" t="str">
        <f>IF(D34&gt;25,"&gt;1",IF(D34&gt;19,"1",IF(D34&gt;12.7,"3/4",IF(D34&gt;6.35,"1/2","1/4"))))</f>
        <v>1</v>
      </c>
    </row>
    <row r="35" spans="2:6" ht="15" thickBot="1" x14ac:dyDescent="0.2">
      <c r="B35" s="55"/>
      <c r="C35" s="34">
        <v>2.5</v>
      </c>
      <c r="D35" s="53">
        <f>C35*2*SQRT(D31/3.14)</f>
        <v>28.553165536035912</v>
      </c>
      <c r="E35" s="53"/>
      <c r="F35" s="27" t="str">
        <f>IF(D35&gt;25,"&gt;1",IF(D35&gt;19,"1",IF(D35&gt;12.7,"3/4",IF(D35&gt;6.35,"1/2","1/4"))))</f>
        <v>&gt;1</v>
      </c>
    </row>
    <row r="36" spans="2:6" x14ac:dyDescent="0.15">
      <c r="B36" s="30" t="s">
        <v>84</v>
      </c>
      <c r="C36" s="23"/>
      <c r="D36" s="23"/>
      <c r="E36" s="23"/>
      <c r="F36" s="23"/>
    </row>
    <row r="39" spans="2:6" x14ac:dyDescent="0.15">
      <c r="B39" s="23"/>
      <c r="C39" s="23"/>
      <c r="D39" s="23"/>
      <c r="E39" s="23"/>
      <c r="F39" s="23"/>
    </row>
    <row r="40" spans="2:6" x14ac:dyDescent="0.15">
      <c r="B40" s="23"/>
      <c r="C40" s="23"/>
      <c r="D40" s="23"/>
      <c r="E40" s="23"/>
      <c r="F40" s="23"/>
    </row>
    <row r="41" spans="2:6" x14ac:dyDescent="0.15">
      <c r="B41" s="23"/>
      <c r="C41" s="23"/>
      <c r="D41" s="23"/>
      <c r="E41" s="23"/>
      <c r="F41" s="23"/>
    </row>
    <row r="42" spans="2:6" x14ac:dyDescent="0.15">
      <c r="B42" s="23"/>
      <c r="C42" s="23"/>
      <c r="D42" s="23"/>
      <c r="E42" s="23"/>
      <c r="F42" s="23"/>
    </row>
    <row r="43" spans="2:6" x14ac:dyDescent="0.15">
      <c r="B43" s="23"/>
      <c r="C43" s="23"/>
      <c r="D43" s="23"/>
      <c r="E43" s="23"/>
      <c r="F43" s="23"/>
    </row>
    <row r="44" spans="2:6" x14ac:dyDescent="0.15">
      <c r="B44" s="23"/>
      <c r="C44" s="23"/>
      <c r="D44" s="23"/>
      <c r="E44" s="23"/>
      <c r="F44" s="23"/>
    </row>
    <row r="45" spans="2:6" x14ac:dyDescent="0.15">
      <c r="B45" s="23"/>
      <c r="C45" s="23"/>
      <c r="D45" s="23"/>
      <c r="E45" s="23"/>
      <c r="F45" s="23"/>
    </row>
    <row r="46" spans="2:6" x14ac:dyDescent="0.15">
      <c r="B46" s="23"/>
      <c r="C46" s="23"/>
      <c r="D46" s="23"/>
      <c r="E46" s="23"/>
      <c r="F46" s="23"/>
    </row>
    <row r="47" spans="2:6" x14ac:dyDescent="0.15">
      <c r="B47" s="23"/>
      <c r="C47" s="23"/>
      <c r="D47" s="23"/>
      <c r="E47" s="23"/>
      <c r="F47" s="23"/>
    </row>
    <row r="48" spans="2:6" x14ac:dyDescent="0.15">
      <c r="B48" s="23"/>
      <c r="C48" s="23"/>
      <c r="D48" s="23"/>
      <c r="E48" s="23"/>
      <c r="F48" s="23"/>
    </row>
  </sheetData>
  <mergeCells count="54">
    <mergeCell ref="B33:B35"/>
    <mergeCell ref="D33:E33"/>
    <mergeCell ref="D34:E34"/>
    <mergeCell ref="D35:E35"/>
    <mergeCell ref="B30:C30"/>
    <mergeCell ref="D30:E30"/>
    <mergeCell ref="B31:C31"/>
    <mergeCell ref="D31:E31"/>
    <mergeCell ref="B32:C32"/>
    <mergeCell ref="D32:E32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21:F21"/>
    <mergeCell ref="B22:C22"/>
    <mergeCell ref="D22:F22"/>
    <mergeCell ref="B23:C23"/>
    <mergeCell ref="D23:F23"/>
    <mergeCell ref="D13:E13"/>
    <mergeCell ref="D15:E15"/>
    <mergeCell ref="D16:E16"/>
    <mergeCell ref="B5:C5"/>
    <mergeCell ref="B14:B16"/>
    <mergeCell ref="D14:E14"/>
    <mergeCell ref="B13:C13"/>
    <mergeCell ref="B11:C11"/>
    <mergeCell ref="B12:C12"/>
    <mergeCell ref="B6:C6"/>
    <mergeCell ref="B4:C4"/>
    <mergeCell ref="D11:E11"/>
    <mergeCell ref="D12:E12"/>
    <mergeCell ref="B2:F2"/>
    <mergeCell ref="B7:C7"/>
    <mergeCell ref="B8:C8"/>
    <mergeCell ref="B9:C9"/>
    <mergeCell ref="B10:C10"/>
    <mergeCell ref="D8:E8"/>
    <mergeCell ref="D7:E7"/>
    <mergeCell ref="D6:E6"/>
    <mergeCell ref="D4:F4"/>
    <mergeCell ref="B3:C3"/>
    <mergeCell ref="D3:F3"/>
    <mergeCell ref="D5:E5"/>
    <mergeCell ref="D9:E9"/>
    <mergeCell ref="D10:E10"/>
  </mergeCells>
  <phoneticPr fontId="1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4478-E427-4867-AB96-B23CE102FC62}">
  <dimension ref="A1:T39"/>
  <sheetViews>
    <sheetView showGridLines="0" tabSelected="1" topLeftCell="A7" zoomScale="145" zoomScaleNormal="145" workbookViewId="0">
      <selection activeCell="G13" sqref="G13"/>
    </sheetView>
  </sheetViews>
  <sheetFormatPr defaultColWidth="9" defaultRowHeight="13.5" x14ac:dyDescent="0.15"/>
  <cols>
    <col min="1" max="1" width="9.25" style="61" customWidth="1"/>
    <col min="2" max="3" width="19.875" style="60" customWidth="1"/>
    <col min="4" max="4" width="9" style="61"/>
    <col min="5" max="5" width="7.375" style="61" customWidth="1"/>
    <col min="6" max="7" width="8.875" style="61" customWidth="1"/>
    <col min="8" max="8" width="6" style="61" customWidth="1"/>
    <col min="9" max="9" width="6.5" style="61" customWidth="1"/>
    <col min="10" max="10" width="9.5" style="61" customWidth="1"/>
    <col min="11" max="11" width="5.625" style="61" customWidth="1"/>
    <col min="12" max="12" width="8.875" style="61" customWidth="1"/>
    <col min="13" max="14" width="5.375" style="61" customWidth="1"/>
    <col min="15" max="15" width="18.5" style="61" customWidth="1"/>
    <col min="16" max="16" width="16.25" style="61" customWidth="1"/>
    <col min="17" max="17" width="6" style="61" customWidth="1"/>
    <col min="18" max="18" width="17.25" style="61" customWidth="1"/>
    <col min="19" max="19" width="4" style="61" customWidth="1"/>
    <col min="20" max="20" width="15.75" style="61" customWidth="1"/>
    <col min="21" max="16384" width="9" style="61"/>
  </cols>
  <sheetData>
    <row r="1" spans="1:20" ht="59.1" customHeight="1" x14ac:dyDescent="0.15">
      <c r="A1" s="59"/>
    </row>
    <row r="2" spans="1:20" ht="16.5" customHeight="1" x14ac:dyDescent="0.15">
      <c r="A2" s="62" t="s">
        <v>85</v>
      </c>
    </row>
    <row r="3" spans="1:20" ht="16.5" customHeight="1" x14ac:dyDescent="0.15">
      <c r="A3" s="62" t="s">
        <v>86</v>
      </c>
    </row>
    <row r="4" spans="1:20" ht="16.5" customHeight="1" x14ac:dyDescent="0.15">
      <c r="A4" s="62" t="s">
        <v>87</v>
      </c>
    </row>
    <row r="5" spans="1:20" ht="16.5" customHeight="1" x14ac:dyDescent="0.15">
      <c r="A5" s="62" t="s">
        <v>88</v>
      </c>
    </row>
    <row r="6" spans="1:20" ht="16.5" customHeight="1" x14ac:dyDescent="0.15">
      <c r="A6" s="62" t="s">
        <v>89</v>
      </c>
    </row>
    <row r="8" spans="1:20" ht="24" x14ac:dyDescent="0.2">
      <c r="A8" s="63" t="s">
        <v>90</v>
      </c>
      <c r="B8" s="64" t="s">
        <v>91</v>
      </c>
      <c r="C8" s="64"/>
      <c r="D8" s="63" t="s">
        <v>92</v>
      </c>
      <c r="E8" s="60" t="s">
        <v>93</v>
      </c>
      <c r="F8" s="61" t="s">
        <v>94</v>
      </c>
      <c r="K8" s="60" t="s">
        <v>95</v>
      </c>
      <c r="L8" s="60" t="s">
        <v>96</v>
      </c>
      <c r="M8" s="61" t="s">
        <v>97</v>
      </c>
      <c r="N8" s="65" t="s">
        <v>98</v>
      </c>
      <c r="O8" s="66" t="s">
        <v>99</v>
      </c>
      <c r="P8" s="66" t="s">
        <v>100</v>
      </c>
      <c r="Q8" s="66"/>
      <c r="R8" s="65"/>
      <c r="S8" s="65"/>
      <c r="T8" s="65"/>
    </row>
    <row r="9" spans="1:20" x14ac:dyDescent="0.2">
      <c r="A9" s="67">
        <v>1</v>
      </c>
      <c r="B9" s="67" t="s">
        <v>101</v>
      </c>
      <c r="C9" s="67">
        <v>1</v>
      </c>
      <c r="D9" s="68">
        <v>0.25</v>
      </c>
      <c r="E9" s="60">
        <v>1</v>
      </c>
      <c r="F9" s="69">
        <f>1.25*(D9/E9)*0.76</f>
        <v>0.23749999999999999</v>
      </c>
      <c r="G9" s="70"/>
      <c r="H9" s="69"/>
      <c r="K9" s="69">
        <f t="shared" ref="K9:K31" si="0">D9*(0.45+0.1)/0.1</f>
        <v>1.375</v>
      </c>
      <c r="L9" s="69">
        <f>60*K9/(1000*E9)</f>
        <v>8.2500000000000004E-2</v>
      </c>
      <c r="M9" s="69">
        <f>1.3*L9</f>
        <v>0.10725000000000001</v>
      </c>
      <c r="N9" s="71">
        <v>4</v>
      </c>
      <c r="O9" s="66" t="s">
        <v>102</v>
      </c>
      <c r="P9" s="66" t="s">
        <v>103</v>
      </c>
      <c r="Q9" s="65"/>
      <c r="R9" s="65"/>
      <c r="S9" s="65"/>
      <c r="T9" s="65"/>
    </row>
    <row r="10" spans="1:20" x14ac:dyDescent="0.2">
      <c r="A10" s="67">
        <v>2</v>
      </c>
      <c r="B10" s="67" t="s">
        <v>104</v>
      </c>
      <c r="C10" s="67">
        <v>2</v>
      </c>
      <c r="D10" s="68">
        <v>0.56999999999999995</v>
      </c>
      <c r="E10" s="60">
        <v>1</v>
      </c>
      <c r="F10" s="69">
        <f t="shared" ref="F10:F31" si="1">1.25*(D10/E10)*0.76</f>
        <v>0.54149999999999998</v>
      </c>
      <c r="G10" s="70"/>
      <c r="H10" s="69"/>
      <c r="K10" s="69">
        <f t="shared" si="0"/>
        <v>3.1349999999999998</v>
      </c>
      <c r="L10" s="69">
        <f>60*K10/(1000*E10)</f>
        <v>0.18809999999999999</v>
      </c>
      <c r="M10" s="69">
        <f t="shared" ref="M10:M31" si="2">1.3*L10</f>
        <v>0.24453</v>
      </c>
      <c r="N10" s="71">
        <v>33</v>
      </c>
      <c r="O10" s="66" t="s">
        <v>102</v>
      </c>
      <c r="P10" s="66" t="s">
        <v>103</v>
      </c>
      <c r="Q10" s="65"/>
      <c r="R10" s="65"/>
      <c r="S10" s="65"/>
      <c r="T10" s="65"/>
    </row>
    <row r="11" spans="1:20" x14ac:dyDescent="0.2">
      <c r="A11" s="67">
        <v>3</v>
      </c>
      <c r="B11" s="67" t="s">
        <v>105</v>
      </c>
      <c r="C11" s="67">
        <v>3</v>
      </c>
      <c r="D11" s="68">
        <v>0.9</v>
      </c>
      <c r="E11" s="60">
        <v>1</v>
      </c>
      <c r="F11" s="69">
        <f t="shared" si="1"/>
        <v>0.85499999999999998</v>
      </c>
      <c r="G11" s="70"/>
      <c r="H11" s="69"/>
      <c r="K11" s="69">
        <f t="shared" si="0"/>
        <v>4.95</v>
      </c>
      <c r="L11" s="69">
        <f>60*K11/(1000*E11)</f>
        <v>0.29699999999999999</v>
      </c>
      <c r="M11" s="69">
        <f t="shared" si="2"/>
        <v>0.3861</v>
      </c>
      <c r="N11" s="71">
        <v>14</v>
      </c>
      <c r="O11" s="66" t="s">
        <v>102</v>
      </c>
      <c r="P11" s="66" t="s">
        <v>103</v>
      </c>
      <c r="Q11" s="65"/>
      <c r="R11" s="65"/>
      <c r="S11" s="65"/>
      <c r="T11" s="65"/>
    </row>
    <row r="12" spans="1:20" x14ac:dyDescent="0.2">
      <c r="A12" s="67">
        <v>4</v>
      </c>
      <c r="B12" s="67" t="s">
        <v>106</v>
      </c>
      <c r="C12" s="67">
        <v>4</v>
      </c>
      <c r="D12" s="68">
        <v>1.37</v>
      </c>
      <c r="E12" s="60">
        <v>1</v>
      </c>
      <c r="F12" s="69">
        <f t="shared" si="1"/>
        <v>1.3015000000000001</v>
      </c>
      <c r="G12" s="70"/>
      <c r="H12" s="69"/>
      <c r="K12" s="69">
        <f t="shared" si="0"/>
        <v>7.535000000000001</v>
      </c>
      <c r="L12" s="69">
        <f>60*K12/(1000*E12)</f>
        <v>0.45210000000000006</v>
      </c>
      <c r="M12" s="69">
        <f t="shared" si="2"/>
        <v>0.58773000000000009</v>
      </c>
      <c r="N12" s="71">
        <v>31</v>
      </c>
      <c r="O12" s="66" t="s">
        <v>102</v>
      </c>
      <c r="P12" s="66" t="s">
        <v>103</v>
      </c>
      <c r="Q12" s="65"/>
      <c r="R12" s="65"/>
      <c r="S12" s="65"/>
      <c r="T12" s="65"/>
    </row>
    <row r="13" spans="1:20" x14ac:dyDescent="0.2">
      <c r="A13" s="67">
        <v>5</v>
      </c>
      <c r="B13" s="72" t="s">
        <v>107</v>
      </c>
      <c r="C13" s="72">
        <v>5</v>
      </c>
      <c r="D13" s="68">
        <v>2.1</v>
      </c>
      <c r="E13" s="60">
        <v>1</v>
      </c>
      <c r="F13" s="69">
        <f t="shared" si="1"/>
        <v>1.9950000000000001</v>
      </c>
      <c r="G13" s="70"/>
      <c r="H13" s="69" t="s">
        <v>108</v>
      </c>
      <c r="I13" s="61" t="s">
        <v>99</v>
      </c>
      <c r="J13" s="61" t="s">
        <v>100</v>
      </c>
      <c r="K13" s="69">
        <f t="shared" si="0"/>
        <v>11.550000000000002</v>
      </c>
      <c r="L13" s="69">
        <f>60*K13/(1000*E13)</f>
        <v>0.69300000000000006</v>
      </c>
      <c r="M13" s="69">
        <f t="shared" si="2"/>
        <v>0.90090000000000015</v>
      </c>
      <c r="N13" s="71">
        <v>129</v>
      </c>
      <c r="O13" s="66" t="s">
        <v>102</v>
      </c>
      <c r="P13" s="66" t="s">
        <v>103</v>
      </c>
      <c r="Q13" s="65"/>
      <c r="R13" s="65"/>
      <c r="S13" s="65"/>
      <c r="T13" s="65"/>
    </row>
    <row r="14" spans="1:20" x14ac:dyDescent="0.2">
      <c r="A14" s="67">
        <v>6</v>
      </c>
      <c r="B14" s="68" t="s">
        <v>109</v>
      </c>
      <c r="C14" s="68">
        <v>6</v>
      </c>
      <c r="D14" s="68">
        <v>3.1</v>
      </c>
      <c r="E14" s="60">
        <v>1</v>
      </c>
      <c r="F14" s="69">
        <f t="shared" si="1"/>
        <v>2.9449999999999998</v>
      </c>
      <c r="G14" s="73" t="s">
        <v>110</v>
      </c>
      <c r="H14" s="74">
        <v>860</v>
      </c>
      <c r="I14" s="75">
        <v>550</v>
      </c>
      <c r="J14" s="60">
        <v>1000</v>
      </c>
      <c r="K14" s="69">
        <f t="shared" si="0"/>
        <v>17.05</v>
      </c>
      <c r="L14" s="69">
        <f>60*K14/(I14)</f>
        <v>1.86</v>
      </c>
      <c r="M14" s="69">
        <f t="shared" si="2"/>
        <v>2.4180000000000001</v>
      </c>
      <c r="N14" s="71">
        <v>100</v>
      </c>
      <c r="O14" s="66" t="s">
        <v>102</v>
      </c>
      <c r="P14" s="66" t="s">
        <v>103</v>
      </c>
      <c r="Q14" s="66"/>
      <c r="R14" s="65"/>
      <c r="S14" s="65"/>
      <c r="T14" s="65"/>
    </row>
    <row r="15" spans="1:20" hidden="1" x14ac:dyDescent="0.2">
      <c r="A15" s="67">
        <v>7</v>
      </c>
      <c r="B15" s="68" t="s">
        <v>111</v>
      </c>
      <c r="C15" s="68"/>
      <c r="D15" s="68">
        <v>5.09</v>
      </c>
      <c r="E15" s="60">
        <v>0.75</v>
      </c>
      <c r="F15" s="76">
        <f t="shared" si="1"/>
        <v>6.4473333333333329</v>
      </c>
      <c r="G15" s="73"/>
      <c r="H15" s="76"/>
      <c r="I15" s="60"/>
      <c r="J15" s="60"/>
      <c r="K15" s="69">
        <f t="shared" si="0"/>
        <v>27.995000000000001</v>
      </c>
      <c r="L15" s="69">
        <f t="shared" ref="L15:L22" si="3">60*K15/(1000*E15)</f>
        <v>2.2396000000000003</v>
      </c>
      <c r="M15" s="69">
        <f t="shared" si="2"/>
        <v>2.9114800000000005</v>
      </c>
      <c r="N15" s="71"/>
      <c r="O15" s="65"/>
      <c r="P15" s="66"/>
      <c r="Q15" s="66"/>
      <c r="R15" s="65"/>
      <c r="S15" s="65"/>
      <c r="T15" s="65"/>
    </row>
    <row r="16" spans="1:20" hidden="1" x14ac:dyDescent="0.2">
      <c r="A16" s="67">
        <v>8</v>
      </c>
      <c r="B16" s="66" t="s">
        <v>112</v>
      </c>
      <c r="C16" s="66"/>
      <c r="D16" s="66">
        <v>8.92</v>
      </c>
      <c r="E16" s="60">
        <v>0.75</v>
      </c>
      <c r="F16" s="76">
        <f t="shared" si="1"/>
        <v>11.298666666666666</v>
      </c>
      <c r="G16" s="73"/>
      <c r="H16" s="76"/>
      <c r="I16" s="60"/>
      <c r="J16" s="60"/>
      <c r="K16" s="69">
        <f t="shared" si="0"/>
        <v>49.06</v>
      </c>
      <c r="L16" s="69">
        <f t="shared" si="3"/>
        <v>3.9248000000000003</v>
      </c>
      <c r="M16" s="69">
        <f t="shared" si="2"/>
        <v>5.1022400000000001</v>
      </c>
      <c r="N16" s="71"/>
      <c r="O16" s="65"/>
      <c r="P16" s="66"/>
      <c r="Q16" s="66"/>
      <c r="R16" s="65"/>
      <c r="S16" s="65"/>
      <c r="T16" s="65"/>
    </row>
    <row r="17" spans="1:20" hidden="1" x14ac:dyDescent="0.2">
      <c r="A17" s="67">
        <v>9</v>
      </c>
      <c r="B17" s="66" t="s">
        <v>113</v>
      </c>
      <c r="C17" s="66"/>
      <c r="D17" s="68">
        <v>15.4</v>
      </c>
      <c r="E17" s="60">
        <v>2.7</v>
      </c>
      <c r="F17" s="76">
        <f t="shared" si="1"/>
        <v>5.4185185185185176</v>
      </c>
      <c r="G17" s="73"/>
      <c r="H17" s="76"/>
      <c r="I17" s="60"/>
      <c r="J17" s="60"/>
      <c r="K17" s="69">
        <f t="shared" si="0"/>
        <v>84.7</v>
      </c>
      <c r="L17" s="69">
        <f t="shared" si="3"/>
        <v>1.8822222222222222</v>
      </c>
      <c r="M17" s="69">
        <f t="shared" si="2"/>
        <v>2.4468888888888891</v>
      </c>
      <c r="N17" s="71"/>
      <c r="O17" s="65"/>
      <c r="P17" s="66"/>
      <c r="Q17" s="66"/>
      <c r="R17" s="65"/>
      <c r="S17" s="65"/>
      <c r="T17" s="65"/>
    </row>
    <row r="18" spans="1:20" ht="14.25" hidden="1" x14ac:dyDescent="0.2">
      <c r="A18" s="67">
        <v>10</v>
      </c>
      <c r="B18" s="66" t="s">
        <v>114</v>
      </c>
      <c r="C18" s="66"/>
      <c r="D18" s="68">
        <v>0.89</v>
      </c>
      <c r="E18" s="60">
        <v>0.75</v>
      </c>
      <c r="F18" s="69">
        <f t="shared" si="1"/>
        <v>1.1273333333333333</v>
      </c>
      <c r="G18" s="73"/>
      <c r="H18" s="69"/>
      <c r="I18" s="60"/>
      <c r="J18" s="60"/>
      <c r="K18" s="69">
        <f t="shared" si="0"/>
        <v>4.8950000000000005</v>
      </c>
      <c r="L18" s="69">
        <f t="shared" si="3"/>
        <v>0.39160000000000006</v>
      </c>
      <c r="M18" s="69">
        <f t="shared" si="2"/>
        <v>0.50908000000000009</v>
      </c>
      <c r="N18" s="71"/>
      <c r="O18" s="65"/>
      <c r="P18" s="66"/>
      <c r="Q18" s="66"/>
      <c r="R18" s="65"/>
      <c r="S18" s="65"/>
      <c r="T18" s="65"/>
    </row>
    <row r="19" spans="1:20" hidden="1" x14ac:dyDescent="0.2">
      <c r="A19" s="67">
        <v>11</v>
      </c>
      <c r="B19" s="66" t="s">
        <v>115</v>
      </c>
      <c r="C19" s="66"/>
      <c r="D19" s="68">
        <v>1.23</v>
      </c>
      <c r="E19" s="60">
        <v>0.75</v>
      </c>
      <c r="F19" s="69">
        <f t="shared" si="1"/>
        <v>1.5579999999999998</v>
      </c>
      <c r="G19" s="73"/>
      <c r="H19" s="69"/>
      <c r="I19" s="60"/>
      <c r="J19" s="60"/>
      <c r="K19" s="69">
        <f t="shared" si="0"/>
        <v>6.7649999999999997</v>
      </c>
      <c r="L19" s="69">
        <f t="shared" si="3"/>
        <v>0.54120000000000001</v>
      </c>
      <c r="M19" s="69">
        <f t="shared" si="2"/>
        <v>0.70356000000000007</v>
      </c>
      <c r="N19" s="71"/>
      <c r="O19" s="65"/>
      <c r="P19" s="66"/>
      <c r="Q19" s="66"/>
      <c r="R19" s="65"/>
      <c r="S19" s="65"/>
      <c r="T19" s="65"/>
    </row>
    <row r="20" spans="1:20" ht="14.25" hidden="1" x14ac:dyDescent="0.2">
      <c r="A20" s="67">
        <v>12</v>
      </c>
      <c r="B20" s="66" t="s">
        <v>116</v>
      </c>
      <c r="C20" s="66"/>
      <c r="D20" s="68">
        <v>1.89</v>
      </c>
      <c r="E20" s="60">
        <v>0.75</v>
      </c>
      <c r="F20" s="69">
        <f t="shared" si="1"/>
        <v>2.3940000000000001</v>
      </c>
      <c r="G20" s="73"/>
      <c r="H20" s="69"/>
      <c r="I20" s="60"/>
      <c r="J20" s="60"/>
      <c r="K20" s="69">
        <f t="shared" si="0"/>
        <v>10.395</v>
      </c>
      <c r="L20" s="69">
        <f t="shared" si="3"/>
        <v>0.83159999999999989</v>
      </c>
      <c r="M20" s="69">
        <f t="shared" si="2"/>
        <v>1.0810799999999998</v>
      </c>
      <c r="N20" s="71"/>
      <c r="O20" s="65"/>
      <c r="P20" s="66"/>
      <c r="Q20" s="66"/>
      <c r="R20" s="65"/>
      <c r="S20" s="65"/>
      <c r="T20" s="65"/>
    </row>
    <row r="21" spans="1:20" ht="14.25" hidden="1" x14ac:dyDescent="0.2">
      <c r="A21" s="67">
        <v>13</v>
      </c>
      <c r="B21" s="66" t="s">
        <v>117</v>
      </c>
      <c r="C21" s="66"/>
      <c r="D21" s="68">
        <v>2.4300000000000002</v>
      </c>
      <c r="E21" s="60">
        <v>0.75</v>
      </c>
      <c r="F21" s="69">
        <f t="shared" si="1"/>
        <v>3.0780000000000007</v>
      </c>
      <c r="G21" s="73"/>
      <c r="H21" s="69"/>
      <c r="I21" s="60"/>
      <c r="J21" s="60"/>
      <c r="K21" s="69">
        <f t="shared" si="0"/>
        <v>13.365000000000002</v>
      </c>
      <c r="L21" s="69">
        <f t="shared" si="3"/>
        <v>1.0692000000000002</v>
      </c>
      <c r="M21" s="69">
        <f t="shared" si="2"/>
        <v>1.3899600000000003</v>
      </c>
      <c r="N21" s="71"/>
      <c r="O21" s="65"/>
      <c r="P21" s="66"/>
      <c r="Q21" s="66"/>
      <c r="R21" s="65"/>
      <c r="S21" s="65"/>
      <c r="T21" s="65"/>
    </row>
    <row r="22" spans="1:20" ht="14.25" hidden="1" x14ac:dyDescent="0.2">
      <c r="A22" s="67">
        <v>14</v>
      </c>
      <c r="B22" s="66" t="s">
        <v>118</v>
      </c>
      <c r="C22" s="66"/>
      <c r="D22" s="68">
        <v>3.39</v>
      </c>
      <c r="E22" s="60">
        <v>2.7</v>
      </c>
      <c r="F22" s="76">
        <f t="shared" si="1"/>
        <v>1.1927777777777777</v>
      </c>
      <c r="G22" s="73"/>
      <c r="H22" s="76"/>
      <c r="I22" s="60"/>
      <c r="J22" s="60"/>
      <c r="K22" s="69">
        <f t="shared" si="0"/>
        <v>18.645000000000003</v>
      </c>
      <c r="L22" s="69">
        <f t="shared" si="3"/>
        <v>0.41433333333333344</v>
      </c>
      <c r="M22" s="69">
        <f t="shared" si="2"/>
        <v>0.53863333333333352</v>
      </c>
      <c r="N22" s="71"/>
      <c r="O22" s="65"/>
      <c r="P22" s="66"/>
      <c r="Q22" s="66"/>
      <c r="R22" s="65"/>
      <c r="S22" s="65"/>
      <c r="T22" s="65"/>
    </row>
    <row r="23" spans="1:20" x14ac:dyDescent="0.2">
      <c r="A23" s="67">
        <v>15</v>
      </c>
      <c r="B23" s="66" t="s">
        <v>119</v>
      </c>
      <c r="C23" s="66">
        <v>7</v>
      </c>
      <c r="D23" s="68">
        <v>5.36</v>
      </c>
      <c r="E23" s="60">
        <v>2</v>
      </c>
      <c r="F23" s="77">
        <f t="shared" si="1"/>
        <v>2.5460000000000003</v>
      </c>
      <c r="G23" s="73" t="s">
        <v>120</v>
      </c>
      <c r="H23" s="78">
        <v>860</v>
      </c>
      <c r="I23" s="60">
        <v>2000</v>
      </c>
      <c r="J23" s="60">
        <v>1000</v>
      </c>
      <c r="K23" s="69">
        <f t="shared" si="0"/>
        <v>29.480000000000004</v>
      </c>
      <c r="L23" s="69">
        <f>60*K23/(H23)</f>
        <v>2.0567441860465117</v>
      </c>
      <c r="M23" s="69">
        <f t="shared" si="2"/>
        <v>2.6737674418604653</v>
      </c>
      <c r="N23" s="71">
        <v>48</v>
      </c>
      <c r="O23" s="66" t="s">
        <v>121</v>
      </c>
      <c r="P23" s="66" t="s">
        <v>122</v>
      </c>
      <c r="Q23" s="79">
        <v>2.58</v>
      </c>
      <c r="R23" s="80" t="s">
        <v>123</v>
      </c>
      <c r="S23" s="80">
        <v>2.2000000000000002</v>
      </c>
      <c r="T23" s="65"/>
    </row>
    <row r="24" spans="1:20" ht="14.25" hidden="1" x14ac:dyDescent="0.2">
      <c r="A24" s="67">
        <v>16</v>
      </c>
      <c r="B24" s="66" t="s">
        <v>124</v>
      </c>
      <c r="C24" s="66"/>
      <c r="D24" s="68">
        <v>9.1999999999999993</v>
      </c>
      <c r="E24" s="60">
        <v>2.7</v>
      </c>
      <c r="F24" s="77">
        <f t="shared" si="1"/>
        <v>3.2370370370370365</v>
      </c>
      <c r="G24" s="73"/>
      <c r="H24" s="74">
        <v>860</v>
      </c>
      <c r="I24" s="60"/>
      <c r="J24" s="60"/>
      <c r="K24" s="69">
        <f t="shared" si="0"/>
        <v>50.599999999999994</v>
      </c>
      <c r="L24" s="69">
        <f>60*K24/(1000*E24)</f>
        <v>1.1244444444444444</v>
      </c>
      <c r="M24" s="69">
        <f t="shared" si="2"/>
        <v>1.4617777777777776</v>
      </c>
      <c r="N24" s="71"/>
      <c r="O24" s="65"/>
      <c r="P24" s="66"/>
      <c r="Q24" s="66"/>
      <c r="R24" s="80"/>
      <c r="S24" s="66"/>
      <c r="T24" s="65"/>
    </row>
    <row r="25" spans="1:20" ht="14.25" x14ac:dyDescent="0.2">
      <c r="A25" s="67">
        <v>17</v>
      </c>
      <c r="B25" s="66" t="s">
        <v>125</v>
      </c>
      <c r="C25" s="66">
        <v>8</v>
      </c>
      <c r="D25" s="68">
        <v>10.37</v>
      </c>
      <c r="E25" s="60">
        <v>3.5</v>
      </c>
      <c r="F25" s="77">
        <f t="shared" si="1"/>
        <v>2.8147142857142855</v>
      </c>
      <c r="G25" s="73" t="s">
        <v>126</v>
      </c>
      <c r="H25" s="74">
        <v>860</v>
      </c>
      <c r="I25" s="75">
        <v>2000</v>
      </c>
      <c r="J25" s="60">
        <v>2500</v>
      </c>
      <c r="K25" s="69">
        <f t="shared" si="0"/>
        <v>57.034999999999997</v>
      </c>
      <c r="L25" s="69">
        <f t="shared" ref="L25:L30" si="4">60*K25/(I25)</f>
        <v>1.71105</v>
      </c>
      <c r="M25" s="69">
        <f t="shared" si="2"/>
        <v>2.2243650000000001</v>
      </c>
      <c r="N25" s="71">
        <v>19</v>
      </c>
      <c r="O25" s="66" t="s">
        <v>127</v>
      </c>
      <c r="P25" s="66" t="s">
        <v>128</v>
      </c>
      <c r="Q25" s="66">
        <v>4.8</v>
      </c>
      <c r="R25" s="80" t="s">
        <v>129</v>
      </c>
      <c r="S25" s="80">
        <v>7</v>
      </c>
      <c r="T25" s="81" t="s">
        <v>130</v>
      </c>
    </row>
    <row r="26" spans="1:20" ht="14.25" x14ac:dyDescent="0.2">
      <c r="A26" s="67">
        <v>18</v>
      </c>
      <c r="B26" s="66" t="s">
        <v>131</v>
      </c>
      <c r="C26" s="66">
        <v>9</v>
      </c>
      <c r="D26" s="68">
        <v>11.68</v>
      </c>
      <c r="E26" s="60">
        <v>3.5</v>
      </c>
      <c r="F26" s="76">
        <f t="shared" si="1"/>
        <v>3.1702857142857144</v>
      </c>
      <c r="G26" s="73" t="s">
        <v>126</v>
      </c>
      <c r="H26" s="74">
        <v>860</v>
      </c>
      <c r="I26" s="75">
        <v>2000</v>
      </c>
      <c r="J26" s="60">
        <v>2500</v>
      </c>
      <c r="K26" s="69">
        <f t="shared" si="0"/>
        <v>64.239999999999995</v>
      </c>
      <c r="L26" s="69">
        <f t="shared" si="4"/>
        <v>1.9271999999999998</v>
      </c>
      <c r="M26" s="69">
        <f t="shared" si="2"/>
        <v>2.50536</v>
      </c>
      <c r="N26" s="71">
        <v>14</v>
      </c>
      <c r="O26" s="66" t="s">
        <v>127</v>
      </c>
      <c r="P26" s="66" t="s">
        <v>128</v>
      </c>
      <c r="Q26" s="66">
        <v>4.8</v>
      </c>
      <c r="R26" s="80" t="s">
        <v>129</v>
      </c>
      <c r="S26" s="80">
        <v>7</v>
      </c>
      <c r="T26" s="81" t="s">
        <v>130</v>
      </c>
    </row>
    <row r="27" spans="1:20" ht="14.25" x14ac:dyDescent="0.2">
      <c r="A27" s="67">
        <v>19</v>
      </c>
      <c r="B27" s="66" t="s">
        <v>132</v>
      </c>
      <c r="C27" s="66">
        <v>10</v>
      </c>
      <c r="D27" s="66">
        <v>13.67</v>
      </c>
      <c r="E27" s="60">
        <v>3.5</v>
      </c>
      <c r="F27" s="76">
        <f t="shared" si="1"/>
        <v>3.7104285714285714</v>
      </c>
      <c r="G27" s="73" t="s">
        <v>126</v>
      </c>
      <c r="H27" s="74">
        <v>860</v>
      </c>
      <c r="I27" s="75">
        <v>2000</v>
      </c>
      <c r="J27" s="60">
        <v>2500</v>
      </c>
      <c r="K27" s="69">
        <f t="shared" si="0"/>
        <v>75.185000000000002</v>
      </c>
      <c r="L27" s="69">
        <f t="shared" si="4"/>
        <v>2.2555500000000004</v>
      </c>
      <c r="M27" s="69">
        <f t="shared" si="2"/>
        <v>2.9322150000000007</v>
      </c>
      <c r="N27" s="71">
        <v>21</v>
      </c>
      <c r="O27" s="66" t="s">
        <v>127</v>
      </c>
      <c r="P27" s="66" t="s">
        <v>128</v>
      </c>
      <c r="Q27" s="66">
        <v>4.8</v>
      </c>
      <c r="R27" s="80" t="s">
        <v>129</v>
      </c>
      <c r="S27" s="80">
        <v>7</v>
      </c>
      <c r="T27" s="81" t="s">
        <v>130</v>
      </c>
    </row>
    <row r="28" spans="1:20" ht="14.25" x14ac:dyDescent="0.2">
      <c r="A28" s="67"/>
      <c r="B28" s="66" t="s">
        <v>133</v>
      </c>
      <c r="C28" s="66">
        <v>11</v>
      </c>
      <c r="D28" s="66">
        <v>10.199999999999999</v>
      </c>
      <c r="E28" s="60">
        <v>3.5</v>
      </c>
      <c r="F28" s="77">
        <f t="shared" si="1"/>
        <v>2.7685714285714287</v>
      </c>
      <c r="G28" s="73" t="s">
        <v>126</v>
      </c>
      <c r="H28" s="74">
        <v>860</v>
      </c>
      <c r="I28" s="75">
        <v>2000</v>
      </c>
      <c r="J28" s="60">
        <v>2500</v>
      </c>
      <c r="K28" s="69">
        <f t="shared" si="0"/>
        <v>56.1</v>
      </c>
      <c r="L28" s="69">
        <f t="shared" si="4"/>
        <v>1.6830000000000001</v>
      </c>
      <c r="M28" s="69">
        <f t="shared" si="2"/>
        <v>2.1879</v>
      </c>
      <c r="N28" s="71">
        <v>2</v>
      </c>
      <c r="O28" s="66" t="s">
        <v>127</v>
      </c>
      <c r="P28" s="66" t="s">
        <v>128</v>
      </c>
      <c r="Q28" s="66">
        <v>4.8</v>
      </c>
      <c r="R28" s="80" t="s">
        <v>129</v>
      </c>
      <c r="S28" s="80">
        <v>7</v>
      </c>
      <c r="T28" s="81" t="s">
        <v>130</v>
      </c>
    </row>
    <row r="29" spans="1:20" x14ac:dyDescent="0.2">
      <c r="A29" s="67">
        <v>20</v>
      </c>
      <c r="B29" s="66" t="s">
        <v>134</v>
      </c>
      <c r="C29" s="66">
        <v>12</v>
      </c>
      <c r="D29" s="68">
        <v>2.4</v>
      </c>
      <c r="E29" s="60">
        <v>1</v>
      </c>
      <c r="F29" s="77">
        <f t="shared" si="1"/>
        <v>2.2800000000000002</v>
      </c>
      <c r="G29" s="73" t="s">
        <v>110</v>
      </c>
      <c r="H29" s="74">
        <v>860</v>
      </c>
      <c r="I29" s="75">
        <v>550</v>
      </c>
      <c r="J29" s="60">
        <v>1000</v>
      </c>
      <c r="K29" s="69">
        <f t="shared" si="0"/>
        <v>13.2</v>
      </c>
      <c r="L29" s="69">
        <f t="shared" si="4"/>
        <v>1.44</v>
      </c>
      <c r="M29" s="69">
        <f t="shared" si="2"/>
        <v>1.8719999999999999</v>
      </c>
      <c r="N29" s="71">
        <v>10</v>
      </c>
      <c r="O29" s="66" t="s">
        <v>102</v>
      </c>
      <c r="P29" s="66" t="s">
        <v>103</v>
      </c>
      <c r="Q29" s="66"/>
      <c r="R29" s="66"/>
      <c r="S29" s="65"/>
      <c r="T29" s="65"/>
    </row>
    <row r="30" spans="1:20" x14ac:dyDescent="0.2">
      <c r="A30" s="67">
        <v>21</v>
      </c>
      <c r="B30" s="66" t="s">
        <v>135</v>
      </c>
      <c r="C30" s="66">
        <v>13</v>
      </c>
      <c r="D30" s="66">
        <v>3.2</v>
      </c>
      <c r="E30" s="60">
        <v>1</v>
      </c>
      <c r="F30" s="77">
        <f t="shared" si="1"/>
        <v>3.04</v>
      </c>
      <c r="G30" s="73" t="s">
        <v>110</v>
      </c>
      <c r="H30" s="74">
        <v>860</v>
      </c>
      <c r="I30" s="75">
        <v>550</v>
      </c>
      <c r="J30" s="60">
        <v>1000</v>
      </c>
      <c r="K30" s="69">
        <f t="shared" si="0"/>
        <v>17.600000000000001</v>
      </c>
      <c r="L30" s="69">
        <f t="shared" si="4"/>
        <v>1.92</v>
      </c>
      <c r="M30" s="69">
        <f t="shared" si="2"/>
        <v>2.496</v>
      </c>
      <c r="N30" s="71">
        <v>9</v>
      </c>
      <c r="O30" s="66" t="s">
        <v>102</v>
      </c>
      <c r="P30" s="66" t="s">
        <v>103</v>
      </c>
      <c r="Q30" s="66"/>
      <c r="R30" s="66"/>
      <c r="S30" s="65"/>
      <c r="T30" s="65"/>
    </row>
    <row r="31" spans="1:20" x14ac:dyDescent="0.2">
      <c r="A31" s="67">
        <v>22</v>
      </c>
      <c r="B31" s="66" t="s">
        <v>136</v>
      </c>
      <c r="C31" s="66">
        <v>14</v>
      </c>
      <c r="D31" s="68">
        <v>5</v>
      </c>
      <c r="E31" s="82">
        <v>2</v>
      </c>
      <c r="F31" s="77">
        <f t="shared" si="1"/>
        <v>2.375</v>
      </c>
      <c r="G31" s="73" t="s">
        <v>120</v>
      </c>
      <c r="H31" s="78">
        <v>860</v>
      </c>
      <c r="I31" s="60">
        <v>2000</v>
      </c>
      <c r="J31" s="60">
        <v>1000</v>
      </c>
      <c r="K31" s="69">
        <f t="shared" si="0"/>
        <v>27.5</v>
      </c>
      <c r="L31" s="69">
        <f>60*K31/(H31)</f>
        <v>1.9186046511627908</v>
      </c>
      <c r="M31" s="69">
        <f t="shared" si="2"/>
        <v>2.4941860465116279</v>
      </c>
      <c r="N31" s="71">
        <v>3</v>
      </c>
      <c r="O31" s="66" t="s">
        <v>121</v>
      </c>
      <c r="P31" s="66" t="s">
        <v>122</v>
      </c>
      <c r="Q31" s="79">
        <v>2.58</v>
      </c>
      <c r="R31" s="80" t="s">
        <v>137</v>
      </c>
      <c r="S31" s="80">
        <v>2.2000000000000002</v>
      </c>
      <c r="T31" s="65"/>
    </row>
    <row r="32" spans="1:20" x14ac:dyDescent="0.15">
      <c r="D32" s="83"/>
      <c r="E32" s="60"/>
      <c r="F32" s="77"/>
      <c r="G32" s="77"/>
      <c r="H32" s="77"/>
      <c r="K32" s="69"/>
      <c r="L32" s="84"/>
      <c r="M32" s="69"/>
      <c r="N32" s="69"/>
    </row>
    <row r="34" spans="2:4" x14ac:dyDescent="0.15">
      <c r="B34" s="61">
        <v>6</v>
      </c>
      <c r="C34" s="61"/>
      <c r="D34" s="60">
        <v>0.69</v>
      </c>
    </row>
    <row r="35" spans="2:4" x14ac:dyDescent="0.15">
      <c r="B35" s="61">
        <v>7</v>
      </c>
      <c r="C35" s="61"/>
      <c r="D35" s="60">
        <v>1.04</v>
      </c>
    </row>
    <row r="36" spans="2:4" x14ac:dyDescent="0.15">
      <c r="B36" s="61">
        <v>8</v>
      </c>
      <c r="C36" s="61"/>
      <c r="D36" s="60">
        <v>1.48</v>
      </c>
    </row>
    <row r="37" spans="2:4" x14ac:dyDescent="0.15">
      <c r="B37" s="61">
        <v>9</v>
      </c>
      <c r="C37" s="61"/>
      <c r="D37" s="60">
        <v>2.0299999999999998</v>
      </c>
    </row>
    <row r="38" spans="2:4" x14ac:dyDescent="0.15">
      <c r="B38" s="61">
        <v>10</v>
      </c>
      <c r="C38" s="61"/>
      <c r="D38" s="60">
        <v>2.69</v>
      </c>
    </row>
    <row r="39" spans="2:4" x14ac:dyDescent="0.15">
      <c r="B39" s="61">
        <v>15</v>
      </c>
      <c r="C39" s="61"/>
      <c r="D39" s="60">
        <v>7.86</v>
      </c>
    </row>
  </sheetData>
  <phoneticPr fontId="2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气包容量计算</vt:lpstr>
      <vt:lpstr>阀门动作时间计算</vt:lpstr>
      <vt:lpstr>rotork</vt:lpstr>
      <vt:lpstr>PricingSummary</vt:lpstr>
      <vt:lpstr>阀门动作时间计算!Print_Area</vt:lpstr>
      <vt:lpstr>气包容量计算!Print_Area</vt:lpstr>
    </vt:vector>
  </TitlesOfParts>
  <Company>KOSO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rong zhao</cp:lastModifiedBy>
  <cp:lastPrinted>2006-07-01T02:30:56Z</cp:lastPrinted>
  <dcterms:created xsi:type="dcterms:W3CDTF">2006-02-22T03:43:23Z</dcterms:created>
  <dcterms:modified xsi:type="dcterms:W3CDTF">2020-09-29T02:26:26Z</dcterms:modified>
</cp:coreProperties>
</file>