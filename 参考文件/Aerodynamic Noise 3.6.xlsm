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Default Extension="jpeg" ContentType="image/jpeg"/>
  <Default Extension="rels" ContentType="application/vnd.openxmlformats-package.relationships+xml"/>
  <Override PartName="/xl/worksheets/sheet6.xml" ContentType="application/vnd.openxmlformats-officedocument.spreadsheetml.worksheet+xml"/>
  <Override PartName="/xl/charts/chart2.xml" ContentType="application/vnd.openxmlformats-officedocument.drawingml.chart+xml"/>
  <Override PartName="/xl/vbaProject.bin" ContentType="application/vnd.ms-office.vbaProject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jpg" ContentType="image/jpeg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arry\Documents\Koso Data\SS\Technical\Noise\"/>
    </mc:Choice>
  </mc:AlternateContent>
  <bookViews>
    <workbookView xWindow="20" yWindow="120" windowWidth="12900" windowHeight="8690"/>
  </bookViews>
  <sheets>
    <sheet name="Noise" sheetId="8" r:id="rId1"/>
    <sheet name="ExtFreq" sheetId="9" r:id="rId2"/>
    <sheet name="FluidData" sheetId="7" r:id="rId3"/>
    <sheet name="PipeData" sheetId="10" r:id="rId4"/>
    <sheet name="ValveData" sheetId="5" r:id="rId5"/>
    <sheet name="Revisions" sheetId="4" r:id="rId6"/>
  </sheets>
  <functionGroups builtInGroupCount="18"/>
  <externalReferences>
    <externalReference r:id="rId7"/>
  </externalReferences>
  <definedNames>
    <definedName name="_Order1" localSheetId="4" hidden="1">0</definedName>
    <definedName name="_Order1" hidden="1">255</definedName>
    <definedName name="_Order2" localSheetId="4" hidden="1">0</definedName>
    <definedName name="_Order2" hidden="1">255</definedName>
    <definedName name="Application">Noise!$D$10</definedName>
    <definedName name="BodyType">Noise!$D$17</definedName>
    <definedName name="CompressibilityOption">Noise!$D$14</definedName>
    <definedName name="FlowDirection">Noise!$D$18</definedName>
    <definedName name="FlowDistributorDesign">Noise!$D$19</definedName>
    <definedName name="FlowRateType">Noise!$D$12</definedName>
    <definedName name="FluidList">FluidData!$A$10:$A$85</definedName>
    <definedName name="FluidNames">[1]FluidData!$A$10:$A$85</definedName>
    <definedName name="Materials">[1]MatlData!$A$6:$A$52</definedName>
    <definedName name="MethodOfSpecifyingDensity">Noise!$D$13</definedName>
    <definedName name="MOSPin">Noise!$E$22</definedName>
    <definedName name="MOSPout">Noise!$F$22</definedName>
    <definedName name="new_Order1" hidden="1">0</definedName>
    <definedName name="new_Order2" hidden="1">0</definedName>
    <definedName name="NomValveSizes">ValveData!$A$19:$A$42</definedName>
    <definedName name="PipeCorrectionFactorOption">Noise!$D$20</definedName>
    <definedName name="Pr">ValveData!$D$18:$J$18</definedName>
    <definedName name="_xlnm.Print_Area" localSheetId="0">Noise!$A$1:$K$102</definedName>
    <definedName name="_xlnm.Print_Area" localSheetId="4">ValveData!$A$3:$L$14</definedName>
    <definedName name="TypeOfGas">Noise!$D$11</definedName>
    <definedName name="ValveType">Noise!$D$15</definedName>
    <definedName name="ValveTypes">ValveData!$A$4:$A$14</definedName>
  </definedNames>
  <calcPr calcId="152511"/>
</workbook>
</file>

<file path=xl/calcChain.xml><?xml version="1.0" encoding="utf-8"?>
<calcChain xmlns="http://schemas.openxmlformats.org/spreadsheetml/2006/main">
  <c r="O46" i="9" l="1"/>
  <c r="N46" i="9"/>
  <c r="M46" i="9"/>
  <c r="L46" i="9"/>
  <c r="K46" i="9"/>
  <c r="A89" i="8" l="1"/>
  <c r="A88" i="8"/>
  <c r="A87" i="8"/>
  <c r="L60" i="8" l="1"/>
  <c r="L63" i="8"/>
  <c r="L62" i="8"/>
  <c r="M59" i="8"/>
  <c r="N177" i="8" l="1"/>
  <c r="N175" i="8"/>
  <c r="M61" i="8"/>
  <c r="L61" i="8"/>
  <c r="L59" i="8"/>
  <c r="F6" i="5"/>
  <c r="D6" i="5"/>
  <c r="C6" i="5"/>
  <c r="B6" i="5"/>
  <c r="L16" i="8"/>
  <c r="H59" i="8" l="1"/>
  <c r="E59" i="8"/>
  <c r="G59" i="8"/>
  <c r="F59" i="8"/>
  <c r="I59" i="8"/>
  <c r="H201" i="8"/>
  <c r="E201" i="8"/>
  <c r="G201" i="8"/>
  <c r="F201" i="8"/>
  <c r="I201" i="8"/>
  <c r="E9" i="5" l="1"/>
  <c r="F9" i="5"/>
  <c r="D9" i="5"/>
  <c r="C9" i="5"/>
  <c r="G5" i="8" l="1"/>
  <c r="E210" i="8" l="1"/>
  <c r="E213" i="8" l="1"/>
  <c r="F82" i="8" l="1"/>
  <c r="C46" i="9" l="1"/>
  <c r="D46" i="9"/>
  <c r="E46" i="9"/>
  <c r="F46" i="9"/>
  <c r="G46" i="9"/>
  <c r="L92" i="8" l="1"/>
  <c r="L91" i="8"/>
  <c r="L90" i="8"/>
  <c r="L81" i="8"/>
  <c r="A79" i="8"/>
  <c r="E116" i="8" l="1"/>
  <c r="F116" i="8"/>
  <c r="M131" i="8"/>
  <c r="N130" i="8"/>
  <c r="M130" i="8"/>
  <c r="N129" i="8"/>
  <c r="M129" i="8"/>
  <c r="N127" i="8"/>
  <c r="M127" i="8"/>
  <c r="M126" i="8"/>
  <c r="M108" i="8"/>
  <c r="M107" i="8"/>
  <c r="L51" i="8"/>
  <c r="L50" i="8"/>
  <c r="L49" i="8"/>
  <c r="L48" i="8"/>
  <c r="L47" i="8"/>
  <c r="L46" i="8"/>
  <c r="L38" i="8"/>
  <c r="L37" i="8"/>
  <c r="L36" i="8"/>
  <c r="L14" i="8"/>
  <c r="L13" i="8"/>
  <c r="N108" i="8"/>
  <c r="N107" i="8"/>
  <c r="H129" i="8"/>
  <c r="I129" i="8"/>
  <c r="E108" i="8"/>
  <c r="G129" i="8"/>
  <c r="E129" i="8"/>
  <c r="F129" i="8"/>
  <c r="E107" i="8"/>
  <c r="N126" i="8"/>
  <c r="I126" i="8"/>
  <c r="H126" i="8"/>
  <c r="G126" i="8"/>
  <c r="E126" i="8"/>
  <c r="F126" i="8"/>
  <c r="F115" i="8" l="1"/>
  <c r="E254" i="8" s="1"/>
  <c r="E115" i="8"/>
  <c r="N117" i="8" l="1"/>
  <c r="N118" i="8"/>
  <c r="E265" i="8" l="1"/>
  <c r="E275" i="8"/>
  <c r="I248" i="8" l="1"/>
  <c r="H248" i="8"/>
  <c r="G248" i="8"/>
  <c r="F248" i="8"/>
  <c r="E248" i="8"/>
  <c r="R5" i="10" l="1"/>
  <c r="R16" i="10" s="1"/>
  <c r="Q5" i="10"/>
  <c r="Q19" i="10" s="1"/>
  <c r="I204" i="9"/>
  <c r="I203" i="9"/>
  <c r="I202" i="9"/>
  <c r="I201" i="9"/>
  <c r="I200" i="9"/>
  <c r="I199" i="9"/>
  <c r="I198" i="9"/>
  <c r="I197" i="9"/>
  <c r="I196" i="9"/>
  <c r="I195" i="9"/>
  <c r="I194" i="9"/>
  <c r="I193" i="9"/>
  <c r="I192" i="9"/>
  <c r="I191" i="9"/>
  <c r="I190" i="9"/>
  <c r="I189" i="9"/>
  <c r="I188" i="9"/>
  <c r="I187" i="9"/>
  <c r="I186" i="9"/>
  <c r="I185" i="9"/>
  <c r="I184" i="9"/>
  <c r="I183" i="9"/>
  <c r="I182" i="9"/>
  <c r="I181" i="9"/>
  <c r="I180" i="9"/>
  <c r="I179" i="9"/>
  <c r="I178" i="9"/>
  <c r="I177" i="9"/>
  <c r="I176" i="9"/>
  <c r="I175" i="9"/>
  <c r="I174" i="9"/>
  <c r="I173" i="9"/>
  <c r="I172" i="9"/>
  <c r="R19" i="10" l="1"/>
  <c r="Q12" i="10"/>
  <c r="Q20" i="10"/>
  <c r="R20" i="10"/>
  <c r="Q21" i="10"/>
  <c r="R9" i="10"/>
  <c r="Q14" i="10"/>
  <c r="Q7" i="10"/>
  <c r="R11" i="10"/>
  <c r="Q16" i="10"/>
  <c r="R12" i="10"/>
  <c r="Q9" i="10"/>
  <c r="Q17" i="10"/>
  <c r="Q13" i="10"/>
  <c r="Q6" i="10"/>
  <c r="R10" i="10"/>
  <c r="Q15" i="10"/>
  <c r="Q8" i="10"/>
  <c r="R17" i="10"/>
  <c r="Q10" i="10"/>
  <c r="Q18" i="10"/>
  <c r="R18" i="10"/>
  <c r="Q11" i="10"/>
  <c r="R13" i="10"/>
  <c r="R21" i="10"/>
  <c r="R6" i="10"/>
  <c r="R14" i="10"/>
  <c r="R7" i="10"/>
  <c r="R15" i="10"/>
  <c r="R8" i="10"/>
  <c r="N293" i="10"/>
  <c r="N292" i="10"/>
  <c r="N291" i="10"/>
  <c r="N290" i="10"/>
  <c r="N289" i="10"/>
  <c r="N288" i="10"/>
  <c r="N287" i="10"/>
  <c r="N286" i="10"/>
  <c r="N285" i="10"/>
  <c r="N284" i="10"/>
  <c r="N283" i="10"/>
  <c r="N282" i="10"/>
  <c r="N281" i="10"/>
  <c r="N280" i="10"/>
  <c r="N279" i="10"/>
  <c r="N278" i="10"/>
  <c r="N277" i="10"/>
  <c r="N276" i="10"/>
  <c r="N275" i="10"/>
  <c r="N274" i="10"/>
  <c r="N273" i="10"/>
  <c r="N272" i="10"/>
  <c r="N271" i="10"/>
  <c r="N270" i="10"/>
  <c r="N269" i="10"/>
  <c r="N268" i="10"/>
  <c r="N267" i="10"/>
  <c r="N266" i="10"/>
  <c r="N265" i="10"/>
  <c r="N264" i="10"/>
  <c r="N256" i="10"/>
  <c r="N255" i="10"/>
  <c r="N254" i="10"/>
  <c r="N253" i="10"/>
  <c r="N252" i="10"/>
  <c r="N251" i="10"/>
  <c r="N250" i="10"/>
  <c r="N249" i="10"/>
  <c r="N248" i="10"/>
  <c r="N247" i="10"/>
  <c r="N246" i="10"/>
  <c r="N245" i="10"/>
  <c r="N244" i="10"/>
  <c r="N243" i="10"/>
  <c r="N242" i="10"/>
  <c r="N241" i="10"/>
  <c r="N240" i="10"/>
  <c r="N239" i="10"/>
  <c r="N238" i="10"/>
  <c r="N237" i="10"/>
  <c r="N236" i="10"/>
  <c r="N235" i="10"/>
  <c r="N234" i="10"/>
  <c r="N231" i="10"/>
  <c r="N230" i="10"/>
  <c r="N229" i="10"/>
  <c r="N228" i="10"/>
  <c r="N227" i="10"/>
  <c r="N226" i="10"/>
  <c r="N225" i="10"/>
  <c r="N224" i="10"/>
  <c r="N223" i="10"/>
  <c r="N222" i="10"/>
  <c r="N221" i="10"/>
  <c r="N220" i="10"/>
  <c r="N202" i="10"/>
  <c r="N201" i="10"/>
  <c r="N200" i="10"/>
  <c r="N199" i="10"/>
  <c r="N198" i="10"/>
  <c r="N197" i="10"/>
  <c r="N196" i="10"/>
  <c r="N195" i="10"/>
  <c r="N194" i="10"/>
  <c r="N193" i="10"/>
  <c r="N192" i="10"/>
  <c r="N191" i="10"/>
  <c r="N190" i="10"/>
  <c r="N187" i="10"/>
  <c r="N186" i="10"/>
  <c r="N185" i="10"/>
  <c r="N184" i="10"/>
  <c r="N183" i="10"/>
  <c r="N182" i="10"/>
  <c r="N181" i="10"/>
  <c r="N180" i="10"/>
  <c r="N179" i="10"/>
  <c r="N178" i="10"/>
  <c r="N177" i="10"/>
  <c r="N176" i="10"/>
  <c r="N175" i="10"/>
  <c r="N172" i="10"/>
  <c r="N171" i="10"/>
  <c r="N170" i="10"/>
  <c r="N169" i="10"/>
  <c r="N168" i="10"/>
  <c r="N167" i="10"/>
  <c r="N166" i="10"/>
  <c r="N165" i="10"/>
  <c r="N164" i="10"/>
  <c r="N163" i="10"/>
  <c r="N162" i="10"/>
  <c r="N161" i="10"/>
  <c r="N160" i="10"/>
  <c r="N159" i="10"/>
  <c r="N158" i="10"/>
  <c r="N157" i="10"/>
  <c r="N156" i="10"/>
  <c r="N155" i="10"/>
  <c r="N154" i="10"/>
  <c r="N153" i="10"/>
  <c r="N152" i="10"/>
  <c r="N151" i="10"/>
  <c r="N150" i="10"/>
  <c r="N149" i="10"/>
  <c r="N148" i="10"/>
  <c r="N147" i="10"/>
  <c r="N146" i="10"/>
  <c r="N145" i="10"/>
  <c r="N50" i="10"/>
  <c r="N92" i="10"/>
  <c r="N116" i="10"/>
  <c r="N139" i="10"/>
  <c r="N99" i="10"/>
  <c r="N140" i="10"/>
  <c r="N115" i="10"/>
  <c r="N103" i="10"/>
  <c r="N73" i="10"/>
  <c r="N23" i="10"/>
  <c r="N123" i="10"/>
  <c r="N82" i="10"/>
  <c r="N80" i="10"/>
  <c r="N18" i="10"/>
  <c r="N14" i="10"/>
  <c r="N118" i="10"/>
  <c r="N125" i="10"/>
  <c r="N46" i="10"/>
  <c r="N22" i="10"/>
  <c r="N133" i="10"/>
  <c r="N141" i="10"/>
  <c r="N49" i="10"/>
  <c r="N60" i="10"/>
  <c r="N137" i="10"/>
  <c r="N142" i="10"/>
  <c r="N109" i="10"/>
  <c r="N130" i="10"/>
  <c r="N54" i="10"/>
  <c r="N107" i="10"/>
  <c r="N89" i="10"/>
  <c r="N111" i="10"/>
  <c r="N136" i="10"/>
  <c r="N110" i="10"/>
  <c r="N10" i="10"/>
  <c r="N63" i="10"/>
  <c r="N134" i="10"/>
  <c r="N25" i="10"/>
  <c r="N138" i="10"/>
  <c r="N131" i="10"/>
  <c r="N51" i="10"/>
  <c r="N44" i="10"/>
  <c r="N19" i="10"/>
  <c r="N71" i="10"/>
  <c r="N41" i="10"/>
  <c r="N96" i="10"/>
  <c r="N88" i="10"/>
  <c r="N24" i="10"/>
  <c r="N39" i="10"/>
  <c r="N124" i="10"/>
  <c r="N132" i="10"/>
  <c r="N121" i="10"/>
  <c r="N114" i="10"/>
  <c r="N106" i="10"/>
  <c r="N72" i="10"/>
  <c r="N120" i="10"/>
  <c r="N122" i="10"/>
  <c r="N84" i="10"/>
  <c r="N100" i="10"/>
  <c r="N11" i="10"/>
  <c r="N43" i="10"/>
  <c r="N98" i="10"/>
  <c r="N40" i="10"/>
  <c r="N104" i="10"/>
  <c r="N75" i="10"/>
  <c r="N119" i="10"/>
  <c r="N77" i="10"/>
  <c r="N108" i="10"/>
  <c r="N93" i="10"/>
  <c r="N86" i="10"/>
  <c r="N55" i="10"/>
  <c r="N58" i="10"/>
  <c r="N97" i="10"/>
  <c r="N48" i="10"/>
  <c r="N126" i="10"/>
  <c r="N13" i="10"/>
  <c r="N95" i="10"/>
  <c r="N38" i="10"/>
  <c r="N87" i="10"/>
  <c r="N70" i="10"/>
  <c r="N45" i="10"/>
  <c r="N69" i="10"/>
  <c r="N59" i="10"/>
  <c r="N21" i="10"/>
  <c r="N15" i="10"/>
  <c r="N83" i="10"/>
  <c r="N52" i="10"/>
  <c r="N66" i="10"/>
  <c r="N17" i="10"/>
  <c r="N47" i="10"/>
  <c r="N94" i="10"/>
  <c r="N8" i="10"/>
  <c r="N105" i="10"/>
  <c r="N76" i="10"/>
  <c r="N81" i="10"/>
  <c r="N64" i="10"/>
  <c r="N135" i="10"/>
  <c r="N127" i="10"/>
  <c r="N61" i="10"/>
  <c r="N9" i="10"/>
  <c r="N37" i="10"/>
  <c r="N62" i="10"/>
  <c r="N36" i="10"/>
  <c r="N16" i="10"/>
  <c r="N12" i="10"/>
  <c r="N65" i="10"/>
  <c r="N74" i="10"/>
  <c r="N85" i="10"/>
  <c r="N53" i="10"/>
  <c r="N20" i="10"/>
  <c r="N117" i="10"/>
  <c r="N7" i="10"/>
  <c r="N42" i="10"/>
  <c r="N6" i="10"/>
  <c r="G6" i="8" l="1"/>
  <c r="F110" i="8"/>
  <c r="F111" i="8" s="1"/>
  <c r="G23" i="8" l="1"/>
  <c r="H263" i="10"/>
  <c r="B263" i="10"/>
  <c r="N263" i="10" s="1"/>
  <c r="H262" i="10"/>
  <c r="B262" i="10"/>
  <c r="N262" i="10" s="1"/>
  <c r="H261" i="10"/>
  <c r="B261" i="10"/>
  <c r="N261" i="10" s="1"/>
  <c r="H260" i="10"/>
  <c r="B260" i="10"/>
  <c r="N260" i="10" s="1"/>
  <c r="H259" i="10"/>
  <c r="B259" i="10"/>
  <c r="N259" i="10" s="1"/>
  <c r="H258" i="10"/>
  <c r="B258" i="10"/>
  <c r="N258" i="10" s="1"/>
  <c r="H257" i="10"/>
  <c r="B257" i="10"/>
  <c r="N257" i="10" s="1"/>
  <c r="H256" i="10"/>
  <c r="H255" i="10"/>
  <c r="H254" i="10"/>
  <c r="H253" i="10"/>
  <c r="H252" i="10"/>
  <c r="H251" i="10"/>
  <c r="H250" i="10"/>
  <c r="H233" i="10"/>
  <c r="D233" i="10" s="1"/>
  <c r="E233" i="10"/>
  <c r="N233" i="10" s="1"/>
  <c r="H232" i="10"/>
  <c r="D232" i="10" s="1"/>
  <c r="E232" i="10"/>
  <c r="N232" i="10" s="1"/>
  <c r="H219" i="10"/>
  <c r="E219" i="10"/>
  <c r="N219" i="10" s="1"/>
  <c r="D219" i="10"/>
  <c r="H218" i="10"/>
  <c r="D218" i="10" s="1"/>
  <c r="E218" i="10"/>
  <c r="N218" i="10" s="1"/>
  <c r="B217" i="10"/>
  <c r="N217" i="10" s="1"/>
  <c r="B216" i="10"/>
  <c r="N216" i="10" s="1"/>
  <c r="B215" i="10"/>
  <c r="N215" i="10" s="1"/>
  <c r="B214" i="10"/>
  <c r="N214" i="10" s="1"/>
  <c r="B213" i="10"/>
  <c r="N213" i="10" s="1"/>
  <c r="B212" i="10"/>
  <c r="N212" i="10" s="1"/>
  <c r="B211" i="10"/>
  <c r="N211" i="10" s="1"/>
  <c r="B210" i="10"/>
  <c r="N210" i="10" s="1"/>
  <c r="B209" i="10"/>
  <c r="N209" i="10" s="1"/>
  <c r="B208" i="10"/>
  <c r="N208" i="10" s="1"/>
  <c r="B207" i="10"/>
  <c r="N207" i="10" s="1"/>
  <c r="B206" i="10"/>
  <c r="N206" i="10" s="1"/>
  <c r="B205" i="10"/>
  <c r="N205" i="10" s="1"/>
  <c r="H204" i="10"/>
  <c r="D204" i="10" s="1"/>
  <c r="E204" i="10"/>
  <c r="B204" i="10"/>
  <c r="N204" i="10" s="1"/>
  <c r="H203" i="10"/>
  <c r="D203" i="10" s="1"/>
  <c r="E203" i="10"/>
  <c r="B203" i="10"/>
  <c r="H189" i="10"/>
  <c r="D189" i="10" s="1"/>
  <c r="E189" i="10"/>
  <c r="N189" i="10" s="1"/>
  <c r="H188" i="10"/>
  <c r="D188" i="10" s="1"/>
  <c r="E188" i="10"/>
  <c r="N188" i="10" s="1"/>
  <c r="H174" i="10"/>
  <c r="D174" i="10" s="1"/>
  <c r="E174" i="10"/>
  <c r="N174" i="10" s="1"/>
  <c r="H173" i="10"/>
  <c r="D173" i="10" s="1"/>
  <c r="E173" i="10"/>
  <c r="N173" i="10" s="1"/>
  <c r="H159" i="10"/>
  <c r="D159" i="10"/>
  <c r="H158" i="10"/>
  <c r="D158" i="10" s="1"/>
  <c r="H144" i="10"/>
  <c r="D144" i="10" s="1"/>
  <c r="E144" i="10"/>
  <c r="N144" i="10" s="1"/>
  <c r="H143" i="10"/>
  <c r="D143" i="10" s="1"/>
  <c r="E143" i="10"/>
  <c r="N143" i="10" s="1"/>
  <c r="H129" i="10"/>
  <c r="D129" i="10" s="1"/>
  <c r="E129" i="10"/>
  <c r="H128" i="10"/>
  <c r="D128" i="10" s="1"/>
  <c r="E128" i="10"/>
  <c r="H113" i="10"/>
  <c r="D113" i="10" s="1"/>
  <c r="E113" i="10"/>
  <c r="H112" i="10"/>
  <c r="D112" i="10" s="1"/>
  <c r="E112" i="10"/>
  <c r="H102" i="10"/>
  <c r="D102" i="10" s="1"/>
  <c r="E102" i="10"/>
  <c r="H101" i="10"/>
  <c r="D101" i="10" s="1"/>
  <c r="E101" i="10"/>
  <c r="H91" i="10"/>
  <c r="D91" i="10" s="1"/>
  <c r="E91" i="10"/>
  <c r="H90" i="10"/>
  <c r="D90" i="10" s="1"/>
  <c r="E90" i="10"/>
  <c r="H79" i="10"/>
  <c r="D79" i="10" s="1"/>
  <c r="E79" i="10"/>
  <c r="H78" i="10"/>
  <c r="D78" i="10" s="1"/>
  <c r="E78" i="10"/>
  <c r="H68" i="10"/>
  <c r="D68" i="10" s="1"/>
  <c r="E68" i="10"/>
  <c r="H67" i="10"/>
  <c r="D67" i="10" s="1"/>
  <c r="E67" i="10"/>
  <c r="H57" i="10"/>
  <c r="D57" i="10" s="1"/>
  <c r="E57" i="10"/>
  <c r="H56" i="10"/>
  <c r="D56" i="10" s="1"/>
  <c r="E56" i="10"/>
  <c r="H55" i="10"/>
  <c r="D55" i="10" s="1"/>
  <c r="C55" i="10"/>
  <c r="H54" i="10"/>
  <c r="D54" i="10" s="1"/>
  <c r="C54" i="10"/>
  <c r="H53" i="10"/>
  <c r="D53" i="10" s="1"/>
  <c r="C53" i="10"/>
  <c r="H52" i="10"/>
  <c r="D52" i="10" s="1"/>
  <c r="C52" i="10"/>
  <c r="H51" i="10"/>
  <c r="D51" i="10" s="1"/>
  <c r="C51" i="10"/>
  <c r="H50" i="10"/>
  <c r="D50" i="10" s="1"/>
  <c r="C50" i="10"/>
  <c r="H49" i="10"/>
  <c r="D49" i="10" s="1"/>
  <c r="C49" i="10"/>
  <c r="H48" i="10"/>
  <c r="D48" i="10" s="1"/>
  <c r="C48" i="10"/>
  <c r="H47" i="10"/>
  <c r="D47" i="10" s="1"/>
  <c r="C47" i="10"/>
  <c r="H46" i="10"/>
  <c r="D46" i="10" s="1"/>
  <c r="C46" i="10"/>
  <c r="H45" i="10"/>
  <c r="D45" i="10" s="1"/>
  <c r="C45" i="10"/>
  <c r="H44" i="10"/>
  <c r="D44" i="10" s="1"/>
  <c r="C44" i="10"/>
  <c r="H43" i="10"/>
  <c r="D43" i="10" s="1"/>
  <c r="C43" i="10"/>
  <c r="H42" i="10"/>
  <c r="D42" i="10" s="1"/>
  <c r="C42" i="10"/>
  <c r="H41" i="10"/>
  <c r="D41" i="10" s="1"/>
  <c r="C41" i="10"/>
  <c r="H40" i="10"/>
  <c r="D40" i="10" s="1"/>
  <c r="C40" i="10"/>
  <c r="H39" i="10"/>
  <c r="D39" i="10" s="1"/>
  <c r="C39" i="10"/>
  <c r="H38" i="10"/>
  <c r="D38" i="10" s="1"/>
  <c r="C38" i="10"/>
  <c r="H37" i="10"/>
  <c r="D37" i="10" s="1"/>
  <c r="C37" i="10"/>
  <c r="H36" i="10"/>
  <c r="D36" i="10" s="1"/>
  <c r="C36" i="10"/>
  <c r="H35" i="10"/>
  <c r="D35" i="10" s="1"/>
  <c r="C35" i="10"/>
  <c r="B35" i="10"/>
  <c r="H34" i="10"/>
  <c r="D34" i="10" s="1"/>
  <c r="C34" i="10"/>
  <c r="B34" i="10"/>
  <c r="H33" i="10"/>
  <c r="D33" i="10" s="1"/>
  <c r="C33" i="10"/>
  <c r="B33" i="10"/>
  <c r="H32" i="10"/>
  <c r="D32" i="10" s="1"/>
  <c r="C32" i="10"/>
  <c r="B32" i="10"/>
  <c r="H31" i="10"/>
  <c r="D31" i="10" s="1"/>
  <c r="C31" i="10"/>
  <c r="B31" i="10"/>
  <c r="H30" i="10"/>
  <c r="D30" i="10" s="1"/>
  <c r="C30" i="10"/>
  <c r="B30" i="10"/>
  <c r="H29" i="10"/>
  <c r="D29" i="10"/>
  <c r="C29" i="10"/>
  <c r="B29" i="10"/>
  <c r="H28" i="10"/>
  <c r="D28" i="10" s="1"/>
  <c r="C28" i="10"/>
  <c r="B28" i="10"/>
  <c r="H27" i="10"/>
  <c r="D27" i="10" s="1"/>
  <c r="C27" i="10"/>
  <c r="B27" i="10"/>
  <c r="H26" i="10"/>
  <c r="D26" i="10" s="1"/>
  <c r="C26" i="10"/>
  <c r="B26" i="10"/>
  <c r="H25" i="10"/>
  <c r="D25" i="10" s="1"/>
  <c r="C25" i="10"/>
  <c r="H24" i="10"/>
  <c r="D24" i="10" s="1"/>
  <c r="C24" i="10"/>
  <c r="H23" i="10"/>
  <c r="D23" i="10" s="1"/>
  <c r="C23" i="10"/>
  <c r="H22" i="10"/>
  <c r="D22" i="10" s="1"/>
  <c r="C22" i="10"/>
  <c r="H21" i="10"/>
  <c r="D21" i="10" s="1"/>
  <c r="C21" i="10"/>
  <c r="H20" i="10"/>
  <c r="D20" i="10" s="1"/>
  <c r="C20" i="10"/>
  <c r="H19" i="10"/>
  <c r="D19" i="10" s="1"/>
  <c r="C19" i="10"/>
  <c r="H18" i="10"/>
  <c r="D18" i="10" s="1"/>
  <c r="C18" i="10"/>
  <c r="H17" i="10"/>
  <c r="D17" i="10" s="1"/>
  <c r="C17" i="10"/>
  <c r="H16" i="10"/>
  <c r="D16" i="10" s="1"/>
  <c r="C16" i="10"/>
  <c r="H15" i="10"/>
  <c r="D15" i="10"/>
  <c r="C15" i="10"/>
  <c r="H14" i="10"/>
  <c r="D14" i="10" s="1"/>
  <c r="C14" i="10"/>
  <c r="H13" i="10"/>
  <c r="D13" i="10" s="1"/>
  <c r="C13" i="10"/>
  <c r="H12" i="10"/>
  <c r="D12" i="10" s="1"/>
  <c r="C12" i="10"/>
  <c r="H11" i="10"/>
  <c r="D11" i="10" s="1"/>
  <c r="C11" i="10"/>
  <c r="H10" i="10"/>
  <c r="D10" i="10" s="1"/>
  <c r="C10" i="10"/>
  <c r="H9" i="10"/>
  <c r="D9" i="10" s="1"/>
  <c r="C9" i="10"/>
  <c r="H8" i="10"/>
  <c r="D8" i="10" s="1"/>
  <c r="C8" i="10"/>
  <c r="H7" i="10"/>
  <c r="D7" i="10" s="1"/>
  <c r="C7" i="10"/>
  <c r="H6" i="10"/>
  <c r="D6" i="10" s="1"/>
  <c r="C6" i="10"/>
  <c r="N29" i="10"/>
  <c r="N26" i="10"/>
  <c r="N31" i="10"/>
  <c r="N129" i="10"/>
  <c r="N57" i="10"/>
  <c r="N27" i="10"/>
  <c r="N79" i="10"/>
  <c r="N102" i="10"/>
  <c r="N28" i="10"/>
  <c r="N78" i="10"/>
  <c r="N128" i="10"/>
  <c r="N101" i="10"/>
  <c r="N34" i="10"/>
  <c r="N56" i="10"/>
  <c r="N32" i="10"/>
  <c r="N113" i="10"/>
  <c r="N91" i="10"/>
  <c r="N30" i="10"/>
  <c r="N35" i="10"/>
  <c r="N90" i="10"/>
  <c r="N33" i="10"/>
  <c r="N68" i="10"/>
  <c r="N112" i="10"/>
  <c r="N67" i="10"/>
  <c r="N203" i="10" l="1"/>
  <c r="I7" i="9"/>
  <c r="I6" i="9"/>
  <c r="I5" i="9"/>
  <c r="I4" i="9"/>
  <c r="I3" i="9"/>
  <c r="K2" i="9"/>
  <c r="I2" i="9"/>
  <c r="D7" i="9"/>
  <c r="D6" i="9"/>
  <c r="D5" i="9"/>
  <c r="D4" i="9"/>
  <c r="D3" i="9"/>
  <c r="G2" i="9"/>
  <c r="D2" i="9"/>
  <c r="G6" i="9"/>
  <c r="G5" i="9"/>
  <c r="I1" i="9"/>
  <c r="D95" i="8" l="1"/>
  <c r="D90" i="8"/>
  <c r="D62" i="8"/>
  <c r="D63" i="8"/>
  <c r="D72" i="8"/>
  <c r="D93" i="8" l="1"/>
  <c r="D89" i="8" l="1"/>
  <c r="D92" i="8"/>
  <c r="E99" i="8" l="1"/>
  <c r="F99" i="8" s="1"/>
  <c r="A76" i="8"/>
  <c r="A144" i="8" l="1"/>
  <c r="A143" i="8"/>
  <c r="E110" i="8" l="1"/>
  <c r="D42" i="5"/>
  <c r="I42" i="5"/>
  <c r="E42" i="5"/>
  <c r="F42" i="5"/>
  <c r="J42" i="5"/>
  <c r="H42" i="5"/>
  <c r="G42" i="5"/>
  <c r="G197" i="8" l="1"/>
  <c r="L86" i="8"/>
  <c r="L83" i="8"/>
  <c r="L82" i="8"/>
  <c r="D79" i="8"/>
  <c r="D76" i="8"/>
  <c r="D70" i="8"/>
  <c r="D69" i="8"/>
  <c r="A257" i="8"/>
  <c r="E111" i="8"/>
  <c r="N145" i="8"/>
  <c r="E76" i="8"/>
  <c r="F76" i="8" l="1"/>
  <c r="D26" i="8"/>
  <c r="L43" i="8"/>
  <c r="L42" i="8"/>
  <c r="L27" i="8"/>
  <c r="L26" i="8"/>
  <c r="L25" i="8"/>
  <c r="L24" i="8"/>
  <c r="L23" i="8"/>
  <c r="E34" i="8"/>
  <c r="F34" i="8" s="1"/>
  <c r="E33" i="8"/>
  <c r="F33" i="8" s="1"/>
  <c r="E32" i="8"/>
  <c r="F32" i="8" s="1"/>
  <c r="E31" i="8"/>
  <c r="F31" i="8" s="1"/>
  <c r="I198" i="8"/>
  <c r="H198" i="8"/>
  <c r="G198" i="8"/>
  <c r="F198" i="8"/>
  <c r="E198" i="8"/>
  <c r="I197" i="8"/>
  <c r="H197" i="8"/>
  <c r="F197" i="8"/>
  <c r="E197" i="8"/>
  <c r="A146" i="8"/>
  <c r="A148" i="8"/>
  <c r="A147" i="8"/>
  <c r="A145" i="8"/>
  <c r="N161" i="8"/>
  <c r="N135" i="8"/>
  <c r="M135" i="8"/>
  <c r="M134" i="8"/>
  <c r="M133" i="8"/>
  <c r="N122" i="8"/>
  <c r="N120" i="8"/>
  <c r="E106" i="8"/>
  <c r="E105" i="8"/>
  <c r="D86" i="8"/>
  <c r="D83" i="8"/>
  <c r="A83" i="8"/>
  <c r="M82" i="8"/>
  <c r="N60" i="8"/>
  <c r="G69" i="8"/>
  <c r="D45" i="8"/>
  <c r="D27" i="8"/>
  <c r="I1" i="8"/>
  <c r="AO149" i="7"/>
  <c r="AO148" i="7"/>
  <c r="AR147" i="7"/>
  <c r="AO147" i="7"/>
  <c r="AR146" i="7"/>
  <c r="AR145" i="7"/>
  <c r="AQ145" i="7"/>
  <c r="AP145" i="7"/>
  <c r="AO145" i="7"/>
  <c r="AR144" i="7"/>
  <c r="AQ144" i="7"/>
  <c r="AP144" i="7"/>
  <c r="AO144" i="7"/>
  <c r="AR143" i="7"/>
  <c r="AR141" i="7"/>
  <c r="AQ141" i="7"/>
  <c r="AP141" i="7"/>
  <c r="AR140" i="7"/>
  <c r="AQ140" i="7"/>
  <c r="AP140" i="7"/>
  <c r="AO139" i="7"/>
  <c r="AO138" i="7"/>
  <c r="AO137" i="7"/>
  <c r="AQ135" i="7"/>
  <c r="AP135" i="7"/>
  <c r="AO135" i="7"/>
  <c r="AR134" i="7"/>
  <c r="AQ134" i="7"/>
  <c r="AP134" i="7"/>
  <c r="AO134" i="7"/>
  <c r="AQ133" i="7"/>
  <c r="AP133" i="7"/>
  <c r="AO133" i="7"/>
  <c r="AR132" i="7"/>
  <c r="AO132" i="7"/>
  <c r="AR130" i="7"/>
  <c r="AQ129" i="7"/>
  <c r="AP129" i="7"/>
  <c r="AO128" i="7"/>
  <c r="AR126" i="7"/>
  <c r="AR125" i="7"/>
  <c r="AQ125" i="7"/>
  <c r="AP125" i="7"/>
  <c r="AQ124" i="7"/>
  <c r="AP124" i="7"/>
  <c r="AR123" i="7"/>
  <c r="AO123" i="7"/>
  <c r="AR122" i="7"/>
  <c r="AQ122" i="7"/>
  <c r="AP122" i="7"/>
  <c r="AO122" i="7"/>
  <c r="AR121" i="7"/>
  <c r="AO121" i="7"/>
  <c r="AR120" i="7"/>
  <c r="AQ119" i="7"/>
  <c r="AP119" i="7"/>
  <c r="AO119" i="7"/>
  <c r="AR118" i="7"/>
  <c r="AQ118" i="7"/>
  <c r="AP118" i="7"/>
  <c r="AR117" i="7"/>
  <c r="AQ117" i="7"/>
  <c r="AP117" i="7"/>
  <c r="AO117" i="7"/>
  <c r="AR116" i="7"/>
  <c r="AQ116" i="7"/>
  <c r="AP116" i="7"/>
  <c r="AO116" i="7"/>
  <c r="AQ115" i="7"/>
  <c r="AP115" i="7"/>
  <c r="AO115" i="7"/>
  <c r="AR112" i="7"/>
  <c r="AQ112" i="7"/>
  <c r="AP112" i="7"/>
  <c r="AR111" i="7"/>
  <c r="AR110" i="7"/>
  <c r="AQ110" i="7"/>
  <c r="AP110" i="7"/>
  <c r="AO110" i="7"/>
  <c r="AR109" i="7"/>
  <c r="AO109" i="7"/>
  <c r="AQ108" i="7"/>
  <c r="AP108" i="7"/>
  <c r="AO107" i="7"/>
  <c r="AR106" i="7"/>
  <c r="AO106" i="7"/>
  <c r="AO105" i="7"/>
  <c r="AR104" i="7"/>
  <c r="AQ104" i="7"/>
  <c r="AP104" i="7"/>
  <c r="AO104" i="7"/>
  <c r="AR103" i="7"/>
  <c r="AQ103" i="7"/>
  <c r="AP103" i="7"/>
  <c r="AO103" i="7"/>
  <c r="AO96" i="7"/>
  <c r="AO98" i="7"/>
  <c r="AO97" i="7"/>
  <c r="N131" i="8"/>
  <c r="E134" i="8"/>
  <c r="H134" i="8"/>
  <c r="G134" i="8"/>
  <c r="F134" i="8"/>
  <c r="N134" i="8"/>
  <c r="I134" i="8"/>
  <c r="N69" i="8"/>
  <c r="N68" i="8"/>
  <c r="I237" i="8"/>
  <c r="N133" i="8"/>
  <c r="N86" i="8"/>
  <c r="N143" i="8"/>
  <c r="I133" i="8"/>
  <c r="N125" i="8"/>
  <c r="I125" i="8"/>
  <c r="H125" i="8"/>
  <c r="N52" i="8"/>
  <c r="H133" i="8"/>
  <c r="H237" i="8"/>
  <c r="N63" i="8"/>
  <c r="N237" i="8"/>
  <c r="E167" i="8"/>
  <c r="G125" i="8"/>
  <c r="F125" i="8"/>
  <c r="G133" i="8"/>
  <c r="E125" i="8"/>
  <c r="F133" i="8"/>
  <c r="F237" i="8"/>
  <c r="E133" i="8"/>
  <c r="G237" i="8"/>
  <c r="E237" i="8"/>
  <c r="E143" i="8"/>
  <c r="F105" i="8"/>
  <c r="F106" i="8"/>
  <c r="H130" i="8" l="1"/>
  <c r="I130" i="8"/>
  <c r="G130" i="8"/>
  <c r="F130" i="8"/>
  <c r="E130" i="8"/>
  <c r="H181" i="8"/>
  <c r="I181" i="8"/>
  <c r="E98" i="8"/>
  <c r="E144" i="8"/>
  <c r="AO136" i="7"/>
  <c r="AP150" i="7"/>
  <c r="AR136" i="7"/>
  <c r="AP121" i="7"/>
  <c r="AO146" i="7"/>
  <c r="AO113" i="7"/>
  <c r="AP139" i="7"/>
  <c r="AR127" i="7"/>
  <c r="AR107" i="7"/>
  <c r="AO114" i="7"/>
  <c r="AR131" i="7"/>
  <c r="AR138" i="7"/>
  <c r="AO124" i="7"/>
  <c r="AR124" i="7"/>
  <c r="AO130" i="7"/>
  <c r="AP149" i="7"/>
  <c r="AR135" i="7"/>
  <c r="AR119" i="7"/>
  <c r="AO142" i="7"/>
  <c r="AO111" i="7"/>
  <c r="AP138" i="7"/>
  <c r="AP126" i="7"/>
  <c r="AP106" i="7"/>
  <c r="AP114" i="7"/>
  <c r="AO112" i="7"/>
  <c r="AP143" i="7"/>
  <c r="AP113" i="7"/>
  <c r="AO141" i="7"/>
  <c r="AP142" i="7"/>
  <c r="AO127" i="7"/>
  <c r="AP148" i="7"/>
  <c r="AP132" i="7"/>
  <c r="AR114" i="7"/>
  <c r="AO140" i="7"/>
  <c r="AR150" i="7"/>
  <c r="AP137" i="7"/>
  <c r="AP123" i="7"/>
  <c r="AP105" i="7"/>
  <c r="AO120" i="7"/>
  <c r="AR129" i="7"/>
  <c r="AO129" i="7"/>
  <c r="AR133" i="7"/>
  <c r="AP128" i="7"/>
  <c r="AO126" i="7"/>
  <c r="AO143" i="7"/>
  <c r="AP107" i="7"/>
  <c r="AP130" i="7"/>
  <c r="AR137" i="7"/>
  <c r="AR105" i="7"/>
  <c r="AP109" i="7"/>
  <c r="AO125" i="7"/>
  <c r="AP146" i="7"/>
  <c r="AP131" i="7"/>
  <c r="AR113" i="7"/>
  <c r="AO131" i="7"/>
  <c r="AR149" i="7"/>
  <c r="AP136" i="7"/>
  <c r="AP120" i="7"/>
  <c r="AR142" i="7"/>
  <c r="AP111" i="7"/>
  <c r="AR148" i="7"/>
  <c r="AR115" i="7"/>
  <c r="AO150" i="7"/>
  <c r="AR139" i="7"/>
  <c r="AR108" i="7"/>
  <c r="AP147" i="7"/>
  <c r="AP127" i="7"/>
  <c r="AO118" i="7"/>
  <c r="AO108" i="7"/>
  <c r="AR128" i="7"/>
  <c r="AQ130" i="7"/>
  <c r="AQ148" i="7"/>
  <c r="AQ121" i="7"/>
  <c r="AQ139" i="7"/>
  <c r="AQ106" i="7"/>
  <c r="AQ150" i="7"/>
  <c r="AQ127" i="7"/>
  <c r="AQ146" i="7"/>
  <c r="AQ114" i="7"/>
  <c r="AQ137" i="7"/>
  <c r="AQ149" i="7"/>
  <c r="AQ123" i="7"/>
  <c r="AQ142" i="7"/>
  <c r="AQ111" i="7"/>
  <c r="AQ113" i="7"/>
  <c r="AQ131" i="7"/>
  <c r="AQ128" i="7"/>
  <c r="AQ126" i="7"/>
  <c r="AQ147" i="7"/>
  <c r="AQ120" i="7"/>
  <c r="AQ138" i="7"/>
  <c r="AQ107" i="7"/>
  <c r="AQ143" i="7"/>
  <c r="AQ136" i="7"/>
  <c r="AQ105" i="7"/>
  <c r="AQ109" i="7"/>
  <c r="AQ132" i="7"/>
  <c r="E135" i="8"/>
  <c r="F135" i="8"/>
  <c r="I135" i="8"/>
  <c r="H135" i="8"/>
  <c r="G135" i="8"/>
  <c r="H127" i="8"/>
  <c r="I127" i="8"/>
  <c r="I238" i="8"/>
  <c r="H131" i="8"/>
  <c r="H238" i="8"/>
  <c r="I131" i="8"/>
  <c r="E127" i="8"/>
  <c r="F131" i="8"/>
  <c r="F238" i="8"/>
  <c r="E238" i="8"/>
  <c r="F127" i="8"/>
  <c r="E131" i="8"/>
  <c r="G127" i="8"/>
  <c r="G238" i="8"/>
  <c r="G131" i="8"/>
  <c r="E79" i="8"/>
  <c r="I102" i="8" l="1"/>
  <c r="G80" i="9"/>
  <c r="H102" i="8"/>
  <c r="F80" i="9"/>
  <c r="F79" i="8"/>
  <c r="E217" i="8"/>
  <c r="I187" i="8"/>
  <c r="I268" i="8" s="1"/>
  <c r="G187" i="8"/>
  <c r="G268" i="8" s="1"/>
  <c r="F187" i="8"/>
  <c r="F268" i="8" s="1"/>
  <c r="H187" i="8"/>
  <c r="H268" i="8" s="1"/>
  <c r="I217" i="8"/>
  <c r="G217" i="8"/>
  <c r="F217" i="8"/>
  <c r="H217" i="8"/>
  <c r="E187" i="8"/>
  <c r="E268" i="8" s="1"/>
  <c r="E269" i="8" s="1"/>
  <c r="E128" i="8"/>
  <c r="F128" i="8"/>
  <c r="G128" i="8"/>
  <c r="H128" i="8"/>
  <c r="I128" i="8"/>
  <c r="N152" i="8"/>
  <c r="E80" i="8"/>
  <c r="I132" i="8"/>
  <c r="E239" i="8"/>
  <c r="F132" i="8"/>
  <c r="E132" i="8"/>
  <c r="G132" i="8"/>
  <c r="E145" i="8"/>
  <c r="F80" i="8" l="1"/>
  <c r="E270" i="8"/>
  <c r="H269" i="8"/>
  <c r="F269" i="8"/>
  <c r="I269" i="8"/>
  <c r="G269" i="8"/>
  <c r="E146" i="8"/>
  <c r="I239" i="8"/>
  <c r="H239" i="8"/>
  <c r="H132" i="8"/>
  <c r="E240" i="8"/>
  <c r="G239" i="8"/>
  <c r="F239" i="8"/>
  <c r="F270" i="8" l="1"/>
  <c r="G270" i="8"/>
  <c r="I270" i="8"/>
  <c r="H270" i="8"/>
  <c r="E272" i="8"/>
  <c r="E271" i="8"/>
  <c r="G80" i="8"/>
  <c r="E147" i="8"/>
  <c r="I261" i="8"/>
  <c r="I90" i="8" s="1"/>
  <c r="I262" i="8"/>
  <c r="H262" i="8"/>
  <c r="H261" i="8"/>
  <c r="H240" i="8"/>
  <c r="I240" i="8"/>
  <c r="F240" i="8"/>
  <c r="G240" i="8"/>
  <c r="H271" i="8" l="1"/>
  <c r="G271" i="8"/>
  <c r="F271" i="8"/>
  <c r="I272" i="8"/>
  <c r="F272" i="8"/>
  <c r="I271" i="8"/>
  <c r="H272" i="8"/>
  <c r="G272" i="8"/>
  <c r="I92" i="8"/>
  <c r="H90" i="8"/>
  <c r="G261" i="8"/>
  <c r="G262" i="8"/>
  <c r="F261" i="8"/>
  <c r="E262" i="8"/>
  <c r="F262" i="8"/>
  <c r="J92" i="8" l="1"/>
  <c r="J89" i="8"/>
  <c r="I91" i="8"/>
  <c r="F81" i="8"/>
  <c r="F91" i="8"/>
  <c r="G91" i="8"/>
  <c r="H91" i="8"/>
  <c r="H92" i="8"/>
  <c r="F263" i="8"/>
  <c r="I263" i="8"/>
  <c r="G263" i="8"/>
  <c r="E149" i="8"/>
  <c r="E261" i="8"/>
  <c r="E92" i="8"/>
  <c r="G90" i="8"/>
  <c r="G92" i="8"/>
  <c r="F92" i="8"/>
  <c r="F90" i="8"/>
  <c r="F266" i="8" l="1"/>
  <c r="F267" i="8" s="1"/>
  <c r="I266" i="8"/>
  <c r="G266" i="8"/>
  <c r="E91" i="8"/>
  <c r="F264" i="8"/>
  <c r="G264" i="8"/>
  <c r="I264" i="8"/>
  <c r="E263" i="8"/>
  <c r="H263" i="8"/>
  <c r="E90" i="8"/>
  <c r="H264" i="8" l="1"/>
  <c r="H266" i="8"/>
  <c r="H273" i="8" s="1"/>
  <c r="I273" i="8"/>
  <c r="G273" i="8"/>
  <c r="F273" i="8"/>
  <c r="I267" i="8"/>
  <c r="G267" i="8"/>
  <c r="E266" i="8"/>
  <c r="E273" i="8" s="1"/>
  <c r="E264" i="8"/>
  <c r="H267" i="8" l="1"/>
  <c r="F278" i="8"/>
  <c r="G277" i="8"/>
  <c r="G278" i="8"/>
  <c r="I278" i="8"/>
  <c r="H278" i="8"/>
  <c r="F274" i="8"/>
  <c r="F276" i="8" s="1"/>
  <c r="F277" i="8"/>
  <c r="H274" i="8"/>
  <c r="H276" i="8" s="1"/>
  <c r="G274" i="8"/>
  <c r="I274" i="8"/>
  <c r="I277" i="8"/>
  <c r="H277" i="8"/>
  <c r="E278" i="8"/>
  <c r="E274" i="8"/>
  <c r="E276" i="8" s="1"/>
  <c r="E267" i="8"/>
  <c r="H280" i="8" l="1"/>
  <c r="H281" i="8" s="1"/>
  <c r="I280" i="8"/>
  <c r="I279" i="8"/>
  <c r="G280" i="8"/>
  <c r="F279" i="8"/>
  <c r="F280" i="8"/>
  <c r="F281" i="8" s="1"/>
  <c r="I276" i="8"/>
  <c r="G279" i="8"/>
  <c r="G276" i="8"/>
  <c r="H279" i="8"/>
  <c r="E279" i="8"/>
  <c r="C278" i="8"/>
  <c r="C277" i="8"/>
  <c r="E277" i="8"/>
  <c r="C274" i="8"/>
  <c r="I281" i="8" l="1"/>
  <c r="G281" i="8"/>
  <c r="E280" i="8"/>
  <c r="E281" i="8" s="1"/>
  <c r="F113" i="8"/>
  <c r="F112" i="8" l="1"/>
  <c r="E80" i="9"/>
  <c r="D80" i="9"/>
  <c r="F118" i="8"/>
  <c r="F117" i="8"/>
  <c r="E250" i="8"/>
  <c r="E251" i="8"/>
  <c r="G241" i="8"/>
  <c r="E241" i="8"/>
  <c r="G242" i="8" l="1"/>
  <c r="G244" i="8" s="1"/>
  <c r="G282" i="8" s="1"/>
  <c r="E317" i="9" s="1"/>
  <c r="E242" i="8"/>
  <c r="E244" i="8" s="1"/>
  <c r="E282" i="8" s="1"/>
  <c r="C323" i="9" s="1"/>
  <c r="E252" i="8"/>
  <c r="I252" i="8"/>
  <c r="H252" i="8"/>
  <c r="F252" i="8"/>
  <c r="G252" i="8"/>
  <c r="G93" i="8"/>
  <c r="H241" i="8"/>
  <c r="G94" i="8" l="1"/>
  <c r="E332" i="9"/>
  <c r="E340" i="9"/>
  <c r="E335" i="9"/>
  <c r="E342" i="9"/>
  <c r="E334" i="9"/>
  <c r="E319" i="9"/>
  <c r="E338" i="9"/>
  <c r="E331" i="9"/>
  <c r="E339" i="9"/>
  <c r="E325" i="9"/>
  <c r="E318" i="9"/>
  <c r="E316" i="9"/>
  <c r="E321" i="9"/>
  <c r="E341" i="9"/>
  <c r="E336" i="9"/>
  <c r="E320" i="9"/>
  <c r="E329" i="9"/>
  <c r="E347" i="9"/>
  <c r="E330" i="9"/>
  <c r="E326" i="9"/>
  <c r="E343" i="9"/>
  <c r="E328" i="9"/>
  <c r="E327" i="9"/>
  <c r="E344" i="9"/>
  <c r="E315" i="9"/>
  <c r="E345" i="9"/>
  <c r="E322" i="9"/>
  <c r="E323" i="9"/>
  <c r="E346" i="9"/>
  <c r="E324" i="9"/>
  <c r="E333" i="9"/>
  <c r="E337" i="9"/>
  <c r="C336" i="9"/>
  <c r="E94" i="8"/>
  <c r="C327" i="9"/>
  <c r="C325" i="9"/>
  <c r="C319" i="9"/>
  <c r="C343" i="9"/>
  <c r="C324" i="9"/>
  <c r="C329" i="9"/>
  <c r="C317" i="9"/>
  <c r="C315" i="9"/>
  <c r="C322" i="9"/>
  <c r="C335" i="9"/>
  <c r="C340" i="9"/>
  <c r="C338" i="9"/>
  <c r="C344" i="9"/>
  <c r="C334" i="9"/>
  <c r="C345" i="9"/>
  <c r="C332" i="9"/>
  <c r="C347" i="9"/>
  <c r="C318" i="9"/>
  <c r="C320" i="9"/>
  <c r="C339" i="9"/>
  <c r="C326" i="9"/>
  <c r="C346" i="9"/>
  <c r="C342" i="9"/>
  <c r="C321" i="9"/>
  <c r="C333" i="9"/>
  <c r="C328" i="9"/>
  <c r="C316" i="9"/>
  <c r="C337" i="9"/>
  <c r="C330" i="9"/>
  <c r="C341" i="9"/>
  <c r="C331" i="9"/>
  <c r="C152" i="9"/>
  <c r="C167" i="9"/>
  <c r="C145" i="9"/>
  <c r="C158" i="9"/>
  <c r="C166" i="9"/>
  <c r="C151" i="9"/>
  <c r="C157" i="9"/>
  <c r="C161" i="9"/>
  <c r="C150" i="9"/>
  <c r="C154" i="9"/>
  <c r="C142" i="9"/>
  <c r="C163" i="9"/>
  <c r="C164" i="9"/>
  <c r="C147" i="9"/>
  <c r="C139" i="9"/>
  <c r="C143" i="9"/>
  <c r="C148" i="9"/>
  <c r="C138" i="9"/>
  <c r="C156" i="9"/>
  <c r="C146" i="9"/>
  <c r="C141" i="9"/>
  <c r="C160" i="9"/>
  <c r="C155" i="9"/>
  <c r="C168" i="9"/>
  <c r="C165" i="9"/>
  <c r="C137" i="9"/>
  <c r="C169" i="9"/>
  <c r="C149" i="9"/>
  <c r="C162" i="9"/>
  <c r="C153" i="9"/>
  <c r="C159" i="9"/>
  <c r="C140" i="9"/>
  <c r="C144" i="9"/>
  <c r="H242" i="8"/>
  <c r="H93" i="8"/>
  <c r="I241" i="8"/>
  <c r="H244" i="8" l="1"/>
  <c r="H282" i="8" s="1"/>
  <c r="H94" i="8"/>
  <c r="I242" i="8"/>
  <c r="I93" i="8"/>
  <c r="E93" i="8"/>
  <c r="I244" i="8" l="1"/>
  <c r="I282" i="8" s="1"/>
  <c r="I94" i="8"/>
  <c r="F342" i="9"/>
  <c r="F324" i="9"/>
  <c r="F320" i="9"/>
  <c r="F334" i="9"/>
  <c r="F329" i="9"/>
  <c r="F327" i="9"/>
  <c r="F333" i="9"/>
  <c r="F330" i="9"/>
  <c r="F344" i="9"/>
  <c r="F328" i="9"/>
  <c r="F331" i="9"/>
  <c r="F338" i="9"/>
  <c r="F325" i="9"/>
  <c r="F315" i="9"/>
  <c r="F316" i="9"/>
  <c r="F336" i="9"/>
  <c r="F241" i="8"/>
  <c r="G330" i="9" l="1"/>
  <c r="G343" i="9"/>
  <c r="G338" i="9"/>
  <c r="G332" i="9"/>
  <c r="G319" i="9"/>
  <c r="G334" i="9"/>
  <c r="G329" i="9"/>
  <c r="G315" i="9"/>
  <c r="G320" i="9"/>
  <c r="G337" i="9"/>
  <c r="G345" i="9"/>
  <c r="G323" i="9"/>
  <c r="G346" i="9"/>
  <c r="G336" i="9"/>
  <c r="G340" i="9"/>
  <c r="G327" i="9"/>
  <c r="G333" i="9"/>
  <c r="G316" i="9"/>
  <c r="G331" i="9"/>
  <c r="G347" i="9"/>
  <c r="G324" i="9"/>
  <c r="F242" i="8"/>
  <c r="F343" i="9"/>
  <c r="F346" i="9"/>
  <c r="F347" i="9"/>
  <c r="F345" i="9"/>
  <c r="G341" i="9"/>
  <c r="G335" i="9"/>
  <c r="G339" i="9"/>
  <c r="F319" i="9"/>
  <c r="F317" i="9"/>
  <c r="G344" i="9"/>
  <c r="F318" i="9"/>
  <c r="G328" i="9"/>
  <c r="G326" i="9"/>
  <c r="G322" i="9"/>
  <c r="F337" i="9"/>
  <c r="G325" i="9"/>
  <c r="G342" i="9"/>
  <c r="G318" i="9"/>
  <c r="G321" i="9"/>
  <c r="F340" i="9"/>
  <c r="F341" i="9"/>
  <c r="F323" i="9"/>
  <c r="F321" i="9"/>
  <c r="F332" i="9"/>
  <c r="F339" i="9"/>
  <c r="F335" i="9"/>
  <c r="F326" i="9"/>
  <c r="I86" i="8"/>
  <c r="H86" i="8"/>
  <c r="F152" i="8"/>
  <c r="H152" i="8"/>
  <c r="G152" i="8"/>
  <c r="I152" i="8"/>
  <c r="F93" i="8"/>
  <c r="E148" i="8"/>
  <c r="G86" i="8"/>
  <c r="F86" i="8"/>
  <c r="E152" i="8" l="1"/>
  <c r="F244" i="8"/>
  <c r="F282" i="8" s="1"/>
  <c r="F94" i="8"/>
  <c r="D156" i="9"/>
  <c r="H172" i="8"/>
  <c r="H173" i="8" s="1"/>
  <c r="H174" i="8" s="1"/>
  <c r="I172" i="8"/>
  <c r="I173" i="8" s="1"/>
  <c r="I174" i="8" s="1"/>
  <c r="F172" i="8"/>
  <c r="F173" i="8" s="1"/>
  <c r="F174" i="8" s="1"/>
  <c r="G172" i="8"/>
  <c r="G173" i="8" s="1"/>
  <c r="G174" i="8" s="1"/>
  <c r="D165" i="9"/>
  <c r="D145" i="9"/>
  <c r="F322" i="9"/>
  <c r="D150" i="9"/>
  <c r="G139" i="9"/>
  <c r="G317" i="9"/>
  <c r="D139" i="9"/>
  <c r="D148" i="9"/>
  <c r="D154" i="9"/>
  <c r="D146" i="9"/>
  <c r="D152" i="9"/>
  <c r="D166" i="9"/>
  <c r="D153" i="9"/>
  <c r="D142" i="9"/>
  <c r="D149" i="9"/>
  <c r="D168" i="9"/>
  <c r="D155" i="9"/>
  <c r="D167" i="9"/>
  <c r="I169" i="8"/>
  <c r="I260" i="8"/>
  <c r="I258" i="8"/>
  <c r="I60" i="8"/>
  <c r="H169" i="8"/>
  <c r="F83" i="8"/>
  <c r="F243" i="8"/>
  <c r="G153" i="8"/>
  <c r="G243" i="8"/>
  <c r="E243" i="8"/>
  <c r="I243" i="8"/>
  <c r="E153" i="8"/>
  <c r="F153" i="8"/>
  <c r="H153" i="8"/>
  <c r="H243" i="8"/>
  <c r="E86" i="8"/>
  <c r="I153" i="8"/>
  <c r="F175" i="8"/>
  <c r="G175" i="8"/>
  <c r="H175" i="8"/>
  <c r="I175" i="8"/>
  <c r="E172" i="8" l="1"/>
  <c r="E173" i="8" s="1"/>
  <c r="E174" i="8" s="1"/>
  <c r="I164" i="8"/>
  <c r="E164" i="8"/>
  <c r="I87" i="8"/>
  <c r="I259" i="8"/>
  <c r="I88" i="8" s="1"/>
  <c r="I89" i="8"/>
  <c r="I165" i="8"/>
  <c r="H165" i="8"/>
  <c r="D319" i="9"/>
  <c r="G200" i="8"/>
  <c r="G202" i="8" s="1"/>
  <c r="G199" i="8"/>
  <c r="F200" i="8"/>
  <c r="F202" i="8" s="1"/>
  <c r="F199" i="8"/>
  <c r="I200" i="8"/>
  <c r="I202" i="8" s="1"/>
  <c r="I199" i="8"/>
  <c r="H200" i="8"/>
  <c r="H202" i="8" s="1"/>
  <c r="H199" i="8"/>
  <c r="E144" i="9"/>
  <c r="E137" i="9"/>
  <c r="E138" i="9"/>
  <c r="E147" i="9"/>
  <c r="E151" i="9"/>
  <c r="E159" i="9"/>
  <c r="E158" i="9"/>
  <c r="E139" i="9"/>
  <c r="E145" i="9"/>
  <c r="E166" i="9"/>
  <c r="E152" i="9"/>
  <c r="E161" i="9"/>
  <c r="E162" i="9"/>
  <c r="E165" i="9"/>
  <c r="E150" i="9"/>
  <c r="E141" i="9"/>
  <c r="E163" i="9"/>
  <c r="E148" i="9"/>
  <c r="E168" i="9"/>
  <c r="E160" i="9"/>
  <c r="E155" i="9"/>
  <c r="E149" i="9"/>
  <c r="E157" i="9"/>
  <c r="E167" i="9"/>
  <c r="E156" i="9"/>
  <c r="E140" i="9"/>
  <c r="E153" i="9"/>
  <c r="E146" i="9"/>
  <c r="E169" i="9"/>
  <c r="E164" i="9"/>
  <c r="E143" i="9"/>
  <c r="E142" i="9"/>
  <c r="E154" i="9"/>
  <c r="D163" i="9"/>
  <c r="G145" i="9"/>
  <c r="G149" i="9"/>
  <c r="G160" i="9"/>
  <c r="G165" i="9"/>
  <c r="G154" i="9"/>
  <c r="G142" i="9"/>
  <c r="G169" i="9"/>
  <c r="G146" i="9"/>
  <c r="G138" i="9"/>
  <c r="G156" i="9"/>
  <c r="G167" i="9"/>
  <c r="G137" i="9"/>
  <c r="G153" i="9"/>
  <c r="G141" i="9"/>
  <c r="G151" i="9"/>
  <c r="G158" i="9"/>
  <c r="G168" i="9"/>
  <c r="G155" i="9"/>
  <c r="G159" i="9"/>
  <c r="G162" i="9"/>
  <c r="G152" i="9"/>
  <c r="G166" i="9"/>
  <c r="G140" i="9"/>
  <c r="G163" i="9"/>
  <c r="G148" i="9"/>
  <c r="G147" i="9"/>
  <c r="G143" i="9"/>
  <c r="G164" i="9"/>
  <c r="G157" i="9"/>
  <c r="G144" i="9"/>
  <c r="G150" i="9"/>
  <c r="G161" i="9"/>
  <c r="D164" i="9"/>
  <c r="D141" i="9"/>
  <c r="F164" i="9"/>
  <c r="F142" i="9"/>
  <c r="F156" i="9"/>
  <c r="F151" i="9"/>
  <c r="F149" i="9"/>
  <c r="F146" i="9"/>
  <c r="F166" i="9"/>
  <c r="F147" i="9"/>
  <c r="F158" i="9"/>
  <c r="F137" i="9"/>
  <c r="F138" i="9"/>
  <c r="F153" i="9"/>
  <c r="F155" i="9"/>
  <c r="F160" i="9"/>
  <c r="F152" i="9"/>
  <c r="F150" i="9"/>
  <c r="F163" i="9"/>
  <c r="F157" i="9"/>
  <c r="F168" i="9"/>
  <c r="F143" i="9"/>
  <c r="F141" i="9"/>
  <c r="F154" i="9"/>
  <c r="F148" i="9"/>
  <c r="F169" i="9"/>
  <c r="F140" i="9"/>
  <c r="F165" i="9"/>
  <c r="F167" i="9"/>
  <c r="F162" i="9"/>
  <c r="F144" i="9"/>
  <c r="F139" i="9"/>
  <c r="F145" i="9"/>
  <c r="F161" i="9"/>
  <c r="F159" i="9"/>
  <c r="D138" i="9"/>
  <c r="D147" i="9"/>
  <c r="D143" i="9"/>
  <c r="D160" i="9"/>
  <c r="D151" i="9"/>
  <c r="D157" i="9"/>
  <c r="D144" i="9"/>
  <c r="D161" i="9"/>
  <c r="D140" i="9"/>
  <c r="D137" i="9"/>
  <c r="D159" i="9"/>
  <c r="D169" i="9"/>
  <c r="D162" i="9"/>
  <c r="D158" i="9"/>
  <c r="D347" i="9"/>
  <c r="D322" i="9"/>
  <c r="D315" i="9"/>
  <c r="D337" i="9"/>
  <c r="D326" i="9"/>
  <c r="D342" i="9"/>
  <c r="D331" i="9"/>
  <c r="D317" i="9"/>
  <c r="D316" i="9"/>
  <c r="D333" i="9"/>
  <c r="D338" i="9"/>
  <c r="D336" i="9"/>
  <c r="D334" i="9"/>
  <c r="D328" i="9"/>
  <c r="D344" i="9"/>
  <c r="D318" i="9"/>
  <c r="D346" i="9"/>
  <c r="D324" i="9"/>
  <c r="D343" i="9"/>
  <c r="D332" i="9"/>
  <c r="D340" i="9"/>
  <c r="D345" i="9"/>
  <c r="D335" i="9"/>
  <c r="D327" i="9"/>
  <c r="D325" i="9"/>
  <c r="D339" i="9"/>
  <c r="D321" i="9"/>
  <c r="D341" i="9"/>
  <c r="D320" i="9"/>
  <c r="D330" i="9"/>
  <c r="D329" i="9"/>
  <c r="D323" i="9"/>
  <c r="E253" i="8"/>
  <c r="E172" i="9" s="1"/>
  <c r="I177" i="8"/>
  <c r="I95" i="8"/>
  <c r="I73" i="8"/>
  <c r="I72" i="8"/>
  <c r="H60" i="8"/>
  <c r="H95" i="8"/>
  <c r="H73" i="8"/>
  <c r="H258" i="8"/>
  <c r="H260" i="8"/>
  <c r="H72" i="8"/>
  <c r="H177" i="8"/>
  <c r="G95" i="8"/>
  <c r="G154" i="8"/>
  <c r="F95" i="8"/>
  <c r="E155" i="8"/>
  <c r="E168" i="8"/>
  <c r="E154" i="8"/>
  <c r="F154" i="8"/>
  <c r="E169" i="8"/>
  <c r="I168" i="8"/>
  <c r="E95" i="8"/>
  <c r="H154" i="8"/>
  <c r="I154" i="8"/>
  <c r="I155" i="8"/>
  <c r="F176" i="8"/>
  <c r="F177" i="8"/>
  <c r="I176" i="8"/>
  <c r="E175" i="8"/>
  <c r="G177" i="8"/>
  <c r="G176" i="8"/>
  <c r="H176" i="8"/>
  <c r="F60" i="8"/>
  <c r="G60" i="8"/>
  <c r="E60" i="8"/>
  <c r="E258" i="8"/>
  <c r="E260" i="8"/>
  <c r="E199" i="8" l="1"/>
  <c r="E200" i="8"/>
  <c r="E202" i="8" s="1"/>
  <c r="H164" i="8"/>
  <c r="G164" i="8"/>
  <c r="F164" i="8"/>
  <c r="E165" i="8"/>
  <c r="E259" i="8"/>
  <c r="E88" i="8" s="1"/>
  <c r="H89" i="8"/>
  <c r="H87" i="8"/>
  <c r="H259" i="8"/>
  <c r="H88" i="8" s="1"/>
  <c r="G180" i="9"/>
  <c r="G215" i="9" s="1"/>
  <c r="G197" i="9"/>
  <c r="G232" i="9" s="1"/>
  <c r="G200" i="9"/>
  <c r="G235" i="9" s="1"/>
  <c r="G201" i="9"/>
  <c r="G236" i="9" s="1"/>
  <c r="G176" i="9"/>
  <c r="G211" i="9" s="1"/>
  <c r="G188" i="9"/>
  <c r="G223" i="9" s="1"/>
  <c r="G182" i="9"/>
  <c r="G217" i="9" s="1"/>
  <c r="G199" i="9"/>
  <c r="G234" i="9" s="1"/>
  <c r="G196" i="9"/>
  <c r="G231" i="9" s="1"/>
  <c r="G189" i="9"/>
  <c r="G224" i="9" s="1"/>
  <c r="G204" i="9"/>
  <c r="G239" i="9" s="1"/>
  <c r="G178" i="9"/>
  <c r="G213" i="9" s="1"/>
  <c r="G183" i="9"/>
  <c r="G218" i="9" s="1"/>
  <c r="G194" i="9"/>
  <c r="G229" i="9" s="1"/>
  <c r="G186" i="9"/>
  <c r="G221" i="9" s="1"/>
  <c r="G173" i="9"/>
  <c r="G208" i="9" s="1"/>
  <c r="G177" i="9"/>
  <c r="G212" i="9" s="1"/>
  <c r="E203" i="9"/>
  <c r="E238" i="9" s="1"/>
  <c r="E190" i="9"/>
  <c r="E225" i="9" s="1"/>
  <c r="F178" i="9"/>
  <c r="F213" i="9" s="1"/>
  <c r="E201" i="9"/>
  <c r="E236" i="9" s="1"/>
  <c r="F180" i="9"/>
  <c r="F215" i="9" s="1"/>
  <c r="F190" i="9"/>
  <c r="F225" i="9" s="1"/>
  <c r="F194" i="9"/>
  <c r="F229" i="9" s="1"/>
  <c r="F177" i="9"/>
  <c r="F212" i="9" s="1"/>
  <c r="E204" i="9"/>
  <c r="E239" i="9" s="1"/>
  <c r="E192" i="9"/>
  <c r="E227" i="9" s="1"/>
  <c r="E197" i="9"/>
  <c r="E232" i="9" s="1"/>
  <c r="F174" i="9"/>
  <c r="F209" i="9" s="1"/>
  <c r="F188" i="9"/>
  <c r="F223" i="9" s="1"/>
  <c r="F182" i="9"/>
  <c r="F217" i="9" s="1"/>
  <c r="E176" i="9"/>
  <c r="E211" i="9" s="1"/>
  <c r="E186" i="9"/>
  <c r="E221" i="9" s="1"/>
  <c r="E181" i="9"/>
  <c r="E216" i="9" s="1"/>
  <c r="E179" i="9"/>
  <c r="E214" i="9" s="1"/>
  <c r="E182" i="9"/>
  <c r="E217" i="9" s="1"/>
  <c r="F204" i="9"/>
  <c r="F239" i="9" s="1"/>
  <c r="F201" i="9"/>
  <c r="F236" i="9" s="1"/>
  <c r="E189" i="9"/>
  <c r="E224" i="9" s="1"/>
  <c r="F198" i="9"/>
  <c r="F233" i="9" s="1"/>
  <c r="E191" i="9"/>
  <c r="E226" i="9" s="1"/>
  <c r="E195" i="9"/>
  <c r="E230" i="9" s="1"/>
  <c r="E174" i="9"/>
  <c r="E209" i="9" s="1"/>
  <c r="F179" i="9"/>
  <c r="F214" i="9" s="1"/>
  <c r="F176" i="9"/>
  <c r="F211" i="9" s="1"/>
  <c r="F184" i="9"/>
  <c r="F219" i="9" s="1"/>
  <c r="E177" i="9"/>
  <c r="E212" i="9" s="1"/>
  <c r="E193" i="9"/>
  <c r="E228" i="9" s="1"/>
  <c r="D188" i="9"/>
  <c r="D223" i="9" s="1"/>
  <c r="D204" i="9"/>
  <c r="D239" i="9" s="1"/>
  <c r="D194" i="9"/>
  <c r="D229" i="9" s="1"/>
  <c r="D181" i="9"/>
  <c r="D216" i="9" s="1"/>
  <c r="D184" i="9"/>
  <c r="D219" i="9" s="1"/>
  <c r="D172" i="9"/>
  <c r="D207" i="9" s="1"/>
  <c r="D177" i="9"/>
  <c r="D212" i="9" s="1"/>
  <c r="D190" i="9"/>
  <c r="D225" i="9" s="1"/>
  <c r="D203" i="9"/>
  <c r="D238" i="9" s="1"/>
  <c r="D202" i="9"/>
  <c r="D237" i="9" s="1"/>
  <c r="D189" i="9"/>
  <c r="D224" i="9" s="1"/>
  <c r="D200" i="9"/>
  <c r="D235" i="9" s="1"/>
  <c r="D180" i="9"/>
  <c r="D215" i="9" s="1"/>
  <c r="D197" i="9"/>
  <c r="D232" i="9" s="1"/>
  <c r="D176" i="9"/>
  <c r="D211" i="9" s="1"/>
  <c r="F202" i="9"/>
  <c r="F237" i="9" s="1"/>
  <c r="F197" i="9"/>
  <c r="F232" i="9" s="1"/>
  <c r="F183" i="9"/>
  <c r="F218" i="9" s="1"/>
  <c r="F203" i="9"/>
  <c r="F238" i="9" s="1"/>
  <c r="F185" i="9"/>
  <c r="F220" i="9" s="1"/>
  <c r="F186" i="9"/>
  <c r="F221" i="9" s="1"/>
  <c r="F199" i="9"/>
  <c r="F234" i="9" s="1"/>
  <c r="D195" i="9"/>
  <c r="D230" i="9" s="1"/>
  <c r="G198" i="9"/>
  <c r="G233" i="9" s="1"/>
  <c r="G202" i="9"/>
  <c r="G237" i="9" s="1"/>
  <c r="G184" i="9"/>
  <c r="G219" i="9" s="1"/>
  <c r="G193" i="9"/>
  <c r="G228" i="9" s="1"/>
  <c r="E188" i="9"/>
  <c r="E223" i="9" s="1"/>
  <c r="E200" i="9"/>
  <c r="E235" i="9" s="1"/>
  <c r="E194" i="9"/>
  <c r="E229" i="9" s="1"/>
  <c r="E180" i="9"/>
  <c r="E215" i="9" s="1"/>
  <c r="F196" i="9"/>
  <c r="F231" i="9" s="1"/>
  <c r="F200" i="9"/>
  <c r="F235" i="9" s="1"/>
  <c r="F189" i="9"/>
  <c r="F224" i="9" s="1"/>
  <c r="F172" i="9"/>
  <c r="F207" i="9" s="1"/>
  <c r="F173" i="9"/>
  <c r="F208" i="9" s="1"/>
  <c r="F191" i="9"/>
  <c r="F226" i="9" s="1"/>
  <c r="D175" i="9"/>
  <c r="D210" i="9" s="1"/>
  <c r="G179" i="9"/>
  <c r="G214" i="9" s="1"/>
  <c r="G175" i="9"/>
  <c r="G210" i="9" s="1"/>
  <c r="G203" i="9"/>
  <c r="G238" i="9" s="1"/>
  <c r="G181" i="9"/>
  <c r="G216" i="9" s="1"/>
  <c r="E175" i="9"/>
  <c r="E210" i="9" s="1"/>
  <c r="E173" i="9"/>
  <c r="E208" i="9" s="1"/>
  <c r="D183" i="9"/>
  <c r="D218" i="9" s="1"/>
  <c r="D174" i="9"/>
  <c r="D209" i="9" s="1"/>
  <c r="F192" i="9"/>
  <c r="F227" i="9" s="1"/>
  <c r="F187" i="9"/>
  <c r="F222" i="9" s="1"/>
  <c r="D191" i="9"/>
  <c r="D226" i="9" s="1"/>
  <c r="G195" i="9"/>
  <c r="G230" i="9" s="1"/>
  <c r="G191" i="9"/>
  <c r="G226" i="9" s="1"/>
  <c r="G172" i="9"/>
  <c r="G207" i="9" s="1"/>
  <c r="E199" i="9"/>
  <c r="E234" i="9" s="1"/>
  <c r="E196" i="9"/>
  <c r="E231" i="9" s="1"/>
  <c r="E185" i="9"/>
  <c r="E220" i="9" s="1"/>
  <c r="E207" i="9"/>
  <c r="D193" i="9"/>
  <c r="D228" i="9" s="1"/>
  <c r="D192" i="9"/>
  <c r="D227" i="9" s="1"/>
  <c r="D178" i="9"/>
  <c r="D213" i="9" s="1"/>
  <c r="D196" i="9"/>
  <c r="D231" i="9" s="1"/>
  <c r="D182" i="9"/>
  <c r="D217" i="9" s="1"/>
  <c r="D173" i="9"/>
  <c r="D208" i="9" s="1"/>
  <c r="D179" i="9"/>
  <c r="D214" i="9" s="1"/>
  <c r="D198" i="9"/>
  <c r="D233" i="9" s="1"/>
  <c r="D185" i="9"/>
  <c r="D220" i="9" s="1"/>
  <c r="G174" i="9"/>
  <c r="G209" i="9" s="1"/>
  <c r="D201" i="9"/>
  <c r="D236" i="9" s="1"/>
  <c r="D187" i="9"/>
  <c r="D222" i="9" s="1"/>
  <c r="D199" i="9"/>
  <c r="D234" i="9" s="1"/>
  <c r="F175" i="9"/>
  <c r="F210" i="9" s="1"/>
  <c r="F193" i="9"/>
  <c r="F228" i="9" s="1"/>
  <c r="F195" i="9"/>
  <c r="F230" i="9" s="1"/>
  <c r="F181" i="9"/>
  <c r="F216" i="9" s="1"/>
  <c r="D186" i="9"/>
  <c r="D221" i="9" s="1"/>
  <c r="G192" i="9"/>
  <c r="G227" i="9" s="1"/>
  <c r="G185" i="9"/>
  <c r="G220" i="9" s="1"/>
  <c r="G190" i="9"/>
  <c r="G225" i="9" s="1"/>
  <c r="G187" i="9"/>
  <c r="G222" i="9" s="1"/>
  <c r="E178" i="9"/>
  <c r="E213" i="9" s="1"/>
  <c r="E202" i="9"/>
  <c r="E237" i="9" s="1"/>
  <c r="E183" i="9"/>
  <c r="E218" i="9" s="1"/>
  <c r="E198" i="9"/>
  <c r="E233" i="9" s="1"/>
  <c r="E187" i="9"/>
  <c r="E222" i="9" s="1"/>
  <c r="E184" i="9"/>
  <c r="E219" i="9" s="1"/>
  <c r="C187" i="9"/>
  <c r="C222" i="9" s="1"/>
  <c r="C203" i="9"/>
  <c r="C238" i="9" s="1"/>
  <c r="C173" i="9"/>
  <c r="C208" i="9" s="1"/>
  <c r="C198" i="9"/>
  <c r="C233" i="9" s="1"/>
  <c r="C176" i="9"/>
  <c r="C211" i="9" s="1"/>
  <c r="C178" i="9"/>
  <c r="C213" i="9" s="1"/>
  <c r="C202" i="9"/>
  <c r="C237" i="9" s="1"/>
  <c r="C197" i="9"/>
  <c r="C232" i="9" s="1"/>
  <c r="C186" i="9"/>
  <c r="C221" i="9" s="1"/>
  <c r="C193" i="9"/>
  <c r="C228" i="9" s="1"/>
  <c r="C183" i="9"/>
  <c r="C218" i="9" s="1"/>
  <c r="C204" i="9"/>
  <c r="C239" i="9" s="1"/>
  <c r="C185" i="9"/>
  <c r="C220" i="9" s="1"/>
  <c r="C191" i="9"/>
  <c r="C226" i="9" s="1"/>
  <c r="C181" i="9"/>
  <c r="C216" i="9" s="1"/>
  <c r="C188" i="9"/>
  <c r="C223" i="9" s="1"/>
  <c r="C196" i="9"/>
  <c r="C231" i="9" s="1"/>
  <c r="C182" i="9"/>
  <c r="C217" i="9" s="1"/>
  <c r="C177" i="9"/>
  <c r="C212" i="9" s="1"/>
  <c r="C180" i="9"/>
  <c r="C215" i="9" s="1"/>
  <c r="C200" i="9"/>
  <c r="C235" i="9" s="1"/>
  <c r="C192" i="9"/>
  <c r="C227" i="9" s="1"/>
  <c r="C201" i="9"/>
  <c r="C236" i="9" s="1"/>
  <c r="C174" i="9"/>
  <c r="C209" i="9" s="1"/>
  <c r="C189" i="9"/>
  <c r="C224" i="9" s="1"/>
  <c r="C175" i="9"/>
  <c r="C210" i="9" s="1"/>
  <c r="C179" i="9"/>
  <c r="C214" i="9" s="1"/>
  <c r="C194" i="9"/>
  <c r="C229" i="9" s="1"/>
  <c r="C172" i="9"/>
  <c r="C207" i="9" s="1"/>
  <c r="C199" i="9"/>
  <c r="C234" i="9" s="1"/>
  <c r="C184" i="9"/>
  <c r="C219" i="9" s="1"/>
  <c r="C195" i="9"/>
  <c r="C230" i="9" s="1"/>
  <c r="C190" i="9"/>
  <c r="C225" i="9" s="1"/>
  <c r="I63" i="8"/>
  <c r="I62" i="8"/>
  <c r="H62" i="8"/>
  <c r="H63" i="8"/>
  <c r="E113" i="8"/>
  <c r="E112" i="8" s="1"/>
  <c r="E72" i="8"/>
  <c r="E87" i="8"/>
  <c r="E89" i="8"/>
  <c r="G155" i="8"/>
  <c r="G258" i="8"/>
  <c r="F155" i="8"/>
  <c r="G260" i="8"/>
  <c r="H168" i="8"/>
  <c r="G168" i="8"/>
  <c r="H155" i="8"/>
  <c r="G169" i="8"/>
  <c r="F168" i="8"/>
  <c r="F169" i="8"/>
  <c r="F73" i="8" s="1"/>
  <c r="E73" i="8"/>
  <c r="F63" i="8"/>
  <c r="F62" i="8"/>
  <c r="E176" i="8"/>
  <c r="E177" i="8"/>
  <c r="G62" i="8"/>
  <c r="G63" i="8"/>
  <c r="F260" i="8"/>
  <c r="F258" i="8"/>
  <c r="G70" i="8" l="1"/>
  <c r="G89" i="8"/>
  <c r="G87" i="8"/>
  <c r="G259" i="8"/>
  <c r="G88" i="8" s="1"/>
  <c r="G165" i="8"/>
  <c r="F89" i="8"/>
  <c r="F259" i="8"/>
  <c r="F88" i="8" s="1"/>
  <c r="F87" i="8"/>
  <c r="F165" i="8"/>
  <c r="J61" i="8"/>
  <c r="E117" i="8"/>
  <c r="E118" i="8"/>
  <c r="I56" i="8"/>
  <c r="I138" i="8"/>
  <c r="I139" i="8"/>
  <c r="H139" i="8"/>
  <c r="H138" i="8"/>
  <c r="F138" i="8"/>
  <c r="G139" i="8"/>
  <c r="G138" i="8"/>
  <c r="F139" i="8"/>
  <c r="E138" i="8"/>
  <c r="E139" i="8"/>
  <c r="G72" i="8"/>
  <c r="F72" i="8"/>
  <c r="G73" i="8"/>
  <c r="E63" i="8"/>
  <c r="E62" i="8"/>
  <c r="E166" i="8" l="1"/>
  <c r="E120" i="8"/>
  <c r="E122" i="8" s="1"/>
  <c r="G158" i="8" s="1"/>
  <c r="G159" i="8" s="1"/>
  <c r="G160" i="8" s="1"/>
  <c r="E119" i="8"/>
  <c r="I55" i="8"/>
  <c r="H56" i="8"/>
  <c r="H55" i="8"/>
  <c r="G56" i="8"/>
  <c r="G55" i="8"/>
  <c r="F55" i="8"/>
  <c r="F56" i="8"/>
  <c r="E55" i="8"/>
  <c r="E56" i="8"/>
  <c r="G180" i="8"/>
  <c r="G52" i="8"/>
  <c r="E68" i="8"/>
  <c r="H158" i="8" l="1"/>
  <c r="H159" i="8" s="1"/>
  <c r="H160" i="8" s="1"/>
  <c r="F158" i="8"/>
  <c r="F159" i="8" s="1"/>
  <c r="F160" i="8" s="1"/>
  <c r="I158" i="8"/>
  <c r="I159" i="8" s="1"/>
  <c r="I160" i="8" s="1"/>
  <c r="E158" i="8"/>
  <c r="E159" i="8" s="1"/>
  <c r="E160" i="8" s="1"/>
  <c r="E121" i="8"/>
  <c r="I52" i="8"/>
  <c r="H52" i="8"/>
  <c r="G181" i="8"/>
  <c r="I180" i="8"/>
  <c r="F52" i="8"/>
  <c r="E52" i="8"/>
  <c r="H180" i="8"/>
  <c r="F180" i="8"/>
  <c r="E161" i="8"/>
  <c r="G182" i="8" l="1"/>
  <c r="G218" i="8" s="1"/>
  <c r="G219" i="8" s="1"/>
  <c r="G185" i="8"/>
  <c r="G208" i="8" s="1"/>
  <c r="G211" i="8" s="1"/>
  <c r="I185" i="8"/>
  <c r="I208" i="8" s="1"/>
  <c r="I182" i="8"/>
  <c r="I218" i="8" s="1"/>
  <c r="I219" i="8" s="1"/>
  <c r="H185" i="8"/>
  <c r="H208" i="8" s="1"/>
  <c r="H182" i="8"/>
  <c r="H218" i="8" s="1"/>
  <c r="H219" i="8" s="1"/>
  <c r="I203" i="8"/>
  <c r="F203" i="8"/>
  <c r="H203" i="8"/>
  <c r="G188" i="8"/>
  <c r="G189" i="8" s="1"/>
  <c r="I188" i="8"/>
  <c r="I189" i="8" s="1"/>
  <c r="I190" i="8" s="1"/>
  <c r="E188" i="8"/>
  <c r="E189" i="8" s="1"/>
  <c r="F188" i="8"/>
  <c r="F189" i="8" s="1"/>
  <c r="G203" i="8"/>
  <c r="H188" i="8"/>
  <c r="H189" i="8" s="1"/>
  <c r="H190" i="8" s="1"/>
  <c r="F181" i="8"/>
  <c r="E180" i="8"/>
  <c r="E69" i="8"/>
  <c r="G206" i="8" l="1"/>
  <c r="G186" i="8"/>
  <c r="G220" i="8"/>
  <c r="G228" i="8" s="1"/>
  <c r="G229" i="8" s="1"/>
  <c r="G207" i="8"/>
  <c r="G209" i="8" s="1"/>
  <c r="G212" i="8" s="1"/>
  <c r="F185" i="8"/>
  <c r="F208" i="8" s="1"/>
  <c r="F182" i="8"/>
  <c r="F218" i="8" s="1"/>
  <c r="F219" i="8" s="1"/>
  <c r="E203" i="8"/>
  <c r="I206" i="8"/>
  <c r="I186" i="8"/>
  <c r="H186" i="8"/>
  <c r="I207" i="8"/>
  <c r="I214" i="8" s="1"/>
  <c r="H206" i="8"/>
  <c r="H207" i="8"/>
  <c r="H209" i="8" s="1"/>
  <c r="G214" i="8"/>
  <c r="I220" i="8"/>
  <c r="I228" i="8" s="1"/>
  <c r="I229" i="8" s="1"/>
  <c r="I191" i="8"/>
  <c r="I194" i="8" s="1"/>
  <c r="F191" i="8"/>
  <c r="G191" i="8"/>
  <c r="G190" i="8"/>
  <c r="H191" i="8"/>
  <c r="H194" i="8" s="1"/>
  <c r="F190" i="8"/>
  <c r="H220" i="8"/>
  <c r="H225" i="8" s="1"/>
  <c r="E191" i="8"/>
  <c r="E190" i="8"/>
  <c r="H211" i="8"/>
  <c r="I211" i="8"/>
  <c r="E181" i="8"/>
  <c r="G223" i="8" l="1"/>
  <c r="G224" i="8" s="1"/>
  <c r="F220" i="8"/>
  <c r="F232" i="8" s="1"/>
  <c r="F233" i="8" s="1"/>
  <c r="G225" i="8"/>
  <c r="G232" i="8"/>
  <c r="G233" i="8" s="1"/>
  <c r="F186" i="8"/>
  <c r="G234" i="8"/>
  <c r="F207" i="8"/>
  <c r="F209" i="8" s="1"/>
  <c r="F206" i="8"/>
  <c r="E185" i="8"/>
  <c r="E208" i="8" s="1"/>
  <c r="E211" i="8" s="1"/>
  <c r="E182" i="8"/>
  <c r="E218" i="8" s="1"/>
  <c r="E219" i="8" s="1"/>
  <c r="I209" i="8"/>
  <c r="I212" i="8" s="1"/>
  <c r="H214" i="8"/>
  <c r="F194" i="8"/>
  <c r="F211" i="8"/>
  <c r="G194" i="8"/>
  <c r="G247" i="8" s="1"/>
  <c r="I232" i="8"/>
  <c r="I233" i="8" s="1"/>
  <c r="I234" i="8"/>
  <c r="I223" i="8"/>
  <c r="I224" i="8" s="1"/>
  <c r="H234" i="8"/>
  <c r="I225" i="8"/>
  <c r="H223" i="8"/>
  <c r="H224" i="8" s="1"/>
  <c r="H228" i="8"/>
  <c r="H229" i="8" s="1"/>
  <c r="H232" i="8"/>
  <c r="H233" i="8" s="1"/>
  <c r="H212" i="8"/>
  <c r="F225" i="8" l="1"/>
  <c r="F228" i="8"/>
  <c r="F229" i="8" s="1"/>
  <c r="F234" i="8"/>
  <c r="F223" i="8"/>
  <c r="F224" i="8" s="1"/>
  <c r="F214" i="8"/>
  <c r="E194" i="8"/>
  <c r="E207" i="8"/>
  <c r="E209" i="8" s="1"/>
  <c r="E212" i="8" s="1"/>
  <c r="E220" i="8"/>
  <c r="E223" i="8" s="1"/>
  <c r="E224" i="8" s="1"/>
  <c r="E206" i="8"/>
  <c r="E186" i="8"/>
  <c r="I245" i="8"/>
  <c r="I249" i="8" s="1"/>
  <c r="H247" i="8"/>
  <c r="F247" i="8"/>
  <c r="F212" i="8"/>
  <c r="I247" i="8"/>
  <c r="H245" i="8"/>
  <c r="H246" i="8" s="1"/>
  <c r="G245" i="8"/>
  <c r="G249" i="8" s="1"/>
  <c r="I255" i="8"/>
  <c r="I283" i="8"/>
  <c r="G255" i="8"/>
  <c r="G283" i="8"/>
  <c r="F245" i="8" l="1"/>
  <c r="F249" i="8" s="1"/>
  <c r="D109" i="9" s="1"/>
  <c r="G102" i="8"/>
  <c r="E214" i="8"/>
  <c r="E228" i="8"/>
  <c r="E229" i="8" s="1"/>
  <c r="E234" i="8"/>
  <c r="E232" i="8"/>
  <c r="E233" i="8" s="1"/>
  <c r="E245" i="8" s="1"/>
  <c r="E249" i="8" s="1"/>
  <c r="E225" i="8"/>
  <c r="I246" i="8"/>
  <c r="G129" i="9"/>
  <c r="G269" i="9" s="1"/>
  <c r="G304" i="9" s="1"/>
  <c r="E110" i="9"/>
  <c r="E250" i="9" s="1"/>
  <c r="G112" i="9"/>
  <c r="G117" i="9"/>
  <c r="E104" i="9"/>
  <c r="E244" i="9" s="1"/>
  <c r="G120" i="9"/>
  <c r="G121" i="9"/>
  <c r="G261" i="9" s="1"/>
  <c r="G102" i="9"/>
  <c r="G130" i="9"/>
  <c r="G115" i="9"/>
  <c r="E116" i="9"/>
  <c r="E256" i="9" s="1"/>
  <c r="G128" i="9"/>
  <c r="E132" i="9"/>
  <c r="E272" i="9" s="1"/>
  <c r="G111" i="9"/>
  <c r="G131" i="9"/>
  <c r="E114" i="9"/>
  <c r="E254" i="9" s="1"/>
  <c r="E119" i="9"/>
  <c r="E259" i="9" s="1"/>
  <c r="G103" i="9"/>
  <c r="G133" i="9"/>
  <c r="G104" i="9"/>
  <c r="G126" i="9"/>
  <c r="G134" i="9"/>
  <c r="E123" i="9"/>
  <c r="E108" i="9"/>
  <c r="G132" i="9"/>
  <c r="G113" i="9"/>
  <c r="G116" i="9"/>
  <c r="E107" i="9"/>
  <c r="E247" i="9" s="1"/>
  <c r="E126" i="9"/>
  <c r="E266" i="9" s="1"/>
  <c r="G246" i="8"/>
  <c r="G123" i="9"/>
  <c r="G108" i="9"/>
  <c r="G125" i="9"/>
  <c r="G118" i="9"/>
  <c r="G106" i="9"/>
  <c r="E118" i="9"/>
  <c r="E258" i="9" s="1"/>
  <c r="E105" i="9"/>
  <c r="E106" i="9"/>
  <c r="E246" i="9" s="1"/>
  <c r="E115" i="9"/>
  <c r="E255" i="9" s="1"/>
  <c r="I65" i="8"/>
  <c r="G127" i="9"/>
  <c r="G110" i="9"/>
  <c r="G122" i="9"/>
  <c r="G109" i="9"/>
  <c r="G119" i="9"/>
  <c r="G107" i="9"/>
  <c r="G114" i="9"/>
  <c r="G105" i="9"/>
  <c r="G124" i="9"/>
  <c r="H249" i="8"/>
  <c r="E133" i="9"/>
  <c r="E109" i="9"/>
  <c r="E120" i="9"/>
  <c r="E260" i="9" s="1"/>
  <c r="G65" i="8"/>
  <c r="E112" i="9"/>
  <c r="E121" i="9"/>
  <c r="E111" i="9"/>
  <c r="E251" i="9" s="1"/>
  <c r="E117" i="9"/>
  <c r="E257" i="9" s="1"/>
  <c r="E130" i="9"/>
  <c r="E270" i="9" s="1"/>
  <c r="E125" i="9"/>
  <c r="E127" i="9"/>
  <c r="E267" i="9" s="1"/>
  <c r="E128" i="9"/>
  <c r="E268" i="9" s="1"/>
  <c r="E134" i="9"/>
  <c r="E122" i="9"/>
  <c r="E129" i="9"/>
  <c r="E269" i="9" s="1"/>
  <c r="E102" i="9"/>
  <c r="E124" i="9"/>
  <c r="E264" i="9" s="1"/>
  <c r="E113" i="9"/>
  <c r="E253" i="9" s="1"/>
  <c r="E103" i="9"/>
  <c r="E131" i="9"/>
  <c r="E271" i="9" s="1"/>
  <c r="D107" i="9"/>
  <c r="D115" i="9"/>
  <c r="D255" i="9" s="1"/>
  <c r="F283" i="8"/>
  <c r="F255" i="8"/>
  <c r="H255" i="8"/>
  <c r="H283" i="8"/>
  <c r="D118" i="9" l="1"/>
  <c r="D258" i="9" s="1"/>
  <c r="D124" i="9"/>
  <c r="D129" i="9"/>
  <c r="D269" i="9" s="1"/>
  <c r="D104" i="9"/>
  <c r="D244" i="9" s="1"/>
  <c r="D279" i="9" s="1"/>
  <c r="F102" i="8"/>
  <c r="F65" i="8"/>
  <c r="D111" i="9"/>
  <c r="D359" i="9" s="1"/>
  <c r="D125" i="9"/>
  <c r="D373" i="9" s="1"/>
  <c r="D133" i="9"/>
  <c r="D273" i="9" s="1"/>
  <c r="D103" i="9"/>
  <c r="D243" i="9" s="1"/>
  <c r="D278" i="9" s="1"/>
  <c r="D105" i="9"/>
  <c r="D353" i="9" s="1"/>
  <c r="D388" i="9" s="1"/>
  <c r="D423" i="9" s="1"/>
  <c r="D112" i="9"/>
  <c r="D360" i="9" s="1"/>
  <c r="D395" i="9" s="1"/>
  <c r="D430" i="9" s="1"/>
  <c r="D128" i="9"/>
  <c r="D376" i="9" s="1"/>
  <c r="D131" i="9"/>
  <c r="D271" i="9" s="1"/>
  <c r="D306" i="9" s="1"/>
  <c r="D116" i="9"/>
  <c r="D256" i="9" s="1"/>
  <c r="D291" i="9" s="1"/>
  <c r="F246" i="8"/>
  <c r="D108" i="9"/>
  <c r="D130" i="9"/>
  <c r="D270" i="9" s="1"/>
  <c r="D110" i="9"/>
  <c r="D358" i="9" s="1"/>
  <c r="D393" i="9" s="1"/>
  <c r="D428" i="9" s="1"/>
  <c r="D114" i="9"/>
  <c r="D362" i="9" s="1"/>
  <c r="D117" i="9"/>
  <c r="D257" i="9" s="1"/>
  <c r="D292" i="9" s="1"/>
  <c r="D132" i="9"/>
  <c r="D380" i="9" s="1"/>
  <c r="D415" i="9" s="1"/>
  <c r="D450" i="9" s="1"/>
  <c r="D119" i="9"/>
  <c r="D259" i="9" s="1"/>
  <c r="D294" i="9" s="1"/>
  <c r="D121" i="9"/>
  <c r="D261" i="9" s="1"/>
  <c r="D296" i="9" s="1"/>
  <c r="D126" i="9"/>
  <c r="D266" i="9" s="1"/>
  <c r="D106" i="9"/>
  <c r="D246" i="9" s="1"/>
  <c r="D281" i="9" s="1"/>
  <c r="D113" i="9"/>
  <c r="D361" i="9" s="1"/>
  <c r="D127" i="9"/>
  <c r="D375" i="9" s="1"/>
  <c r="D122" i="9"/>
  <c r="D370" i="9" s="1"/>
  <c r="D134" i="9"/>
  <c r="D382" i="9" s="1"/>
  <c r="D102" i="9"/>
  <c r="D350" i="9" s="1"/>
  <c r="D123" i="9"/>
  <c r="D371" i="9" s="1"/>
  <c r="D406" i="9" s="1"/>
  <c r="D441" i="9" s="1"/>
  <c r="D120" i="9"/>
  <c r="D260" i="9" s="1"/>
  <c r="D295" i="9" s="1"/>
  <c r="E247" i="8"/>
  <c r="C116" i="9" s="1"/>
  <c r="C256" i="9" s="1"/>
  <c r="C291" i="9" s="1"/>
  <c r="E246" i="8"/>
  <c r="E358" i="9"/>
  <c r="E393" i="9" s="1"/>
  <c r="E428" i="9" s="1"/>
  <c r="G377" i="9"/>
  <c r="G412" i="9" s="1"/>
  <c r="G447" i="9" s="1"/>
  <c r="F110" i="9"/>
  <c r="F250" i="9" s="1"/>
  <c r="F285" i="9" s="1"/>
  <c r="D352" i="9"/>
  <c r="D387" i="9" s="1"/>
  <c r="D422" i="9" s="1"/>
  <c r="D247" i="9"/>
  <c r="D282" i="9" s="1"/>
  <c r="G265" i="9"/>
  <c r="G300" i="9" s="1"/>
  <c r="G270" i="9"/>
  <c r="G305" i="9" s="1"/>
  <c r="D366" i="9"/>
  <c r="E274" i="9"/>
  <c r="E309" i="9" s="1"/>
  <c r="E360" i="9"/>
  <c r="E395" i="9" s="1"/>
  <c r="E430" i="9" s="1"/>
  <c r="E252" i="9"/>
  <c r="E287" i="9" s="1"/>
  <c r="G250" i="9"/>
  <c r="G285" i="9" s="1"/>
  <c r="E353" i="9"/>
  <c r="E388" i="9" s="1"/>
  <c r="E423" i="9" s="1"/>
  <c r="E245" i="9"/>
  <c r="E280" i="9" s="1"/>
  <c r="G374" i="9"/>
  <c r="G409" i="9" s="1"/>
  <c r="G444" i="9" s="1"/>
  <c r="G266" i="9"/>
  <c r="G301" i="9" s="1"/>
  <c r="G372" i="9"/>
  <c r="G407" i="9" s="1"/>
  <c r="G442" i="9" s="1"/>
  <c r="G264" i="9"/>
  <c r="G299" i="9" s="1"/>
  <c r="G375" i="9"/>
  <c r="G410" i="9" s="1"/>
  <c r="G445" i="9" s="1"/>
  <c r="G267" i="9"/>
  <c r="G302" i="9" s="1"/>
  <c r="G352" i="9"/>
  <c r="G244" i="9"/>
  <c r="G279" i="9" s="1"/>
  <c r="G268" i="9"/>
  <c r="G303" i="9" s="1"/>
  <c r="G257" i="9"/>
  <c r="G292" i="9" s="1"/>
  <c r="E351" i="9"/>
  <c r="E386" i="9" s="1"/>
  <c r="E421" i="9" s="1"/>
  <c r="E243" i="9"/>
  <c r="E278" i="9" s="1"/>
  <c r="G353" i="9"/>
  <c r="G388" i="9" s="1"/>
  <c r="G423" i="9" s="1"/>
  <c r="G245" i="9"/>
  <c r="G246" i="9"/>
  <c r="G281" i="9" s="1"/>
  <c r="G364" i="9"/>
  <c r="G256" i="9"/>
  <c r="G291" i="9" s="1"/>
  <c r="G381" i="9"/>
  <c r="G273" i="9"/>
  <c r="G308" i="9" s="1"/>
  <c r="G252" i="9"/>
  <c r="G287" i="9" s="1"/>
  <c r="D357" i="9"/>
  <c r="D392" i="9" s="1"/>
  <c r="D427" i="9" s="1"/>
  <c r="D249" i="9"/>
  <c r="D284" i="9" s="1"/>
  <c r="G380" i="9"/>
  <c r="G415" i="9" s="1"/>
  <c r="G450" i="9" s="1"/>
  <c r="G272" i="9"/>
  <c r="G307" i="9" s="1"/>
  <c r="D264" i="9"/>
  <c r="D299" i="9" s="1"/>
  <c r="E350" i="9"/>
  <c r="E385" i="9" s="1"/>
  <c r="E420" i="9" s="1"/>
  <c r="E242" i="9"/>
  <c r="E277" i="9" s="1"/>
  <c r="E373" i="9"/>
  <c r="E408" i="9" s="1"/>
  <c r="E443" i="9" s="1"/>
  <c r="E265" i="9"/>
  <c r="E300" i="9" s="1"/>
  <c r="G254" i="9"/>
  <c r="G289" i="9" s="1"/>
  <c r="G366" i="9"/>
  <c r="G401" i="9" s="1"/>
  <c r="G436" i="9" s="1"/>
  <c r="G258" i="9"/>
  <c r="G361" i="9"/>
  <c r="G253" i="9"/>
  <c r="G288" i="9" s="1"/>
  <c r="G243" i="9"/>
  <c r="G278" i="9" s="1"/>
  <c r="G255" i="9"/>
  <c r="G290" i="9" s="1"/>
  <c r="G247" i="9"/>
  <c r="G282" i="9" s="1"/>
  <c r="G259" i="9"/>
  <c r="G294" i="9" s="1"/>
  <c r="G356" i="9"/>
  <c r="G248" i="9"/>
  <c r="G283" i="9" s="1"/>
  <c r="E356" i="9"/>
  <c r="E391" i="9" s="1"/>
  <c r="E426" i="9" s="1"/>
  <c r="E248" i="9"/>
  <c r="G242" i="9"/>
  <c r="G277" i="9" s="1"/>
  <c r="E357" i="9"/>
  <c r="E392" i="9" s="1"/>
  <c r="E427" i="9" s="1"/>
  <c r="E249" i="9"/>
  <c r="E284" i="9" s="1"/>
  <c r="G249" i="9"/>
  <c r="G284" i="9" s="1"/>
  <c r="G371" i="9"/>
  <c r="G263" i="9"/>
  <c r="G298" i="9" s="1"/>
  <c r="E371" i="9"/>
  <c r="E406" i="9" s="1"/>
  <c r="E441" i="9" s="1"/>
  <c r="E263" i="9"/>
  <c r="E298" i="9" s="1"/>
  <c r="G271" i="9"/>
  <c r="G306" i="9" s="1"/>
  <c r="D356" i="9"/>
  <c r="D391" i="9" s="1"/>
  <c r="D426" i="9" s="1"/>
  <c r="D248" i="9"/>
  <c r="D283" i="9" s="1"/>
  <c r="E370" i="9"/>
  <c r="E405" i="9" s="1"/>
  <c r="E440" i="9" s="1"/>
  <c r="E262" i="9"/>
  <c r="E297" i="9" s="1"/>
  <c r="E369" i="9"/>
  <c r="E404" i="9" s="1"/>
  <c r="E439" i="9" s="1"/>
  <c r="E261" i="9"/>
  <c r="E296" i="9" s="1"/>
  <c r="E381" i="9"/>
  <c r="E416" i="9" s="1"/>
  <c r="E451" i="9" s="1"/>
  <c r="E273" i="9"/>
  <c r="E308" i="9" s="1"/>
  <c r="G262" i="9"/>
  <c r="G297" i="9" s="1"/>
  <c r="G382" i="9"/>
  <c r="G274" i="9"/>
  <c r="G309" i="9" s="1"/>
  <c r="G359" i="9"/>
  <c r="G251" i="9"/>
  <c r="G286" i="9" s="1"/>
  <c r="G260" i="9"/>
  <c r="G295" i="9" s="1"/>
  <c r="G365" i="9"/>
  <c r="E352" i="9"/>
  <c r="G360" i="9"/>
  <c r="G369" i="9"/>
  <c r="G368" i="9"/>
  <c r="G373" i="9"/>
  <c r="E364" i="9"/>
  <c r="G350" i="9"/>
  <c r="E367" i="9"/>
  <c r="G378" i="9"/>
  <c r="G363" i="9"/>
  <c r="G351" i="9"/>
  <c r="G376" i="9"/>
  <c r="E380" i="9"/>
  <c r="E366" i="9"/>
  <c r="G379" i="9"/>
  <c r="E362" i="9"/>
  <c r="G355" i="9"/>
  <c r="D368" i="9"/>
  <c r="E355" i="9"/>
  <c r="E374" i="9"/>
  <c r="E363" i="9"/>
  <c r="G370" i="9"/>
  <c r="F124" i="9"/>
  <c r="E354" i="9"/>
  <c r="G354" i="9"/>
  <c r="F129" i="9"/>
  <c r="F116" i="9"/>
  <c r="F134" i="9"/>
  <c r="F126" i="9"/>
  <c r="F105" i="9"/>
  <c r="F107" i="9"/>
  <c r="F128" i="9"/>
  <c r="F123" i="9"/>
  <c r="F121" i="9"/>
  <c r="G367" i="9"/>
  <c r="G362" i="9"/>
  <c r="F131" i="9"/>
  <c r="F125" i="9"/>
  <c r="E368" i="9"/>
  <c r="E365" i="9"/>
  <c r="E377" i="9"/>
  <c r="E359" i="9"/>
  <c r="G358" i="9"/>
  <c r="G357" i="9"/>
  <c r="H65" i="8"/>
  <c r="F114" i="9"/>
  <c r="F122" i="9"/>
  <c r="F112" i="9"/>
  <c r="F130" i="9"/>
  <c r="F133" i="9"/>
  <c r="F119" i="9"/>
  <c r="F106" i="9"/>
  <c r="F120" i="9"/>
  <c r="F115" i="9"/>
  <c r="F127" i="9"/>
  <c r="F113" i="9"/>
  <c r="F117" i="9"/>
  <c r="F103" i="9"/>
  <c r="F108" i="9"/>
  <c r="F118" i="9"/>
  <c r="F132" i="9"/>
  <c r="F104" i="9"/>
  <c r="F109" i="9"/>
  <c r="F102" i="9"/>
  <c r="F111" i="9"/>
  <c r="F251" i="9" s="1"/>
  <c r="E375" i="9"/>
  <c r="E361" i="9"/>
  <c r="E379" i="9"/>
  <c r="E376" i="9"/>
  <c r="E372" i="9"/>
  <c r="E378" i="9"/>
  <c r="E382" i="9"/>
  <c r="D355" i="9"/>
  <c r="D354" i="9"/>
  <c r="D363" i="9"/>
  <c r="D372" i="9"/>
  <c r="D374" i="9"/>
  <c r="G296" i="9"/>
  <c r="E292" i="9"/>
  <c r="E290" i="9"/>
  <c r="E301" i="9"/>
  <c r="E286" i="9"/>
  <c r="E281" i="9"/>
  <c r="E295" i="9"/>
  <c r="E306" i="9"/>
  <c r="E303" i="9"/>
  <c r="E288" i="9"/>
  <c r="E293" i="9"/>
  <c r="E302" i="9"/>
  <c r="E307" i="9"/>
  <c r="E282" i="9"/>
  <c r="E291" i="9"/>
  <c r="E294" i="9"/>
  <c r="E285" i="9"/>
  <c r="E304" i="9"/>
  <c r="E279" i="9"/>
  <c r="E289" i="9"/>
  <c r="E299" i="9"/>
  <c r="E305" i="9"/>
  <c r="D290" i="9"/>
  <c r="D305" i="9"/>
  <c r="D304" i="9"/>
  <c r="D301" i="9"/>
  <c r="E255" i="8"/>
  <c r="E283" i="8"/>
  <c r="D377" i="9" l="1"/>
  <c r="D367" i="9"/>
  <c r="D265" i="9"/>
  <c r="D300" i="9" s="1"/>
  <c r="D263" i="9"/>
  <c r="D298" i="9" s="1"/>
  <c r="D369" i="9"/>
  <c r="D404" i="9" s="1"/>
  <c r="D439" i="9" s="1"/>
  <c r="D379" i="9"/>
  <c r="D242" i="9"/>
  <c r="D277" i="9" s="1"/>
  <c r="D364" i="9"/>
  <c r="D399" i="9" s="1"/>
  <c r="D434" i="9" s="1"/>
  <c r="D253" i="9"/>
  <c r="D288" i="9" s="1"/>
  <c r="D381" i="9"/>
  <c r="D251" i="9"/>
  <c r="D286" i="9" s="1"/>
  <c r="D351" i="9"/>
  <c r="D386" i="9" s="1"/>
  <c r="D421" i="9" s="1"/>
  <c r="D274" i="9"/>
  <c r="D309" i="9" s="1"/>
  <c r="D272" i="9"/>
  <c r="D307" i="9" s="1"/>
  <c r="D245" i="9"/>
  <c r="D280" i="9" s="1"/>
  <c r="D365" i="9"/>
  <c r="D400" i="9" s="1"/>
  <c r="D435" i="9" s="1"/>
  <c r="D268" i="9"/>
  <c r="D303" i="9" s="1"/>
  <c r="D378" i="9"/>
  <c r="D413" i="9" s="1"/>
  <c r="D448" i="9" s="1"/>
  <c r="D254" i="9"/>
  <c r="D289" i="9" s="1"/>
  <c r="D267" i="9"/>
  <c r="D302" i="9" s="1"/>
  <c r="D262" i="9"/>
  <c r="D297" i="9" s="1"/>
  <c r="D252" i="9"/>
  <c r="D287" i="9" s="1"/>
  <c r="D250" i="9"/>
  <c r="D285" i="9" s="1"/>
  <c r="C127" i="9"/>
  <c r="C375" i="9" s="1"/>
  <c r="C410" i="9" s="1"/>
  <c r="C445" i="9" s="1"/>
  <c r="C126" i="9"/>
  <c r="C374" i="9" s="1"/>
  <c r="C409" i="9" s="1"/>
  <c r="C113" i="9"/>
  <c r="C361" i="9" s="1"/>
  <c r="C396" i="9" s="1"/>
  <c r="C102" i="9"/>
  <c r="C242" i="9" s="1"/>
  <c r="C277" i="9" s="1"/>
  <c r="C105" i="9"/>
  <c r="C245" i="9" s="1"/>
  <c r="C280" i="9" s="1"/>
  <c r="C111" i="9"/>
  <c r="C251" i="9" s="1"/>
  <c r="C286" i="9" s="1"/>
  <c r="C123" i="9"/>
  <c r="C371" i="9" s="1"/>
  <c r="C406" i="9" s="1"/>
  <c r="C112" i="9"/>
  <c r="C252" i="9" s="1"/>
  <c r="C287" i="9" s="1"/>
  <c r="C109" i="9"/>
  <c r="C249" i="9" s="1"/>
  <c r="C284" i="9" s="1"/>
  <c r="C120" i="9"/>
  <c r="C368" i="9" s="1"/>
  <c r="C403" i="9" s="1"/>
  <c r="C132" i="9"/>
  <c r="C272" i="9" s="1"/>
  <c r="C307" i="9" s="1"/>
  <c r="C115" i="9"/>
  <c r="C363" i="9" s="1"/>
  <c r="C398" i="9" s="1"/>
  <c r="C106" i="9"/>
  <c r="C246" i="9" s="1"/>
  <c r="C281" i="9" s="1"/>
  <c r="C131" i="9"/>
  <c r="C271" i="9" s="1"/>
  <c r="C306" i="9" s="1"/>
  <c r="C133" i="9"/>
  <c r="C381" i="9" s="1"/>
  <c r="C416" i="9" s="1"/>
  <c r="C128" i="9"/>
  <c r="C376" i="9" s="1"/>
  <c r="C411" i="9" s="1"/>
  <c r="C119" i="9"/>
  <c r="C259" i="9" s="1"/>
  <c r="C294" i="9" s="1"/>
  <c r="C118" i="9"/>
  <c r="C258" i="9" s="1"/>
  <c r="C293" i="9" s="1"/>
  <c r="C104" i="9"/>
  <c r="C244" i="9" s="1"/>
  <c r="C279" i="9" s="1"/>
  <c r="C122" i="9"/>
  <c r="C262" i="9" s="1"/>
  <c r="C297" i="9" s="1"/>
  <c r="C125" i="9"/>
  <c r="C373" i="9" s="1"/>
  <c r="C408" i="9" s="1"/>
  <c r="C110" i="9"/>
  <c r="C358" i="9" s="1"/>
  <c r="C393" i="9" s="1"/>
  <c r="C107" i="9"/>
  <c r="C247" i="9" s="1"/>
  <c r="C282" i="9" s="1"/>
  <c r="C117" i="9"/>
  <c r="C365" i="9" s="1"/>
  <c r="C400" i="9" s="1"/>
  <c r="C129" i="9"/>
  <c r="C108" i="9"/>
  <c r="C248" i="9" s="1"/>
  <c r="C283" i="9" s="1"/>
  <c r="C130" i="9"/>
  <c r="C270" i="9" s="1"/>
  <c r="C305" i="9" s="1"/>
  <c r="C124" i="9"/>
  <c r="C372" i="9" s="1"/>
  <c r="C407" i="9" s="1"/>
  <c r="C114" i="9"/>
  <c r="C362" i="9" s="1"/>
  <c r="C397" i="9" s="1"/>
  <c r="C103" i="9"/>
  <c r="C351" i="9" s="1"/>
  <c r="C386" i="9" s="1"/>
  <c r="C121" i="9"/>
  <c r="C369" i="9" s="1"/>
  <c r="C404" i="9" s="1"/>
  <c r="C134" i="9"/>
  <c r="C274" i="9" s="1"/>
  <c r="C309" i="9" s="1"/>
  <c r="E65" i="8"/>
  <c r="E102" i="8"/>
  <c r="C364" i="9"/>
  <c r="C399" i="9" s="1"/>
  <c r="D77" i="9"/>
  <c r="E53" i="9"/>
  <c r="G50" i="9"/>
  <c r="G74" i="9"/>
  <c r="E55" i="9"/>
  <c r="G63" i="9"/>
  <c r="E50" i="9"/>
  <c r="E57" i="9"/>
  <c r="F358" i="9"/>
  <c r="F393" i="9" s="1"/>
  <c r="F428" i="9" s="1"/>
  <c r="E78" i="9"/>
  <c r="E47" i="9"/>
  <c r="E396" i="9"/>
  <c r="E431" i="9" s="1"/>
  <c r="E394" i="9"/>
  <c r="E429" i="9" s="1"/>
  <c r="G403" i="9"/>
  <c r="G438" i="9" s="1"/>
  <c r="D385" i="9"/>
  <c r="D420" i="9" s="1"/>
  <c r="G399" i="9"/>
  <c r="G434" i="9" s="1"/>
  <c r="D397" i="9"/>
  <c r="D432" i="9" s="1"/>
  <c r="D396" i="9"/>
  <c r="D431" i="9" s="1"/>
  <c r="D412" i="9"/>
  <c r="D447" i="9" s="1"/>
  <c r="E407" i="9"/>
  <c r="E442" i="9" s="1"/>
  <c r="F356" i="9"/>
  <c r="F248" i="9"/>
  <c r="F283" i="9" s="1"/>
  <c r="F367" i="9"/>
  <c r="F259" i="9"/>
  <c r="F294" i="9" s="1"/>
  <c r="E412" i="9"/>
  <c r="E447" i="9" s="1"/>
  <c r="F382" i="9"/>
  <c r="F274" i="9"/>
  <c r="F309" i="9" s="1"/>
  <c r="G405" i="9"/>
  <c r="G440" i="9" s="1"/>
  <c r="G386" i="9"/>
  <c r="G421" i="9" s="1"/>
  <c r="G404" i="9"/>
  <c r="G439" i="9" s="1"/>
  <c r="D405" i="9"/>
  <c r="D440" i="9" s="1"/>
  <c r="D407" i="9"/>
  <c r="D442" i="9" s="1"/>
  <c r="E410" i="9"/>
  <c r="E445" i="9" s="1"/>
  <c r="F351" i="9"/>
  <c r="F243" i="9"/>
  <c r="F278" i="9" s="1"/>
  <c r="F381" i="9"/>
  <c r="F273" i="9"/>
  <c r="F308" i="9" s="1"/>
  <c r="G392" i="9"/>
  <c r="G427" i="9" s="1"/>
  <c r="G402" i="9"/>
  <c r="G437" i="9" s="1"/>
  <c r="F364" i="9"/>
  <c r="F256" i="9"/>
  <c r="F291" i="9" s="1"/>
  <c r="E390" i="9"/>
  <c r="E425" i="9" s="1"/>
  <c r="G398" i="9"/>
  <c r="G433" i="9" s="1"/>
  <c r="G395" i="9"/>
  <c r="G430" i="9" s="1"/>
  <c r="G417" i="9"/>
  <c r="G452" i="9" s="1"/>
  <c r="G391" i="9"/>
  <c r="G426" i="9" s="1"/>
  <c r="D417" i="9"/>
  <c r="D452" i="9" s="1"/>
  <c r="G387" i="9"/>
  <c r="G422" i="9" s="1"/>
  <c r="D401" i="9"/>
  <c r="D436" i="9" s="1"/>
  <c r="D394" i="9"/>
  <c r="D429" i="9" s="1"/>
  <c r="F272" i="9"/>
  <c r="F307" i="9" s="1"/>
  <c r="G397" i="9"/>
  <c r="G432" i="9" s="1"/>
  <c r="G408" i="9"/>
  <c r="G443" i="9" s="1"/>
  <c r="E413" i="9"/>
  <c r="E448" i="9" s="1"/>
  <c r="F246" i="9"/>
  <c r="F281" i="9" s="1"/>
  <c r="E398" i="9"/>
  <c r="E433" i="9" s="1"/>
  <c r="F270" i="9"/>
  <c r="F305" i="9" s="1"/>
  <c r="E400" i="9"/>
  <c r="E435" i="9" s="1"/>
  <c r="F269" i="9"/>
  <c r="F304" i="9" s="1"/>
  <c r="G413" i="9"/>
  <c r="G448" i="9" s="1"/>
  <c r="D402" i="9"/>
  <c r="D437" i="9" s="1"/>
  <c r="E411" i="9"/>
  <c r="E446" i="9" s="1"/>
  <c r="F361" i="9"/>
  <c r="F253" i="9"/>
  <c r="F288" i="9" s="1"/>
  <c r="E403" i="9"/>
  <c r="E438" i="9" s="1"/>
  <c r="G389" i="9"/>
  <c r="G424" i="9" s="1"/>
  <c r="D403" i="9"/>
  <c r="D438" i="9" s="1"/>
  <c r="E402" i="9"/>
  <c r="E437" i="9" s="1"/>
  <c r="G400" i="9"/>
  <c r="G435" i="9" s="1"/>
  <c r="D416" i="9"/>
  <c r="D451" i="9" s="1"/>
  <c r="D408" i="9"/>
  <c r="D443" i="9" s="1"/>
  <c r="D390" i="9"/>
  <c r="D425" i="9" s="1"/>
  <c r="E414" i="9"/>
  <c r="E449" i="9" s="1"/>
  <c r="F249" i="9"/>
  <c r="F284" i="9" s="1"/>
  <c r="F267" i="9"/>
  <c r="F302" i="9" s="1"/>
  <c r="F262" i="9"/>
  <c r="F297" i="9" s="1"/>
  <c r="F373" i="9"/>
  <c r="F265" i="9"/>
  <c r="F300" i="9" s="1"/>
  <c r="F268" i="9"/>
  <c r="F303" i="9" s="1"/>
  <c r="E389" i="9"/>
  <c r="E424" i="9" s="1"/>
  <c r="E409" i="9"/>
  <c r="E444" i="9" s="1"/>
  <c r="G414" i="9"/>
  <c r="G449" i="9" s="1"/>
  <c r="G385" i="9"/>
  <c r="G420" i="9" s="1"/>
  <c r="D409" i="9"/>
  <c r="D444" i="9" s="1"/>
  <c r="D398" i="9"/>
  <c r="D433" i="9" s="1"/>
  <c r="E417" i="9"/>
  <c r="E452" i="9" s="1"/>
  <c r="F260" i="9"/>
  <c r="F295" i="9" s="1"/>
  <c r="F353" i="9"/>
  <c r="F245" i="9"/>
  <c r="F280" i="9" s="1"/>
  <c r="E415" i="9"/>
  <c r="E450" i="9" s="1"/>
  <c r="F258" i="9"/>
  <c r="F293" i="9" s="1"/>
  <c r="F266" i="9"/>
  <c r="F301" i="9" s="1"/>
  <c r="G411" i="9"/>
  <c r="G446" i="9" s="1"/>
  <c r="G394" i="9"/>
  <c r="G429" i="9" s="1"/>
  <c r="F257" i="9"/>
  <c r="F292" i="9" s="1"/>
  <c r="G393" i="9"/>
  <c r="G428" i="9" s="1"/>
  <c r="F261" i="9"/>
  <c r="F296" i="9" s="1"/>
  <c r="E397" i="9"/>
  <c r="E432" i="9" s="1"/>
  <c r="E387" i="9"/>
  <c r="E422" i="9" s="1"/>
  <c r="D411" i="9"/>
  <c r="D446" i="9" s="1"/>
  <c r="D389" i="9"/>
  <c r="D424" i="9" s="1"/>
  <c r="F350" i="9"/>
  <c r="F242" i="9"/>
  <c r="F277" i="9" s="1"/>
  <c r="F360" i="9"/>
  <c r="F252" i="9"/>
  <c r="F287" i="9" s="1"/>
  <c r="F371" i="9"/>
  <c r="F263" i="9"/>
  <c r="F298" i="9" s="1"/>
  <c r="D410" i="9"/>
  <c r="D445" i="9" s="1"/>
  <c r="D414" i="9"/>
  <c r="D449" i="9" s="1"/>
  <c r="F244" i="9"/>
  <c r="F279" i="9" s="1"/>
  <c r="F255" i="9"/>
  <c r="F290" i="9" s="1"/>
  <c r="F362" i="9"/>
  <c r="F254" i="9"/>
  <c r="F289" i="9" s="1"/>
  <c r="F271" i="9"/>
  <c r="F306" i="9" s="1"/>
  <c r="F355" i="9"/>
  <c r="F247" i="9"/>
  <c r="F282" i="9" s="1"/>
  <c r="F372" i="9"/>
  <c r="F264" i="9"/>
  <c r="F299" i="9" s="1"/>
  <c r="G390" i="9"/>
  <c r="G425" i="9" s="1"/>
  <c r="E401" i="9"/>
  <c r="E436" i="9" s="1"/>
  <c r="E399" i="9"/>
  <c r="E434" i="9" s="1"/>
  <c r="G406" i="9"/>
  <c r="G441" i="9" s="1"/>
  <c r="G396" i="9"/>
  <c r="G431" i="9" s="1"/>
  <c r="G416" i="9"/>
  <c r="G451" i="9" s="1"/>
  <c r="E54" i="9"/>
  <c r="G71" i="9"/>
  <c r="E68" i="9"/>
  <c r="G69" i="9"/>
  <c r="D308" i="9"/>
  <c r="E283" i="9"/>
  <c r="E48" i="9"/>
  <c r="F379" i="9"/>
  <c r="D68" i="9"/>
  <c r="G293" i="9"/>
  <c r="E67" i="9"/>
  <c r="E66" i="9"/>
  <c r="G77" i="9"/>
  <c r="E70" i="9"/>
  <c r="G280" i="9"/>
  <c r="G72" i="9"/>
  <c r="F377" i="9"/>
  <c r="F374" i="9"/>
  <c r="F363" i="9"/>
  <c r="F370" i="9"/>
  <c r="F378" i="9"/>
  <c r="F376" i="9"/>
  <c r="F357" i="9"/>
  <c r="F369" i="9"/>
  <c r="F354" i="9"/>
  <c r="F366" i="9"/>
  <c r="F365" i="9"/>
  <c r="E56" i="9"/>
  <c r="E76" i="9"/>
  <c r="F380" i="9"/>
  <c r="F286" i="9"/>
  <c r="F359" i="9"/>
  <c r="F394" i="9" s="1"/>
  <c r="F368" i="9"/>
  <c r="F375" i="9"/>
  <c r="F352" i="9"/>
  <c r="D293" i="9"/>
  <c r="D53" i="9"/>
  <c r="D50" i="9"/>
  <c r="D49" i="9"/>
  <c r="D54" i="9"/>
  <c r="D55" i="9"/>
  <c r="D48" i="9"/>
  <c r="D57" i="9" l="1"/>
  <c r="C267" i="9"/>
  <c r="C71" i="9" s="1"/>
  <c r="C360" i="9"/>
  <c r="C395" i="9" s="1"/>
  <c r="C430" i="9" s="1"/>
  <c r="C265" i="9"/>
  <c r="C300" i="9" s="1"/>
  <c r="C354" i="9"/>
  <c r="C389" i="9" s="1"/>
  <c r="C424" i="9" s="1"/>
  <c r="C382" i="9"/>
  <c r="C417" i="9" s="1"/>
  <c r="C452" i="9" s="1"/>
  <c r="C250" i="9"/>
  <c r="C285" i="9" s="1"/>
  <c r="C378" i="9"/>
  <c r="C413" i="9" s="1"/>
  <c r="C448" i="9" s="1"/>
  <c r="C253" i="9"/>
  <c r="C288" i="9" s="1"/>
  <c r="C261" i="9"/>
  <c r="C296" i="9" s="1"/>
  <c r="C428" i="9"/>
  <c r="M49" i="9"/>
  <c r="M60" i="9" s="1"/>
  <c r="C243" i="9"/>
  <c r="C278" i="9" s="1"/>
  <c r="C442" i="9"/>
  <c r="C433" i="9"/>
  <c r="C431" i="9"/>
  <c r="C268" i="9"/>
  <c r="C303" i="9" s="1"/>
  <c r="C438" i="9"/>
  <c r="C444" i="9"/>
  <c r="C451" i="9"/>
  <c r="C432" i="9"/>
  <c r="C254" i="9"/>
  <c r="C289" i="9" s="1"/>
  <c r="C353" i="9"/>
  <c r="C388" i="9" s="1"/>
  <c r="C434" i="9"/>
  <c r="C60" i="9"/>
  <c r="C439" i="9"/>
  <c r="C441" i="9"/>
  <c r="C421" i="9"/>
  <c r="C47" i="9"/>
  <c r="C443" i="9"/>
  <c r="C435" i="9"/>
  <c r="C446" i="9"/>
  <c r="C273" i="9"/>
  <c r="C308" i="9" s="1"/>
  <c r="C359" i="9"/>
  <c r="C394" i="9" s="1"/>
  <c r="C379" i="9"/>
  <c r="C414" i="9" s="1"/>
  <c r="C266" i="9"/>
  <c r="C301" i="9" s="1"/>
  <c r="C366" i="9"/>
  <c r="C401" i="9" s="1"/>
  <c r="C62" i="9" s="1"/>
  <c r="C350" i="9"/>
  <c r="C385" i="9" s="1"/>
  <c r="C420" i="9" s="1"/>
  <c r="C255" i="9"/>
  <c r="C290" i="9" s="1"/>
  <c r="C367" i="9"/>
  <c r="C402" i="9" s="1"/>
  <c r="C257" i="9"/>
  <c r="C61" i="9" s="1"/>
  <c r="C370" i="9"/>
  <c r="C405" i="9" s="1"/>
  <c r="C380" i="9"/>
  <c r="C415" i="9" s="1"/>
  <c r="C355" i="9"/>
  <c r="C390" i="9" s="1"/>
  <c r="C51" i="9" s="1"/>
  <c r="C264" i="9"/>
  <c r="C299" i="9" s="1"/>
  <c r="C352" i="9"/>
  <c r="C387" i="9" s="1"/>
  <c r="C269" i="9"/>
  <c r="C377" i="9"/>
  <c r="C412" i="9" s="1"/>
  <c r="C357" i="9"/>
  <c r="C392" i="9" s="1"/>
  <c r="C356" i="9"/>
  <c r="C391" i="9" s="1"/>
  <c r="C260" i="9"/>
  <c r="C64" i="9" s="1"/>
  <c r="C263" i="9"/>
  <c r="C67" i="9" s="1"/>
  <c r="E64" i="9"/>
  <c r="E60" i="9"/>
  <c r="E51" i="9"/>
  <c r="E52" i="9"/>
  <c r="M48" i="9" s="1"/>
  <c r="M59" i="9" s="1"/>
  <c r="E49" i="9"/>
  <c r="E58" i="9"/>
  <c r="G56" i="9"/>
  <c r="G53" i="9"/>
  <c r="G78" i="9"/>
  <c r="G49" i="9"/>
  <c r="E73" i="9"/>
  <c r="G60" i="9"/>
  <c r="G75" i="9"/>
  <c r="G68" i="9"/>
  <c r="G70" i="9"/>
  <c r="O54" i="9" s="1"/>
  <c r="O65" i="9" s="1"/>
  <c r="F55" i="9"/>
  <c r="E71" i="9"/>
  <c r="E74" i="9"/>
  <c r="E61" i="9"/>
  <c r="E62" i="9"/>
  <c r="E72" i="9"/>
  <c r="D67" i="9"/>
  <c r="D59" i="9"/>
  <c r="G47" i="9"/>
  <c r="G52" i="9"/>
  <c r="G55" i="9"/>
  <c r="G62" i="9"/>
  <c r="G64" i="9"/>
  <c r="G67" i="9"/>
  <c r="G65" i="9"/>
  <c r="G61" i="9"/>
  <c r="G76" i="9"/>
  <c r="G57" i="9"/>
  <c r="G58" i="9"/>
  <c r="G54" i="9"/>
  <c r="G48" i="9"/>
  <c r="G59" i="9"/>
  <c r="G73" i="9"/>
  <c r="G51" i="9"/>
  <c r="G66" i="9"/>
  <c r="E63" i="9"/>
  <c r="E65" i="9"/>
  <c r="E69" i="9"/>
  <c r="M53" i="9" s="1"/>
  <c r="M64" i="9" s="1"/>
  <c r="E59" i="9"/>
  <c r="E77" i="9"/>
  <c r="M56" i="9" s="1"/>
  <c r="M67" i="9" s="1"/>
  <c r="E75" i="9"/>
  <c r="D64" i="9"/>
  <c r="D70" i="9"/>
  <c r="D69" i="9"/>
  <c r="D61" i="9"/>
  <c r="D78" i="9"/>
  <c r="D73" i="9"/>
  <c r="D56" i="9"/>
  <c r="L49" i="9" s="1"/>
  <c r="L60" i="9" s="1"/>
  <c r="D72" i="9"/>
  <c r="D52" i="9"/>
  <c r="L48" i="9" s="1"/>
  <c r="L59" i="9" s="1"/>
  <c r="D75" i="9"/>
  <c r="D47" i="9"/>
  <c r="D71" i="9"/>
  <c r="D74" i="9"/>
  <c r="D76" i="9"/>
  <c r="D65" i="9"/>
  <c r="D51" i="9"/>
  <c r="L47" i="9" s="1"/>
  <c r="L58" i="9" s="1"/>
  <c r="D58" i="9"/>
  <c r="D62" i="9"/>
  <c r="D60" i="9"/>
  <c r="D66" i="9"/>
  <c r="D63" i="9"/>
  <c r="F412" i="9"/>
  <c r="F447" i="9" s="1"/>
  <c r="F395" i="9"/>
  <c r="F430" i="9" s="1"/>
  <c r="F398" i="9"/>
  <c r="F433" i="9" s="1"/>
  <c r="F409" i="9"/>
  <c r="F444" i="9" s="1"/>
  <c r="F387" i="9"/>
  <c r="F422" i="9" s="1"/>
  <c r="F397" i="9"/>
  <c r="F432" i="9" s="1"/>
  <c r="F388" i="9"/>
  <c r="F423" i="9" s="1"/>
  <c r="F396" i="9"/>
  <c r="F431" i="9" s="1"/>
  <c r="F399" i="9"/>
  <c r="F434" i="9" s="1"/>
  <c r="F386" i="9"/>
  <c r="F421" i="9" s="1"/>
  <c r="F405" i="9"/>
  <c r="F440" i="9" s="1"/>
  <c r="F390" i="9"/>
  <c r="F425" i="9" s="1"/>
  <c r="F415" i="9"/>
  <c r="F450" i="9" s="1"/>
  <c r="F385" i="9"/>
  <c r="F420" i="9" s="1"/>
  <c r="F416" i="9"/>
  <c r="F451" i="9" s="1"/>
  <c r="F392" i="9"/>
  <c r="F427" i="9" s="1"/>
  <c r="F410" i="9"/>
  <c r="F445" i="9" s="1"/>
  <c r="F413" i="9"/>
  <c r="F448" i="9" s="1"/>
  <c r="F401" i="9"/>
  <c r="F436" i="9" s="1"/>
  <c r="F408" i="9"/>
  <c r="F443" i="9" s="1"/>
  <c r="F391" i="9"/>
  <c r="F426" i="9" s="1"/>
  <c r="F389" i="9"/>
  <c r="F424" i="9" s="1"/>
  <c r="F404" i="9"/>
  <c r="F439" i="9" s="1"/>
  <c r="F417" i="9"/>
  <c r="F452" i="9" s="1"/>
  <c r="F400" i="9"/>
  <c r="F435" i="9" s="1"/>
  <c r="F411" i="9"/>
  <c r="F446" i="9" s="1"/>
  <c r="F403" i="9"/>
  <c r="F438" i="9" s="1"/>
  <c r="F414" i="9"/>
  <c r="F449" i="9" s="1"/>
  <c r="F407" i="9"/>
  <c r="F442" i="9" s="1"/>
  <c r="F406" i="9"/>
  <c r="F441" i="9" s="1"/>
  <c r="F402" i="9"/>
  <c r="F437" i="9" s="1"/>
  <c r="E455" i="9"/>
  <c r="G455" i="9"/>
  <c r="F56" i="9"/>
  <c r="F429" i="9"/>
  <c r="D455" i="9"/>
  <c r="C302" i="9" l="1"/>
  <c r="C65" i="9"/>
  <c r="C72" i="9"/>
  <c r="C68" i="9"/>
  <c r="C57" i="9"/>
  <c r="C54" i="9"/>
  <c r="C77" i="9"/>
  <c r="C58" i="9"/>
  <c r="C59" i="9"/>
  <c r="C69" i="9"/>
  <c r="C70" i="9"/>
  <c r="K54" i="9" s="1"/>
  <c r="K65" i="9" s="1"/>
  <c r="O55" i="9"/>
  <c r="O66" i="9" s="1"/>
  <c r="C56" i="9"/>
  <c r="C50" i="9"/>
  <c r="C74" i="9"/>
  <c r="C78" i="9"/>
  <c r="L56" i="9"/>
  <c r="L67" i="9" s="1"/>
  <c r="C426" i="9"/>
  <c r="C52" i="9"/>
  <c r="C427" i="9"/>
  <c r="C53" i="9"/>
  <c r="C423" i="9"/>
  <c r="C49" i="9"/>
  <c r="M55" i="9"/>
  <c r="M66" i="9" s="1"/>
  <c r="C449" i="9"/>
  <c r="C75" i="9"/>
  <c r="C429" i="9"/>
  <c r="C55" i="9"/>
  <c r="C447" i="9"/>
  <c r="C73" i="9"/>
  <c r="L55" i="9"/>
  <c r="L66" i="9" s="1"/>
  <c r="O52" i="9"/>
  <c r="O63" i="9" s="1"/>
  <c r="C422" i="9"/>
  <c r="C48" i="9"/>
  <c r="O49" i="9"/>
  <c r="O60" i="9" s="1"/>
  <c r="O47" i="9"/>
  <c r="O58" i="9" s="1"/>
  <c r="O80" i="9" s="1"/>
  <c r="C440" i="9"/>
  <c r="C66" i="9"/>
  <c r="C437" i="9"/>
  <c r="C63" i="9"/>
  <c r="K51" i="9" s="1"/>
  <c r="K62" i="9" s="1"/>
  <c r="M54" i="9"/>
  <c r="M65" i="9" s="1"/>
  <c r="C450" i="9"/>
  <c r="C76" i="9"/>
  <c r="O48" i="9"/>
  <c r="O59" i="9" s="1"/>
  <c r="M52" i="9"/>
  <c r="M63" i="9" s="1"/>
  <c r="L54" i="9"/>
  <c r="L65" i="9" s="1"/>
  <c r="O56" i="9"/>
  <c r="O67" i="9" s="1"/>
  <c r="M51" i="9"/>
  <c r="M62" i="9" s="1"/>
  <c r="O50" i="9"/>
  <c r="O61" i="9" s="1"/>
  <c r="L50" i="9"/>
  <c r="L61" i="9" s="1"/>
  <c r="L52" i="9"/>
  <c r="L63" i="9" s="1"/>
  <c r="O51" i="9"/>
  <c r="O62" i="9" s="1"/>
  <c r="L51" i="9"/>
  <c r="L62" i="9" s="1"/>
  <c r="L53" i="9"/>
  <c r="L64" i="9" s="1"/>
  <c r="M50" i="9"/>
  <c r="M61" i="9" s="1"/>
  <c r="O53" i="9"/>
  <c r="O64" i="9" s="1"/>
  <c r="M47" i="9"/>
  <c r="M58" i="9" s="1"/>
  <c r="C436" i="9"/>
  <c r="C292" i="9"/>
  <c r="C295" i="9"/>
  <c r="C298" i="9"/>
  <c r="C425" i="9"/>
  <c r="C304" i="9"/>
  <c r="F48" i="9"/>
  <c r="F57" i="9"/>
  <c r="N49" i="9" s="1"/>
  <c r="N60" i="9" s="1"/>
  <c r="F68" i="9"/>
  <c r="F50" i="9"/>
  <c r="F53" i="9"/>
  <c r="F75" i="9"/>
  <c r="F66" i="9"/>
  <c r="F77" i="9"/>
  <c r="F47" i="9"/>
  <c r="F70" i="9"/>
  <c r="F62" i="9"/>
  <c r="F61" i="9"/>
  <c r="F58" i="9"/>
  <c r="F64" i="9"/>
  <c r="F49" i="9"/>
  <c r="F52" i="9"/>
  <c r="F73" i="9"/>
  <c r="F67" i="9"/>
  <c r="F59" i="9"/>
  <c r="F54" i="9"/>
  <c r="F71" i="9"/>
  <c r="F74" i="9"/>
  <c r="F72" i="9"/>
  <c r="F78" i="9"/>
  <c r="F63" i="9"/>
  <c r="F60" i="9"/>
  <c r="F65" i="9"/>
  <c r="F51" i="9"/>
  <c r="F69" i="9"/>
  <c r="F76" i="9"/>
  <c r="F455" i="9"/>
  <c r="K52" i="9" l="1"/>
  <c r="K63" i="9" s="1"/>
  <c r="K53" i="9"/>
  <c r="K64" i="9" s="1"/>
  <c r="M80" i="9"/>
  <c r="L80" i="9"/>
  <c r="K50" i="9"/>
  <c r="K61" i="9" s="1"/>
  <c r="K47" i="9"/>
  <c r="K58" i="9" s="1"/>
  <c r="K56" i="9"/>
  <c r="K67" i="9" s="1"/>
  <c r="K49" i="9"/>
  <c r="K60" i="9" s="1"/>
  <c r="N54" i="9"/>
  <c r="N65" i="9" s="1"/>
  <c r="K48" i="9"/>
  <c r="K59" i="9" s="1"/>
  <c r="K55" i="9"/>
  <c r="K66" i="9" s="1"/>
  <c r="N47" i="9"/>
  <c r="N58" i="9" s="1"/>
  <c r="N80" i="9" s="1"/>
  <c r="C455" i="9"/>
  <c r="N48" i="9"/>
  <c r="N59" i="9" s="1"/>
  <c r="N53" i="9"/>
  <c r="N64" i="9" s="1"/>
  <c r="N56" i="9"/>
  <c r="N67" i="9" s="1"/>
  <c r="N52" i="9"/>
  <c r="N63" i="9" s="1"/>
  <c r="N50" i="9"/>
  <c r="N61" i="9" s="1"/>
  <c r="N51" i="9"/>
  <c r="N62" i="9" s="1"/>
  <c r="C312" i="9"/>
  <c r="N55" i="9"/>
  <c r="N66" i="9" s="1"/>
  <c r="C80" i="9" l="1"/>
  <c r="K80" i="9"/>
</calcChain>
</file>

<file path=xl/sharedStrings.xml><?xml version="1.0" encoding="utf-8"?>
<sst xmlns="http://schemas.openxmlformats.org/spreadsheetml/2006/main" count="2006" uniqueCount="1056">
  <si>
    <t>Developer notes and revision information:</t>
  </si>
  <si>
    <t>Date</t>
  </si>
  <si>
    <t>Author</t>
  </si>
  <si>
    <t>Rev</t>
  </si>
  <si>
    <t>Chg Num</t>
  </si>
  <si>
    <t>Description</t>
  </si>
  <si>
    <t>-</t>
  </si>
  <si>
    <t>Release</t>
  </si>
  <si>
    <t>Table 1.  Valve Sizing Indices</t>
  </si>
  <si>
    <t>Valve Type</t>
  </si>
  <si>
    <t>Cv/d^2</t>
  </si>
  <si>
    <t>FL</t>
  </si>
  <si>
    <t>XT</t>
  </si>
  <si>
    <t>Fd</t>
  </si>
  <si>
    <t>Kc</t>
  </si>
  <si>
    <t>OptPn</t>
  </si>
  <si>
    <t>No</t>
  </si>
  <si>
    <t>Aeta</t>
  </si>
  <si>
    <t>Stp</t>
  </si>
  <si>
    <t>dSPLsw</t>
  </si>
  <si>
    <t>FD?</t>
  </si>
  <si>
    <t>Calc'd</t>
  </si>
  <si>
    <t>Thk</t>
  </si>
  <si>
    <t>ID</t>
  </si>
  <si>
    <t>in.</t>
  </si>
  <si>
    <t>1in (25mm), Schd 10S</t>
  </si>
  <si>
    <t>1in (25mm), Schd 40</t>
  </si>
  <si>
    <t>1in (25mm), Schd 40S</t>
  </si>
  <si>
    <t>1in (25mm), Schd STD</t>
  </si>
  <si>
    <t>1in (25mm), Schd 80</t>
  </si>
  <si>
    <t>1in (25mm), Schd 80S</t>
  </si>
  <si>
    <t>1in (25mm), Schd XS</t>
  </si>
  <si>
    <t>1in (25mm), Schd 160</t>
  </si>
  <si>
    <t>1in (25mm), Schd XXS</t>
  </si>
  <si>
    <t>2in (50mm), Schd 10S</t>
  </si>
  <si>
    <t>2in (50mm), Schd 40</t>
  </si>
  <si>
    <t>2in (50mm), Schd 40S</t>
  </si>
  <si>
    <t>2in (50mm), Schd STD</t>
  </si>
  <si>
    <t>2in (50mm), Schd 80</t>
  </si>
  <si>
    <t>2in (50mm), Schd 80S</t>
  </si>
  <si>
    <t>2in (50mm), Schd XS</t>
  </si>
  <si>
    <t>2in (50mm), Schd 160</t>
  </si>
  <si>
    <t>2in (50mm), Schd XXS</t>
  </si>
  <si>
    <t>3in (80mm), Schd 10S</t>
  </si>
  <si>
    <t>3in (80mm), Schd 40</t>
  </si>
  <si>
    <t>3in (80mm), Schd 40S</t>
  </si>
  <si>
    <t>3in (80mm), Schd STD</t>
  </si>
  <si>
    <t>3in (80mm), Schd 80</t>
  </si>
  <si>
    <t>3in (80mm), Schd 80S</t>
  </si>
  <si>
    <t>3in (80mm), Schd XS</t>
  </si>
  <si>
    <t>3in (80mm), Schd 160</t>
  </si>
  <si>
    <t>3in (80mm), Schd XXS</t>
  </si>
  <si>
    <t>4in (100mm), Schd 10S</t>
  </si>
  <si>
    <t>4in (100mm), Schd 40</t>
  </si>
  <si>
    <t>4in (100mm), Schd 40S</t>
  </si>
  <si>
    <t>4in (100mm), Schd STD</t>
  </si>
  <si>
    <t>4in (100mm), Schd 80</t>
  </si>
  <si>
    <t>4in (100mm), Schd 80S</t>
  </si>
  <si>
    <t>4in (100mm), Schd XS</t>
  </si>
  <si>
    <t>4in (100mm), Schd 120</t>
  </si>
  <si>
    <t>4in (100mm), Schd 160</t>
  </si>
  <si>
    <t>4in (100mm), Schd XXS</t>
  </si>
  <si>
    <t>5in (125mm), Schd 10S</t>
  </si>
  <si>
    <t>5in (125mm), Schd 40</t>
  </si>
  <si>
    <t>5in (125mm), Schd 40S</t>
  </si>
  <si>
    <t>5in (125mm), Schd STD</t>
  </si>
  <si>
    <t>5in (125mm), Schd 80</t>
  </si>
  <si>
    <t>5in (125mm), Schd 80S</t>
  </si>
  <si>
    <t>5in (125mm), Schd XS</t>
  </si>
  <si>
    <t>5in (125mm), Schd 120</t>
  </si>
  <si>
    <t>5in (125mm), Schd 160</t>
  </si>
  <si>
    <t>5in (125mm), Schd XXS</t>
  </si>
  <si>
    <t>6in (150mm), Schd 10S</t>
  </si>
  <si>
    <t>6in (150mm), Schd 40</t>
  </si>
  <si>
    <t>6in (150mm), Schd 40S</t>
  </si>
  <si>
    <t>6in (150mm), Schd STD</t>
  </si>
  <si>
    <t>6in (150mm), Schd 80</t>
  </si>
  <si>
    <t>6in (150mm), Schd 80S</t>
  </si>
  <si>
    <t>6in (150mm), Schd XS</t>
  </si>
  <si>
    <t>6in (150mm), Schd 120</t>
  </si>
  <si>
    <t>6in (150mm), Schd 160</t>
  </si>
  <si>
    <t>6in (150mm), Schd XXS</t>
  </si>
  <si>
    <t>8in (200mm), Schd 10S</t>
  </si>
  <si>
    <t>8in (200mm), Schd 20</t>
  </si>
  <si>
    <t>8in (200mm), Schd 30</t>
  </si>
  <si>
    <t>8in (200mm), Schd 40</t>
  </si>
  <si>
    <t>8in (200mm), Schd 40S</t>
  </si>
  <si>
    <t>8in (200mm), Schd STD</t>
  </si>
  <si>
    <t>8in (200mm), Schd 60</t>
  </si>
  <si>
    <t>8in (200mm), Schd 80</t>
  </si>
  <si>
    <t>8in (200mm), Schd 80S</t>
  </si>
  <si>
    <t>8in (200mm), Schd XS</t>
  </si>
  <si>
    <t>8in (200mm), Schd 100</t>
  </si>
  <si>
    <t>8in (200mm), Schd 120</t>
  </si>
  <si>
    <t>8in (200mm), Schd 140</t>
  </si>
  <si>
    <t>8in (200mm), Schd XXS</t>
  </si>
  <si>
    <t>8in (200mm), Schd 160</t>
  </si>
  <si>
    <t>10in (250mm), Schd 10S</t>
  </si>
  <si>
    <t>10in (250mm), Schd 20</t>
  </si>
  <si>
    <t>10in (250mm), Schd 30</t>
  </si>
  <si>
    <t>10in (250mm), Schd 40</t>
  </si>
  <si>
    <t>10in (250mm), Schd 40S</t>
  </si>
  <si>
    <t>10in (250mm), Schd STD</t>
  </si>
  <si>
    <t>10in (250mm), Schd 60</t>
  </si>
  <si>
    <t>10in (250mm), Schd 80S</t>
  </si>
  <si>
    <t>10in (250mm), Schd XS</t>
  </si>
  <si>
    <t>10in (250mm), Schd 80</t>
  </si>
  <si>
    <t>10in (250mm), Schd 100</t>
  </si>
  <si>
    <t>10in (250mm), Schd 120</t>
  </si>
  <si>
    <t>10in (250mm), Schd 140</t>
  </si>
  <si>
    <t>10in (250mm), Schd 160</t>
  </si>
  <si>
    <t>12in (300mm), Schd 10S</t>
  </si>
  <si>
    <t>12in (300mm), Schd 20</t>
  </si>
  <si>
    <t>12in (300mm), Schd 30</t>
  </si>
  <si>
    <t>12in (300mm), Schd 40S</t>
  </si>
  <si>
    <t>12in (300mm), Schd STD</t>
  </si>
  <si>
    <t>12in (300mm), Schd 40</t>
  </si>
  <si>
    <t>12in (300mm), Schd 80S</t>
  </si>
  <si>
    <t>12in (300mm), Schd XS</t>
  </si>
  <si>
    <t>12in (300mm), Schd 60</t>
  </si>
  <si>
    <t>12in (300mm), Schd 80</t>
  </si>
  <si>
    <t>12in (300mm), Schd 100</t>
  </si>
  <si>
    <t>12in (300mm), Schd 120</t>
  </si>
  <si>
    <t>12in (300mm), Schd 140</t>
  </si>
  <si>
    <t>12in (300mm), Schd 160</t>
  </si>
  <si>
    <t>14in (350mm), Schd 10S</t>
  </si>
  <si>
    <t>14in (350mm), Schd 10</t>
  </si>
  <si>
    <t>14in (350mm), Schd 20</t>
  </si>
  <si>
    <t>14in (350mm), Schd 30</t>
  </si>
  <si>
    <t>14in (350mm), Schd STD</t>
  </si>
  <si>
    <t>14in (350mm), Schd 40</t>
  </si>
  <si>
    <t>14in (350mm), Schd XS</t>
  </si>
  <si>
    <t>14in (350mm), Schd 60</t>
  </si>
  <si>
    <t>14in (350mm), Schd 80</t>
  </si>
  <si>
    <t>14in (350mm), Schd 100</t>
  </si>
  <si>
    <t>14in (350mm), Schd 120</t>
  </si>
  <si>
    <t>14in (350mm), Schd 140</t>
  </si>
  <si>
    <t>14in (350mm), Schd 160</t>
  </si>
  <si>
    <t>16in (400mm), Schd 10S</t>
  </si>
  <si>
    <t>16in (400mm), Schd 10</t>
  </si>
  <si>
    <t>16in (400mm), Schd 20</t>
  </si>
  <si>
    <t>16in (400mm), Schd 30</t>
  </si>
  <si>
    <t>16in (400mm), Schd STD</t>
  </si>
  <si>
    <t>16in (400mm), Schd 40</t>
  </si>
  <si>
    <t>16in (400mm), Schd XS</t>
  </si>
  <si>
    <t>16in (400mm), Schd 60</t>
  </si>
  <si>
    <t>16in (400mm), Schd 80</t>
  </si>
  <si>
    <t>16in (400mm), Schd 100</t>
  </si>
  <si>
    <t>16in (400mm), Schd 120</t>
  </si>
  <si>
    <t>16in (400mm), Schd 140</t>
  </si>
  <si>
    <t>16in (400mm), Schd 160</t>
  </si>
  <si>
    <t>18in (450mm), Schd 10S</t>
  </si>
  <si>
    <t>18in (450mm), Schd 10</t>
  </si>
  <si>
    <t>18in (450mm), Schd 20</t>
  </si>
  <si>
    <t>18in (450mm), Schd STD</t>
  </si>
  <si>
    <t>18in (450mm), Schd 30</t>
  </si>
  <si>
    <t>18in (450mm), Schd XS</t>
  </si>
  <si>
    <t>18in (450mm), Schd 40</t>
  </si>
  <si>
    <t>18in (450mm), Schd 60</t>
  </si>
  <si>
    <t>18in (450mm), Schd 80</t>
  </si>
  <si>
    <t>18in (450mm), Schd 100</t>
  </si>
  <si>
    <t>18in (450mm), Schd 120</t>
  </si>
  <si>
    <t>18in (450mm), Schd 140</t>
  </si>
  <si>
    <t>18in (450mm), Schd 160</t>
  </si>
  <si>
    <t>20in (500mm), Schd 10S</t>
  </si>
  <si>
    <t>20in (500mm), Schd 10</t>
  </si>
  <si>
    <t>20in (500mm), Schd 20</t>
  </si>
  <si>
    <t>20in (500mm), Schd STD</t>
  </si>
  <si>
    <t>20in (500mm), Schd 30</t>
  </si>
  <si>
    <t>20in (500mm), Schd XS</t>
  </si>
  <si>
    <t>20in (500mm), Schd 40</t>
  </si>
  <si>
    <t>20in (500mm), Schd 60</t>
  </si>
  <si>
    <t>20in (500mm), Schd 80</t>
  </si>
  <si>
    <t>20in (500mm), Schd 100</t>
  </si>
  <si>
    <t>20in (500mm), Schd 120</t>
  </si>
  <si>
    <t>20in (500mm), Schd 140</t>
  </si>
  <si>
    <t>20in (500mm), Schd 160</t>
  </si>
  <si>
    <t>22in (550mm), Schd 10S</t>
  </si>
  <si>
    <t>22in (550mm), Schd 10</t>
  </si>
  <si>
    <t>22in (550mm), Schd 20</t>
  </si>
  <si>
    <t>22in (550mm), Schd STD</t>
  </si>
  <si>
    <t>22in (550mm), Schd 30</t>
  </si>
  <si>
    <t>22in (550mm), Schd XS</t>
  </si>
  <si>
    <t>22in (550mm), Schd 60</t>
  </si>
  <si>
    <t>22in (550mm), Schd 80</t>
  </si>
  <si>
    <t>22in (550mm), Schd 100</t>
  </si>
  <si>
    <t>22in (550mm), Schd 120</t>
  </si>
  <si>
    <t>22in (550mm), Schd 140</t>
  </si>
  <si>
    <t>22in (550mm), Schd 160</t>
  </si>
  <si>
    <t>24in (600mm), Schd 10</t>
  </si>
  <si>
    <t>24in (600mm), Schd 10S</t>
  </si>
  <si>
    <t>24in (600mm), Schd 20</t>
  </si>
  <si>
    <t>24in (600mm), Schd STD</t>
  </si>
  <si>
    <t>24in (600mm), Schd XS</t>
  </si>
  <si>
    <t>24in (600mm), Schd 30</t>
  </si>
  <si>
    <t>24in (600mm), Schd 40</t>
  </si>
  <si>
    <t>24in (600mm), Schd 60</t>
  </si>
  <si>
    <t>24in (600mm), Schd 80</t>
  </si>
  <si>
    <t>24in (600mm), Schd 100</t>
  </si>
  <si>
    <t>24in (600mm), Schd 120</t>
  </si>
  <si>
    <t>24in (600mm), Schd 140</t>
  </si>
  <si>
    <t>24in (600mm), Schd 160</t>
  </si>
  <si>
    <t>26in (650mm), Schd 10</t>
  </si>
  <si>
    <t>26in (650mm), Schd STD</t>
  </si>
  <si>
    <t>26in (650mm), Schd 20</t>
  </si>
  <si>
    <t>26in (650mm), Schd XS</t>
  </si>
  <si>
    <t>28in (700mm), Schd 10</t>
  </si>
  <si>
    <t>28in (700mm), Schd STD</t>
  </si>
  <si>
    <t>28in (700mm), Schd 20</t>
  </si>
  <si>
    <t>28in (700mm), Schd 30</t>
  </si>
  <si>
    <t>30in (750mm), Schd 10</t>
  </si>
  <si>
    <t>30in (750mm), Schd 10S</t>
  </si>
  <si>
    <t>30in (750mm), Schd STD</t>
  </si>
  <si>
    <t>30in (750mm), Schd 20</t>
  </si>
  <si>
    <t>30in (750mm), Schd XS</t>
  </si>
  <si>
    <t>30in (750mm), Schd 30</t>
  </si>
  <si>
    <t>32in (800mm), Schd 10</t>
  </si>
  <si>
    <t>32in (800mm), Schd STD</t>
  </si>
  <si>
    <t>32in (800mm), Schd 20</t>
  </si>
  <si>
    <t>32in (800mm), Schd XS</t>
  </si>
  <si>
    <t>32in (800mm), Schd 30</t>
  </si>
  <si>
    <t>32in (800mm), Schd 40</t>
  </si>
  <si>
    <t>34in (850mm), Schd 10</t>
  </si>
  <si>
    <t>34in (850mm), Schd STD</t>
  </si>
  <si>
    <t>34in (850mm), Schd 20</t>
  </si>
  <si>
    <t>34in (850mm), Schd 30</t>
  </si>
  <si>
    <t>34in (850mm), Schd 40</t>
  </si>
  <si>
    <t>36in (900mm), Schd 10</t>
  </si>
  <si>
    <t>36in (900mm), Schd STD</t>
  </si>
  <si>
    <t>36in (900mm), Schd 20</t>
  </si>
  <si>
    <t>36in (900mm), Schd XS</t>
  </si>
  <si>
    <t>36in (900mm), Schd 30</t>
  </si>
  <si>
    <t>36in (900mm), Schd 40</t>
  </si>
  <si>
    <t>42in (1050mm), Schd STD</t>
  </si>
  <si>
    <t>42in (1050mm), Schd XS</t>
  </si>
  <si>
    <t>Fluid Data</t>
  </si>
  <si>
    <t>Revision Date: 11-Jan-08</t>
  </si>
  <si>
    <t>deg F</t>
  </si>
  <si>
    <t>Sources:</t>
  </si>
  <si>
    <t>deg R</t>
  </si>
  <si>
    <t>VALTEK Engineering DATA 10</t>
  </si>
  <si>
    <t>deg C</t>
  </si>
  <si>
    <t>http://webbook.nist.gov/chemistry/name-ser.html</t>
  </si>
  <si>
    <t>K</t>
  </si>
  <si>
    <t>Fluid Synonyms</t>
  </si>
  <si>
    <t>Fluid Name</t>
  </si>
  <si>
    <t>Specific Name</t>
  </si>
  <si>
    <t>Water/Steam</t>
  </si>
  <si>
    <t>Water</t>
  </si>
  <si>
    <t>1-Propene, 2-methyl-</t>
  </si>
  <si>
    <t>1,3-Butadiene, 2-methyl-</t>
  </si>
  <si>
    <t>2-Methyl-1-propene</t>
  </si>
  <si>
    <t xml:space="preserve">2-Methylbutadiene </t>
  </si>
  <si>
    <t>2-Methylbutane</t>
  </si>
  <si>
    <t>Butane, 2-methyl-</t>
  </si>
  <si>
    <t>2-Methylpentane</t>
  </si>
  <si>
    <t>Pentane, 2-methyl-</t>
  </si>
  <si>
    <t>2-Methylpropene</t>
  </si>
  <si>
    <t>3-Methylpentane</t>
  </si>
  <si>
    <t>Pentane, 3-methyl-</t>
  </si>
  <si>
    <t>Acetene</t>
  </si>
  <si>
    <t>Ethylene</t>
  </si>
  <si>
    <t>Acetylene</t>
  </si>
  <si>
    <t>Air</t>
  </si>
  <si>
    <t>Alcohol</t>
  </si>
  <si>
    <t>Ethanol</t>
  </si>
  <si>
    <t>Ammonia</t>
  </si>
  <si>
    <t>Argon</t>
  </si>
  <si>
    <t>Benzene</t>
  </si>
  <si>
    <t>Benzene, (1-methylethyl)-</t>
  </si>
  <si>
    <t>Butane</t>
  </si>
  <si>
    <t>Carbon dioxide</t>
  </si>
  <si>
    <t>Carbon monoxide</t>
  </si>
  <si>
    <t>Chlorine</t>
  </si>
  <si>
    <t>Cyclohexane</t>
  </si>
  <si>
    <t>Cyclopentane</t>
  </si>
  <si>
    <t>Decane</t>
  </si>
  <si>
    <t>Dichlorodifluoromethane</t>
  </si>
  <si>
    <t>Ethane</t>
  </si>
  <si>
    <t>Ethene</t>
  </si>
  <si>
    <t>Ethyl alcohol</t>
  </si>
  <si>
    <t>Ethylbenzene</t>
  </si>
  <si>
    <t>Freon (F-12)</t>
  </si>
  <si>
    <t>Helium</t>
  </si>
  <si>
    <t>Heptane</t>
  </si>
  <si>
    <t>Hexane</t>
  </si>
  <si>
    <t>Hydrogen</t>
  </si>
  <si>
    <t>Hydrogen chloride</t>
  </si>
  <si>
    <t>Hydrogen sulfide</t>
  </si>
  <si>
    <t>Isobutane</t>
  </si>
  <si>
    <t>Isobutene</t>
  </si>
  <si>
    <t>Isobutylene</t>
  </si>
  <si>
    <t>Isohexane</t>
  </si>
  <si>
    <t>Isoprene</t>
  </si>
  <si>
    <t>Isopropilbenzene</t>
  </si>
  <si>
    <t>iso-Pentane</t>
  </si>
  <si>
    <t>Methane</t>
  </si>
  <si>
    <t>Methanol</t>
  </si>
  <si>
    <t>Methyl alcohol</t>
  </si>
  <si>
    <t>Methyl chloride</t>
  </si>
  <si>
    <t>Natural gas</t>
  </si>
  <si>
    <t>Neon</t>
  </si>
  <si>
    <t>Nitrogen</t>
  </si>
  <si>
    <t>Nitrous oxide</t>
  </si>
  <si>
    <t>Nonane</t>
  </si>
  <si>
    <t>n-Butane</t>
  </si>
  <si>
    <t>n-Decane</t>
  </si>
  <si>
    <t>n-Heptane</t>
  </si>
  <si>
    <t>n-Hexane</t>
  </si>
  <si>
    <t>n-Nonane</t>
  </si>
  <si>
    <t>n-Octane</t>
  </si>
  <si>
    <t>Octane</t>
  </si>
  <si>
    <t>n-Pentane</t>
  </si>
  <si>
    <t>Pentane</t>
  </si>
  <si>
    <t>n-Propane</t>
  </si>
  <si>
    <t>Propane</t>
  </si>
  <si>
    <t>Oxygen</t>
  </si>
  <si>
    <t>Propene</t>
  </si>
  <si>
    <t>Propene, 2-methyl-</t>
  </si>
  <si>
    <t>Propylene</t>
  </si>
  <si>
    <t>Sulfur dioxide</t>
  </si>
  <si>
    <t>Sulfur trioxide</t>
  </si>
  <si>
    <t>Fluid Properties</t>
  </si>
  <si>
    <t>Valtek Number</t>
  </si>
  <si>
    <t>Lower Limit</t>
  </si>
  <si>
    <t>Antoine's Coefficients
Pv(bar A) = exp(A - B/(T(K) + C)</t>
  </si>
  <si>
    <t>Acentric Factor</t>
  </si>
  <si>
    <t>Savage Specific Heat Formulation, 5th Int'l Sympos of Fluid Flow Measurement, 2002
Table A2 Data, Savage, 2002</t>
  </si>
  <si>
    <t>Constant Pressure Ideal Gas Heat Capacity, Cpo (kJ/kg-K)</t>
  </si>
  <si>
    <t>Common Name</t>
  </si>
  <si>
    <t>Formula</t>
  </si>
  <si>
    <t>MW</t>
  </si>
  <si>
    <t>Tc</t>
  </si>
  <si>
    <t>Pc</t>
  </si>
  <si>
    <t>A</t>
  </si>
  <si>
    <t>B</t>
  </si>
  <si>
    <t>C</t>
  </si>
  <si>
    <t>GFB</t>
  </si>
  <si>
    <t>TB</t>
  </si>
  <si>
    <t>k</t>
  </si>
  <si>
    <t>omega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</si>
  <si>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</si>
  <si>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</si>
  <si>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</si>
  <si>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</si>
  <si>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</si>
  <si>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</si>
  <si>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</si>
  <si>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</si>
  <si>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</si>
  <si>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a</t>
  </si>
  <si>
    <t>b</t>
  </si>
  <si>
    <t>c</t>
  </si>
  <si>
    <t>d</t>
  </si>
  <si>
    <t>D</t>
  </si>
  <si>
    <t>E</t>
  </si>
  <si>
    <t>F</t>
  </si>
  <si>
    <t>G</t>
  </si>
  <si>
    <t>H</t>
  </si>
  <si>
    <t>Savage</t>
  </si>
  <si>
    <t>Kyle(m)</t>
  </si>
  <si>
    <t>Kyle(e)</t>
  </si>
  <si>
    <t>Shomate</t>
  </si>
  <si>
    <t>bar A</t>
  </si>
  <si>
    <t>Ar</t>
  </si>
  <si>
    <t>CO</t>
  </si>
  <si>
    <t>He</t>
  </si>
  <si>
    <t>HCl</t>
  </si>
  <si>
    <t>Ne</t>
  </si>
  <si>
    <t>Nitric oxide</t>
  </si>
  <si>
    <t>NO</t>
  </si>
  <si>
    <t>Nitrogen dioxide</t>
  </si>
  <si>
    <t>KOSO Aerodynamic Noise Prediction</t>
  </si>
  <si>
    <t xml:space="preserve">           ^- Click "+" to see assumptions and formulas</t>
  </si>
  <si>
    <t/>
  </si>
  <si>
    <t>PROJECT</t>
  </si>
  <si>
    <t xml:space="preserve">UNIT </t>
  </si>
  <si>
    <t>DATASHEET</t>
  </si>
  <si>
    <t>OF</t>
  </si>
  <si>
    <t>SPEC</t>
  </si>
  <si>
    <t>P.O.</t>
  </si>
  <si>
    <t>TAG #</t>
  </si>
  <si>
    <t>INQ / REV</t>
  </si>
  <si>
    <t xml:space="preserve">DATE </t>
  </si>
  <si>
    <t>ITEM #</t>
  </si>
  <si>
    <t>PROP / REV</t>
  </si>
  <si>
    <t>QTY</t>
  </si>
  <si>
    <t>SERVICE</t>
  </si>
  <si>
    <t>DRAWING</t>
  </si>
  <si>
    <t>OPTION DESCRIPTION</t>
  </si>
  <si>
    <t>OPTIONS</t>
  </si>
  <si>
    <t>Application</t>
  </si>
  <si>
    <t>Type of Gas</t>
  </si>
  <si>
    <t>Flow Rate Type</t>
  </si>
  <si>
    <t>Mass Flow Rate</t>
  </si>
  <si>
    <t>Method of Specifing Density</t>
  </si>
  <si>
    <t>Compressibility Option</t>
  </si>
  <si>
    <t>Flow Direction</t>
  </si>
  <si>
    <t>Flow Distributor Design</t>
  </si>
  <si>
    <t>Given</t>
  </si>
  <si>
    <t>Pipe Correction Factor Option</t>
  </si>
  <si>
    <t>Calculate Correction</t>
  </si>
  <si>
    <t>PIPE SIZE, SCHD &amp; DIMS</t>
  </si>
  <si>
    <t>UNITS</t>
  </si>
  <si>
    <t>INLET</t>
  </si>
  <si>
    <t>OUTLET</t>
  </si>
  <si>
    <t>Method of Specifying Pipe</t>
  </si>
  <si>
    <t>Nominal Pipe Sizes</t>
  </si>
  <si>
    <t>16in (400mm)</t>
  </si>
  <si>
    <t>Pipe Schedules</t>
  </si>
  <si>
    <t>Pipe Outside Diameters</t>
  </si>
  <si>
    <t>Pipe Wall Thicknesses</t>
  </si>
  <si>
    <t>Pipe Inside Diameters</t>
  </si>
  <si>
    <t>Nominal Valve Sizes</t>
  </si>
  <si>
    <t>ACTUAL</t>
  </si>
  <si>
    <t>Cd</t>
  </si>
  <si>
    <t>Lookup</t>
  </si>
  <si>
    <t>Valve Type Table</t>
  </si>
  <si>
    <t>Xt</t>
  </si>
  <si>
    <t>Np</t>
  </si>
  <si>
    <t>Over Capacity Margin</t>
  </si>
  <si>
    <t>OCM</t>
  </si>
  <si>
    <t>CRITICAL CONDITIONS</t>
  </si>
  <si>
    <t>Critical Pressure</t>
  </si>
  <si>
    <t>psiA</t>
  </si>
  <si>
    <t>Critical Temperature</t>
  </si>
  <si>
    <t>OPERATING CONDITIONS</t>
  </si>
  <si>
    <t>CONDITION VALUES</t>
  </si>
  <si>
    <t>Condition Label</t>
  </si>
  <si>
    <t>Gas Mass Flow Rate</t>
  </si>
  <si>
    <t>Gas Volume Flow Rate</t>
  </si>
  <si>
    <t>Inlet Pressure</t>
  </si>
  <si>
    <t>Outlet Pressure</t>
  </si>
  <si>
    <t>Inlet Temperature</t>
  </si>
  <si>
    <t>Specific Gravity</t>
  </si>
  <si>
    <t>Molecular Weight</t>
  </si>
  <si>
    <t>Compressibility Factor</t>
  </si>
  <si>
    <t>Inlet Density</t>
  </si>
  <si>
    <t>kg/m3</t>
  </si>
  <si>
    <t>Ratio of Specific Heats</t>
  </si>
  <si>
    <t>Req'd Valve Flow Coefficient</t>
  </si>
  <si>
    <t>Cv</t>
  </si>
  <si>
    <t>Unit Conv</t>
  </si>
  <si>
    <t>PLUG SIZE</t>
  </si>
  <si>
    <t>Minimum Plug Size, Energy</t>
  </si>
  <si>
    <t>Minimum Plug Size, Cv</t>
  </si>
  <si>
    <t>Actual Plug Size</t>
  </si>
  <si>
    <t>VALVE TRIM</t>
  </si>
  <si>
    <t>To meet KE, not noise</t>
  </si>
  <si>
    <t>Number of Stages, Used</t>
  </si>
  <si>
    <t>dBA</t>
  </si>
  <si>
    <t>DIAMETER INTO OUTLET PIPE</t>
  </si>
  <si>
    <t>Just Upstream of Final Piping</t>
  </si>
  <si>
    <t>Area Expansion per Stage</t>
  </si>
  <si>
    <t>Ra = Aie/(PI/4*Dvr2^2)</t>
  </si>
  <si>
    <t>Press. Between Valve and FD</t>
  </si>
  <si>
    <t>Lagging Credit</t>
  </si>
  <si>
    <t>Credit for Spraywater Injection</t>
  </si>
  <si>
    <t>NOISE RESULTS</t>
  </si>
  <si>
    <t>Overall System Noise</t>
  </si>
  <si>
    <t>PIPE AND VALVE DATA</t>
  </si>
  <si>
    <t>Allowable KE Trim Exit/Plug</t>
  </si>
  <si>
    <t>KEaplg</t>
  </si>
  <si>
    <t>barA</t>
  </si>
  <si>
    <t>IF "Turbine Bypass" THEN KEaplg = 10.3 ELSE KEaplg = 4.87</t>
  </si>
  <si>
    <t>Allow. KE Valve Run/FD Outlet</t>
  </si>
  <si>
    <t>Keavr</t>
  </si>
  <si>
    <t>Dimension Look-up String</t>
  </si>
  <si>
    <t>D1, D2</t>
  </si>
  <si>
    <t>mm</t>
  </si>
  <si>
    <t>t1, t2</t>
  </si>
  <si>
    <t>Nominal Valve Size</t>
  </si>
  <si>
    <t>Unit Conversion</t>
  </si>
  <si>
    <t>Resistance Coefficient</t>
  </si>
  <si>
    <t>K1 &amp; K2</t>
  </si>
  <si>
    <t>Bernoulli Coefficient</t>
  </si>
  <si>
    <t>KB1 &amp; KB2</t>
  </si>
  <si>
    <t>Valve/Pipe Recovery Factor</t>
  </si>
  <si>
    <t>Flp</t>
  </si>
  <si>
    <t>Pipe Correction Factor</t>
  </si>
  <si>
    <t>Fp</t>
  </si>
  <si>
    <t>Recovery/Correction Factor</t>
  </si>
  <si>
    <t>Flp/Fp</t>
  </si>
  <si>
    <t>Valve/Pipe dP Ratio Factor</t>
  </si>
  <si>
    <t>Xtp</t>
  </si>
  <si>
    <t>INLET CONDITIONS</t>
  </si>
  <si>
    <t>P1</t>
  </si>
  <si>
    <t>T1</t>
  </si>
  <si>
    <t>Ratio of Sp Heats Factor</t>
  </si>
  <si>
    <t>Fk</t>
  </si>
  <si>
    <t>Fk = k/1.4</t>
  </si>
  <si>
    <t>Mw</t>
  </si>
  <si>
    <t>Z</t>
  </si>
  <si>
    <t>rho1</t>
  </si>
  <si>
    <t>Inlet Speed of Sound</t>
  </si>
  <si>
    <t>c1</t>
  </si>
  <si>
    <t>m/s</t>
  </si>
  <si>
    <t>c1 = (100000*k*P1/rho1)^0.5</t>
  </si>
  <si>
    <t>W</t>
  </si>
  <si>
    <t>kg/h</t>
  </si>
  <si>
    <t>Qg</t>
  </si>
  <si>
    <t>Nm3/h</t>
  </si>
  <si>
    <t>Density at Plug</t>
  </si>
  <si>
    <t>rhoplg</t>
  </si>
  <si>
    <t>IF "Flow to Close (OTP)" THEN rhoplg = rho2 ELSE rhoplg = rho1</t>
  </si>
  <si>
    <t>Energy Based Plug Size</t>
  </si>
  <si>
    <t>Dplgke</t>
  </si>
  <si>
    <t>IF (200000*KEaplg/rhoplg)^0.5 &lt; c1 THEN Dplgke = 1000*(4*W/(3600*PI()*(200000*KEaplg*rhopg)^0.5))^0.5 ELSE Dplgke = 1000*(4*W*C1/(3600*PI()*200000*KEaplg))^0.5</t>
  </si>
  <si>
    <t>Dplgke = MAX(Dplgke)</t>
  </si>
  <si>
    <t>Dplgcv</t>
  </si>
  <si>
    <t>Actual Plug Diameter</t>
  </si>
  <si>
    <t>Dplg</t>
  </si>
  <si>
    <t>KEplg</t>
  </si>
  <si>
    <t>bar</t>
  </si>
  <si>
    <t>Dvr2</t>
  </si>
  <si>
    <t>Dje</t>
  </si>
  <si>
    <t>Aie</t>
  </si>
  <si>
    <t>mm2</t>
  </si>
  <si>
    <t>Aie = Npe*PI/4*Dje^2</t>
  </si>
  <si>
    <t>Ce</t>
  </si>
  <si>
    <t>Kv</t>
  </si>
  <si>
    <t>Cve = 37.99/(25.4^2*(IF(FDD = "None", (1 - ((Dvr2/25.4)/NPS2)^2)^2, 1.5*IF(FDD = "1 Stage", 1, IF(FDD = "2 Stage", 1 + Ece^2, 1 + Ece^2 + Ece^4))))^0.5)*Npe*PI/4*Dje^2</t>
  </si>
  <si>
    <t>m</t>
  </si>
  <si>
    <t>Capacity of Last Stage of FD</t>
  </si>
  <si>
    <t>Cte</t>
  </si>
  <si>
    <t>Press. Between Valve &amp; FD</t>
  </si>
  <si>
    <t>P2i</t>
  </si>
  <si>
    <t>Temp. Between Valve &amp; FD</t>
  </si>
  <si>
    <t>T2i</t>
  </si>
  <si>
    <t>Den. Between Valve &amp; FD</t>
  </si>
  <si>
    <t>rho2i</t>
  </si>
  <si>
    <t>rhoi = rho1*Pi/P1</t>
  </si>
  <si>
    <t>Speed of Sound, Valve &amp; FD</t>
  </si>
  <si>
    <t>c2i</t>
  </si>
  <si>
    <t>Pressure Drop Ratio</t>
  </si>
  <si>
    <t>x</t>
  </si>
  <si>
    <t>x = MIN(Fk*xTP, (P1 - P2)/P1)</t>
  </si>
  <si>
    <t>Expansion Factor</t>
  </si>
  <si>
    <t>Y</t>
  </si>
  <si>
    <t>Y = 1 - x/(3*Fk*xTP)</t>
  </si>
  <si>
    <t>Kv = W/(31.6*Fp*Y*(x*P1*rho1)^0.5)</t>
  </si>
  <si>
    <t>Vector Pressure Drop Ratio</t>
  </si>
  <si>
    <t>x_Vctr</t>
  </si>
  <si>
    <t>x_Vctr = MIN(Fk*1, (P1 - P1)/P1)</t>
  </si>
  <si>
    <t>Vector Expansion Factor</t>
  </si>
  <si>
    <t>Y_Vctr</t>
  </si>
  <si>
    <t>Y_Vctr = 1 - x_Vctr/(3*Fk*1)</t>
  </si>
  <si>
    <t>Vector Valve Flow Coefficient</t>
  </si>
  <si>
    <t>C_Vctr</t>
  </si>
  <si>
    <t>C_Vctr = W/(31.6*1*Y_Vctr*(x_Vctr*P1*rho1)^0.5)</t>
  </si>
  <si>
    <t>Stack Outlet Area</t>
  </si>
  <si>
    <t>Ao</t>
  </si>
  <si>
    <t>Effective Flow Coefficient</t>
  </si>
  <si>
    <t>Cn</t>
  </si>
  <si>
    <t>Effective Inlet Pressure</t>
  </si>
  <si>
    <t>Pn</t>
  </si>
  <si>
    <t>Effective Inlet Density</t>
  </si>
  <si>
    <t>rhon</t>
  </si>
  <si>
    <t>Vena Contracta Pressure</t>
  </si>
  <si>
    <t>Pvc</t>
  </si>
  <si>
    <t>Recovery Correction Factor</t>
  </si>
  <si>
    <t>alpha</t>
  </si>
  <si>
    <t>Regime</t>
  </si>
  <si>
    <t>Wetted Perimeter</t>
  </si>
  <si>
    <t>Iw</t>
  </si>
  <si>
    <t>Flow Passage Area</t>
  </si>
  <si>
    <t>Number of Flow Passages</t>
  </si>
  <si>
    <t>Equivalent Circular Diameter</t>
  </si>
  <si>
    <t>do</t>
  </si>
  <si>
    <t>Hydraulic Diameter</t>
  </si>
  <si>
    <t>dh</t>
  </si>
  <si>
    <t>Valve Style Modifier</t>
  </si>
  <si>
    <t>Jet Diameter</t>
  </si>
  <si>
    <t>Dj</t>
  </si>
  <si>
    <t>Stream Power</t>
  </si>
  <si>
    <t>Wm</t>
  </si>
  <si>
    <t>Tvc</t>
  </si>
  <si>
    <t>cvc</t>
  </si>
  <si>
    <t>Mvc</t>
  </si>
  <si>
    <t>Acoustic Efficiency Exponent</t>
  </si>
  <si>
    <t>Trim Strouhal Number</t>
  </si>
  <si>
    <t>Wa</t>
  </si>
  <si>
    <t>Hz</t>
  </si>
  <si>
    <t>Tvcc</t>
  </si>
  <si>
    <t>cvcc</t>
  </si>
  <si>
    <t>Mj</t>
  </si>
  <si>
    <t>P2</t>
  </si>
  <si>
    <t>Unit Convsion</t>
  </si>
  <si>
    <t>Outlet Temperature</t>
  </si>
  <si>
    <t>T2</t>
  </si>
  <si>
    <t>Outlet Density</t>
  </si>
  <si>
    <t>rho2</t>
  </si>
  <si>
    <t>rho2 = rho1*P2/P1</t>
  </si>
  <si>
    <t>Outlet Speed of Sound</t>
  </si>
  <si>
    <t>c2</t>
  </si>
  <si>
    <t>Up</t>
  </si>
  <si>
    <t>Mach Number Correction</t>
  </si>
  <si>
    <t>Lg</t>
  </si>
  <si>
    <t>dB</t>
  </si>
  <si>
    <t>fp</t>
  </si>
  <si>
    <t>Early Stage Adder</t>
  </si>
  <si>
    <t>Lpi</t>
  </si>
  <si>
    <t>dTL</t>
  </si>
  <si>
    <t>fr</t>
  </si>
  <si>
    <t>fo</t>
  </si>
  <si>
    <t>fg</t>
  </si>
  <si>
    <t>KEe</t>
  </si>
  <si>
    <t>KEe = rhoe*Ve^2/200000</t>
  </si>
  <si>
    <t>Wme</t>
  </si>
  <si>
    <t>&lt;- Click "+" to see intermediate calculations</t>
  </si>
  <si>
    <t>PIPE</t>
  </si>
  <si>
    <t>1in (25mm)</t>
  </si>
  <si>
    <t>1.5in (38mm)</t>
  </si>
  <si>
    <t>2in (50mm)</t>
  </si>
  <si>
    <t>2.5in (63mm)</t>
  </si>
  <si>
    <t>3in (80mm)</t>
  </si>
  <si>
    <t>4in (100mm)</t>
  </si>
  <si>
    <t>5in (125mm)</t>
  </si>
  <si>
    <t>6in (150mm)</t>
  </si>
  <si>
    <t>8in (200mm)</t>
  </si>
  <si>
    <t>10in (250mm)</t>
  </si>
  <si>
    <t>12in (300mm)</t>
  </si>
  <si>
    <t>14in (350mm)</t>
  </si>
  <si>
    <t>18in (450mm)</t>
  </si>
  <si>
    <t>20in (500mm)</t>
  </si>
  <si>
    <t>22in (550mm)</t>
  </si>
  <si>
    <t>24in (600mm)</t>
  </si>
  <si>
    <t>26in (650mm)</t>
  </si>
  <si>
    <t>28in (700mm)</t>
  </si>
  <si>
    <t>30in (750mm)</t>
  </si>
  <si>
    <t>32in (800mm)</t>
  </si>
  <si>
    <t>34in (850mm)</t>
  </si>
  <si>
    <t>36in (900mm)</t>
  </si>
  <si>
    <t>42in (1050mm)</t>
  </si>
  <si>
    <t>10S</t>
  </si>
  <si>
    <t>STD</t>
  </si>
  <si>
    <t>40S</t>
  </si>
  <si>
    <t>XS</t>
  </si>
  <si>
    <t>80S</t>
  </si>
  <si>
    <t>160</t>
  </si>
  <si>
    <t>XXS</t>
  </si>
  <si>
    <r>
      <t>B G Kyle Specific Heat Formulation, 1984
Cpo (kJ/kg-K) = a + b*t + c*t</t>
    </r>
    <r>
      <rPr>
        <b/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 xml:space="preserve"> + d*t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,  t (K)</t>
    </r>
  </si>
  <si>
    <r>
      <t>B G Kyle Specific Heat Formulation, 1984
Cpo (Btu/lb-deg R) = a + b*t + c*t</t>
    </r>
    <r>
      <rPr>
        <b/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 xml:space="preserve"> + d*t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,  t (deg R)</t>
    </r>
  </si>
  <si>
    <r>
      <t>NIST Internet (Shomate Equation)
Cpo(J/mol-K) = A + B*t + C*t</t>
    </r>
    <r>
      <rPr>
        <b/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 xml:space="preserve"> + D*t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 xml:space="preserve"> + E/t</t>
    </r>
    <r>
      <rPr>
        <b/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>, t = K/1000</t>
    </r>
  </si>
  <si>
    <r>
      <t>C</t>
    </r>
    <r>
      <rPr>
        <b/>
        <vertAlign val="subscript"/>
        <sz val="10"/>
        <rFont val="Arial"/>
        <family val="2"/>
      </rPr>
      <t>4</t>
    </r>
    <r>
      <rPr>
        <b/>
        <sz val="10"/>
        <rFont val="Arial"/>
        <family val="2"/>
      </rPr>
      <t>H</t>
    </r>
    <r>
      <rPr>
        <b/>
        <vertAlign val="subscript"/>
        <sz val="10"/>
        <rFont val="Arial"/>
        <family val="2"/>
      </rPr>
      <t>8</t>
    </r>
  </si>
  <si>
    <r>
      <t>C</t>
    </r>
    <r>
      <rPr>
        <b/>
        <vertAlign val="subscript"/>
        <sz val="10"/>
        <rFont val="Arial"/>
        <family val="2"/>
      </rPr>
      <t>5</t>
    </r>
    <r>
      <rPr>
        <b/>
        <sz val="10"/>
        <rFont val="Arial"/>
        <family val="2"/>
      </rPr>
      <t>H</t>
    </r>
    <r>
      <rPr>
        <b/>
        <vertAlign val="subscript"/>
        <sz val="10"/>
        <rFont val="Arial"/>
        <family val="2"/>
      </rPr>
      <t>8</t>
    </r>
  </si>
  <si>
    <r>
      <t>C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>H</t>
    </r>
    <r>
      <rPr>
        <b/>
        <vertAlign val="subscript"/>
        <sz val="10"/>
        <rFont val="Arial"/>
        <family val="2"/>
      </rPr>
      <t>2</t>
    </r>
  </si>
  <si>
    <r>
      <t>H</t>
    </r>
    <r>
      <rPr>
        <b/>
        <vertAlign val="subscript"/>
        <sz val="10"/>
        <rFont val="Arial"/>
        <family val="2"/>
      </rPr>
      <t>3</t>
    </r>
    <r>
      <rPr>
        <b/>
        <sz val="10"/>
        <rFont val="Arial"/>
        <family val="2"/>
      </rPr>
      <t>N</t>
    </r>
  </si>
  <si>
    <r>
      <t>C</t>
    </r>
    <r>
      <rPr>
        <b/>
        <vertAlign val="subscript"/>
        <sz val="10"/>
        <rFont val="Arial"/>
        <family val="2"/>
      </rPr>
      <t>6</t>
    </r>
    <r>
      <rPr>
        <b/>
        <sz val="10"/>
        <rFont val="Arial"/>
        <family val="2"/>
      </rPr>
      <t>H</t>
    </r>
    <r>
      <rPr>
        <b/>
        <vertAlign val="subscript"/>
        <sz val="10"/>
        <rFont val="Arial"/>
        <family val="2"/>
      </rPr>
      <t>6</t>
    </r>
  </si>
  <si>
    <r>
      <t>C</t>
    </r>
    <r>
      <rPr>
        <b/>
        <vertAlign val="subscript"/>
        <sz val="10"/>
        <rFont val="Arial"/>
        <family val="2"/>
      </rPr>
      <t>9</t>
    </r>
    <r>
      <rPr>
        <b/>
        <sz val="10"/>
        <rFont val="Arial"/>
        <family val="2"/>
      </rPr>
      <t>H</t>
    </r>
    <r>
      <rPr>
        <b/>
        <vertAlign val="subscript"/>
        <sz val="10"/>
        <rFont val="Arial"/>
        <family val="2"/>
      </rPr>
      <t>12</t>
    </r>
  </si>
  <si>
    <r>
      <t>C</t>
    </r>
    <r>
      <rPr>
        <b/>
        <vertAlign val="subscript"/>
        <sz val="10"/>
        <rFont val="Arial"/>
        <family val="2"/>
      </rPr>
      <t>4</t>
    </r>
    <r>
      <rPr>
        <b/>
        <sz val="10"/>
        <rFont val="Arial"/>
        <family val="2"/>
      </rPr>
      <t>H</t>
    </r>
    <r>
      <rPr>
        <b/>
        <vertAlign val="subscript"/>
        <sz val="10"/>
        <rFont val="Arial"/>
        <family val="2"/>
      </rPr>
      <t>10</t>
    </r>
  </si>
  <si>
    <r>
      <t>C</t>
    </r>
    <r>
      <rPr>
        <b/>
        <vertAlign val="subscript"/>
        <sz val="10"/>
        <rFont val="Arial"/>
        <family val="2"/>
      </rPr>
      <t>5</t>
    </r>
    <r>
      <rPr>
        <b/>
        <sz val="10"/>
        <rFont val="Arial"/>
        <family val="2"/>
      </rPr>
      <t>H</t>
    </r>
    <r>
      <rPr>
        <b/>
        <vertAlign val="subscript"/>
        <sz val="10"/>
        <rFont val="Arial"/>
        <family val="2"/>
      </rPr>
      <t>12</t>
    </r>
  </si>
  <si>
    <r>
      <t>CO</t>
    </r>
    <r>
      <rPr>
        <b/>
        <vertAlign val="subscript"/>
        <sz val="10"/>
        <rFont val="Arial"/>
        <family val="2"/>
      </rPr>
      <t>2</t>
    </r>
  </si>
  <si>
    <r>
      <t>Cl</t>
    </r>
    <r>
      <rPr>
        <b/>
        <vertAlign val="subscript"/>
        <sz val="10"/>
        <rFont val="Arial"/>
        <family val="2"/>
      </rPr>
      <t>2</t>
    </r>
  </si>
  <si>
    <r>
      <t>C</t>
    </r>
    <r>
      <rPr>
        <b/>
        <vertAlign val="subscript"/>
        <sz val="10"/>
        <rFont val="Arial"/>
        <family val="2"/>
      </rPr>
      <t>6</t>
    </r>
    <r>
      <rPr>
        <b/>
        <sz val="10"/>
        <rFont val="Arial"/>
        <family val="2"/>
      </rPr>
      <t>H</t>
    </r>
    <r>
      <rPr>
        <b/>
        <vertAlign val="subscript"/>
        <sz val="10"/>
        <rFont val="Arial"/>
        <family val="2"/>
      </rPr>
      <t>12</t>
    </r>
  </si>
  <si>
    <r>
      <t>C</t>
    </r>
    <r>
      <rPr>
        <b/>
        <vertAlign val="subscript"/>
        <sz val="10"/>
        <rFont val="Arial"/>
        <family val="2"/>
      </rPr>
      <t>5</t>
    </r>
    <r>
      <rPr>
        <b/>
        <sz val="10"/>
        <rFont val="Arial"/>
        <family val="2"/>
      </rPr>
      <t>H</t>
    </r>
    <r>
      <rPr>
        <b/>
        <vertAlign val="subscript"/>
        <sz val="10"/>
        <rFont val="Arial"/>
        <family val="2"/>
      </rPr>
      <t>10</t>
    </r>
  </si>
  <si>
    <r>
      <t>C</t>
    </r>
    <r>
      <rPr>
        <b/>
        <vertAlign val="subscript"/>
        <sz val="10"/>
        <rFont val="Arial"/>
        <family val="2"/>
      </rPr>
      <t>10</t>
    </r>
    <r>
      <rPr>
        <b/>
        <sz val="10"/>
        <rFont val="Arial"/>
        <family val="2"/>
      </rPr>
      <t>H</t>
    </r>
    <r>
      <rPr>
        <b/>
        <vertAlign val="subscript"/>
        <sz val="10"/>
        <rFont val="Arial"/>
        <family val="2"/>
      </rPr>
      <t>22</t>
    </r>
  </si>
  <si>
    <r>
      <t>CCl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>F</t>
    </r>
    <r>
      <rPr>
        <b/>
        <vertAlign val="subscript"/>
        <sz val="10"/>
        <rFont val="Arial"/>
        <family val="2"/>
      </rPr>
      <t>2</t>
    </r>
  </si>
  <si>
    <r>
      <t>C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>H</t>
    </r>
    <r>
      <rPr>
        <b/>
        <vertAlign val="subscript"/>
        <sz val="10"/>
        <rFont val="Arial"/>
        <family val="2"/>
      </rPr>
      <t>6</t>
    </r>
  </si>
  <si>
    <r>
      <t>C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>H</t>
    </r>
    <r>
      <rPr>
        <b/>
        <vertAlign val="subscript"/>
        <sz val="10"/>
        <rFont val="Arial"/>
        <family val="2"/>
      </rPr>
      <t>6</t>
    </r>
    <r>
      <rPr>
        <b/>
        <sz val="10"/>
        <rFont val="Arial"/>
        <family val="2"/>
      </rPr>
      <t>O</t>
    </r>
  </si>
  <si>
    <r>
      <t>C</t>
    </r>
    <r>
      <rPr>
        <b/>
        <vertAlign val="subscript"/>
        <sz val="10"/>
        <rFont val="Arial"/>
        <family val="2"/>
      </rPr>
      <t>8</t>
    </r>
    <r>
      <rPr>
        <b/>
        <sz val="10"/>
        <rFont val="Arial"/>
        <family val="2"/>
      </rPr>
      <t>H</t>
    </r>
    <r>
      <rPr>
        <b/>
        <vertAlign val="subscript"/>
        <sz val="10"/>
        <rFont val="Arial"/>
        <family val="2"/>
      </rPr>
      <t>10</t>
    </r>
  </si>
  <si>
    <r>
      <t>C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>H</t>
    </r>
    <r>
      <rPr>
        <b/>
        <vertAlign val="subscript"/>
        <sz val="10"/>
        <rFont val="Arial"/>
        <family val="2"/>
      </rPr>
      <t>4</t>
    </r>
  </si>
  <si>
    <r>
      <t>C</t>
    </r>
    <r>
      <rPr>
        <b/>
        <vertAlign val="subscript"/>
        <sz val="10"/>
        <rFont val="Arial"/>
        <family val="2"/>
      </rPr>
      <t>7</t>
    </r>
    <r>
      <rPr>
        <b/>
        <sz val="10"/>
        <rFont val="Arial"/>
        <family val="2"/>
      </rPr>
      <t>H</t>
    </r>
    <r>
      <rPr>
        <b/>
        <vertAlign val="subscript"/>
        <sz val="10"/>
        <rFont val="Arial"/>
        <family val="2"/>
      </rPr>
      <t>16</t>
    </r>
  </si>
  <si>
    <r>
      <t>C</t>
    </r>
    <r>
      <rPr>
        <b/>
        <vertAlign val="subscript"/>
        <sz val="10"/>
        <rFont val="Arial"/>
        <family val="2"/>
      </rPr>
      <t>6</t>
    </r>
    <r>
      <rPr>
        <b/>
        <sz val="10"/>
        <rFont val="Arial"/>
        <family val="2"/>
      </rPr>
      <t>H</t>
    </r>
    <r>
      <rPr>
        <b/>
        <vertAlign val="subscript"/>
        <sz val="10"/>
        <rFont val="Arial"/>
        <family val="2"/>
      </rPr>
      <t>14</t>
    </r>
  </si>
  <si>
    <r>
      <t>H</t>
    </r>
    <r>
      <rPr>
        <b/>
        <vertAlign val="subscript"/>
        <sz val="10"/>
        <rFont val="Arial"/>
        <family val="2"/>
      </rPr>
      <t>2</t>
    </r>
  </si>
  <si>
    <r>
      <t>H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>S</t>
    </r>
  </si>
  <si>
    <r>
      <t>CH</t>
    </r>
    <r>
      <rPr>
        <b/>
        <vertAlign val="subscript"/>
        <sz val="10"/>
        <rFont val="Arial"/>
        <family val="2"/>
      </rPr>
      <t>4</t>
    </r>
  </si>
  <si>
    <r>
      <t>CH</t>
    </r>
    <r>
      <rPr>
        <b/>
        <vertAlign val="subscript"/>
        <sz val="10"/>
        <rFont val="Arial"/>
        <family val="2"/>
      </rPr>
      <t>4</t>
    </r>
    <r>
      <rPr>
        <b/>
        <sz val="10"/>
        <rFont val="Arial"/>
        <family val="2"/>
      </rPr>
      <t>O</t>
    </r>
  </si>
  <si>
    <r>
      <t>CH</t>
    </r>
    <r>
      <rPr>
        <b/>
        <vertAlign val="subscript"/>
        <sz val="10"/>
        <rFont val="Arial"/>
        <family val="2"/>
      </rPr>
      <t>3</t>
    </r>
    <r>
      <rPr>
        <b/>
        <sz val="10"/>
        <rFont val="Arial"/>
        <family val="2"/>
      </rPr>
      <t>CL</t>
    </r>
  </si>
  <si>
    <r>
      <t>N</t>
    </r>
    <r>
      <rPr>
        <b/>
        <vertAlign val="subscript"/>
        <sz val="10"/>
        <rFont val="Arial"/>
        <family val="2"/>
      </rPr>
      <t>2</t>
    </r>
  </si>
  <si>
    <r>
      <t>N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>O</t>
    </r>
  </si>
  <si>
    <r>
      <t>NO</t>
    </r>
    <r>
      <rPr>
        <b/>
        <vertAlign val="subscript"/>
        <sz val="10"/>
        <rFont val="Arial"/>
        <family val="2"/>
      </rPr>
      <t>2</t>
    </r>
  </si>
  <si>
    <r>
      <t>C</t>
    </r>
    <r>
      <rPr>
        <b/>
        <vertAlign val="subscript"/>
        <sz val="10"/>
        <rFont val="Arial"/>
        <family val="2"/>
      </rPr>
      <t>9</t>
    </r>
    <r>
      <rPr>
        <b/>
        <sz val="10"/>
        <rFont val="Arial"/>
        <family val="2"/>
      </rPr>
      <t>H</t>
    </r>
    <r>
      <rPr>
        <b/>
        <vertAlign val="subscript"/>
        <sz val="10"/>
        <rFont val="Arial"/>
        <family val="2"/>
      </rPr>
      <t>20</t>
    </r>
  </si>
  <si>
    <r>
      <t>C</t>
    </r>
    <r>
      <rPr>
        <b/>
        <vertAlign val="subscript"/>
        <sz val="10"/>
        <rFont val="Arial"/>
        <family val="2"/>
      </rPr>
      <t>8</t>
    </r>
    <r>
      <rPr>
        <b/>
        <sz val="10"/>
        <rFont val="Arial"/>
        <family val="2"/>
      </rPr>
      <t>H</t>
    </r>
    <r>
      <rPr>
        <b/>
        <vertAlign val="subscript"/>
        <sz val="10"/>
        <rFont val="Arial"/>
        <family val="2"/>
      </rPr>
      <t>18</t>
    </r>
  </si>
  <si>
    <r>
      <t>O</t>
    </r>
    <r>
      <rPr>
        <b/>
        <vertAlign val="subscript"/>
        <sz val="10"/>
        <rFont val="Arial"/>
        <family val="2"/>
      </rPr>
      <t>2</t>
    </r>
  </si>
  <si>
    <r>
      <t>C</t>
    </r>
    <r>
      <rPr>
        <b/>
        <vertAlign val="subscript"/>
        <sz val="10"/>
        <rFont val="Arial"/>
        <family val="2"/>
      </rPr>
      <t>3</t>
    </r>
    <r>
      <rPr>
        <b/>
        <sz val="10"/>
        <rFont val="Arial"/>
        <family val="2"/>
      </rPr>
      <t>H</t>
    </r>
    <r>
      <rPr>
        <b/>
        <vertAlign val="subscript"/>
        <sz val="10"/>
        <rFont val="Arial"/>
        <family val="2"/>
      </rPr>
      <t>8</t>
    </r>
  </si>
  <si>
    <r>
      <t>C</t>
    </r>
    <r>
      <rPr>
        <b/>
        <vertAlign val="subscript"/>
        <sz val="10"/>
        <rFont val="Arial"/>
        <family val="2"/>
      </rPr>
      <t>3</t>
    </r>
    <r>
      <rPr>
        <b/>
        <sz val="10"/>
        <rFont val="Arial"/>
        <family val="2"/>
      </rPr>
      <t>H</t>
    </r>
    <r>
      <rPr>
        <b/>
        <vertAlign val="subscript"/>
        <sz val="10"/>
        <rFont val="Arial"/>
        <family val="2"/>
      </rPr>
      <t>6</t>
    </r>
  </si>
  <si>
    <r>
      <t>O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>S</t>
    </r>
  </si>
  <si>
    <r>
      <t>O</t>
    </r>
    <r>
      <rPr>
        <b/>
        <vertAlign val="subscript"/>
        <sz val="10"/>
        <rFont val="Arial"/>
        <family val="2"/>
      </rPr>
      <t>3</t>
    </r>
    <r>
      <rPr>
        <b/>
        <sz val="10"/>
        <rFont val="Arial"/>
        <family val="2"/>
      </rPr>
      <t>S</t>
    </r>
  </si>
  <si>
    <r>
      <t>H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>O</t>
    </r>
  </si>
  <si>
    <r>
      <t>G</t>
    </r>
    <r>
      <rPr>
        <b/>
        <vertAlign val="subscript"/>
        <sz val="10"/>
        <rFont val="Arial"/>
        <family val="2"/>
      </rPr>
      <t>f</t>
    </r>
    <r>
      <rPr>
        <b/>
        <sz val="10"/>
        <rFont val="Arial"/>
        <family val="2"/>
      </rPr>
      <t xml:space="preserve"> Constants
Gf = GFB(2Tc - T)/
(2Tc - TB)</t>
    </r>
  </si>
  <si>
    <t>Input?</t>
  </si>
  <si>
    <t>Reference</t>
  </si>
  <si>
    <t>Equation</t>
  </si>
  <si>
    <t>Body Type</t>
  </si>
  <si>
    <t>VALVE OUTLET/FLOW DISTRIB. DETAILS</t>
  </si>
  <si>
    <t>LRS</t>
  </si>
  <si>
    <t>Corrected conditional formatting</t>
  </si>
  <si>
    <t>Corrected to match IEC 2008 equations</t>
  </si>
  <si>
    <t>Pvce</t>
  </si>
  <si>
    <t>Pne</t>
  </si>
  <si>
    <t>alphae</t>
  </si>
  <si>
    <t>Rhone</t>
  </si>
  <si>
    <t>Ue</t>
  </si>
  <si>
    <t>Ring Frequency</t>
  </si>
  <si>
    <t>Int'l Coincidence Pipe Freq</t>
  </si>
  <si>
    <t>Ext'l Coincidence Frequency</t>
  </si>
  <si>
    <t>Pipe Dampening Factor</t>
  </si>
  <si>
    <t>Internal Sound Press Level</t>
  </si>
  <si>
    <t>Peak Frequency</t>
  </si>
  <si>
    <t>Sound Power</t>
  </si>
  <si>
    <t>Ext'l Trim Noise</t>
  </si>
  <si>
    <t>Ext'l Expansion Noise</t>
  </si>
  <si>
    <t>Vena Contracta Temp.</t>
  </si>
  <si>
    <t>Wae</t>
  </si>
  <si>
    <t>Eff Upstream Pressure</t>
  </si>
  <si>
    <t>Eff Upstream Density</t>
  </si>
  <si>
    <t>dLpAe</t>
  </si>
  <si>
    <t>Small Valve Correction</t>
  </si>
  <si>
    <t>Chgd Cd from 0.0078 to 0.0124 for 510D/520D valve type</t>
  </si>
  <si>
    <t>Nominal</t>
  </si>
  <si>
    <t>Valve Size</t>
  </si>
  <si>
    <t>NPS</t>
  </si>
  <si>
    <t>DN</t>
  </si>
  <si>
    <t>0.5in (15mm)</t>
  </si>
  <si>
    <t>0.75in (20mm)</t>
  </si>
  <si>
    <t>1.25in (32mm)</t>
  </si>
  <si>
    <t>1.5in (40mm)</t>
  </si>
  <si>
    <t>2.5in (65mm)</t>
  </si>
  <si>
    <t>Valve Inside Diameter, mm</t>
  </si>
  <si>
    <t>Valve ASME Pressure Rating</t>
  </si>
  <si>
    <t>CUSTOMER</t>
  </si>
  <si>
    <t>Relative Capacity</t>
  </si>
  <si>
    <t>Kv/mm2</t>
  </si>
  <si>
    <t>Terminal Press Drop Ratio</t>
  </si>
  <si>
    <t>Liq Press Recovery Factor</t>
  </si>
  <si>
    <t>VALVE SIZING TERMS</t>
  </si>
  <si>
    <t>VALVE OUTLET TO OUTLET PIPE DETAILS</t>
  </si>
  <si>
    <t>Revised speed of sound calcs to use P and Rho instead of T and Mw</t>
  </si>
  <si>
    <t>Fixed Ao to use zero stages for drilled-hole cages.</t>
  </si>
  <si>
    <t>NPS &amp; Schd</t>
  </si>
  <si>
    <t>D171 was "K", is "deg C"</t>
  </si>
  <si>
    <t>Lpi, LpAe1m, Wae, Lpie and LpAe1me (rows 180, 186, 208, 210 &amp; 212) used rhoi &amp; ci, now use rho2 &amp; c2</t>
  </si>
  <si>
    <t>Revised Lines 172 and 172 to take "deg C" input from line 171, instead of "K"</t>
  </si>
  <si>
    <t>Calculate from MW</t>
  </si>
  <si>
    <t>+0/-5 dBA</t>
  </si>
  <si>
    <t>Avr2</t>
  </si>
  <si>
    <t>Added back pressure for 1 stage Flow Distributor</t>
  </si>
  <si>
    <t>Changed rho2i and c2i to rho2 and c2 in two equations.</t>
  </si>
  <si>
    <t>Drilled-hole Cage Hole Size</t>
  </si>
  <si>
    <t>Added input for DHC hole size.</t>
  </si>
  <si>
    <t>SUG'D</t>
  </si>
  <si>
    <t>Number of Stages, Suggested</t>
  </si>
  <si>
    <t>ADDITIONAL NOISE ASSUMPTIONS</t>
  </si>
  <si>
    <t>Trim Sound Pressure Level, (Bare Pipe)</t>
  </si>
  <si>
    <t>Added "Sug'd" and "Actual" columns to help with input</t>
  </si>
  <si>
    <t>Added look up for typical valve outlet ID, f(Nom Size and Press Rating)</t>
  </si>
  <si>
    <t>Added velocity, Mach Number and Kinetic Energy at Valve Outlet</t>
  </si>
  <si>
    <t>Vplg</t>
  </si>
  <si>
    <t>Fluid Velocity in Inlet Pipe</t>
  </si>
  <si>
    <t>Fluid Kinetic Energy in Inlet Pipe</t>
  </si>
  <si>
    <t>Fluid KE in Inlet Pipe</t>
  </si>
  <si>
    <t>Vp1</t>
  </si>
  <si>
    <t>KWp1</t>
  </si>
  <si>
    <t>INLET PIPE DETAILS</t>
  </si>
  <si>
    <t>Fluid Kinetic Energy Exiting Stack</t>
  </si>
  <si>
    <t>Fluid Velocity Exiting Stack</t>
  </si>
  <si>
    <t>Vso</t>
  </si>
  <si>
    <t>KEso</t>
  </si>
  <si>
    <t>Added velocity and Kinetic Energy at Inlet Pipe</t>
  </si>
  <si>
    <t>Added Velocity at Stack Outlet</t>
  </si>
  <si>
    <t>Corrected Pipe Outlet to use Outlet Density</t>
  </si>
  <si>
    <t>KE In Outlet Pipe</t>
  </si>
  <si>
    <t>Frequency Band</t>
  </si>
  <si>
    <t>"A" Weighting</t>
  </si>
  <si>
    <t>Freq Band</t>
  </si>
  <si>
    <t>Added External Frequency Spectrum</t>
  </si>
  <si>
    <t>hz</t>
  </si>
  <si>
    <t>Table 1.  Pipe Dependent Information</t>
  </si>
  <si>
    <t>Revised 6-Sep-13</t>
  </si>
  <si>
    <t>NPS and Schedule</t>
  </si>
  <si>
    <t>Cst OD</t>
  </si>
  <si>
    <t>Frgd OD</t>
  </si>
  <si>
    <t>0.5in (15mm), Schd 10S</t>
  </si>
  <si>
    <t>0.5in (15mm), Schd 10</t>
  </si>
  <si>
    <t>0.5in (15mm), Schd 40S</t>
  </si>
  <si>
    <t>0.5in (15mm), Schd STD</t>
  </si>
  <si>
    <t>0.5in (15mm), Schd 40</t>
  </si>
  <si>
    <t>0.5in (15mm), Schd 80S</t>
  </si>
  <si>
    <t>0.5in (15mm), Schd XS</t>
  </si>
  <si>
    <t>0.5in (15mm), Schd 80</t>
  </si>
  <si>
    <t>0.5in (15mm), Schd 160</t>
  </si>
  <si>
    <t>0.5in (15mm), Schd XXS</t>
  </si>
  <si>
    <t>0.75in (20mm), Schd 10S</t>
  </si>
  <si>
    <t>0.75in (20mm), Schd 10</t>
  </si>
  <si>
    <t>0.75in (20mm), Schd 40S</t>
  </si>
  <si>
    <t>0.75in (20mm), Schd STD</t>
  </si>
  <si>
    <t>0.75in (20mm), Schd 40</t>
  </si>
  <si>
    <t>0.75in (20mm), Schd 80S</t>
  </si>
  <si>
    <t>0.75in (20mm), Schd XS</t>
  </si>
  <si>
    <t>0.75in (20mm), Schd 80</t>
  </si>
  <si>
    <t>0.75in (20mm), Schd 160</t>
  </si>
  <si>
    <t>0.75in (20mm), Schd XXS</t>
  </si>
  <si>
    <t>1in (25mm), Schd 10</t>
  </si>
  <si>
    <t>1.5in (40mm), Schd 10S</t>
  </si>
  <si>
    <t>1.5in (40mm), Schd 10</t>
  </si>
  <si>
    <t>1.5in (40mm), Schd 40S</t>
  </si>
  <si>
    <t>1.5in (40mm), Schd STD</t>
  </si>
  <si>
    <t>1.5in (40mm), Schd 40</t>
  </si>
  <si>
    <t>1.5in (40mm), Schd 80S</t>
  </si>
  <si>
    <t>1.5in (40mm), Schd XS</t>
  </si>
  <si>
    <t>1.5in (40mm), Schd 80</t>
  </si>
  <si>
    <t>1.5in (40mm), Schd 160</t>
  </si>
  <si>
    <t>1.5in (40mm), Schd XXS</t>
  </si>
  <si>
    <t>2in (50mm), Schd 10</t>
  </si>
  <si>
    <t>2.5in (65mm), Schd 10S</t>
  </si>
  <si>
    <t>2.5in (65mm), Schd 10</t>
  </si>
  <si>
    <t>2.5in (65mm), Schd 30</t>
  </si>
  <si>
    <t>2.5in (65mm), Schd 40S</t>
  </si>
  <si>
    <t>2.5in (65mm), Schd STD</t>
  </si>
  <si>
    <t>2.5in (65mm), Schd 40</t>
  </si>
  <si>
    <t>2.5in (65mm), Schd 80S</t>
  </si>
  <si>
    <t>2.5in (65mm), Schd XS</t>
  </si>
  <si>
    <t>2.5in (65mm), Schd 80</t>
  </si>
  <si>
    <t>2.5in (65mm), Schd 160</t>
  </si>
  <si>
    <t>2.5in (65mm), Schd XXS</t>
  </si>
  <si>
    <t>3in (80mm), Schd 30</t>
  </si>
  <si>
    <t>4in (100mm), Schd 10</t>
  </si>
  <si>
    <t>4in (100mm), Schd 30</t>
  </si>
  <si>
    <t>5in (125mm), Schd 10</t>
  </si>
  <si>
    <t>6in (150mm), Schd 10</t>
  </si>
  <si>
    <t>8in (200mm), Schd 10</t>
  </si>
  <si>
    <t>10in (250mm), Schd 10</t>
  </si>
  <si>
    <t>12in (300mm), Schd 10</t>
  </si>
  <si>
    <t>14in (350mm), Schd 40S</t>
  </si>
  <si>
    <t>14in (350mm), Schd 80S</t>
  </si>
  <si>
    <t>16in (400mm), Schd 40S</t>
  </si>
  <si>
    <t>16in (400mm), Schd 80S</t>
  </si>
  <si>
    <t>18in (450mm), Schd 40S</t>
  </si>
  <si>
    <t>18in (450mm), Schd 80S</t>
  </si>
  <si>
    <t>20in (500mm), Schd 40S</t>
  </si>
  <si>
    <t>20in (500mm), Schd 80S</t>
  </si>
  <si>
    <t>22in (550mm), Schd 40s</t>
  </si>
  <si>
    <t>22in (550mm), Schd 80S</t>
  </si>
  <si>
    <t>24in (600mm), Schd 40S</t>
  </si>
  <si>
    <t>24in (600mm), Schd 80S</t>
  </si>
  <si>
    <t>26in (650mm), Schd 40S</t>
  </si>
  <si>
    <t>28in (700mm), Schd 40S</t>
  </si>
  <si>
    <t>30in (750mm), Schd 40S</t>
  </si>
  <si>
    <t>32in (800mm), Schd 40S</t>
  </si>
  <si>
    <t>34in (850mm), Schd 40S</t>
  </si>
  <si>
    <t>36in (900mm), Schd 40S</t>
  </si>
  <si>
    <t>40in (1000mm), Schd STD</t>
  </si>
  <si>
    <t>40in (1000mm), Schd XS</t>
  </si>
  <si>
    <t>44in (1100mm), Schd STD</t>
  </si>
  <si>
    <t>44in (1100mm), Schd XS</t>
  </si>
  <si>
    <t>46in (1150mm), Schd STD</t>
  </si>
  <si>
    <t>46in (1150mm), Schd XS</t>
  </si>
  <si>
    <t>48in (1200mm), Schd STD</t>
  </si>
  <si>
    <t>48in (1200mm), Schd XS</t>
  </si>
  <si>
    <t>40in (1000mm)</t>
  </si>
  <si>
    <t>44in (1100mm)</t>
  </si>
  <si>
    <t>46in (1150mm)</t>
  </si>
  <si>
    <t>48in (1200mm)</t>
  </si>
  <si>
    <t>Updated Pipe Data</t>
  </si>
  <si>
    <t>30</t>
  </si>
  <si>
    <t>10</t>
  </si>
  <si>
    <t>20</t>
  </si>
  <si>
    <t>40</t>
  </si>
  <si>
    <t>80</t>
  </si>
  <si>
    <t>100</t>
  </si>
  <si>
    <t>120</t>
  </si>
  <si>
    <t>140</t>
  </si>
  <si>
    <t>60</t>
  </si>
  <si>
    <t>Thk(ref)</t>
  </si>
  <si>
    <t>Liquid Noise Transmission Loss</t>
  </si>
  <si>
    <t>LpiR</t>
  </si>
  <si>
    <t>LpeS1m</t>
  </si>
  <si>
    <t>Lpe1m</t>
  </si>
  <si>
    <t>Sum of Lpe1mf, 10^Lpe, 10^dBA</t>
  </si>
  <si>
    <t>Sum of LpeS1m(f), 10^LpeS, 10^dB</t>
  </si>
  <si>
    <t>*1, Eqs. 23 &amp; 24</t>
  </si>
  <si>
    <t>*1, Eq. 22</t>
  </si>
  <si>
    <t>Bibliography</t>
  </si>
  <si>
    <r>
      <t xml:space="preserve">1. ISA-75.01.01-2007 (60534-2-1 Mod), </t>
    </r>
    <r>
      <rPr>
        <i/>
        <sz val="9"/>
        <rFont val="Arial"/>
        <family val="2"/>
      </rPr>
      <t>Flow Equations for Sizing Control Valves</t>
    </r>
  </si>
  <si>
    <t>*1, Eq. 30</t>
  </si>
  <si>
    <r>
      <t xml:space="preserve">2. IEC 60534-8-3, Ed 3.0 2010-11, </t>
    </r>
    <r>
      <rPr>
        <i/>
        <sz val="9"/>
        <rFont val="Arial"/>
        <family val="2"/>
      </rPr>
      <t>Noise considerations - Control valve aerodynamic noise prediction method</t>
    </r>
  </si>
  <si>
    <t>*1, Eq. 33</t>
  </si>
  <si>
    <t>*1, Eq. 34</t>
  </si>
  <si>
    <t>Newton-Laplace Eq.</t>
  </si>
  <si>
    <t>*2, Eq. 34</t>
  </si>
  <si>
    <t>Circle Area Eq.</t>
  </si>
  <si>
    <t>Dje(m) = Dje(mm)/1000</t>
  </si>
  <si>
    <t>Wtr Function or *2, Eq. 13</t>
  </si>
  <si>
    <t>*1, Eq. 20, 21</t>
  </si>
  <si>
    <t>Continuity Eq.</t>
  </si>
  <si>
    <t>Kinetic Energy Eq.</t>
  </si>
  <si>
    <t>*1, Eq. 32</t>
  </si>
  <si>
    <t>*1, Eq. 6, 9 ,12</t>
  </si>
  <si>
    <t>*1, Para. 7</t>
  </si>
  <si>
    <t>*2, Para. 5.1, Note 2, …</t>
  </si>
  <si>
    <t>*2, Eq. 27</t>
  </si>
  <si>
    <t>Find P1, given capacity</t>
  </si>
  <si>
    <t>*2, eq. 28b</t>
  </si>
  <si>
    <t>Perimeter of 0.09"x0.18" rectangle</t>
  </si>
  <si>
    <t>Area of 0.09"x0.18" rectangle</t>
  </si>
  <si>
    <t>*2, Eq. 8c</t>
  </si>
  <si>
    <t>Given or *2, Eq. 8b</t>
  </si>
  <si>
    <t xml:space="preserve">1/No^0.5 or *2, Eq. 8a </t>
  </si>
  <si>
    <t>Differntial Pressure Ratio</t>
  </si>
  <si>
    <t>*2, Eq. 1</t>
  </si>
  <si>
    <t>*2, Eq. 2</t>
  </si>
  <si>
    <t>*2, Eq. 3</t>
  </si>
  <si>
    <t>*2, Eq. 4</t>
  </si>
  <si>
    <t>*2, Eq. 5</t>
  </si>
  <si>
    <t>*2, Eq. 6</t>
  </si>
  <si>
    <t>*2, Eq. 7</t>
  </si>
  <si>
    <t>xvcc</t>
  </si>
  <si>
    <t>xC</t>
  </si>
  <si>
    <t>xB</t>
  </si>
  <si>
    <t>xCE</t>
  </si>
  <si>
    <t>dP Ratio @ Break Point</t>
  </si>
  <si>
    <t>dP Ratio @ Const Acoustic Eff</t>
  </si>
  <si>
    <t>dP Ratio @ Critical Flow</t>
  </si>
  <si>
    <t>5.1 Pressures and pressure ratios</t>
  </si>
  <si>
    <t>5.2 Regime definition</t>
  </si>
  <si>
    <t>RGM</t>
  </si>
  <si>
    <t>5.3 Preliminary calculations</t>
  </si>
  <si>
    <t>Section 6 Valves with noise reducing trims</t>
  </si>
  <si>
    <t>*2, Eq. 9, 26, 30</t>
  </si>
  <si>
    <t>5.4 Regime 1 (Subsonic Flow)</t>
  </si>
  <si>
    <t>Acoustic Efficiency</t>
  </si>
  <si>
    <t>eta</t>
  </si>
  <si>
    <t>Acoustic Eff, Reg 1</t>
  </si>
  <si>
    <t>Sound Power, Reg 1</t>
  </si>
  <si>
    <t>Peak Freq, Reg 1</t>
  </si>
  <si>
    <t>5.5 Regime II through V (common calculations)</t>
  </si>
  <si>
    <t>Temperature, VC @ Crit</t>
  </si>
  <si>
    <t>Mach Number, VC</t>
  </si>
  <si>
    <t>Speed of Sound, VC</t>
  </si>
  <si>
    <t>Speed of Sound, VC @ Crit</t>
  </si>
  <si>
    <t>Stream Power, VC @ Crit</t>
  </si>
  <si>
    <t>Mach Number, VC @ Crit</t>
  </si>
  <si>
    <t>5.5.1 Regime II</t>
  </si>
  <si>
    <t>Acoustic Eff, Reg 2</t>
  </si>
  <si>
    <t>Sound Power, Reg 2</t>
  </si>
  <si>
    <t>Peak Freq, Reg 2 &amp; 3</t>
  </si>
  <si>
    <t>5.5.2 Regime III</t>
  </si>
  <si>
    <t>Acoustic Eff, Reg 3</t>
  </si>
  <si>
    <t>Sound Power, Reg 3</t>
  </si>
  <si>
    <t>Peak Freq, Reg 4 &amp; 5</t>
  </si>
  <si>
    <t>5.5.3 Regime IV and 5.5.4 Regime V</t>
  </si>
  <si>
    <t>Acoustic Eff, Reg 4 &amp; 5</t>
  </si>
  <si>
    <t>Sound Power, Reg 4 &amp; 5</t>
  </si>
  <si>
    <t>5.6 Noise calculations</t>
  </si>
  <si>
    <t>Mp</t>
  </si>
  <si>
    <t>KEp</t>
  </si>
  <si>
    <t>Internal Sound Power Level</t>
  </si>
  <si>
    <t>Lwi</t>
  </si>
  <si>
    <t>*2, Table 3</t>
  </si>
  <si>
    <t>*2, Table 3, Eq. 32</t>
  </si>
  <si>
    <t>*2, Table 4</t>
  </si>
  <si>
    <t>*2, Eq. 11</t>
  </si>
  <si>
    <t>*2, Table 3, Eq. 33</t>
  </si>
  <si>
    <t>Wtr Function, *2, Eq. 13</t>
  </si>
  <si>
    <t>Wtr Function, *2, Eq. 10 &amp;14</t>
  </si>
  <si>
    <t>Velocity, Outlet Pipe</t>
  </si>
  <si>
    <t>Mach Number, Outlet Pipe</t>
  </si>
  <si>
    <t>*2, Eq. 17</t>
  </si>
  <si>
    <t>*2, Eq. 16</t>
  </si>
  <si>
    <t>*2 Eq. 18, 31</t>
  </si>
  <si>
    <t>*2, Eq. 20b</t>
  </si>
  <si>
    <t>*2, Eq. 21</t>
  </si>
  <si>
    <t>*2, Eq. 22</t>
  </si>
  <si>
    <t>*2, Eq. 23</t>
  </si>
  <si>
    <t>Frequency Factor, Gx(f), dB, *2, Table 6</t>
  </si>
  <si>
    <t>Frequency Factor, Gy(f), dB, *2, Table 6</t>
  </si>
  <si>
    <t>etasf, *2, Eq. 20c</t>
  </si>
  <si>
    <t>Freq-Dep Transmission Loss, TL(f), dB, *2, Eq. 20a</t>
  </si>
  <si>
    <t>Ext'l Trim Noise @ 1m, Lpe1m, dBA, *2, Eq. 25</t>
  </si>
  <si>
    <t>Freq-Dep Internal Sound Pressure Level, Total, LpiS(f), dB, *2, Eq. 43</t>
  </si>
  <si>
    <t>Freq-Dep Total Ext'l Sound Press. Level @ 1m, LpeS1m(f), *2, Eq. 24</t>
  </si>
  <si>
    <t>Freq-Dep Int'l Sound Press. Level, Reducer, LpiR(f), dB, *2, Eq. 42</t>
  </si>
  <si>
    <t>Freq-Dep Trim Ext'l Sound Press. Level @ 1m, Lpe1m(f), dB, *2, Eq. 24</t>
  </si>
  <si>
    <t>Freq-Dep Int'l Sound Press. Level, Lpi(f), dB, *2, Eq. 19</t>
  </si>
  <si>
    <t>Gas Velocity, Valve Outlet</t>
  </si>
  <si>
    <t>Gas Mach No., Valve Outlet</t>
  </si>
  <si>
    <t>Gas KE, Valve Outlet</t>
  </si>
  <si>
    <t>Gas Velocity, FD Outlet</t>
  </si>
  <si>
    <t>Gas KE, FD Outlet</t>
  </si>
  <si>
    <t>xe</t>
  </si>
  <si>
    <t>xCe</t>
  </si>
  <si>
    <t>Xvcce</t>
  </si>
  <si>
    <t>VC dP Ratio @ Crit Flow</t>
  </si>
  <si>
    <t xml:space="preserve">Regime </t>
  </si>
  <si>
    <t>RGMe</t>
  </si>
  <si>
    <t>*2, Eq. 12, Not used</t>
  </si>
  <si>
    <t>*2, Eq. 18, Not used</t>
  </si>
  <si>
    <t>Uv2</t>
  </si>
  <si>
    <t>Mv2</t>
  </si>
  <si>
    <t>KEv2</t>
  </si>
  <si>
    <t>Acoustic Eff Factor</t>
  </si>
  <si>
    <t>Aetae</t>
  </si>
  <si>
    <t>Press Recovery Factor, FD</t>
  </si>
  <si>
    <t>fpe</t>
  </si>
  <si>
    <t>Not used</t>
  </si>
  <si>
    <t>OD1, OD2</t>
  </si>
  <si>
    <t>Custom Gas</t>
  </si>
  <si>
    <t>Valve Run ID</t>
  </si>
  <si>
    <t>dvr1, dvr2</t>
  </si>
  <si>
    <t>NVS1, NVS2</t>
  </si>
  <si>
    <t>PLUG VELOCITY/ENERGY</t>
  </si>
  <si>
    <t>FD Outlet to Inlet Area Ratio</t>
  </si>
  <si>
    <t>No. of Holes in FD Outlet</t>
  </si>
  <si>
    <t>Mach Number, Flow Distributor Outlet</t>
  </si>
  <si>
    <t>Gas Velocity, Flow Distributor Outlet</t>
  </si>
  <si>
    <t>Gas Kinetic Energy, Flow Distrib. Outlet</t>
  </si>
  <si>
    <t>Gas Velocity, Outlet Pipe</t>
  </si>
  <si>
    <t>Gas Kinetic Energy, Outlet Pipe</t>
  </si>
  <si>
    <t>Gas Velocity, Exiting Stack</t>
  </si>
  <si>
    <t>Gas KE, Exiting Stack</t>
  </si>
  <si>
    <t>Valve Capacity and Trim Calculations</t>
  </si>
  <si>
    <t>Gas Conditions between Valve and Flow Distributor</t>
  </si>
  <si>
    <t>Expander/Flow Distribtor Geometry</t>
  </si>
  <si>
    <t>Plug Conditions and Sizing</t>
  </si>
  <si>
    <t>Inlet Pipe</t>
  </si>
  <si>
    <t>Gas Velocity at Plug</t>
  </si>
  <si>
    <t>Gas Kinetic Energy at Plug</t>
  </si>
  <si>
    <t>Updated to IEC 2011 Specification</t>
  </si>
  <si>
    <t>External Sound Pressure Level</t>
  </si>
  <si>
    <t>Direct Input</t>
  </si>
  <si>
    <t>Corrected Pipe Correction Factor when valve is smaller than pipe.</t>
  </si>
  <si>
    <t>Corrected Overall System Noise to reflect "Small Valve Correction Factor"</t>
  </si>
  <si>
    <t>Total Overall System Noise @ 1m, LpeS1m, dBA, *2, Eq. 25</t>
  </si>
  <si>
    <t>Made correction to "Small Valve Correction Factor" used on Vector and DHC trims.</t>
  </si>
  <si>
    <t>Globe</t>
  </si>
  <si>
    <t>None</t>
  </si>
  <si>
    <t>Added Series 1200 HF trims</t>
  </si>
  <si>
    <t>Removed Vector Choke</t>
  </si>
  <si>
    <t>Renamed Valve Types to match Koso catalogs</t>
  </si>
  <si>
    <t>530D/540D, Custom Vector</t>
  </si>
  <si>
    <t>510D/520D, Standard Vector</t>
  </si>
  <si>
    <t>550G/560G, Standard DHC</t>
  </si>
  <si>
    <t>501G/511G, Cage Guided</t>
  </si>
  <si>
    <t>501T, Top Guided</t>
  </si>
  <si>
    <t>210C, Segmented Ball</t>
  </si>
  <si>
    <t>710E, Eccentric, High Perf. Butterfly</t>
  </si>
  <si>
    <t>220E, Eccentric, Segmented Ball</t>
  </si>
  <si>
    <t>230C, Concentric, Segmented Ball</t>
  </si>
  <si>
    <t>710C, Concentric, High Perf. Butterfly</t>
  </si>
  <si>
    <t>KKI HF, High Friction Cage</t>
  </si>
  <si>
    <t>High Friction Trim Type</t>
  </si>
  <si>
    <t>HF</t>
  </si>
  <si>
    <t>HF-2</t>
  </si>
  <si>
    <t>Cage Hole Size, mm</t>
  </si>
  <si>
    <t>Condition Set</t>
  </si>
  <si>
    <t>Vector/HF-X Capacity and Trim Calculations</t>
  </si>
  <si>
    <t>Fixed problem with Effective Inlet Pressure for HF-X trim.</t>
  </si>
  <si>
    <t>If FD is used, noise will be (Trim + FD)</t>
  </si>
  <si>
    <t>Nm3/s</t>
  </si>
  <si>
    <t>Changed description of valve outlet to say "Through Seat Ring" for OTP flow direction</t>
  </si>
  <si>
    <t>HFL-X</t>
  </si>
  <si>
    <t>Rev 3.6</t>
  </si>
  <si>
    <t>Copied over Mvc (row 208) formula from E column to other columns.</t>
  </si>
  <si>
    <t>Flow to Open (UTP)</t>
  </si>
  <si>
    <t>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</si>
</sst>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General_)"/>
    <numFmt numFmtId="165" formatCode="[$-409]d\-mmm\-yy;@"/>
    <numFmt numFmtId="166" formatCode="0.0000_)"/>
    <numFmt numFmtId="167" formatCode="0.00_)"/>
    <numFmt numFmtId="168" formatCode="0.0"/>
    <numFmt numFmtId="169" formatCode="0.00000"/>
    <numFmt numFmtId="170" formatCode="0.000"/>
    <numFmt numFmtId="171" formatCode="0.0000"/>
    <numFmt numFmtId="172" formatCode="0.0000E+00"/>
    <numFmt numFmtId="173" formatCode="0.000000"/>
    <numFmt numFmtId="174" formatCode="0.0000000"/>
    <numFmt numFmtId="175" formatCode="[$-F800]dddd\,\ mmmm\ dd\,\ yyyy"/>
    <numFmt numFmtId="176" formatCode="0.000_)"/>
    <numFmt numFmtId="177" formatCode="0.0_)"/>
    <numFmt numFmtId="178" formatCode="0.0%"/>
  </numFmts>
  <fonts count="28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2"/>
      <name val="Helv"/>
    </font>
    <font>
      <b/>
      <sz val="12"/>
      <name val="Arial"/>
      <family val="2"/>
    </font>
    <font>
      <sz val="12"/>
      <name val="Arial"/>
      <family val="2"/>
    </font>
    <font>
      <u/>
      <sz val="12"/>
      <color indexed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sz val="10"/>
      <name val="Helv"/>
    </font>
    <font>
      <sz val="10"/>
      <color indexed="22"/>
      <name val="Arial"/>
      <family val="2"/>
    </font>
    <font>
      <sz val="10"/>
      <color indexed="22"/>
      <name val="Helv"/>
    </font>
    <font>
      <u/>
      <sz val="10"/>
      <color indexed="12"/>
      <name val="Arial"/>
      <family val="2"/>
    </font>
    <font>
      <b/>
      <vertAlign val="subscript"/>
      <sz val="10"/>
      <name val="Arial"/>
      <family val="2"/>
    </font>
    <font>
      <b/>
      <vertAlign val="superscript"/>
      <sz val="10"/>
      <name val="Arial"/>
      <family val="2"/>
    </font>
    <font>
      <sz val="9"/>
      <name val="Arial"/>
      <family val="2"/>
    </font>
    <font>
      <sz val="9"/>
      <color indexed="22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14999847407452621"/>
      <name val="Arial"/>
      <family val="2"/>
    </font>
    <font>
      <sz val="11"/>
      <color theme="0" tint="-0.249977111117893"/>
      <name val="Calibri"/>
      <family val="2"/>
      <scheme val="minor"/>
    </font>
    <font>
      <i/>
      <sz val="9"/>
      <name val="Arial"/>
      <family val="2"/>
    </font>
    <font>
      <sz val="9"/>
      <color theme="0" tint="-0.249977111117893"/>
      <name val="Arial"/>
      <family val="2"/>
    </font>
    <font>
      <b/>
      <sz val="9"/>
      <name val="Arial"/>
      <family val="2"/>
    </font>
    <font>
      <b/>
      <sz val="10"/>
      <color rgb="FFFF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96DCF0"/>
        <bgColor indexed="64"/>
      </patternFill>
    </fill>
    <fill>
      <patternFill patternType="solid">
        <fgColor rgb="FFE1F5FA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2E49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6DCF5"/>
        <bgColor indexed="64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  <xf numFmtId="164" fontId="2" fillId="0" borderId="0"/>
    <xf numFmtId="0" fontId="4" fillId="0" borderId="0"/>
    <xf numFmtId="0" fontId="4" fillId="0" borderId="0"/>
    <xf numFmtId="164" fontId="2" fillId="0" borderId="0"/>
    <xf numFmtId="0" fontId="4" fillId="0" borderId="0"/>
    <xf numFmtId="9" fontId="6" fillId="0" borderId="0" applyFont="0" applyFill="0" applyBorder="0" applyAlignment="0" applyProtection="0"/>
    <xf numFmtId="9" fontId="19" fillId="0" borderId="0" applyFont="0" applyFill="0" applyBorder="0" applyAlignment="0" applyProtection="0"/>
    <xf numFmtId="167" fontId="2" fillId="0" borderId="0"/>
    <xf numFmtId="0" fontId="6" fillId="0" borderId="0"/>
    <xf numFmtId="0" fontId="1" fillId="0" borderId="0"/>
    <xf numFmtId="0" fontId="6" fillId="0" borderId="0"/>
  </cellStyleXfs>
  <cellXfs count="504">
    <xf numFmtId="0" fontId="0" fillId="0" borderId="0" xfId="0"/>
    <xf numFmtId="164" fontId="3" fillId="0" borderId="0" xfId="2" applyFont="1" applyAlignment="1"/>
    <xf numFmtId="0" fontId="3" fillId="0" borderId="0" xfId="4" applyFont="1" applyProtection="1"/>
    <xf numFmtId="0" fontId="3" fillId="0" borderId="0" xfId="6" applyFont="1"/>
    <xf numFmtId="164" fontId="6" fillId="0" borderId="0" xfId="2" applyFont="1"/>
    <xf numFmtId="164" fontId="6" fillId="0" borderId="0" xfId="2" applyFont="1" applyAlignment="1">
      <alignment horizontal="center"/>
    </xf>
    <xf numFmtId="164" fontId="7" fillId="0" borderId="6" xfId="3" applyNumberFormat="1" applyFont="1" applyBorder="1" applyAlignment="1" applyProtection="1">
      <alignment horizontal="right"/>
    </xf>
    <xf numFmtId="15" fontId="6" fillId="0" borderId="6" xfId="3" applyNumberFormat="1" applyFont="1" applyFill="1" applyBorder="1" applyAlignment="1" applyProtection="1">
      <alignment horizontal="center"/>
      <protection locked="0"/>
    </xf>
    <xf numFmtId="164" fontId="7" fillId="0" borderId="0" xfId="2" applyFont="1" applyBorder="1" applyProtection="1"/>
    <xf numFmtId="177" fontId="6" fillId="0" borderId="0" xfId="2" applyNumberFormat="1" applyFont="1" applyBorder="1" applyAlignment="1" applyProtection="1">
      <alignment horizontal="center"/>
    </xf>
    <xf numFmtId="164" fontId="6" fillId="0" borderId="0" xfId="2" applyFont="1" applyAlignment="1">
      <alignment wrapText="1"/>
    </xf>
    <xf numFmtId="2" fontId="6" fillId="0" borderId="0" xfId="2" applyNumberFormat="1" applyFont="1" applyFill="1" applyBorder="1" applyAlignment="1" applyProtection="1">
      <alignment horizontal="center"/>
    </xf>
    <xf numFmtId="164" fontId="6" fillId="0" borderId="0" xfId="2" applyNumberFormat="1" applyFont="1" applyBorder="1" applyAlignment="1" applyProtection="1">
      <alignment horizontal="center"/>
    </xf>
    <xf numFmtId="164" fontId="10" fillId="0" borderId="0" xfId="2" applyFont="1" applyAlignment="1">
      <alignment horizontal="center"/>
    </xf>
    <xf numFmtId="164" fontId="6" fillId="0" borderId="0" xfId="2" applyNumberFormat="1" applyFont="1" applyFill="1" applyBorder="1" applyAlignment="1" applyProtection="1">
      <alignment horizontal="center"/>
    </xf>
    <xf numFmtId="167" fontId="6" fillId="0" borderId="0" xfId="2" applyNumberFormat="1" applyFont="1" applyFill="1" applyBorder="1" applyAlignment="1" applyProtection="1">
      <alignment horizontal="center"/>
    </xf>
    <xf numFmtId="167" fontId="8" fillId="0" borderId="0" xfId="2" applyNumberFormat="1" applyFont="1" applyFill="1" applyBorder="1" applyAlignment="1" applyProtection="1">
      <alignment horizontal="left"/>
    </xf>
    <xf numFmtId="164" fontId="6" fillId="2" borderId="0" xfId="2" applyNumberFormat="1" applyFont="1" applyFill="1" applyAlignment="1" applyProtection="1">
      <alignment horizontal="left"/>
    </xf>
    <xf numFmtId="164" fontId="6" fillId="2" borderId="0" xfId="2" applyFont="1" applyFill="1" applyAlignment="1" applyProtection="1">
      <alignment horizontal="center"/>
      <protection hidden="1"/>
    </xf>
    <xf numFmtId="2" fontId="6" fillId="2" borderId="0" xfId="2" applyNumberFormat="1" applyFont="1" applyFill="1" applyAlignment="1" applyProtection="1">
      <alignment horizontal="center"/>
    </xf>
    <xf numFmtId="2" fontId="6" fillId="2" borderId="0" xfId="2" applyNumberFormat="1" applyFont="1" applyFill="1" applyAlignment="1" applyProtection="1"/>
    <xf numFmtId="1" fontId="6" fillId="2" borderId="0" xfId="2" applyNumberFormat="1" applyFont="1" applyFill="1" applyProtection="1">
      <protection hidden="1"/>
    </xf>
    <xf numFmtId="164" fontId="6" fillId="2" borderId="0" xfId="2" applyFont="1" applyFill="1" applyProtection="1">
      <protection hidden="1"/>
    </xf>
    <xf numFmtId="164" fontId="6" fillId="2" borderId="0" xfId="2" applyNumberFormat="1" applyFont="1" applyFill="1" applyAlignment="1" applyProtection="1">
      <alignment horizontal="center"/>
    </xf>
    <xf numFmtId="0" fontId="6" fillId="2" borderId="0" xfId="2" applyNumberFormat="1" applyFont="1" applyFill="1" applyAlignment="1" applyProtection="1">
      <alignment horizontal="center"/>
    </xf>
    <xf numFmtId="171" fontId="6" fillId="2" borderId="0" xfId="2" applyNumberFormat="1" applyFont="1" applyFill="1" applyAlignment="1" applyProtection="1">
      <alignment horizontal="center"/>
    </xf>
    <xf numFmtId="0" fontId="6" fillId="2" borderId="0" xfId="2" applyNumberFormat="1" applyFont="1" applyFill="1" applyAlignment="1" applyProtection="1">
      <alignment horizontal="center"/>
      <protection hidden="1"/>
    </xf>
    <xf numFmtId="167" fontId="6" fillId="2" borderId="0" xfId="2" applyNumberFormat="1" applyFont="1" applyFill="1" applyAlignment="1" applyProtection="1">
      <alignment horizontal="center"/>
      <protection hidden="1"/>
    </xf>
    <xf numFmtId="176" fontId="6" fillId="2" borderId="0" xfId="2" applyNumberFormat="1" applyFont="1" applyFill="1" applyAlignment="1" applyProtection="1">
      <alignment horizontal="center"/>
      <protection hidden="1"/>
    </xf>
    <xf numFmtId="169" fontId="6" fillId="2" borderId="0" xfId="2" applyNumberFormat="1" applyFont="1" applyFill="1" applyAlignment="1" applyProtection="1">
      <alignment horizontal="center"/>
      <protection hidden="1"/>
    </xf>
    <xf numFmtId="1" fontId="6" fillId="2" borderId="0" xfId="2" applyNumberFormat="1" applyFont="1" applyFill="1" applyProtection="1"/>
    <xf numFmtId="164" fontId="6" fillId="2" borderId="0" xfId="2" applyFont="1" applyFill="1" applyAlignment="1" applyProtection="1">
      <alignment horizontal="center"/>
    </xf>
    <xf numFmtId="0" fontId="6" fillId="0" borderId="0" xfId="6" applyNumberFormat="1" applyFont="1" applyFill="1"/>
    <xf numFmtId="164" fontId="12" fillId="0" borderId="0" xfId="5" applyNumberFormat="1" applyFont="1" applyBorder="1" applyAlignment="1" applyProtection="1">
      <alignment horizontal="center"/>
    </xf>
    <xf numFmtId="164" fontId="7" fillId="0" borderId="0" xfId="2" applyFont="1" applyAlignment="1">
      <alignment horizontal="center"/>
    </xf>
    <xf numFmtId="0" fontId="7" fillId="0" borderId="0" xfId="6" applyFont="1"/>
    <xf numFmtId="0" fontId="7" fillId="0" borderId="0" xfId="6" applyFont="1" applyAlignment="1">
      <alignment horizontal="center"/>
    </xf>
    <xf numFmtId="0" fontId="6" fillId="0" borderId="0" xfId="6" applyFont="1"/>
    <xf numFmtId="0" fontId="6" fillId="0" borderId="0" xfId="6" applyNumberFormat="1" applyFont="1"/>
    <xf numFmtId="0" fontId="13" fillId="0" borderId="0" xfId="1" applyFont="1" applyAlignment="1" applyProtection="1"/>
    <xf numFmtId="0" fontId="7" fillId="0" borderId="0" xfId="6" applyFont="1" applyFill="1"/>
    <xf numFmtId="0" fontId="7" fillId="0" borderId="0" xfId="6" applyNumberFormat="1" applyFont="1" applyFill="1"/>
    <xf numFmtId="0" fontId="6" fillId="0" borderId="0" xfId="6" applyFont="1" applyAlignment="1"/>
    <xf numFmtId="0" fontId="7" fillId="0" borderId="0" xfId="1" applyFont="1" applyFill="1" applyAlignment="1" applyProtection="1"/>
    <xf numFmtId="0" fontId="11" fillId="0" borderId="0" xfId="6" applyFont="1" applyAlignment="1">
      <alignment horizontal="center"/>
    </xf>
    <xf numFmtId="0" fontId="6" fillId="0" borderId="0" xfId="6" applyFont="1" applyAlignment="1">
      <alignment wrapText="1"/>
    </xf>
    <xf numFmtId="0" fontId="7" fillId="0" borderId="0" xfId="6" applyFont="1" applyAlignment="1">
      <alignment horizontal="center" wrapText="1"/>
    </xf>
    <xf numFmtId="0" fontId="7" fillId="0" borderId="0" xfId="6" applyFont="1" applyFill="1" applyAlignment="1">
      <alignment horizontal="center"/>
    </xf>
    <xf numFmtId="2" fontId="7" fillId="0" borderId="0" xfId="6" applyNumberFormat="1" applyFont="1" applyFill="1" applyAlignment="1">
      <alignment horizontal="center"/>
    </xf>
    <xf numFmtId="0" fontId="7" fillId="0" borderId="0" xfId="6" applyNumberFormat="1" applyFont="1" applyFill="1" applyAlignment="1">
      <alignment horizontal="center"/>
    </xf>
    <xf numFmtId="0" fontId="6" fillId="0" borderId="0" xfId="6" applyFont="1" applyFill="1"/>
    <xf numFmtId="0" fontId="6" fillId="0" borderId="0" xfId="6" applyFont="1" applyFill="1" applyAlignment="1">
      <alignment horizontal="center"/>
    </xf>
    <xf numFmtId="2" fontId="6" fillId="0" borderId="0" xfId="6" applyNumberFormat="1" applyFont="1" applyFill="1" applyAlignment="1">
      <alignment horizontal="center"/>
    </xf>
    <xf numFmtId="0" fontId="7" fillId="0" borderId="0" xfId="6" applyNumberFormat="1" applyFont="1" applyAlignment="1">
      <alignment horizontal="center"/>
    </xf>
    <xf numFmtId="171" fontId="7" fillId="0" borderId="0" xfId="6" applyNumberFormat="1" applyFont="1" applyFill="1" applyAlignment="1">
      <alignment horizontal="center"/>
    </xf>
    <xf numFmtId="170" fontId="6" fillId="0" borderId="0" xfId="6" applyNumberFormat="1" applyFont="1" applyAlignment="1">
      <alignment horizontal="center"/>
    </xf>
    <xf numFmtId="171" fontId="7" fillId="0" borderId="0" xfId="6" applyNumberFormat="1" applyFont="1" applyAlignment="1">
      <alignment horizontal="center"/>
    </xf>
    <xf numFmtId="172" fontId="7" fillId="0" borderId="0" xfId="6" applyNumberFormat="1" applyFont="1" applyAlignment="1">
      <alignment horizontal="center"/>
    </xf>
    <xf numFmtId="11" fontId="7" fillId="0" borderId="0" xfId="6" applyNumberFormat="1" applyFont="1" applyAlignment="1">
      <alignment horizontal="center"/>
    </xf>
    <xf numFmtId="173" fontId="6" fillId="0" borderId="0" xfId="6" applyNumberFormat="1" applyFont="1" applyAlignment="1">
      <alignment horizontal="center"/>
    </xf>
    <xf numFmtId="174" fontId="6" fillId="0" borderId="0" xfId="6" applyNumberFormat="1" applyFont="1" applyAlignment="1">
      <alignment horizontal="center"/>
    </xf>
    <xf numFmtId="0" fontId="7" fillId="0" borderId="0" xfId="6" quotePrefix="1" applyNumberFormat="1" applyFont="1" applyAlignment="1">
      <alignment horizontal="center"/>
    </xf>
    <xf numFmtId="0" fontId="6" fillId="0" borderId="0" xfId="6" applyNumberFormat="1" applyFont="1" applyAlignment="1">
      <alignment horizontal="center"/>
    </xf>
    <xf numFmtId="0" fontId="7" fillId="3" borderId="0" xfId="6" applyNumberFormat="1" applyFont="1" applyFill="1" applyAlignment="1">
      <alignment horizontal="center"/>
    </xf>
    <xf numFmtId="0" fontId="6" fillId="0" borderId="0" xfId="6" applyNumberFormat="1" applyFont="1" applyFill="1" applyAlignment="1">
      <alignment horizontal="center"/>
    </xf>
    <xf numFmtId="170" fontId="6" fillId="0" borderId="0" xfId="6" applyNumberFormat="1" applyFont="1" applyFill="1" applyAlignment="1">
      <alignment horizontal="center"/>
    </xf>
    <xf numFmtId="0" fontId="7" fillId="3" borderId="0" xfId="6" applyFont="1" applyFill="1" applyAlignment="1">
      <alignment horizontal="center"/>
    </xf>
    <xf numFmtId="11" fontId="7" fillId="0" borderId="0" xfId="6" applyNumberFormat="1" applyFont="1" applyFill="1" applyAlignment="1">
      <alignment horizontal="center"/>
    </xf>
    <xf numFmtId="0" fontId="16" fillId="0" borderId="0" xfId="4" applyFont="1" applyAlignment="1">
      <alignment horizontal="center"/>
    </xf>
    <xf numFmtId="0" fontId="16" fillId="0" borderId="0" xfId="4" applyFont="1"/>
    <xf numFmtId="0" fontId="17" fillId="0" borderId="0" xfId="4" applyFont="1" applyAlignment="1">
      <alignment horizontal="center"/>
    </xf>
    <xf numFmtId="1" fontId="16" fillId="0" borderId="0" xfId="2" applyNumberFormat="1" applyFont="1" applyAlignment="1">
      <alignment horizontal="center"/>
    </xf>
    <xf numFmtId="169" fontId="16" fillId="0" borderId="0" xfId="2" applyNumberFormat="1" applyFont="1" applyAlignment="1">
      <alignment horizontal="center"/>
    </xf>
    <xf numFmtId="165" fontId="6" fillId="0" borderId="0" xfId="2" applyNumberFormat="1" applyFont="1" applyAlignment="1">
      <alignment horizontal="center" vertical="top"/>
    </xf>
    <xf numFmtId="164" fontId="6" fillId="0" borderId="0" xfId="2" applyFont="1" applyAlignment="1">
      <alignment horizontal="center" vertical="top"/>
    </xf>
    <xf numFmtId="164" fontId="10" fillId="0" borderId="0" xfId="2" applyFont="1" applyAlignment="1">
      <alignment horizontal="center" vertical="top"/>
    </xf>
    <xf numFmtId="164" fontId="6" fillId="0" borderId="0" xfId="2" applyNumberFormat="1" applyFont="1" applyAlignment="1" applyProtection="1">
      <alignment vertical="top" wrapText="1"/>
    </xf>
    <xf numFmtId="164" fontId="6" fillId="0" borderId="0" xfId="2" applyFont="1" applyAlignment="1">
      <alignment vertical="top"/>
    </xf>
    <xf numFmtId="164" fontId="6" fillId="0" borderId="0" xfId="2" applyNumberFormat="1" applyFont="1" applyAlignment="1" applyProtection="1">
      <alignment horizontal="center" vertical="top"/>
    </xf>
    <xf numFmtId="164" fontId="6" fillId="0" borderId="0" xfId="2" applyFont="1" applyAlignment="1">
      <alignment vertical="top" wrapText="1"/>
    </xf>
    <xf numFmtId="164" fontId="7" fillId="6" borderId="0" xfId="2" applyNumberFormat="1" applyFont="1" applyFill="1" applyAlignment="1" applyProtection="1"/>
    <xf numFmtId="164" fontId="7" fillId="6" borderId="0" xfId="2" applyFont="1" applyFill="1" applyBorder="1" applyProtection="1"/>
    <xf numFmtId="164" fontId="6" fillId="6" borderId="0" xfId="2" applyFont="1" applyFill="1" applyProtection="1"/>
    <xf numFmtId="164" fontId="6" fillId="6" borderId="0" xfId="2" applyFont="1" applyFill="1" applyProtection="1">
      <protection hidden="1"/>
    </xf>
    <xf numFmtId="171" fontId="6" fillId="0" borderId="0" xfId="2" applyNumberFormat="1" applyFont="1" applyFill="1" applyBorder="1" applyAlignment="1" applyProtection="1">
      <alignment horizontal="center"/>
    </xf>
    <xf numFmtId="164" fontId="6" fillId="0" borderId="0" xfId="2" applyFont="1" applyFill="1" applyBorder="1" applyAlignment="1" applyProtection="1">
      <alignment horizontal="center"/>
    </xf>
    <xf numFmtId="164" fontId="7" fillId="0" borderId="0" xfId="2" applyFont="1" applyAlignment="1">
      <alignment wrapText="1"/>
    </xf>
    <xf numFmtId="164" fontId="6" fillId="2" borderId="0" xfId="2" applyNumberFormat="1" applyFont="1" applyFill="1" applyBorder="1" applyAlignment="1" applyProtection="1">
      <alignment horizontal="left"/>
    </xf>
    <xf numFmtId="164" fontId="6" fillId="2" borderId="0" xfId="2" applyNumberFormat="1" applyFont="1" applyFill="1" applyBorder="1" applyAlignment="1" applyProtection="1">
      <alignment horizontal="center"/>
    </xf>
    <xf numFmtId="164" fontId="6" fillId="2" borderId="0" xfId="2" applyFont="1" applyFill="1" applyBorder="1" applyProtection="1">
      <protection hidden="1"/>
    </xf>
    <xf numFmtId="164" fontId="6" fillId="2" borderId="0" xfId="2" applyFont="1" applyFill="1" applyBorder="1" applyAlignment="1" applyProtection="1">
      <alignment horizontal="center"/>
      <protection hidden="1"/>
    </xf>
    <xf numFmtId="164" fontId="6" fillId="6" borderId="0" xfId="2" applyFont="1" applyFill="1" applyBorder="1" applyProtection="1">
      <protection hidden="1"/>
    </xf>
    <xf numFmtId="0" fontId="6" fillId="2" borderId="0" xfId="2" applyNumberFormat="1" applyFont="1" applyFill="1" applyBorder="1" applyAlignment="1" applyProtection="1">
      <alignment horizontal="center"/>
    </xf>
    <xf numFmtId="164" fontId="7" fillId="4" borderId="1" xfId="2" applyFont="1" applyFill="1" applyBorder="1" applyAlignment="1" applyProtection="1"/>
    <xf numFmtId="164" fontId="7" fillId="6" borderId="0" xfId="2" applyFont="1" applyFill="1" applyAlignment="1" applyProtection="1">
      <alignment horizontal="center"/>
    </xf>
    <xf numFmtId="164" fontId="6" fillId="0" borderId="0" xfId="2" applyFont="1" applyProtection="1"/>
    <xf numFmtId="164" fontId="6" fillId="0" borderId="0" xfId="2" applyFont="1" applyAlignment="1" applyProtection="1">
      <alignment horizontal="center"/>
    </xf>
    <xf numFmtId="164" fontId="6" fillId="6" borderId="0" xfId="2" applyFont="1" applyFill="1" applyAlignment="1" applyProtection="1">
      <alignment horizontal="center"/>
    </xf>
    <xf numFmtId="164" fontId="7" fillId="6" borderId="0" xfId="2" applyFont="1" applyFill="1" applyProtection="1"/>
    <xf numFmtId="164" fontId="6" fillId="0" borderId="0" xfId="2" applyFont="1" applyBorder="1" applyAlignment="1" applyProtection="1"/>
    <xf numFmtId="164" fontId="6" fillId="0" borderId="0" xfId="2" applyFont="1" applyBorder="1" applyAlignment="1" applyProtection="1">
      <alignment horizontal="left"/>
    </xf>
    <xf numFmtId="164" fontId="6" fillId="0" borderId="0" xfId="2" applyFont="1" applyFill="1" applyProtection="1"/>
    <xf numFmtId="164" fontId="6" fillId="0" borderId="0" xfId="2" applyFont="1" applyFill="1" applyAlignment="1" applyProtection="1">
      <alignment horizontal="center"/>
    </xf>
    <xf numFmtId="164" fontId="6" fillId="6" borderId="0" xfId="2" applyFont="1" applyFill="1" applyBorder="1" applyAlignment="1" applyProtection="1">
      <alignment horizontal="center"/>
    </xf>
    <xf numFmtId="164" fontId="7" fillId="0" borderId="0" xfId="2" applyFont="1" applyFill="1" applyBorder="1" applyAlignment="1" applyProtection="1">
      <alignment horizontal="center"/>
    </xf>
    <xf numFmtId="164" fontId="6" fillId="0" borderId="0" xfId="2" applyFont="1" applyBorder="1" applyAlignment="1" applyProtection="1">
      <alignment horizontal="center"/>
    </xf>
    <xf numFmtId="164" fontId="7" fillId="5" borderId="0" xfId="2" applyFont="1" applyFill="1" applyBorder="1" applyAlignment="1" applyProtection="1">
      <alignment horizontal="center"/>
    </xf>
    <xf numFmtId="164" fontId="6" fillId="0" borderId="0" xfId="2" applyFont="1" applyBorder="1" applyProtection="1"/>
    <xf numFmtId="164" fontId="6" fillId="6" borderId="0" xfId="2" applyFont="1" applyFill="1" applyBorder="1" applyProtection="1"/>
    <xf numFmtId="168" fontId="6" fillId="0" borderId="0" xfId="2" applyNumberFormat="1" applyFont="1" applyFill="1" applyBorder="1" applyAlignment="1" applyProtection="1">
      <alignment horizontal="center"/>
    </xf>
    <xf numFmtId="2" fontId="6" fillId="0" borderId="0" xfId="2" applyNumberFormat="1" applyFont="1" applyBorder="1" applyAlignment="1" applyProtection="1">
      <alignment horizontal="center"/>
    </xf>
    <xf numFmtId="164" fontId="6" fillId="6" borderId="0" xfId="2" applyFont="1" applyFill="1" applyAlignment="1" applyProtection="1">
      <alignment wrapText="1"/>
    </xf>
    <xf numFmtId="164" fontId="6" fillId="0" borderId="0" xfId="2" applyFont="1" applyAlignment="1" applyProtection="1">
      <alignment horizontal="center" wrapText="1"/>
    </xf>
    <xf numFmtId="164" fontId="6" fillId="6" borderId="0" xfId="2" applyFont="1" applyFill="1" applyAlignment="1" applyProtection="1"/>
    <xf numFmtId="164" fontId="10" fillId="6" borderId="0" xfId="2" applyFont="1" applyFill="1" applyProtection="1"/>
    <xf numFmtId="164" fontId="10" fillId="0" borderId="0" xfId="2" applyFont="1" applyAlignment="1" applyProtection="1">
      <alignment horizontal="center"/>
    </xf>
    <xf numFmtId="164" fontId="10" fillId="0" borderId="0" xfId="2" applyFont="1" applyProtection="1"/>
    <xf numFmtId="164" fontId="8" fillId="0" borderId="0" xfId="2" applyFont="1" applyBorder="1" applyProtection="1"/>
    <xf numFmtId="164" fontId="7" fillId="2" borderId="0" xfId="2" applyFont="1" applyFill="1" applyProtection="1"/>
    <xf numFmtId="164" fontId="6" fillId="2" borderId="0" xfId="2" applyFont="1" applyFill="1" applyProtection="1"/>
    <xf numFmtId="164" fontId="6" fillId="2" borderId="0" xfId="2" applyFont="1" applyFill="1" applyAlignment="1" applyProtection="1"/>
    <xf numFmtId="0" fontId="6" fillId="2" borderId="0" xfId="2" applyNumberFormat="1" applyFont="1" applyFill="1" applyAlignment="1" applyProtection="1">
      <alignment horizontal="center" wrapText="1"/>
    </xf>
    <xf numFmtId="164" fontId="8" fillId="2" borderId="0" xfId="2" applyFont="1" applyFill="1" applyProtection="1"/>
    <xf numFmtId="0" fontId="6" fillId="2" borderId="0" xfId="2" applyNumberFormat="1" applyFont="1" applyFill="1" applyProtection="1"/>
    <xf numFmtId="171" fontId="6" fillId="2" borderId="0" xfId="2" applyNumberFormat="1" applyFont="1" applyFill="1" applyProtection="1"/>
    <xf numFmtId="164" fontId="11" fillId="2" borderId="0" xfId="2" applyFont="1" applyFill="1" applyProtection="1"/>
    <xf numFmtId="164" fontId="11" fillId="6" borderId="0" xfId="2" applyFont="1" applyFill="1" applyAlignment="1" applyProtection="1">
      <alignment horizontal="center"/>
    </xf>
    <xf numFmtId="164" fontId="6" fillId="2" borderId="0" xfId="2" applyFont="1" applyFill="1" applyBorder="1" applyProtection="1"/>
    <xf numFmtId="164" fontId="6" fillId="2" borderId="0" xfId="2" applyFont="1" applyFill="1" applyBorder="1" applyAlignment="1" applyProtection="1">
      <alignment horizontal="center"/>
    </xf>
    <xf numFmtId="0" fontId="6" fillId="6" borderId="0" xfId="6" applyNumberFormat="1" applyFont="1" applyFill="1" applyAlignment="1" applyProtection="1">
      <alignment horizontal="center"/>
    </xf>
    <xf numFmtId="2" fontId="6" fillId="6" borderId="0" xfId="2" applyNumberFormat="1" applyFont="1" applyFill="1" applyAlignment="1" applyProtection="1">
      <alignment horizontal="center"/>
    </xf>
    <xf numFmtId="2" fontId="6" fillId="0" borderId="0" xfId="2" applyNumberFormat="1" applyFont="1" applyAlignment="1" applyProtection="1">
      <alignment horizontal="center"/>
    </xf>
    <xf numFmtId="168" fontId="6" fillId="0" borderId="0" xfId="2" applyNumberFormat="1" applyFont="1" applyAlignment="1" applyProtection="1">
      <alignment horizontal="center"/>
    </xf>
    <xf numFmtId="178" fontId="6" fillId="0" borderId="0" xfId="7" applyNumberFormat="1" applyFont="1" applyAlignment="1" applyProtection="1">
      <alignment horizontal="center"/>
    </xf>
    <xf numFmtId="164" fontId="7" fillId="0" borderId="0" xfId="2" applyFont="1" applyProtection="1"/>
    <xf numFmtId="164" fontId="6" fillId="0" borderId="0" xfId="2" applyFont="1" applyAlignment="1" applyProtection="1">
      <alignment horizontal="right"/>
    </xf>
    <xf numFmtId="164" fontId="6" fillId="0" borderId="0" xfId="2" applyNumberFormat="1" applyFont="1" applyProtection="1"/>
    <xf numFmtId="164" fontId="6" fillId="0" borderId="0" xfId="2" applyNumberFormat="1" applyFont="1" applyAlignment="1" applyProtection="1">
      <alignment horizontal="right"/>
    </xf>
    <xf numFmtId="171" fontId="7" fillId="0" borderId="0" xfId="2" applyNumberFormat="1" applyFont="1" applyBorder="1" applyAlignment="1" applyProtection="1">
      <alignment horizontal="center"/>
      <protection locked="0"/>
    </xf>
    <xf numFmtId="164" fontId="7" fillId="0" borderId="0" xfId="2" applyFont="1" applyBorder="1" applyAlignment="1" applyProtection="1">
      <alignment horizontal="center"/>
      <protection locked="0"/>
    </xf>
    <xf numFmtId="2" fontId="6" fillId="0" borderId="0" xfId="2" applyNumberFormat="1" applyFont="1" applyBorder="1" applyAlignment="1" applyProtection="1"/>
    <xf numFmtId="164" fontId="6" fillId="0" borderId="0" xfId="2" applyFont="1" applyFill="1" applyBorder="1" applyAlignment="1" applyProtection="1"/>
    <xf numFmtId="164" fontId="8" fillId="0" borderId="0" xfId="2" applyFont="1" applyBorder="1" applyAlignment="1" applyProtection="1"/>
    <xf numFmtId="164" fontId="8" fillId="0" borderId="0" xfId="2" applyFont="1" applyBorder="1" applyAlignment="1" applyProtection="1">
      <alignment horizontal="left"/>
    </xf>
    <xf numFmtId="164" fontId="6" fillId="0" borderId="0" xfId="2" applyFont="1" applyFill="1" applyBorder="1" applyAlignment="1" applyProtection="1">
      <alignment horizontal="left"/>
    </xf>
    <xf numFmtId="164" fontId="8" fillId="0" borderId="0" xfId="2" applyNumberFormat="1" applyFont="1" applyBorder="1" applyAlignment="1" applyProtection="1"/>
    <xf numFmtId="164" fontId="7" fillId="0" borderId="0" xfId="2" applyFont="1" applyFill="1" applyBorder="1" applyAlignment="1" applyProtection="1">
      <alignment horizontal="left"/>
    </xf>
    <xf numFmtId="164" fontId="6" fillId="7" borderId="0" xfId="2" applyNumberFormat="1" applyFont="1" applyFill="1" applyBorder="1" applyAlignment="1" applyProtection="1">
      <alignment horizontal="left"/>
    </xf>
    <xf numFmtId="164" fontId="6" fillId="7" borderId="0" xfId="2" applyFont="1" applyFill="1" applyBorder="1" applyProtection="1"/>
    <xf numFmtId="164" fontId="6" fillId="7" borderId="0" xfId="2" applyNumberFormat="1" applyFont="1" applyFill="1" applyBorder="1" applyAlignment="1" applyProtection="1">
      <alignment horizontal="center"/>
    </xf>
    <xf numFmtId="164" fontId="6" fillId="7" borderId="0" xfId="2" applyFont="1" applyFill="1" applyBorder="1" applyAlignment="1" applyProtection="1">
      <alignment horizontal="center"/>
    </xf>
    <xf numFmtId="0" fontId="18" fillId="0" borderId="0" xfId="0" applyFont="1" applyAlignment="1">
      <alignment horizontal="center"/>
    </xf>
    <xf numFmtId="164" fontId="7" fillId="0" borderId="0" xfId="2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7" fillId="0" borderId="0" xfId="4" applyFont="1" applyProtection="1"/>
    <xf numFmtId="0" fontId="7" fillId="0" borderId="0" xfId="4" applyFont="1" applyAlignment="1" applyProtection="1">
      <alignment horizontal="center"/>
    </xf>
    <xf numFmtId="164" fontId="7" fillId="0" borderId="0" xfId="2" applyNumberFormat="1" applyFont="1" applyAlignment="1" applyProtection="1">
      <alignment horizontal="center"/>
    </xf>
    <xf numFmtId="0" fontId="6" fillId="0" borderId="0" xfId="4" applyFont="1"/>
    <xf numFmtId="0" fontId="7" fillId="0" borderId="0" xfId="2" applyNumberFormat="1" applyFont="1" applyAlignment="1"/>
    <xf numFmtId="0" fontId="18" fillId="0" borderId="0" xfId="0" applyFont="1" applyAlignment="1"/>
    <xf numFmtId="164" fontId="7" fillId="0" borderId="0" xfId="2" applyNumberFormat="1" applyFont="1" applyFill="1" applyBorder="1" applyAlignment="1"/>
    <xf numFmtId="164" fontId="7" fillId="5" borderId="0" xfId="3" applyNumberFormat="1" applyFont="1" applyFill="1" applyBorder="1" applyAlignment="1" applyProtection="1">
      <alignment horizontal="center"/>
      <protection locked="0"/>
    </xf>
    <xf numFmtId="168" fontId="18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167" fontId="6" fillId="0" borderId="0" xfId="2" applyNumberFormat="1" applyFont="1" applyBorder="1" applyAlignment="1" applyProtection="1">
      <alignment horizontal="center"/>
    </xf>
    <xf numFmtId="164" fontId="7" fillId="0" borderId="2" xfId="3" applyNumberFormat="1" applyFont="1" applyBorder="1"/>
    <xf numFmtId="164" fontId="7" fillId="0" borderId="3" xfId="3" applyNumberFormat="1" applyFont="1" applyBorder="1" applyAlignment="1">
      <alignment horizontal="right"/>
    </xf>
    <xf numFmtId="164" fontId="6" fillId="0" borderId="4" xfId="3" applyNumberFormat="1" applyFont="1" applyBorder="1" applyAlignment="1">
      <alignment horizontal="left"/>
    </xf>
    <xf numFmtId="164" fontId="7" fillId="0" borderId="3" xfId="3" applyNumberFormat="1" applyFont="1" applyBorder="1" applyAlignment="1">
      <alignment horizontal="center"/>
    </xf>
    <xf numFmtId="164" fontId="7" fillId="0" borderId="5" xfId="3" applyNumberFormat="1" applyFont="1" applyBorder="1"/>
    <xf numFmtId="164" fontId="7" fillId="0" borderId="7" xfId="3" applyNumberFormat="1" applyFont="1" applyBorder="1"/>
    <xf numFmtId="164" fontId="7" fillId="0" borderId="7" xfId="3" applyNumberFormat="1" applyFont="1" applyBorder="1" applyAlignment="1">
      <alignment horizontal="left"/>
    </xf>
    <xf numFmtId="164" fontId="8" fillId="0" borderId="0" xfId="2" applyFont="1" applyFill="1" applyBorder="1" applyAlignment="1" applyProtection="1"/>
    <xf numFmtId="9" fontId="6" fillId="0" borderId="0" xfId="8" applyFont="1" applyBorder="1" applyAlignment="1" applyProtection="1">
      <alignment horizontal="center"/>
    </xf>
    <xf numFmtId="164" fontId="6" fillId="0" borderId="0" xfId="2" applyFont="1" applyBorder="1" applyAlignment="1" applyProtection="1">
      <alignment horizontal="center"/>
      <protection locked="0"/>
    </xf>
    <xf numFmtId="176" fontId="6" fillId="0" borderId="0" xfId="2" applyNumberFormat="1" applyFont="1" applyBorder="1" applyAlignment="1" applyProtection="1">
      <alignment horizontal="center"/>
    </xf>
    <xf numFmtId="164" fontId="6" fillId="0" borderId="3" xfId="3" applyNumberFormat="1" applyFont="1" applyBorder="1" applyAlignment="1">
      <alignment horizontal="left"/>
    </xf>
    <xf numFmtId="0" fontId="7" fillId="2" borderId="0" xfId="2" applyNumberFormat="1" applyFont="1" applyFill="1" applyAlignment="1" applyProtection="1">
      <alignment horizontal="center"/>
    </xf>
    <xf numFmtId="0" fontId="18" fillId="0" borderId="28" xfId="0" applyFont="1" applyBorder="1" applyAlignment="1">
      <alignment horizontal="center" wrapText="1"/>
    </xf>
    <xf numFmtId="0" fontId="18" fillId="0" borderId="29" xfId="0" applyFont="1" applyBorder="1" applyAlignment="1">
      <alignment horizontal="center"/>
    </xf>
    <xf numFmtId="164" fontId="6" fillId="0" borderId="3" xfId="3" applyNumberFormat="1" applyFont="1" applyBorder="1" applyAlignment="1">
      <alignment horizontal="left"/>
    </xf>
    <xf numFmtId="164" fontId="6" fillId="0" borderId="8" xfId="3" applyNumberFormat="1" applyFont="1" applyBorder="1" applyAlignment="1">
      <alignment horizontal="left"/>
    </xf>
    <xf numFmtId="164" fontId="7" fillId="0" borderId="0" xfId="9" applyNumberFormat="1" applyFont="1" applyBorder="1" applyAlignment="1" applyProtection="1">
      <alignment horizontal="left"/>
    </xf>
    <xf numFmtId="0" fontId="6" fillId="0" borderId="0" xfId="10" applyFont="1"/>
    <xf numFmtId="2" fontId="7" fillId="0" borderId="0" xfId="10" applyNumberFormat="1" applyFont="1"/>
    <xf numFmtId="2" fontId="6" fillId="0" borderId="0" xfId="10" applyNumberFormat="1" applyFont="1"/>
    <xf numFmtId="164" fontId="6" fillId="0" borderId="0" xfId="9" applyNumberFormat="1" applyFont="1" applyBorder="1" applyAlignment="1" applyProtection="1">
      <alignment horizontal="center"/>
    </xf>
    <xf numFmtId="0" fontId="20" fillId="0" borderId="0" xfId="11" applyFont="1" applyAlignment="1">
      <alignment horizontal="center"/>
    </xf>
    <xf numFmtId="0" fontId="1" fillId="0" borderId="0" xfId="11" applyAlignment="1">
      <alignment horizontal="center"/>
    </xf>
    <xf numFmtId="0" fontId="6" fillId="0" borderId="0" xfId="12" applyFont="1"/>
    <xf numFmtId="0" fontId="21" fillId="0" borderId="0" xfId="11" applyFont="1"/>
    <xf numFmtId="2" fontId="21" fillId="0" borderId="0" xfId="11" applyNumberFormat="1" applyFont="1"/>
    <xf numFmtId="0" fontId="22" fillId="0" borderId="0" xfId="9" applyNumberFormat="1" applyFont="1" applyBorder="1" applyAlignment="1">
      <alignment horizontal="center"/>
    </xf>
    <xf numFmtId="0" fontId="6" fillId="0" borderId="0" xfId="12" applyFont="1" applyBorder="1"/>
    <xf numFmtId="164" fontId="7" fillId="0" borderId="0" xfId="9" applyNumberFormat="1" applyFont="1" applyBorder="1" applyAlignment="1" applyProtection="1">
      <alignment horizontal="center"/>
    </xf>
    <xf numFmtId="2" fontId="7" fillId="0" borderId="0" xfId="10" applyNumberFormat="1" applyFont="1" applyBorder="1" applyAlignment="1">
      <alignment horizontal="center"/>
    </xf>
    <xf numFmtId="2" fontId="7" fillId="0" borderId="0" xfId="9" applyNumberFormat="1" applyFont="1" applyBorder="1" applyAlignment="1" applyProtection="1">
      <alignment horizontal="center"/>
    </xf>
    <xf numFmtId="0" fontId="7" fillId="0" borderId="0" xfId="10" applyFont="1" applyBorder="1" applyAlignment="1">
      <alignment horizontal="center"/>
    </xf>
    <xf numFmtId="170" fontId="7" fillId="0" borderId="0" xfId="9" applyNumberFormat="1" applyFont="1" applyBorder="1" applyAlignment="1" applyProtection="1">
      <alignment horizontal="center"/>
    </xf>
    <xf numFmtId="0" fontId="6" fillId="0" borderId="0" xfId="10" applyFont="1" applyBorder="1"/>
    <xf numFmtId="164" fontId="7" fillId="0" borderId="2" xfId="5" applyNumberFormat="1" applyFont="1" applyBorder="1" applyProtection="1"/>
    <xf numFmtId="2" fontId="7" fillId="8" borderId="30" xfId="10" applyNumberFormat="1" applyFont="1" applyFill="1" applyBorder="1" applyAlignment="1">
      <alignment horizontal="center"/>
    </xf>
    <xf numFmtId="168" fontId="6" fillId="0" borderId="20" xfId="10" applyNumberFormat="1" applyFont="1" applyFill="1" applyBorder="1" applyAlignment="1">
      <alignment horizontal="center"/>
    </xf>
    <xf numFmtId="2" fontId="6" fillId="0" borderId="20" xfId="10" applyNumberFormat="1" applyFont="1" applyFill="1" applyBorder="1" applyAlignment="1">
      <alignment horizontal="center"/>
    </xf>
    <xf numFmtId="2" fontId="7" fillId="8" borderId="21" xfId="10" applyNumberFormat="1" applyFont="1" applyFill="1" applyBorder="1" applyAlignment="1">
      <alignment horizontal="center"/>
    </xf>
    <xf numFmtId="164" fontId="7" fillId="8" borderId="30" xfId="5" applyNumberFormat="1" applyFont="1" applyFill="1" applyBorder="1" applyAlignment="1" applyProtection="1">
      <alignment horizontal="center"/>
    </xf>
    <xf numFmtId="164" fontId="7" fillId="0" borderId="20" xfId="9" applyNumberFormat="1" applyFont="1" applyBorder="1" applyAlignment="1" applyProtection="1">
      <alignment horizontal="center"/>
    </xf>
    <xf numFmtId="170" fontId="6" fillId="0" borderId="20" xfId="5" applyNumberFormat="1" applyFont="1" applyBorder="1" applyAlignment="1" applyProtection="1">
      <alignment horizontal="center"/>
    </xf>
    <xf numFmtId="0" fontId="7" fillId="8" borderId="21" xfId="12" applyFont="1" applyFill="1" applyBorder="1" applyAlignment="1">
      <alignment horizontal="center"/>
    </xf>
    <xf numFmtId="168" fontId="1" fillId="0" borderId="21" xfId="11" applyNumberFormat="1" applyBorder="1" applyAlignment="1">
      <alignment horizontal="center"/>
    </xf>
    <xf numFmtId="0" fontId="23" fillId="0" borderId="0" xfId="11" applyFont="1" applyAlignment="1">
      <alignment horizontal="center"/>
    </xf>
    <xf numFmtId="164" fontId="7" fillId="0" borderId="5" xfId="5" applyNumberFormat="1" applyFont="1" applyBorder="1" applyProtection="1"/>
    <xf numFmtId="2" fontId="7" fillId="8" borderId="31" xfId="10" applyNumberFormat="1" applyFont="1" applyFill="1" applyBorder="1" applyAlignment="1">
      <alignment horizontal="center"/>
    </xf>
    <xf numFmtId="168" fontId="6" fillId="0" borderId="17" xfId="10" applyNumberFormat="1" applyFont="1" applyFill="1" applyBorder="1" applyAlignment="1">
      <alignment horizontal="center"/>
    </xf>
    <xf numFmtId="2" fontId="6" fillId="0" borderId="17" xfId="10" applyNumberFormat="1" applyFont="1" applyFill="1" applyBorder="1" applyAlignment="1">
      <alignment horizontal="center"/>
    </xf>
    <xf numFmtId="2" fontId="7" fillId="8" borderId="22" xfId="10" applyNumberFormat="1" applyFont="1" applyFill="1" applyBorder="1" applyAlignment="1">
      <alignment horizontal="center"/>
    </xf>
    <xf numFmtId="164" fontId="7" fillId="8" borderId="31" xfId="5" applyNumberFormat="1" applyFont="1" applyFill="1" applyBorder="1" applyAlignment="1" applyProtection="1">
      <alignment horizontal="center"/>
    </xf>
    <xf numFmtId="164" fontId="7" fillId="0" borderId="17" xfId="9" applyNumberFormat="1" applyFont="1" applyBorder="1" applyAlignment="1" applyProtection="1">
      <alignment horizontal="center"/>
    </xf>
    <xf numFmtId="170" fontId="6" fillId="0" borderId="17" xfId="5" applyNumberFormat="1" applyFont="1" applyBorder="1" applyAlignment="1" applyProtection="1">
      <alignment horizontal="center"/>
    </xf>
    <xf numFmtId="0" fontId="7" fillId="8" borderId="22" xfId="12" applyFont="1" applyFill="1" applyBorder="1" applyAlignment="1">
      <alignment horizontal="center"/>
    </xf>
    <xf numFmtId="168" fontId="1" fillId="0" borderId="22" xfId="11" applyNumberFormat="1" applyBorder="1" applyAlignment="1">
      <alignment horizontal="center"/>
    </xf>
    <xf numFmtId="164" fontId="7" fillId="0" borderId="32" xfId="5" applyNumberFormat="1" applyFont="1" applyBorder="1" applyProtection="1"/>
    <xf numFmtId="2" fontId="7" fillId="8" borderId="33" xfId="10" applyNumberFormat="1" applyFont="1" applyFill="1" applyBorder="1" applyAlignment="1">
      <alignment horizontal="center"/>
    </xf>
    <xf numFmtId="168" fontId="6" fillId="0" borderId="34" xfId="10" applyNumberFormat="1" applyFont="1" applyFill="1" applyBorder="1" applyAlignment="1">
      <alignment horizontal="center"/>
    </xf>
    <xf numFmtId="2" fontId="6" fillId="0" borderId="34" xfId="10" applyNumberFormat="1" applyFont="1" applyFill="1" applyBorder="1" applyAlignment="1">
      <alignment horizontal="center"/>
    </xf>
    <xf numFmtId="2" fontId="7" fillId="8" borderId="35" xfId="10" applyNumberFormat="1" applyFont="1" applyFill="1" applyBorder="1" applyAlignment="1">
      <alignment horizontal="center"/>
    </xf>
    <xf numFmtId="164" fontId="7" fillId="8" borderId="33" xfId="5" applyNumberFormat="1" applyFont="1" applyFill="1" applyBorder="1" applyAlignment="1" applyProtection="1">
      <alignment horizontal="center"/>
    </xf>
    <xf numFmtId="164" fontId="7" fillId="0" borderId="34" xfId="9" applyNumberFormat="1" applyFont="1" applyBorder="1" applyAlignment="1" applyProtection="1">
      <alignment horizontal="center"/>
    </xf>
    <xf numFmtId="170" fontId="6" fillId="0" borderId="34" xfId="5" applyNumberFormat="1" applyFont="1" applyBorder="1" applyAlignment="1" applyProtection="1">
      <alignment horizontal="center"/>
    </xf>
    <xf numFmtId="0" fontId="7" fillId="8" borderId="35" xfId="12" applyFont="1" applyFill="1" applyBorder="1" applyAlignment="1">
      <alignment horizontal="center"/>
    </xf>
    <xf numFmtId="168" fontId="1" fillId="0" borderId="35" xfId="11" applyNumberFormat="1" applyBorder="1" applyAlignment="1">
      <alignment horizontal="center"/>
    </xf>
    <xf numFmtId="2" fontId="7" fillId="0" borderId="21" xfId="10" applyNumberFormat="1" applyFont="1" applyBorder="1" applyAlignment="1">
      <alignment horizontal="center"/>
    </xf>
    <xf numFmtId="164" fontId="7" fillId="0" borderId="30" xfId="5" applyNumberFormat="1" applyFont="1" applyBorder="1" applyAlignment="1" applyProtection="1">
      <alignment horizontal="center"/>
    </xf>
    <xf numFmtId="0" fontId="7" fillId="0" borderId="21" xfId="12" applyFont="1" applyBorder="1" applyAlignment="1">
      <alignment horizontal="center"/>
    </xf>
    <xf numFmtId="2" fontId="7" fillId="0" borderId="22" xfId="10" applyNumberFormat="1" applyFont="1" applyBorder="1" applyAlignment="1">
      <alignment horizontal="center"/>
    </xf>
    <xf numFmtId="164" fontId="7" fillId="0" borderId="31" xfId="5" applyNumberFormat="1" applyFont="1" applyBorder="1" applyAlignment="1" applyProtection="1">
      <alignment horizontal="center"/>
    </xf>
    <xf numFmtId="0" fontId="7" fillId="0" borderId="22" xfId="12" applyFont="1" applyBorder="1" applyAlignment="1">
      <alignment horizontal="center"/>
    </xf>
    <xf numFmtId="164" fontId="7" fillId="0" borderId="36" xfId="5" applyNumberFormat="1" applyFont="1" applyBorder="1" applyProtection="1"/>
    <xf numFmtId="2" fontId="7" fillId="8" borderId="37" xfId="10" applyNumberFormat="1" applyFont="1" applyFill="1" applyBorder="1" applyAlignment="1">
      <alignment horizontal="center"/>
    </xf>
    <xf numFmtId="168" fontId="6" fillId="0" borderId="23" xfId="10" applyNumberFormat="1" applyFont="1" applyFill="1" applyBorder="1" applyAlignment="1">
      <alignment horizontal="center"/>
    </xf>
    <xf numFmtId="2" fontId="6" fillId="0" borderId="23" xfId="10" applyNumberFormat="1" applyFont="1" applyFill="1" applyBorder="1" applyAlignment="1">
      <alignment horizontal="center"/>
    </xf>
    <xf numFmtId="2" fontId="7" fillId="0" borderId="24" xfId="10" applyNumberFormat="1" applyFont="1" applyBorder="1" applyAlignment="1">
      <alignment horizontal="center"/>
    </xf>
    <xf numFmtId="164" fontId="7" fillId="0" borderId="37" xfId="5" applyNumberFormat="1" applyFont="1" applyBorder="1" applyAlignment="1" applyProtection="1">
      <alignment horizontal="center"/>
    </xf>
    <xf numFmtId="164" fontId="7" fillId="0" borderId="23" xfId="9" applyNumberFormat="1" applyFont="1" applyBorder="1" applyAlignment="1" applyProtection="1">
      <alignment horizontal="center"/>
    </xf>
    <xf numFmtId="170" fontId="6" fillId="0" borderId="23" xfId="5" applyNumberFormat="1" applyFont="1" applyBorder="1" applyAlignment="1" applyProtection="1">
      <alignment horizontal="center"/>
    </xf>
    <xf numFmtId="0" fontId="7" fillId="0" borderId="24" xfId="12" applyFont="1" applyBorder="1" applyAlignment="1">
      <alignment horizontal="center"/>
    </xf>
    <xf numFmtId="168" fontId="1" fillId="0" borderId="24" xfId="11" applyNumberFormat="1" applyBorder="1" applyAlignment="1">
      <alignment horizontal="center"/>
    </xf>
    <xf numFmtId="164" fontId="7" fillId="0" borderId="38" xfId="9" applyNumberFormat="1" applyFont="1" applyBorder="1" applyProtection="1"/>
    <xf numFmtId="2" fontId="7" fillId="8" borderId="39" xfId="10" applyNumberFormat="1" applyFont="1" applyFill="1" applyBorder="1" applyAlignment="1">
      <alignment horizontal="center"/>
    </xf>
    <xf numFmtId="168" fontId="6" fillId="0" borderId="25" xfId="10" applyNumberFormat="1" applyFont="1" applyFill="1" applyBorder="1" applyAlignment="1">
      <alignment horizontal="center"/>
    </xf>
    <xf numFmtId="2" fontId="6" fillId="0" borderId="25" xfId="10" applyNumberFormat="1" applyFont="1" applyFill="1" applyBorder="1" applyAlignment="1">
      <alignment horizontal="center"/>
    </xf>
    <xf numFmtId="2" fontId="7" fillId="8" borderId="26" xfId="10" applyNumberFormat="1" applyFont="1" applyFill="1" applyBorder="1" applyAlignment="1">
      <alignment horizontal="center"/>
    </xf>
    <xf numFmtId="0" fontId="7" fillId="8" borderId="39" xfId="9" applyNumberFormat="1" applyFont="1" applyFill="1" applyBorder="1" applyAlignment="1">
      <alignment horizontal="center"/>
    </xf>
    <xf numFmtId="0" fontId="7" fillId="0" borderId="25" xfId="9" applyNumberFormat="1" applyFont="1" applyFill="1" applyBorder="1" applyAlignment="1">
      <alignment horizontal="center"/>
    </xf>
    <xf numFmtId="170" fontId="6" fillId="0" borderId="25" xfId="9" applyNumberFormat="1" applyFont="1" applyFill="1" applyBorder="1" applyAlignment="1" applyProtection="1">
      <alignment horizontal="center"/>
    </xf>
    <xf numFmtId="170" fontId="7" fillId="8" borderId="26" xfId="9" applyNumberFormat="1" applyFont="1" applyFill="1" applyBorder="1" applyAlignment="1" applyProtection="1">
      <alignment horizontal="center"/>
    </xf>
    <xf numFmtId="168" fontId="1" fillId="0" borderId="26" xfId="11" applyNumberFormat="1" applyBorder="1" applyAlignment="1">
      <alignment horizontal="center"/>
    </xf>
    <xf numFmtId="0" fontId="1" fillId="0" borderId="0" xfId="11" applyBorder="1" applyAlignment="1">
      <alignment horizontal="center"/>
    </xf>
    <xf numFmtId="164" fontId="7" fillId="0" borderId="5" xfId="9" applyNumberFormat="1" applyFont="1" applyBorder="1" applyProtection="1"/>
    <xf numFmtId="0" fontId="7" fillId="8" borderId="31" xfId="9" applyNumberFormat="1" applyFont="1" applyFill="1" applyBorder="1" applyAlignment="1">
      <alignment horizontal="center"/>
    </xf>
    <xf numFmtId="0" fontId="7" fillId="0" borderId="17" xfId="9" applyNumberFormat="1" applyFont="1" applyFill="1" applyBorder="1" applyAlignment="1">
      <alignment horizontal="center"/>
    </xf>
    <xf numFmtId="170" fontId="6" fillId="0" borderId="17" xfId="9" applyNumberFormat="1" applyFont="1" applyFill="1" applyBorder="1" applyAlignment="1" applyProtection="1">
      <alignment horizontal="center"/>
    </xf>
    <xf numFmtId="170" fontId="7" fillId="8" borderId="22" xfId="9" applyNumberFormat="1" applyFont="1" applyFill="1" applyBorder="1" applyAlignment="1" applyProtection="1">
      <alignment horizontal="center"/>
    </xf>
    <xf numFmtId="0" fontId="6" fillId="0" borderId="0" xfId="12" applyFont="1" applyFill="1" applyBorder="1"/>
    <xf numFmtId="164" fontId="7" fillId="0" borderId="32" xfId="9" applyNumberFormat="1" applyFont="1" applyBorder="1" applyProtection="1"/>
    <xf numFmtId="0" fontId="7" fillId="8" borderId="33" xfId="9" applyNumberFormat="1" applyFont="1" applyFill="1" applyBorder="1" applyAlignment="1">
      <alignment horizontal="center"/>
    </xf>
    <xf numFmtId="0" fontId="7" fillId="0" borderId="34" xfId="9" applyNumberFormat="1" applyFont="1" applyFill="1" applyBorder="1" applyAlignment="1">
      <alignment horizontal="center"/>
    </xf>
    <xf numFmtId="170" fontId="6" fillId="0" borderId="34" xfId="9" applyNumberFormat="1" applyFont="1" applyFill="1" applyBorder="1" applyAlignment="1" applyProtection="1">
      <alignment horizontal="center"/>
    </xf>
    <xf numFmtId="170" fontId="7" fillId="8" borderId="35" xfId="9" applyNumberFormat="1" applyFont="1" applyFill="1" applyBorder="1" applyAlignment="1" applyProtection="1">
      <alignment horizontal="center"/>
    </xf>
    <xf numFmtId="164" fontId="7" fillId="0" borderId="2" xfId="9" applyNumberFormat="1" applyFont="1" applyBorder="1" applyProtection="1"/>
    <xf numFmtId="168" fontId="6" fillId="0" borderId="20" xfId="10" applyNumberFormat="1" applyFont="1" applyBorder="1" applyAlignment="1">
      <alignment horizontal="center"/>
    </xf>
    <xf numFmtId="2" fontId="6" fillId="0" borderId="20" xfId="10" applyNumberFormat="1" applyFont="1" applyBorder="1" applyAlignment="1">
      <alignment horizontal="center"/>
    </xf>
    <xf numFmtId="0" fontId="7" fillId="8" borderId="30" xfId="9" applyNumberFormat="1" applyFont="1" applyFill="1" applyBorder="1" applyAlignment="1">
      <alignment horizontal="center"/>
    </xf>
    <xf numFmtId="0" fontId="7" fillId="0" borderId="20" xfId="9" applyNumberFormat="1" applyFont="1" applyFill="1" applyBorder="1" applyAlignment="1">
      <alignment horizontal="center"/>
    </xf>
    <xf numFmtId="170" fontId="6" fillId="0" borderId="20" xfId="9" applyNumberFormat="1" applyFont="1" applyFill="1" applyBorder="1" applyAlignment="1" applyProtection="1">
      <alignment horizontal="center"/>
    </xf>
    <xf numFmtId="170" fontId="7" fillId="8" borderId="21" xfId="9" applyNumberFormat="1" applyFont="1" applyFill="1" applyBorder="1" applyAlignment="1" applyProtection="1">
      <alignment horizontal="center"/>
    </xf>
    <xf numFmtId="168" fontId="6" fillId="0" borderId="17" xfId="10" applyNumberFormat="1" applyFont="1" applyBorder="1" applyAlignment="1">
      <alignment horizontal="center"/>
    </xf>
    <xf numFmtId="2" fontId="6" fillId="0" borderId="17" xfId="10" applyNumberFormat="1" applyFont="1" applyBorder="1" applyAlignment="1">
      <alignment horizontal="center"/>
    </xf>
    <xf numFmtId="164" fontId="7" fillId="0" borderId="36" xfId="9" applyNumberFormat="1" applyFont="1" applyBorder="1" applyProtection="1"/>
    <xf numFmtId="168" fontId="6" fillId="0" borderId="23" xfId="10" applyNumberFormat="1" applyFont="1" applyBorder="1" applyAlignment="1">
      <alignment horizontal="center"/>
    </xf>
    <xf numFmtId="2" fontId="6" fillId="0" borderId="23" xfId="10" applyNumberFormat="1" applyFont="1" applyBorder="1" applyAlignment="1">
      <alignment horizontal="center"/>
    </xf>
    <xf numFmtId="2" fontId="7" fillId="8" borderId="24" xfId="10" applyNumberFormat="1" applyFont="1" applyFill="1" applyBorder="1" applyAlignment="1">
      <alignment horizontal="center"/>
    </xf>
    <xf numFmtId="0" fontId="7" fillId="8" borderId="37" xfId="9" applyNumberFormat="1" applyFont="1" applyFill="1" applyBorder="1" applyAlignment="1">
      <alignment horizontal="center"/>
    </xf>
    <xf numFmtId="0" fontId="7" fillId="0" borderId="23" xfId="9" applyNumberFormat="1" applyFont="1" applyFill="1" applyBorder="1" applyAlignment="1">
      <alignment horizontal="center"/>
    </xf>
    <xf numFmtId="170" fontId="6" fillId="0" borderId="23" xfId="9" applyNumberFormat="1" applyFont="1" applyFill="1" applyBorder="1" applyAlignment="1" applyProtection="1">
      <alignment horizontal="center"/>
    </xf>
    <xf numFmtId="170" fontId="7" fillId="8" borderId="24" xfId="9" applyNumberFormat="1" applyFont="1" applyFill="1" applyBorder="1" applyAlignment="1" applyProtection="1">
      <alignment horizontal="center"/>
    </xf>
    <xf numFmtId="168" fontId="6" fillId="0" borderId="25" xfId="10" applyNumberFormat="1" applyFont="1" applyBorder="1" applyAlignment="1">
      <alignment horizontal="center"/>
    </xf>
    <xf numFmtId="2" fontId="6" fillId="0" borderId="25" xfId="10" applyNumberFormat="1" applyFont="1" applyBorder="1" applyAlignment="1">
      <alignment horizontal="center"/>
    </xf>
    <xf numFmtId="0" fontId="7" fillId="0" borderId="17" xfId="9" applyNumberFormat="1" applyFont="1" applyBorder="1" applyAlignment="1">
      <alignment horizontal="center"/>
    </xf>
    <xf numFmtId="170" fontId="6" fillId="0" borderId="17" xfId="9" applyNumberFormat="1" applyFont="1" applyBorder="1" applyAlignment="1" applyProtection="1">
      <alignment horizontal="center"/>
    </xf>
    <xf numFmtId="168" fontId="6" fillId="0" borderId="34" xfId="10" applyNumberFormat="1" applyFont="1" applyBorder="1" applyAlignment="1">
      <alignment horizontal="center"/>
    </xf>
    <xf numFmtId="2" fontId="6" fillId="0" borderId="34" xfId="10" applyNumberFormat="1" applyFont="1" applyBorder="1" applyAlignment="1">
      <alignment horizontal="center"/>
    </xf>
    <xf numFmtId="0" fontId="7" fillId="0" borderId="34" xfId="9" applyNumberFormat="1" applyFont="1" applyBorder="1" applyAlignment="1">
      <alignment horizontal="center"/>
    </xf>
    <xf numFmtId="170" fontId="6" fillId="0" borderId="34" xfId="9" applyNumberFormat="1" applyFont="1" applyBorder="1" applyAlignment="1" applyProtection="1">
      <alignment horizontal="center"/>
    </xf>
    <xf numFmtId="164" fontId="7" fillId="0" borderId="2" xfId="9" applyNumberFormat="1" applyFont="1" applyFill="1" applyBorder="1" applyProtection="1"/>
    <xf numFmtId="168" fontId="7" fillId="9" borderId="30" xfId="10" applyNumberFormat="1" applyFont="1" applyFill="1" applyBorder="1" applyAlignment="1">
      <alignment horizontal="center"/>
    </xf>
    <xf numFmtId="168" fontId="7" fillId="9" borderId="20" xfId="10" applyNumberFormat="1" applyFont="1" applyFill="1" applyBorder="1" applyAlignment="1">
      <alignment horizontal="center"/>
    </xf>
    <xf numFmtId="2" fontId="6" fillId="0" borderId="21" xfId="10" applyNumberFormat="1" applyFont="1" applyBorder="1" applyAlignment="1">
      <alignment horizontal="center"/>
    </xf>
    <xf numFmtId="0" fontId="7" fillId="9" borderId="30" xfId="9" applyNumberFormat="1" applyFont="1" applyFill="1" applyBorder="1" applyAlignment="1">
      <alignment horizontal="center"/>
    </xf>
    <xf numFmtId="0" fontId="7" fillId="9" borderId="20" xfId="9" applyNumberFormat="1" applyFont="1" applyFill="1" applyBorder="1" applyAlignment="1">
      <alignment horizontal="center"/>
    </xf>
    <xf numFmtId="170" fontId="6" fillId="0" borderId="20" xfId="9" applyNumberFormat="1" applyFont="1" applyBorder="1" applyAlignment="1" applyProtection="1">
      <alignment horizontal="center"/>
    </xf>
    <xf numFmtId="164" fontId="7" fillId="0" borderId="5" xfId="9" applyNumberFormat="1" applyFont="1" applyFill="1" applyBorder="1" applyProtection="1"/>
    <xf numFmtId="168" fontId="7" fillId="9" borderId="31" xfId="10" applyNumberFormat="1" applyFont="1" applyFill="1" applyBorder="1" applyAlignment="1">
      <alignment horizontal="center"/>
    </xf>
    <xf numFmtId="168" fontId="7" fillId="9" borderId="17" xfId="10" applyNumberFormat="1" applyFont="1" applyFill="1" applyBorder="1" applyAlignment="1">
      <alignment horizontal="center"/>
    </xf>
    <xf numFmtId="2" fontId="6" fillId="0" borderId="22" xfId="10" applyNumberFormat="1" applyFont="1" applyBorder="1" applyAlignment="1">
      <alignment horizontal="center"/>
    </xf>
    <xf numFmtId="0" fontId="7" fillId="9" borderId="31" xfId="9" applyNumberFormat="1" applyFont="1" applyFill="1" applyBorder="1" applyAlignment="1">
      <alignment horizontal="center"/>
    </xf>
    <xf numFmtId="0" fontId="7" fillId="9" borderId="17" xfId="9" applyNumberFormat="1" applyFont="1" applyFill="1" applyBorder="1" applyAlignment="1">
      <alignment horizontal="center"/>
    </xf>
    <xf numFmtId="2" fontId="7" fillId="9" borderId="17" xfId="10" applyNumberFormat="1" applyFont="1" applyFill="1" applyBorder="1" applyAlignment="1">
      <alignment horizontal="center"/>
    </xf>
    <xf numFmtId="2" fontId="7" fillId="9" borderId="22" xfId="10" applyNumberFormat="1" applyFont="1" applyFill="1" applyBorder="1" applyAlignment="1">
      <alignment horizontal="center"/>
    </xf>
    <xf numFmtId="170" fontId="7" fillId="9" borderId="17" xfId="9" applyNumberFormat="1" applyFont="1" applyFill="1" applyBorder="1" applyAlignment="1" applyProtection="1">
      <alignment horizontal="center"/>
    </xf>
    <xf numFmtId="170" fontId="7" fillId="9" borderId="22" xfId="9" applyNumberFormat="1" applyFont="1" applyFill="1" applyBorder="1" applyAlignment="1" applyProtection="1">
      <alignment horizontal="center"/>
    </xf>
    <xf numFmtId="164" fontId="7" fillId="0" borderId="36" xfId="9" applyNumberFormat="1" applyFont="1" applyFill="1" applyBorder="1" applyProtection="1"/>
    <xf numFmtId="168" fontId="7" fillId="9" borderId="37" xfId="10" applyNumberFormat="1" applyFont="1" applyFill="1" applyBorder="1" applyAlignment="1">
      <alignment horizontal="center"/>
    </xf>
    <xf numFmtId="168" fontId="7" fillId="9" borderId="23" xfId="10" applyNumberFormat="1" applyFont="1" applyFill="1" applyBorder="1" applyAlignment="1">
      <alignment horizontal="center"/>
    </xf>
    <xf numFmtId="2" fontId="7" fillId="9" borderId="23" xfId="10" applyNumberFormat="1" applyFont="1" applyFill="1" applyBorder="1" applyAlignment="1">
      <alignment horizontal="center"/>
    </xf>
    <xf numFmtId="2" fontId="7" fillId="9" borderId="24" xfId="10" applyNumberFormat="1" applyFont="1" applyFill="1" applyBorder="1" applyAlignment="1">
      <alignment horizontal="center"/>
    </xf>
    <xf numFmtId="0" fontId="7" fillId="9" borderId="37" xfId="9" applyNumberFormat="1" applyFont="1" applyFill="1" applyBorder="1" applyAlignment="1">
      <alignment horizontal="center"/>
    </xf>
    <xf numFmtId="0" fontId="7" fillId="9" borderId="23" xfId="9" applyNumberFormat="1" applyFont="1" applyFill="1" applyBorder="1" applyAlignment="1">
      <alignment horizontal="center"/>
    </xf>
    <xf numFmtId="170" fontId="7" fillId="9" borderId="23" xfId="9" applyNumberFormat="1" applyFont="1" applyFill="1" applyBorder="1" applyAlignment="1" applyProtection="1">
      <alignment horizontal="center"/>
    </xf>
    <xf numFmtId="170" fontId="7" fillId="9" borderId="24" xfId="9" applyNumberFormat="1" applyFont="1" applyFill="1" applyBorder="1" applyAlignment="1" applyProtection="1">
      <alignment horizontal="center"/>
    </xf>
    <xf numFmtId="168" fontId="7" fillId="9" borderId="39" xfId="10" applyNumberFormat="1" applyFont="1" applyFill="1" applyBorder="1" applyAlignment="1">
      <alignment horizontal="center"/>
    </xf>
    <xf numFmtId="168" fontId="7" fillId="9" borderId="25" xfId="10" applyNumberFormat="1" applyFont="1" applyFill="1" applyBorder="1" applyAlignment="1">
      <alignment horizontal="center"/>
    </xf>
    <xf numFmtId="2" fontId="6" fillId="0" borderId="26" xfId="10" applyNumberFormat="1" applyFont="1" applyBorder="1" applyAlignment="1">
      <alignment horizontal="center"/>
    </xf>
    <xf numFmtId="0" fontId="7" fillId="9" borderId="39" xfId="9" applyNumberFormat="1" applyFont="1" applyFill="1" applyBorder="1" applyAlignment="1">
      <alignment horizontal="center"/>
    </xf>
    <xf numFmtId="0" fontId="7" fillId="9" borderId="25" xfId="9" applyNumberFormat="1" applyFont="1" applyFill="1" applyBorder="1" applyAlignment="1">
      <alignment horizontal="center"/>
    </xf>
    <xf numFmtId="170" fontId="6" fillId="0" borderId="25" xfId="9" applyNumberFormat="1" applyFont="1" applyBorder="1" applyAlignment="1" applyProtection="1">
      <alignment horizontal="center"/>
    </xf>
    <xf numFmtId="168" fontId="7" fillId="9" borderId="33" xfId="10" applyNumberFormat="1" applyFont="1" applyFill="1" applyBorder="1" applyAlignment="1">
      <alignment horizontal="center"/>
    </xf>
    <xf numFmtId="168" fontId="7" fillId="9" borderId="34" xfId="10" applyNumberFormat="1" applyFont="1" applyFill="1" applyBorder="1" applyAlignment="1">
      <alignment horizontal="center"/>
    </xf>
    <xf numFmtId="2" fontId="7" fillId="9" borderId="34" xfId="10" applyNumberFormat="1" applyFont="1" applyFill="1" applyBorder="1" applyAlignment="1">
      <alignment horizontal="center"/>
    </xf>
    <xf numFmtId="2" fontId="7" fillId="9" borderId="35" xfId="10" applyNumberFormat="1" applyFont="1" applyFill="1" applyBorder="1" applyAlignment="1">
      <alignment horizontal="center"/>
    </xf>
    <xf numFmtId="0" fontId="7" fillId="9" borderId="33" xfId="9" applyNumberFormat="1" applyFont="1" applyFill="1" applyBorder="1" applyAlignment="1">
      <alignment horizontal="center"/>
    </xf>
    <xf numFmtId="0" fontId="7" fillId="9" borderId="34" xfId="9" applyNumberFormat="1" applyFont="1" applyFill="1" applyBorder="1" applyAlignment="1">
      <alignment horizontal="center"/>
    </xf>
    <xf numFmtId="170" fontId="7" fillId="9" borderId="34" xfId="9" applyNumberFormat="1" applyFont="1" applyFill="1" applyBorder="1" applyAlignment="1" applyProtection="1">
      <alignment horizontal="center"/>
    </xf>
    <xf numFmtId="170" fontId="7" fillId="9" borderId="35" xfId="9" applyNumberFormat="1" applyFont="1" applyFill="1" applyBorder="1" applyAlignment="1" applyProtection="1">
      <alignment horizontal="center"/>
    </xf>
    <xf numFmtId="164" fontId="7" fillId="0" borderId="38" xfId="9" applyNumberFormat="1" applyFont="1" applyFill="1" applyBorder="1" applyProtection="1"/>
    <xf numFmtId="164" fontId="7" fillId="0" borderId="32" xfId="9" applyNumberFormat="1" applyFont="1" applyFill="1" applyBorder="1" applyProtection="1"/>
    <xf numFmtId="2" fontId="6" fillId="0" borderId="21" xfId="10" applyNumberFormat="1" applyFont="1" applyFill="1" applyBorder="1" applyAlignment="1">
      <alignment horizontal="center"/>
    </xf>
    <xf numFmtId="2" fontId="6" fillId="0" borderId="22" xfId="10" applyNumberFormat="1" applyFont="1" applyFill="1" applyBorder="1" applyAlignment="1">
      <alignment horizontal="center"/>
    </xf>
    <xf numFmtId="168" fontId="6" fillId="9" borderId="39" xfId="10" applyNumberFormat="1" applyFont="1" applyFill="1" applyBorder="1" applyAlignment="1">
      <alignment horizontal="center"/>
    </xf>
    <xf numFmtId="168" fontId="6" fillId="9" borderId="25" xfId="10" applyNumberFormat="1" applyFont="1" applyFill="1" applyBorder="1" applyAlignment="1">
      <alignment horizontal="center"/>
    </xf>
    <xf numFmtId="168" fontId="6" fillId="9" borderId="31" xfId="10" applyNumberFormat="1" applyFont="1" applyFill="1" applyBorder="1" applyAlignment="1">
      <alignment horizontal="center"/>
    </xf>
    <xf numFmtId="168" fontId="6" fillId="9" borderId="17" xfId="10" applyNumberFormat="1" applyFont="1" applyFill="1" applyBorder="1" applyAlignment="1">
      <alignment horizontal="center"/>
    </xf>
    <xf numFmtId="168" fontId="6" fillId="9" borderId="33" xfId="10" applyNumberFormat="1" applyFont="1" applyFill="1" applyBorder="1" applyAlignment="1">
      <alignment horizontal="center"/>
    </xf>
    <xf numFmtId="168" fontId="6" fillId="9" borderId="34" xfId="10" applyNumberFormat="1" applyFont="1" applyFill="1" applyBorder="1" applyAlignment="1">
      <alignment horizontal="center"/>
    </xf>
    <xf numFmtId="170" fontId="7" fillId="0" borderId="20" xfId="9" applyNumberFormat="1" applyFont="1" applyBorder="1" applyAlignment="1" applyProtection="1">
      <alignment horizontal="center"/>
    </xf>
    <xf numFmtId="170" fontId="7" fillId="0" borderId="21" xfId="9" applyNumberFormat="1" applyFont="1" applyBorder="1" applyAlignment="1" applyProtection="1">
      <alignment horizontal="center"/>
    </xf>
    <xf numFmtId="170" fontId="7" fillId="0" borderId="17" xfId="9" applyNumberFormat="1" applyFont="1" applyBorder="1" applyAlignment="1" applyProtection="1">
      <alignment horizontal="center"/>
    </xf>
    <xf numFmtId="170" fontId="7" fillId="0" borderId="22" xfId="9" applyNumberFormat="1" applyFont="1" applyBorder="1" applyAlignment="1" applyProtection="1">
      <alignment horizontal="center"/>
    </xf>
    <xf numFmtId="170" fontId="7" fillId="0" borderId="26" xfId="9" applyNumberFormat="1" applyFont="1" applyBorder="1" applyAlignment="1" applyProtection="1">
      <alignment horizontal="center"/>
    </xf>
    <xf numFmtId="170" fontId="7" fillId="0" borderId="22" xfId="9" applyNumberFormat="1" applyFont="1" applyFill="1" applyBorder="1" applyAlignment="1" applyProtection="1">
      <alignment horizontal="center"/>
    </xf>
    <xf numFmtId="2" fontId="7" fillId="9" borderId="20" xfId="10" applyNumberFormat="1" applyFont="1" applyFill="1" applyBorder="1" applyAlignment="1">
      <alignment horizontal="center"/>
    </xf>
    <xf numFmtId="2" fontId="7" fillId="9" borderId="21" xfId="10" applyNumberFormat="1" applyFont="1" applyFill="1" applyBorder="1" applyAlignment="1">
      <alignment horizontal="center"/>
    </xf>
    <xf numFmtId="170" fontId="7" fillId="9" borderId="20" xfId="9" applyNumberFormat="1" applyFont="1" applyFill="1" applyBorder="1" applyAlignment="1" applyProtection="1">
      <alignment horizontal="center"/>
    </xf>
    <xf numFmtId="170" fontId="7" fillId="9" borderId="21" xfId="9" applyNumberFormat="1" applyFont="1" applyFill="1" applyBorder="1" applyAlignment="1" applyProtection="1">
      <alignment horizontal="center"/>
    </xf>
    <xf numFmtId="2" fontId="7" fillId="9" borderId="25" xfId="10" applyNumberFormat="1" applyFont="1" applyFill="1" applyBorder="1" applyAlignment="1">
      <alignment horizontal="center"/>
    </xf>
    <xf numFmtId="2" fontId="7" fillId="9" borderId="26" xfId="10" applyNumberFormat="1" applyFont="1" applyFill="1" applyBorder="1" applyAlignment="1">
      <alignment horizontal="center"/>
    </xf>
    <xf numFmtId="170" fontId="7" fillId="9" borderId="25" xfId="9" applyNumberFormat="1" applyFont="1" applyFill="1" applyBorder="1" applyAlignment="1" applyProtection="1">
      <alignment horizontal="center"/>
    </xf>
    <xf numFmtId="170" fontId="7" fillId="9" borderId="26" xfId="9" applyNumberFormat="1" applyFont="1" applyFill="1" applyBorder="1" applyAlignment="1" applyProtection="1">
      <alignment horizontal="center"/>
    </xf>
    <xf numFmtId="0" fontId="7" fillId="0" borderId="0" xfId="12" applyFont="1" applyFill="1" applyBorder="1" applyAlignment="1">
      <alignment horizontal="center"/>
    </xf>
    <xf numFmtId="0" fontId="11" fillId="0" borderId="0" xfId="12" applyFont="1" applyBorder="1" applyAlignment="1">
      <alignment horizontal="center"/>
    </xf>
    <xf numFmtId="0" fontId="7" fillId="0" borderId="0" xfId="12" applyFont="1" applyBorder="1" applyAlignment="1">
      <alignment horizontal="center"/>
    </xf>
    <xf numFmtId="0" fontId="6" fillId="0" borderId="0" xfId="2" applyNumberFormat="1" applyFont="1" applyBorder="1" applyAlignment="1" applyProtection="1">
      <alignment horizontal="center"/>
    </xf>
    <xf numFmtId="164" fontId="6" fillId="0" borderId="9" xfId="3" applyNumberFormat="1" applyFont="1" applyBorder="1" applyAlignment="1">
      <alignment horizontal="left"/>
    </xf>
    <xf numFmtId="49" fontId="6" fillId="0" borderId="0" xfId="12" applyNumberFormat="1" applyFont="1" applyBorder="1" applyAlignment="1">
      <alignment horizontal="center"/>
    </xf>
    <xf numFmtId="49" fontId="6" fillId="0" borderId="0" xfId="12" applyNumberFormat="1" applyFont="1" applyFill="1" applyBorder="1" applyAlignment="1">
      <alignment horizontal="center"/>
    </xf>
    <xf numFmtId="49" fontId="6" fillId="0" borderId="0" xfId="12" quotePrefix="1" applyNumberFormat="1" applyFont="1" applyBorder="1" applyAlignment="1">
      <alignment horizontal="center"/>
    </xf>
    <xf numFmtId="49" fontId="6" fillId="0" borderId="0" xfId="12" quotePrefix="1" applyNumberFormat="1" applyFont="1" applyBorder="1"/>
    <xf numFmtId="49" fontId="6" fillId="0" borderId="0" xfId="12" quotePrefix="1" applyNumberFormat="1" applyFont="1" applyFill="1" applyBorder="1" applyAlignment="1">
      <alignment horizontal="center"/>
    </xf>
    <xf numFmtId="49" fontId="7" fillId="0" borderId="0" xfId="5" quotePrefix="1" applyNumberFormat="1" applyFont="1" applyBorder="1" applyProtection="1"/>
    <xf numFmtId="49" fontId="7" fillId="0" borderId="0" xfId="9" quotePrefix="1" applyNumberFormat="1" applyFont="1" applyBorder="1" applyProtection="1"/>
    <xf numFmtId="49" fontId="6" fillId="0" borderId="0" xfId="12" quotePrefix="1" applyNumberFormat="1" applyFont="1" applyBorder="1" applyAlignment="1"/>
    <xf numFmtId="49" fontId="10" fillId="0" borderId="0" xfId="5" quotePrefix="1" applyNumberFormat="1" applyFont="1" applyBorder="1"/>
    <xf numFmtId="164" fontId="6" fillId="0" borderId="0" xfId="2" quotePrefix="1" applyFont="1" applyFill="1" applyBorder="1" applyAlignment="1" applyProtection="1"/>
    <xf numFmtId="1" fontId="6" fillId="2" borderId="0" xfId="2" applyNumberFormat="1" applyFont="1" applyFill="1" applyAlignment="1" applyProtection="1">
      <alignment horizontal="center"/>
    </xf>
    <xf numFmtId="0" fontId="6" fillId="0" borderId="0" xfId="3" applyFont="1"/>
    <xf numFmtId="164" fontId="6" fillId="2" borderId="0" xfId="2" applyNumberFormat="1" applyFont="1" applyFill="1" applyProtection="1"/>
    <xf numFmtId="164" fontId="6" fillId="2" borderId="0" xfId="2" applyNumberFormat="1" applyFont="1" applyFill="1" applyAlignment="1" applyProtection="1"/>
    <xf numFmtId="168" fontId="1" fillId="0" borderId="40" xfId="11" applyNumberFormat="1" applyBorder="1" applyAlignment="1">
      <alignment horizontal="center"/>
    </xf>
    <xf numFmtId="0" fontId="20" fillId="0" borderId="30" xfId="11" applyFont="1" applyBorder="1" applyAlignment="1">
      <alignment horizontal="center"/>
    </xf>
    <xf numFmtId="0" fontId="20" fillId="0" borderId="31" xfId="11" applyFont="1" applyBorder="1" applyAlignment="1">
      <alignment horizontal="center"/>
    </xf>
    <xf numFmtId="0" fontId="20" fillId="0" borderId="37" xfId="11" applyFont="1" applyBorder="1" applyAlignment="1">
      <alignment horizontal="center"/>
    </xf>
    <xf numFmtId="168" fontId="6" fillId="0" borderId="0" xfId="12" applyNumberFormat="1" applyFont="1" applyBorder="1" applyAlignment="1">
      <alignment horizontal="center"/>
    </xf>
    <xf numFmtId="0" fontId="20" fillId="0" borderId="39" xfId="11" applyFont="1" applyBorder="1" applyAlignment="1">
      <alignment horizontal="center"/>
    </xf>
    <xf numFmtId="0" fontId="20" fillId="0" borderId="33" xfId="11" applyFont="1" applyBorder="1" applyAlignment="1">
      <alignment horizontal="center"/>
    </xf>
    <xf numFmtId="0" fontId="0" fillId="0" borderId="0" xfId="0" applyBorder="1"/>
    <xf numFmtId="0" fontId="18" fillId="0" borderId="0" xfId="0" applyFont="1" applyBorder="1" applyAlignment="1">
      <alignment horizontal="center"/>
    </xf>
    <xf numFmtId="164" fontId="7" fillId="2" borderId="0" xfId="2" applyNumberFormat="1" applyFont="1" applyFill="1" applyAlignment="1" applyProtection="1">
      <alignment horizontal="center"/>
    </xf>
    <xf numFmtId="164" fontId="7" fillId="2" borderId="0" xfId="2" applyFont="1" applyFill="1" applyAlignment="1" applyProtection="1">
      <alignment horizontal="center"/>
    </xf>
    <xf numFmtId="164" fontId="7" fillId="2" borderId="0" xfId="2" quotePrefix="1" applyFont="1" applyFill="1" applyAlignment="1" applyProtection="1">
      <alignment horizontal="center"/>
    </xf>
    <xf numFmtId="0" fontId="6" fillId="6" borderId="0" xfId="0" applyFont="1" applyFill="1" applyAlignment="1">
      <alignment horizontal="left"/>
    </xf>
    <xf numFmtId="0" fontId="6" fillId="6" borderId="0" xfId="0" applyFont="1" applyFill="1"/>
    <xf numFmtId="0" fontId="6" fillId="6" borderId="0" xfId="0" applyFont="1" applyFill="1" applyAlignment="1">
      <alignment horizontal="center"/>
    </xf>
    <xf numFmtId="164" fontId="7" fillId="2" borderId="41" xfId="2" applyNumberFormat="1" applyFont="1" applyFill="1" applyBorder="1" applyAlignment="1" applyProtection="1">
      <alignment horizontal="left"/>
    </xf>
    <xf numFmtId="164" fontId="6" fillId="2" borderId="41" xfId="2" applyFont="1" applyFill="1" applyBorder="1" applyProtection="1"/>
    <xf numFmtId="164" fontId="6" fillId="2" borderId="41" xfId="2" applyNumberFormat="1" applyFont="1" applyFill="1" applyBorder="1" applyAlignment="1" applyProtection="1">
      <alignment horizontal="center"/>
    </xf>
    <xf numFmtId="164" fontId="6" fillId="2" borderId="41" xfId="2" applyFont="1" applyFill="1" applyBorder="1" applyAlignment="1" applyProtection="1">
      <alignment horizontal="center"/>
    </xf>
    <xf numFmtId="0" fontId="6" fillId="2" borderId="41" xfId="2" applyNumberFormat="1" applyFont="1" applyFill="1" applyBorder="1" applyAlignment="1" applyProtection="1">
      <alignment horizontal="center"/>
    </xf>
    <xf numFmtId="164" fontId="7" fillId="2" borderId="41" xfId="2" applyFont="1" applyFill="1" applyBorder="1" applyProtection="1"/>
    <xf numFmtId="164" fontId="7" fillId="2" borderId="41" xfId="2" applyNumberFormat="1" applyFont="1" applyFill="1" applyBorder="1" applyAlignment="1" applyProtection="1">
      <alignment horizontal="center"/>
    </xf>
    <xf numFmtId="164" fontId="7" fillId="2" borderId="0" xfId="2" applyNumberFormat="1" applyFont="1" applyFill="1" applyAlignment="1" applyProtection="1"/>
    <xf numFmtId="164" fontId="7" fillId="0" borderId="0" xfId="2" applyNumberFormat="1" applyFont="1" applyFill="1" applyBorder="1" applyAlignment="1" applyProtection="1">
      <alignment horizontal="center"/>
    </xf>
    <xf numFmtId="0" fontId="18" fillId="0" borderId="38" xfId="0" applyFont="1" applyBorder="1" applyAlignment="1">
      <alignment horizontal="center"/>
    </xf>
    <xf numFmtId="0" fontId="18" fillId="0" borderId="5" xfId="0" applyFont="1" applyBorder="1" applyAlignment="1">
      <alignment horizontal="center"/>
    </xf>
    <xf numFmtId="0" fontId="18" fillId="0" borderId="36" xfId="0" applyFont="1" applyBorder="1" applyAlignment="1">
      <alignment horizontal="center"/>
    </xf>
    <xf numFmtId="0" fontId="18" fillId="0" borderId="42" xfId="0" applyFont="1" applyBorder="1" applyAlignment="1">
      <alignment horizontal="center"/>
    </xf>
    <xf numFmtId="0" fontId="18" fillId="0" borderId="34" xfId="0" applyFont="1" applyBorder="1" applyAlignment="1">
      <alignment horizontal="center"/>
    </xf>
    <xf numFmtId="0" fontId="18" fillId="0" borderId="35" xfId="0" applyFont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64" fontId="7" fillId="4" borderId="0" xfId="2" applyFont="1" applyFill="1" applyBorder="1" applyAlignment="1" applyProtection="1">
      <alignment horizontal="center"/>
    </xf>
    <xf numFmtId="164" fontId="7" fillId="0" borderId="0" xfId="2" applyFont="1" applyBorder="1" applyAlignment="1" applyProtection="1"/>
    <xf numFmtId="164" fontId="6" fillId="0" borderId="0" xfId="2" applyFont="1" applyBorder="1" applyAlignment="1" applyProtection="1"/>
    <xf numFmtId="164" fontId="7" fillId="0" borderId="0" xfId="2" applyNumberFormat="1" applyFont="1" applyFill="1" applyBorder="1" applyAlignment="1" applyProtection="1"/>
    <xf numFmtId="164" fontId="7" fillId="0" borderId="0" xfId="2" applyFont="1" applyFill="1" applyBorder="1" applyAlignment="1" applyProtection="1"/>
    <xf numFmtId="164" fontId="7" fillId="0" borderId="0" xfId="2" applyNumberFormat="1" applyFont="1" applyBorder="1" applyAlignment="1" applyProtection="1"/>
    <xf numFmtId="164" fontId="6" fillId="0" borderId="0" xfId="2" applyFont="1" applyBorder="1" applyAlignment="1" applyProtection="1">
      <alignment horizontal="left"/>
    </xf>
    <xf numFmtId="0" fontId="7" fillId="0" borderId="0" xfId="4" applyFont="1" applyAlignment="1">
      <alignment horizontal="center"/>
    </xf>
    <xf numFmtId="164" fontId="7" fillId="4" borderId="0" xfId="2" applyFont="1" applyFill="1" applyBorder="1" applyAlignment="1" applyProtection="1">
      <alignment horizontal="center"/>
    </xf>
    <xf numFmtId="164" fontId="6" fillId="0" borderId="0" xfId="2" applyFont="1" applyFill="1" applyBorder="1" applyProtection="1"/>
    <xf numFmtId="0" fontId="6" fillId="0" borderId="0" xfId="2" applyNumberFormat="1" applyFont="1" applyBorder="1" applyProtection="1"/>
    <xf numFmtId="0" fontId="7" fillId="5" borderId="0" xfId="3" applyNumberFormat="1" applyFont="1" applyFill="1" applyBorder="1" applyAlignment="1" applyProtection="1">
      <alignment horizontal="center"/>
      <protection locked="0"/>
    </xf>
    <xf numFmtId="166" fontId="7" fillId="0" borderId="0" xfId="4" applyNumberFormat="1" applyFont="1" applyAlignment="1" applyProtection="1">
      <alignment horizontal="center"/>
    </xf>
    <xf numFmtId="1" fontId="7" fillId="0" borderId="0" xfId="2" applyNumberFormat="1" applyFont="1" applyAlignment="1">
      <alignment horizontal="center"/>
    </xf>
    <xf numFmtId="168" fontId="7" fillId="0" borderId="0" xfId="2" applyNumberFormat="1" applyFont="1" applyAlignment="1">
      <alignment horizontal="center"/>
    </xf>
    <xf numFmtId="2" fontId="7" fillId="0" borderId="0" xfId="2" applyNumberFormat="1" applyFont="1" applyAlignment="1">
      <alignment horizontal="center"/>
    </xf>
    <xf numFmtId="166" fontId="7" fillId="0" borderId="0" xfId="4" applyNumberFormat="1" applyFont="1" applyFill="1" applyAlignment="1" applyProtection="1">
      <alignment horizontal="center"/>
    </xf>
    <xf numFmtId="9" fontId="7" fillId="5" borderId="0" xfId="8" applyFont="1" applyFill="1" applyBorder="1" applyAlignment="1" applyProtection="1">
      <alignment horizontal="center"/>
      <protection locked="0"/>
    </xf>
    <xf numFmtId="164" fontId="7" fillId="10" borderId="0" xfId="2" applyFont="1" applyFill="1" applyBorder="1" applyAlignment="1" applyProtection="1">
      <alignment horizontal="center"/>
      <protection locked="0"/>
    </xf>
    <xf numFmtId="164" fontId="7" fillId="10" borderId="0" xfId="2" applyFont="1" applyFill="1" applyBorder="1" applyAlignment="1">
      <alignment horizontal="center"/>
    </xf>
    <xf numFmtId="0" fontId="7" fillId="5" borderId="0" xfId="2" applyNumberFormat="1" applyFont="1" applyFill="1" applyBorder="1" applyAlignment="1" applyProtection="1">
      <alignment horizontal="center"/>
      <protection locked="0"/>
    </xf>
    <xf numFmtId="164" fontId="7" fillId="10" borderId="0" xfId="2" applyFont="1" applyFill="1" applyBorder="1" applyAlignment="1" applyProtection="1">
      <alignment horizontal="center"/>
      <protection locked="0"/>
    </xf>
    <xf numFmtId="0" fontId="7" fillId="0" borderId="0" xfId="4" applyFont="1" applyAlignment="1">
      <alignment horizontal="center"/>
    </xf>
    <xf numFmtId="164" fontId="7" fillId="6" borderId="0" xfId="2" applyFont="1" applyFill="1" applyBorder="1" applyAlignment="1" applyProtection="1">
      <alignment horizontal="center"/>
    </xf>
    <xf numFmtId="164" fontId="8" fillId="0" borderId="0" xfId="2" quotePrefix="1" applyFont="1" applyBorder="1" applyProtection="1"/>
    <xf numFmtId="0" fontId="6" fillId="0" borderId="0" xfId="3" applyNumberFormat="1" applyFont="1" applyFill="1" applyBorder="1" applyAlignment="1" applyProtection="1">
      <alignment horizontal="center"/>
      <protection locked="0"/>
    </xf>
    <xf numFmtId="1" fontId="6" fillId="0" borderId="0" xfId="3" applyNumberFormat="1" applyFont="1" applyFill="1" applyBorder="1" applyAlignment="1" applyProtection="1">
      <alignment horizontal="center"/>
      <protection locked="0"/>
    </xf>
    <xf numFmtId="2" fontId="6" fillId="0" borderId="0" xfId="3" applyNumberFormat="1" applyFont="1" applyFill="1" applyBorder="1" applyAlignment="1" applyProtection="1">
      <alignment horizontal="center"/>
      <protection locked="0"/>
    </xf>
    <xf numFmtId="171" fontId="6" fillId="2" borderId="41" xfId="2" applyNumberFormat="1" applyFont="1" applyFill="1" applyBorder="1" applyAlignment="1" applyProtection="1">
      <alignment horizontal="center"/>
    </xf>
    <xf numFmtId="171" fontId="6" fillId="2" borderId="41" xfId="2" applyNumberFormat="1" applyFont="1" applyFill="1" applyBorder="1" applyProtection="1"/>
    <xf numFmtId="164" fontId="6" fillId="2" borderId="41" xfId="2" applyFont="1" applyFill="1" applyBorder="1" applyAlignment="1" applyProtection="1">
      <alignment horizontal="center"/>
      <protection hidden="1"/>
    </xf>
    <xf numFmtId="164" fontId="7" fillId="0" borderId="0" xfId="2" applyFont="1" applyFill="1" applyBorder="1" applyAlignment="1" applyProtection="1">
      <alignment horizontal="center"/>
      <protection locked="0"/>
    </xf>
    <xf numFmtId="0" fontId="7" fillId="0" borderId="0" xfId="4" applyFont="1"/>
    <xf numFmtId="2" fontId="7" fillId="5" borderId="0" xfId="2" applyNumberFormat="1" applyFont="1" applyFill="1" applyBorder="1" applyAlignment="1" applyProtection="1">
      <alignment horizontal="center"/>
    </xf>
    <xf numFmtId="164" fontId="7" fillId="5" borderId="0" xfId="3" quotePrefix="1" applyNumberFormat="1" applyFont="1" applyFill="1" applyBorder="1" applyAlignment="1" applyProtection="1">
      <alignment horizontal="center"/>
      <protection locked="0"/>
    </xf>
    <xf numFmtId="164" fontId="7" fillId="0" borderId="0" xfId="2" applyFont="1" applyBorder="1" applyAlignment="1" applyProtection="1"/>
    <xf numFmtId="164" fontId="6" fillId="0" borderId="0" xfId="2" applyFont="1" applyBorder="1" applyAlignment="1" applyProtection="1"/>
    <xf numFmtId="0" fontId="7" fillId="0" borderId="0" xfId="4" applyFont="1" applyAlignment="1">
      <alignment horizontal="center"/>
    </xf>
    <xf numFmtId="176" fontId="7" fillId="0" borderId="0" xfId="4" applyNumberFormat="1" applyFont="1" applyAlignment="1" applyProtection="1">
      <alignment horizontal="center"/>
    </xf>
    <xf numFmtId="176" fontId="7" fillId="0" borderId="0" xfId="4" applyNumberFormat="1" applyFont="1" applyAlignment="1">
      <alignment horizontal="center"/>
    </xf>
    <xf numFmtId="171" fontId="7" fillId="5" borderId="0" xfId="3" applyNumberFormat="1" applyFont="1" applyFill="1" applyBorder="1" applyAlignment="1" applyProtection="1">
      <alignment horizontal="center"/>
      <protection locked="0"/>
    </xf>
    <xf numFmtId="0" fontId="6" fillId="0" borderId="0" xfId="4" applyFont="1" applyAlignment="1">
      <alignment horizontal="center"/>
    </xf>
    <xf numFmtId="0" fontId="25" fillId="0" borderId="0" xfId="4" applyFont="1" applyAlignment="1">
      <alignment horizontal="center"/>
    </xf>
    <xf numFmtId="0" fontId="27" fillId="0" borderId="0" xfId="0" applyNumberFormat="1" applyFont="1" applyBorder="1" applyAlignment="1">
      <alignment horizontal="center"/>
    </xf>
    <xf numFmtId="0" fontId="27" fillId="0" borderId="0" xfId="0" applyFont="1" applyFill="1" applyBorder="1" applyAlignment="1">
      <alignment horizontal="center" vertical="center" wrapText="1" readingOrder="1"/>
    </xf>
    <xf numFmtId="0" fontId="26" fillId="0" borderId="0" xfId="4" applyFont="1" applyAlignment="1"/>
    <xf numFmtId="0" fontId="26" fillId="0" borderId="0" xfId="4" applyFont="1" applyAlignment="1">
      <alignment horizontal="center"/>
    </xf>
    <xf numFmtId="164" fontId="6" fillId="6" borderId="0" xfId="2" applyFont="1" applyFill="1" applyAlignment="1" applyProtection="1">
      <alignment horizontal="left"/>
    </xf>
    <xf numFmtId="0" fontId="7" fillId="5" borderId="0" xfId="2" quotePrefix="1" applyNumberFormat="1" applyFont="1" applyFill="1" applyBorder="1" applyAlignment="1" applyProtection="1">
      <alignment horizontal="center"/>
      <protection locked="0"/>
    </xf>
    <xf numFmtId="0" fontId="18" fillId="11" borderId="5" xfId="0" applyFont="1" applyFill="1" applyBorder="1" applyAlignment="1">
      <alignment horizontal="center"/>
    </xf>
    <xf numFmtId="164" fontId="7" fillId="0" borderId="0" xfId="2" applyFont="1" applyBorder="1" applyAlignment="1" applyProtection="1"/>
    <xf numFmtId="164" fontId="7" fillId="4" borderId="0" xfId="2" applyFont="1" applyFill="1" applyBorder="1" applyAlignment="1" applyProtection="1"/>
    <xf numFmtId="164" fontId="7" fillId="4" borderId="0" xfId="2" applyFont="1" applyFill="1" applyBorder="1" applyAlignment="1" applyProtection="1">
      <alignment horizontal="center"/>
    </xf>
    <xf numFmtId="164" fontId="7" fillId="10" borderId="0" xfId="2" applyFont="1" applyFill="1" applyBorder="1" applyAlignment="1" applyProtection="1">
      <alignment horizontal="center"/>
      <protection locked="0"/>
    </xf>
    <xf numFmtId="164" fontId="7" fillId="0" borderId="0" xfId="2" applyFont="1" applyBorder="1" applyAlignment="1" applyProtection="1">
      <alignment horizontal="left"/>
    </xf>
    <xf numFmtId="164" fontId="7" fillId="0" borderId="0" xfId="2" applyFont="1" applyFill="1" applyBorder="1" applyAlignment="1" applyProtection="1"/>
    <xf numFmtId="164" fontId="3" fillId="4" borderId="16" xfId="2" applyNumberFormat="1" applyFont="1" applyFill="1" applyBorder="1" applyAlignment="1" applyProtection="1"/>
    <xf numFmtId="164" fontId="3" fillId="4" borderId="1" xfId="2" applyNumberFormat="1" applyFont="1" applyFill="1" applyBorder="1" applyAlignment="1" applyProtection="1"/>
    <xf numFmtId="164" fontId="7" fillId="4" borderId="11" xfId="3" applyNumberFormat="1" applyFont="1" applyFill="1" applyBorder="1" applyAlignment="1" applyProtection="1">
      <alignment horizontal="left"/>
    </xf>
    <xf numFmtId="175" fontId="7" fillId="4" borderId="11" xfId="3" applyNumberFormat="1" applyFont="1" applyFill="1" applyBorder="1" applyAlignment="1" applyProtection="1"/>
    <xf numFmtId="175" fontId="7" fillId="4" borderId="12" xfId="3" applyNumberFormat="1" applyFont="1" applyFill="1" applyBorder="1" applyAlignment="1" applyProtection="1"/>
    <xf numFmtId="164" fontId="6" fillId="0" borderId="10" xfId="3" quotePrefix="1" applyNumberFormat="1" applyFont="1" applyBorder="1" applyAlignment="1" applyProtection="1">
      <alignment horizontal="center"/>
    </xf>
    <xf numFmtId="164" fontId="6" fillId="0" borderId="12" xfId="3" quotePrefix="1" applyNumberFormat="1" applyFont="1" applyBorder="1" applyAlignment="1" applyProtection="1">
      <alignment horizontal="center"/>
    </xf>
    <xf numFmtId="164" fontId="6" fillId="0" borderId="13" xfId="3" quotePrefix="1" applyNumberFormat="1" applyFont="1" applyBorder="1" applyAlignment="1" applyProtection="1">
      <alignment horizontal="center"/>
    </xf>
    <xf numFmtId="164" fontId="6" fillId="0" borderId="14" xfId="3" quotePrefix="1" applyNumberFormat="1" applyFont="1" applyBorder="1" applyAlignment="1" applyProtection="1">
      <alignment horizontal="center"/>
    </xf>
    <xf numFmtId="164" fontId="6" fillId="0" borderId="7" xfId="3" quotePrefix="1" applyNumberFormat="1" applyFont="1" applyBorder="1" applyAlignment="1" applyProtection="1">
      <alignment horizontal="center"/>
    </xf>
    <xf numFmtId="164" fontId="6" fillId="0" borderId="9" xfId="3" quotePrefix="1" applyNumberFormat="1" applyFont="1" applyBorder="1" applyAlignment="1" applyProtection="1">
      <alignment horizontal="center"/>
    </xf>
    <xf numFmtId="164" fontId="6" fillId="0" borderId="3" xfId="3" applyNumberFormat="1" applyFont="1" applyBorder="1" applyAlignment="1">
      <alignment horizontal="left"/>
    </xf>
    <xf numFmtId="164" fontId="6" fillId="0" borderId="6" xfId="3" applyNumberFormat="1" applyFont="1" applyFill="1" applyBorder="1" applyAlignment="1">
      <alignment horizontal="left"/>
    </xf>
    <xf numFmtId="164" fontId="6" fillId="0" borderId="15" xfId="3" applyNumberFormat="1" applyFont="1" applyFill="1" applyBorder="1" applyAlignment="1">
      <alignment horizontal="left"/>
    </xf>
    <xf numFmtId="164" fontId="6" fillId="0" borderId="6" xfId="3" applyNumberFormat="1" applyFont="1" applyBorder="1" applyAlignment="1">
      <alignment horizontal="left"/>
    </xf>
    <xf numFmtId="164" fontId="6" fillId="0" borderId="15" xfId="3" applyNumberFormat="1" applyFont="1" applyBorder="1" applyAlignment="1">
      <alignment horizontal="left"/>
    </xf>
    <xf numFmtId="164" fontId="6" fillId="0" borderId="8" xfId="3" applyNumberFormat="1" applyFont="1" applyBorder="1" applyAlignment="1">
      <alignment horizontal="left"/>
    </xf>
    <xf numFmtId="164" fontId="6" fillId="0" borderId="0" xfId="2" applyFont="1" applyBorder="1" applyAlignment="1" applyProtection="1"/>
    <xf numFmtId="164" fontId="9" fillId="0" borderId="0" xfId="2" applyFont="1" applyFill="1" applyBorder="1" applyAlignment="1" applyProtection="1"/>
    <xf numFmtId="164" fontId="9" fillId="0" borderId="0" xfId="2" applyFont="1" applyFill="1" applyBorder="1" applyAlignment="1" applyProtection="1">
      <alignment horizontal="left"/>
    </xf>
    <xf numFmtId="164" fontId="7" fillId="0" borderId="0" xfId="2" applyNumberFormat="1" applyFont="1" applyBorder="1" applyAlignment="1" applyProtection="1"/>
    <xf numFmtId="164" fontId="7" fillId="4" borderId="0" xfId="2" applyFont="1" applyFill="1" applyBorder="1" applyAlignment="1" applyProtection="1">
      <alignment horizontal="left"/>
    </xf>
    <xf numFmtId="164" fontId="6" fillId="0" borderId="0" xfId="2" applyNumberFormat="1" applyFont="1" applyBorder="1" applyAlignment="1" applyProtection="1"/>
    <xf numFmtId="164" fontId="7" fillId="0" borderId="0" xfId="2" applyNumberFormat="1" applyFont="1" applyFill="1" applyBorder="1" applyAlignment="1" applyProtection="1">
      <alignment horizontal="left"/>
    </xf>
    <xf numFmtId="164" fontId="7" fillId="0" borderId="0" xfId="2" applyNumberFormat="1" applyFont="1" applyFill="1" applyBorder="1" applyAlignment="1" applyProtection="1"/>
    <xf numFmtId="164" fontId="6" fillId="0" borderId="0" xfId="2" applyFont="1" applyBorder="1" applyAlignment="1" applyProtection="1">
      <alignment horizontal="left"/>
    </xf>
    <xf numFmtId="164" fontId="7" fillId="0" borderId="0" xfId="2" applyNumberFormat="1" applyFont="1" applyBorder="1" applyAlignment="1" applyProtection="1">
      <alignment horizontal="left"/>
    </xf>
    <xf numFmtId="164" fontId="7" fillId="2" borderId="0" xfId="2" applyNumberFormat="1" applyFont="1" applyFill="1" applyAlignment="1" applyProtection="1">
      <alignment horizontal="center"/>
    </xf>
    <xf numFmtId="164" fontId="7" fillId="2" borderId="0" xfId="2" applyFont="1" applyFill="1" applyAlignment="1" applyProtection="1">
      <alignment horizontal="center"/>
    </xf>
    <xf numFmtId="0" fontId="18" fillId="0" borderId="27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8" fillId="0" borderId="21" xfId="0" applyFont="1" applyBorder="1" applyAlignment="1">
      <alignment horizontal="center"/>
    </xf>
    <xf numFmtId="164" fontId="6" fillId="0" borderId="18" xfId="3" applyNumberFormat="1" applyFont="1" applyBorder="1" applyAlignment="1">
      <alignment horizontal="left"/>
    </xf>
    <xf numFmtId="164" fontId="6" fillId="0" borderId="19" xfId="3" applyNumberFormat="1" applyFont="1" applyBorder="1" applyAlignment="1">
      <alignment horizontal="left"/>
    </xf>
    <xf numFmtId="0" fontId="7" fillId="0" borderId="0" xfId="6" applyFont="1" applyFill="1" applyAlignment="1">
      <alignment horizontal="center" wrapText="1"/>
    </xf>
    <xf numFmtId="0" fontId="7" fillId="0" borderId="0" xfId="6" applyFont="1" applyAlignment="1">
      <alignment horizontal="center" wrapText="1"/>
    </xf>
    <xf numFmtId="0" fontId="7" fillId="0" borderId="0" xfId="6" applyNumberFormat="1" applyFont="1" applyAlignment="1">
      <alignment horizontal="center" wrapText="1"/>
    </xf>
    <xf numFmtId="0" fontId="20" fillId="0" borderId="0" xfId="11" applyFont="1" applyAlignment="1">
      <alignment horizontal="center" wrapText="1"/>
    </xf>
    <xf numFmtId="0" fontId="7" fillId="0" borderId="0" xfId="4" applyFont="1" applyAlignment="1">
      <alignment horizontal="center"/>
    </xf>
    <xf numFmtId="0" fontId="26" fillId="0" borderId="0" xfId="4" applyFont="1" applyAlignment="1">
      <alignment horizontal="center"/>
    </xf>
  </cellXfs>
  <cellStyles count="13">
    <cellStyle name="Hyperlink_Fluids" xfId="1"/>
    <cellStyle name="Normal" xfId="0" builtinId="0"/>
    <cellStyle name="Normal 2" xfId="2"/>
    <cellStyle name="Normal 2 2" xfId="3"/>
    <cellStyle name="Normal 2 3" xfId="12"/>
    <cellStyle name="Normal 3" xfId="11"/>
    <cellStyle name="Normal_DS200H12" xfId="4"/>
    <cellStyle name="Normal_DS221D9a" xfId="5"/>
    <cellStyle name="Normal_DS221D9a 3" xfId="9"/>
    <cellStyle name="Normal_Fluids" xfId="6"/>
    <cellStyle name="Normal_Functions5.3" xfId="10"/>
    <cellStyle name="Percent" xfId="8" builtinId="5"/>
    <cellStyle name="Percent 2" xfId="7"/>
  </cellStyles>
  <dxfs count="76"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 patternType="none">
          <bgColor indexed="65"/>
        </patternFill>
      </fill>
    </dxf>
    <dxf>
      <font>
        <b/>
        <i val="0"/>
      </font>
      <fill>
        <patternFill patternType="none">
          <bgColor indexed="65"/>
        </patternFill>
      </fill>
    </dxf>
    <dxf>
      <font>
        <b/>
        <i val="0"/>
      </font>
      <fill>
        <patternFill patternType="none">
          <bgColor indexed="65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 patternType="none">
          <bgColor indexed="65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 patternType="none">
          <bgColor indexed="65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 patternType="none">
          <bgColor indexed="65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9" defaultPivotStyle="PivotStyleLight16"/>
  <colors>
    <mruColors>
      <color rgb="FFE6DCF5"/>
      <color rgb="FFDEC8EE"/>
      <color rgb="FFFFFFB9"/>
      <color rgb="FFE1F5FA"/>
      <color rgb="FF96DC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External Sound Pressure Level versus Frequency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4407722726528647E-2"/>
          <c:y val="9.5254569423166E-2"/>
          <c:w val="0.86889987604035557"/>
          <c:h val="0.74560604980938472"/>
        </c:manualLayout>
      </c:layout>
      <c:scatterChart>
        <c:scatterStyle val="lineMarker"/>
        <c:varyColors val="0"/>
        <c:ser>
          <c:idx val="0"/>
          <c:order val="0"/>
          <c:tx>
            <c:strRef>
              <c:f>ExtFreq!$C$46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squar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ExtFreq!$B$47:$B$78</c:f>
              <c:numCache>
                <c:formatCode>General</c:formatCode>
                <c:ptCount val="32"/>
                <c:pt idx="0">
                  <c:v>16</c:v>
                </c:pt>
                <c:pt idx="1">
                  <c:v>20</c:v>
                </c:pt>
                <c:pt idx="2">
                  <c:v>25</c:v>
                </c:pt>
                <c:pt idx="3">
                  <c:v>31.5</c:v>
                </c:pt>
                <c:pt idx="4">
                  <c:v>40</c:v>
                </c:pt>
                <c:pt idx="5">
                  <c:v>50</c:v>
                </c:pt>
                <c:pt idx="6">
                  <c:v>63</c:v>
                </c:pt>
                <c:pt idx="7">
                  <c:v>80</c:v>
                </c:pt>
                <c:pt idx="8">
                  <c:v>100</c:v>
                </c:pt>
                <c:pt idx="9">
                  <c:v>125</c:v>
                </c:pt>
                <c:pt idx="10">
                  <c:v>160</c:v>
                </c:pt>
                <c:pt idx="11">
                  <c:v>200</c:v>
                </c:pt>
                <c:pt idx="12">
                  <c:v>250</c:v>
                </c:pt>
                <c:pt idx="13">
                  <c:v>315</c:v>
                </c:pt>
                <c:pt idx="14">
                  <c:v>400</c:v>
                </c:pt>
                <c:pt idx="15">
                  <c:v>500</c:v>
                </c:pt>
                <c:pt idx="16">
                  <c:v>630</c:v>
                </c:pt>
                <c:pt idx="17">
                  <c:v>800</c:v>
                </c:pt>
                <c:pt idx="18">
                  <c:v>1000</c:v>
                </c:pt>
                <c:pt idx="19">
                  <c:v>1250</c:v>
                </c:pt>
                <c:pt idx="20">
                  <c:v>1600</c:v>
                </c:pt>
                <c:pt idx="21">
                  <c:v>2000</c:v>
                </c:pt>
                <c:pt idx="22">
                  <c:v>2500</c:v>
                </c:pt>
                <c:pt idx="23">
                  <c:v>3150</c:v>
                </c:pt>
                <c:pt idx="24">
                  <c:v>4000</c:v>
                </c:pt>
                <c:pt idx="25">
                  <c:v>5000</c:v>
                </c:pt>
                <c:pt idx="26">
                  <c:v>6300</c:v>
                </c:pt>
                <c:pt idx="27">
                  <c:v>8000</c:v>
                </c:pt>
                <c:pt idx="28">
                  <c:v>10000</c:v>
                </c:pt>
                <c:pt idx="29">
                  <c:v>12500</c:v>
                </c:pt>
                <c:pt idx="30">
                  <c:v>16000</c:v>
                </c:pt>
                <c:pt idx="31">
                  <c:v>20000</c:v>
                </c:pt>
              </c:numCache>
            </c:numRef>
          </c:xVal>
          <c:yVal>
            <c:numRef>
              <c:f>ExtFreq!$C$47:$C$78</c:f>
              <c:numCache>
                <c:formatCode>0.0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ExtFreq!$D$46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triangle"/>
            <c:size val="7"/>
            <c:spPr>
              <a:solidFill>
                <a:schemeClr val="bg1"/>
              </a:solidFill>
              <a:ln w="19050">
                <a:solidFill>
                  <a:srgbClr val="FFC000"/>
                </a:solidFill>
              </a:ln>
            </c:spPr>
          </c:marker>
          <c:xVal>
            <c:numRef>
              <c:f>ExtFreq!$B$47:$B$78</c:f>
              <c:numCache>
                <c:formatCode>General</c:formatCode>
                <c:ptCount val="32"/>
                <c:pt idx="0">
                  <c:v>16</c:v>
                </c:pt>
                <c:pt idx="1">
                  <c:v>20</c:v>
                </c:pt>
                <c:pt idx="2">
                  <c:v>25</c:v>
                </c:pt>
                <c:pt idx="3">
                  <c:v>31.5</c:v>
                </c:pt>
                <c:pt idx="4">
                  <c:v>40</c:v>
                </c:pt>
                <c:pt idx="5">
                  <c:v>50</c:v>
                </c:pt>
                <c:pt idx="6">
                  <c:v>63</c:v>
                </c:pt>
                <c:pt idx="7">
                  <c:v>80</c:v>
                </c:pt>
                <c:pt idx="8">
                  <c:v>100</c:v>
                </c:pt>
                <c:pt idx="9">
                  <c:v>125</c:v>
                </c:pt>
                <c:pt idx="10">
                  <c:v>160</c:v>
                </c:pt>
                <c:pt idx="11">
                  <c:v>200</c:v>
                </c:pt>
                <c:pt idx="12">
                  <c:v>250</c:v>
                </c:pt>
                <c:pt idx="13">
                  <c:v>315</c:v>
                </c:pt>
                <c:pt idx="14">
                  <c:v>400</c:v>
                </c:pt>
                <c:pt idx="15">
                  <c:v>500</c:v>
                </c:pt>
                <c:pt idx="16">
                  <c:v>630</c:v>
                </c:pt>
                <c:pt idx="17">
                  <c:v>800</c:v>
                </c:pt>
                <c:pt idx="18">
                  <c:v>1000</c:v>
                </c:pt>
                <c:pt idx="19">
                  <c:v>1250</c:v>
                </c:pt>
                <c:pt idx="20">
                  <c:v>1600</c:v>
                </c:pt>
                <c:pt idx="21">
                  <c:v>2000</c:v>
                </c:pt>
                <c:pt idx="22">
                  <c:v>2500</c:v>
                </c:pt>
                <c:pt idx="23">
                  <c:v>3150</c:v>
                </c:pt>
                <c:pt idx="24">
                  <c:v>4000</c:v>
                </c:pt>
                <c:pt idx="25">
                  <c:v>5000</c:v>
                </c:pt>
                <c:pt idx="26">
                  <c:v>6300</c:v>
                </c:pt>
                <c:pt idx="27">
                  <c:v>8000</c:v>
                </c:pt>
                <c:pt idx="28">
                  <c:v>10000</c:v>
                </c:pt>
                <c:pt idx="29">
                  <c:v>12500</c:v>
                </c:pt>
                <c:pt idx="30">
                  <c:v>16000</c:v>
                </c:pt>
                <c:pt idx="31">
                  <c:v>20000</c:v>
                </c:pt>
              </c:numCache>
            </c:numRef>
          </c:xVal>
          <c:yVal>
            <c:numRef>
              <c:f>ExtFreq!$D$47:$D$78</c:f>
              <c:numCache>
                <c:formatCode>0.0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ExtFreq!$E$46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7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ExtFreq!$B$47:$B$78</c:f>
              <c:numCache>
                <c:formatCode>General</c:formatCode>
                <c:ptCount val="32"/>
                <c:pt idx="0">
                  <c:v>16</c:v>
                </c:pt>
                <c:pt idx="1">
                  <c:v>20</c:v>
                </c:pt>
                <c:pt idx="2">
                  <c:v>25</c:v>
                </c:pt>
                <c:pt idx="3">
                  <c:v>31.5</c:v>
                </c:pt>
                <c:pt idx="4">
                  <c:v>40</c:v>
                </c:pt>
                <c:pt idx="5">
                  <c:v>50</c:v>
                </c:pt>
                <c:pt idx="6">
                  <c:v>63</c:v>
                </c:pt>
                <c:pt idx="7">
                  <c:v>80</c:v>
                </c:pt>
                <c:pt idx="8">
                  <c:v>100</c:v>
                </c:pt>
                <c:pt idx="9">
                  <c:v>125</c:v>
                </c:pt>
                <c:pt idx="10">
                  <c:v>160</c:v>
                </c:pt>
                <c:pt idx="11">
                  <c:v>200</c:v>
                </c:pt>
                <c:pt idx="12">
                  <c:v>250</c:v>
                </c:pt>
                <c:pt idx="13">
                  <c:v>315</c:v>
                </c:pt>
                <c:pt idx="14">
                  <c:v>400</c:v>
                </c:pt>
                <c:pt idx="15">
                  <c:v>500</c:v>
                </c:pt>
                <c:pt idx="16">
                  <c:v>630</c:v>
                </c:pt>
                <c:pt idx="17">
                  <c:v>800</c:v>
                </c:pt>
                <c:pt idx="18">
                  <c:v>1000</c:v>
                </c:pt>
                <c:pt idx="19">
                  <c:v>1250</c:v>
                </c:pt>
                <c:pt idx="20">
                  <c:v>1600</c:v>
                </c:pt>
                <c:pt idx="21">
                  <c:v>2000</c:v>
                </c:pt>
                <c:pt idx="22">
                  <c:v>2500</c:v>
                </c:pt>
                <c:pt idx="23">
                  <c:v>3150</c:v>
                </c:pt>
                <c:pt idx="24">
                  <c:v>4000</c:v>
                </c:pt>
                <c:pt idx="25">
                  <c:v>5000</c:v>
                </c:pt>
                <c:pt idx="26">
                  <c:v>6300</c:v>
                </c:pt>
                <c:pt idx="27">
                  <c:v>8000</c:v>
                </c:pt>
                <c:pt idx="28">
                  <c:v>10000</c:v>
                </c:pt>
                <c:pt idx="29">
                  <c:v>12500</c:v>
                </c:pt>
                <c:pt idx="30">
                  <c:v>16000</c:v>
                </c:pt>
                <c:pt idx="31">
                  <c:v>20000</c:v>
                </c:pt>
              </c:numCache>
            </c:numRef>
          </c:xVal>
          <c:yVal>
            <c:numRef>
              <c:f>ExtFreq!$E$47:$E$78</c:f>
              <c:numCache>
                <c:formatCode>0.0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ExtFreq!$F$46</c:f>
              <c:strCache>
                <c:ptCount val="1"/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square"/>
            <c:size val="7"/>
            <c:spPr>
              <a:solidFill>
                <a:schemeClr val="bg1"/>
              </a:solidFill>
              <a:ln w="19050">
                <a:solidFill>
                  <a:srgbClr val="0070C0"/>
                </a:solidFill>
              </a:ln>
            </c:spPr>
          </c:marker>
          <c:xVal>
            <c:numRef>
              <c:f>ExtFreq!$B$47:$B$78</c:f>
              <c:numCache>
                <c:formatCode>General</c:formatCode>
                <c:ptCount val="32"/>
                <c:pt idx="0">
                  <c:v>16</c:v>
                </c:pt>
                <c:pt idx="1">
                  <c:v>20</c:v>
                </c:pt>
                <c:pt idx="2">
                  <c:v>25</c:v>
                </c:pt>
                <c:pt idx="3">
                  <c:v>31.5</c:v>
                </c:pt>
                <c:pt idx="4">
                  <c:v>40</c:v>
                </c:pt>
                <c:pt idx="5">
                  <c:v>50</c:v>
                </c:pt>
                <c:pt idx="6">
                  <c:v>63</c:v>
                </c:pt>
                <c:pt idx="7">
                  <c:v>80</c:v>
                </c:pt>
                <c:pt idx="8">
                  <c:v>100</c:v>
                </c:pt>
                <c:pt idx="9">
                  <c:v>125</c:v>
                </c:pt>
                <c:pt idx="10">
                  <c:v>160</c:v>
                </c:pt>
                <c:pt idx="11">
                  <c:v>200</c:v>
                </c:pt>
                <c:pt idx="12">
                  <c:v>250</c:v>
                </c:pt>
                <c:pt idx="13">
                  <c:v>315</c:v>
                </c:pt>
                <c:pt idx="14">
                  <c:v>400</c:v>
                </c:pt>
                <c:pt idx="15">
                  <c:v>500</c:v>
                </c:pt>
                <c:pt idx="16">
                  <c:v>630</c:v>
                </c:pt>
                <c:pt idx="17">
                  <c:v>800</c:v>
                </c:pt>
                <c:pt idx="18">
                  <c:v>1000</c:v>
                </c:pt>
                <c:pt idx="19">
                  <c:v>1250</c:v>
                </c:pt>
                <c:pt idx="20">
                  <c:v>1600</c:v>
                </c:pt>
                <c:pt idx="21">
                  <c:v>2000</c:v>
                </c:pt>
                <c:pt idx="22">
                  <c:v>2500</c:v>
                </c:pt>
                <c:pt idx="23">
                  <c:v>3150</c:v>
                </c:pt>
                <c:pt idx="24">
                  <c:v>4000</c:v>
                </c:pt>
                <c:pt idx="25">
                  <c:v>5000</c:v>
                </c:pt>
                <c:pt idx="26">
                  <c:v>6300</c:v>
                </c:pt>
                <c:pt idx="27">
                  <c:v>8000</c:v>
                </c:pt>
                <c:pt idx="28">
                  <c:v>10000</c:v>
                </c:pt>
                <c:pt idx="29">
                  <c:v>12500</c:v>
                </c:pt>
                <c:pt idx="30">
                  <c:v>16000</c:v>
                </c:pt>
                <c:pt idx="31">
                  <c:v>20000</c:v>
                </c:pt>
              </c:numCache>
            </c:numRef>
          </c:xVal>
          <c:yVal>
            <c:numRef>
              <c:f>ExtFreq!$F$47:$F$78</c:f>
              <c:numCache>
                <c:formatCode>0.0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ExtFreq!$G$46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triangle"/>
            <c:size val="7"/>
            <c:spPr>
              <a:solidFill>
                <a:srgbClr val="7030A0"/>
              </a:solidFill>
              <a:ln w="19050">
                <a:solidFill>
                  <a:srgbClr val="7030A0"/>
                </a:solidFill>
              </a:ln>
            </c:spPr>
          </c:marker>
          <c:xVal>
            <c:numRef>
              <c:f>ExtFreq!$B$47:$B$78</c:f>
              <c:numCache>
                <c:formatCode>General</c:formatCode>
                <c:ptCount val="32"/>
                <c:pt idx="0">
                  <c:v>16</c:v>
                </c:pt>
                <c:pt idx="1">
                  <c:v>20</c:v>
                </c:pt>
                <c:pt idx="2">
                  <c:v>25</c:v>
                </c:pt>
                <c:pt idx="3">
                  <c:v>31.5</c:v>
                </c:pt>
                <c:pt idx="4">
                  <c:v>40</c:v>
                </c:pt>
                <c:pt idx="5">
                  <c:v>50</c:v>
                </c:pt>
                <c:pt idx="6">
                  <c:v>63</c:v>
                </c:pt>
                <c:pt idx="7">
                  <c:v>80</c:v>
                </c:pt>
                <c:pt idx="8">
                  <c:v>100</c:v>
                </c:pt>
                <c:pt idx="9">
                  <c:v>125</c:v>
                </c:pt>
                <c:pt idx="10">
                  <c:v>160</c:v>
                </c:pt>
                <c:pt idx="11">
                  <c:v>200</c:v>
                </c:pt>
                <c:pt idx="12">
                  <c:v>250</c:v>
                </c:pt>
                <c:pt idx="13">
                  <c:v>315</c:v>
                </c:pt>
                <c:pt idx="14">
                  <c:v>400</c:v>
                </c:pt>
                <c:pt idx="15">
                  <c:v>500</c:v>
                </c:pt>
                <c:pt idx="16">
                  <c:v>630</c:v>
                </c:pt>
                <c:pt idx="17">
                  <c:v>800</c:v>
                </c:pt>
                <c:pt idx="18">
                  <c:v>1000</c:v>
                </c:pt>
                <c:pt idx="19">
                  <c:v>1250</c:v>
                </c:pt>
                <c:pt idx="20">
                  <c:v>1600</c:v>
                </c:pt>
                <c:pt idx="21">
                  <c:v>2000</c:v>
                </c:pt>
                <c:pt idx="22">
                  <c:v>2500</c:v>
                </c:pt>
                <c:pt idx="23">
                  <c:v>3150</c:v>
                </c:pt>
                <c:pt idx="24">
                  <c:v>4000</c:v>
                </c:pt>
                <c:pt idx="25">
                  <c:v>5000</c:v>
                </c:pt>
                <c:pt idx="26">
                  <c:v>6300</c:v>
                </c:pt>
                <c:pt idx="27">
                  <c:v>8000</c:v>
                </c:pt>
                <c:pt idx="28">
                  <c:v>10000</c:v>
                </c:pt>
                <c:pt idx="29">
                  <c:v>12500</c:v>
                </c:pt>
                <c:pt idx="30">
                  <c:v>16000</c:v>
                </c:pt>
                <c:pt idx="31">
                  <c:v>20000</c:v>
                </c:pt>
              </c:numCache>
            </c:numRef>
          </c:xVal>
          <c:yVal>
            <c:numRef>
              <c:f>ExtFreq!$G$47:$G$78</c:f>
              <c:numCache>
                <c:formatCode>0.0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213968"/>
        <c:axId val="120214360"/>
      </c:scatterChart>
      <c:valAx>
        <c:axId val="120213968"/>
        <c:scaling>
          <c:logBase val="10"/>
          <c:orientation val="minMax"/>
          <c:min val="1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Band, Hz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0214360"/>
        <c:crosses val="autoZero"/>
        <c:crossBetween val="midCat"/>
      </c:valAx>
      <c:valAx>
        <c:axId val="120214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External Sound Pressure Level, dBA</a:t>
                </a:r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nextTo"/>
        <c:crossAx val="120213968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External Sound Pressure Level versus Frequency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4407722726528647E-2"/>
          <c:y val="9.5254569423166E-2"/>
          <c:w val="0.86889987604035557"/>
          <c:h val="0.74560604980938472"/>
        </c:manualLayout>
      </c:layout>
      <c:scatterChart>
        <c:scatterStyle val="lineMarker"/>
        <c:varyColors val="0"/>
        <c:ser>
          <c:idx val="0"/>
          <c:order val="0"/>
          <c:tx>
            <c:strRef>
              <c:f>ExtFreq!$K$46</c:f>
              <c:strCache>
                <c:ptCount val="1"/>
                <c:pt idx="0">
                  <c:v>Given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squar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ExtFreq!$J$47:$J$56</c:f>
              <c:numCache>
                <c:formatCode>General</c:formatCode>
                <c:ptCount val="10"/>
                <c:pt idx="0">
                  <c:v>31.5</c:v>
                </c:pt>
                <c:pt idx="1">
                  <c:v>63</c:v>
                </c:pt>
                <c:pt idx="2">
                  <c:v>125</c:v>
                </c:pt>
                <c:pt idx="3">
                  <c:v>250</c:v>
                </c:pt>
                <c:pt idx="4">
                  <c:v>500</c:v>
                </c:pt>
                <c:pt idx="5">
                  <c:v>1000</c:v>
                </c:pt>
                <c:pt idx="6">
                  <c:v>2000</c:v>
                </c:pt>
                <c:pt idx="7">
                  <c:v>4000</c:v>
                </c:pt>
                <c:pt idx="8">
                  <c:v>8000</c:v>
                </c:pt>
                <c:pt idx="9">
                  <c:v>16000</c:v>
                </c:pt>
              </c:numCache>
            </c:numRef>
          </c:xVal>
          <c:yVal>
            <c:numRef>
              <c:f>ExtFreq!$K$47:$K$56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ExtFreq!$L$46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triangle"/>
            <c:size val="7"/>
            <c:spPr>
              <a:solidFill>
                <a:schemeClr val="bg1"/>
              </a:solidFill>
              <a:ln w="19050">
                <a:solidFill>
                  <a:srgbClr val="FFC000"/>
                </a:solidFill>
              </a:ln>
            </c:spPr>
          </c:marker>
          <c:xVal>
            <c:numRef>
              <c:f>ExtFreq!$J$47:$J$56</c:f>
              <c:numCache>
                <c:formatCode>General</c:formatCode>
                <c:ptCount val="10"/>
                <c:pt idx="0">
                  <c:v>31.5</c:v>
                </c:pt>
                <c:pt idx="1">
                  <c:v>63</c:v>
                </c:pt>
                <c:pt idx="2">
                  <c:v>125</c:v>
                </c:pt>
                <c:pt idx="3">
                  <c:v>250</c:v>
                </c:pt>
                <c:pt idx="4">
                  <c:v>500</c:v>
                </c:pt>
                <c:pt idx="5">
                  <c:v>1000</c:v>
                </c:pt>
                <c:pt idx="6">
                  <c:v>2000</c:v>
                </c:pt>
                <c:pt idx="7">
                  <c:v>4000</c:v>
                </c:pt>
                <c:pt idx="8">
                  <c:v>8000</c:v>
                </c:pt>
                <c:pt idx="9">
                  <c:v>16000</c:v>
                </c:pt>
              </c:numCache>
            </c:numRef>
          </c:xVal>
          <c:yVal>
            <c:numRef>
              <c:f>ExtFreq!$L$47:$L$56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ExtFreq!$M$46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circle"/>
            <c:size val="7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ExtFreq!$J$47:$J$56</c:f>
              <c:numCache>
                <c:formatCode>General</c:formatCode>
                <c:ptCount val="10"/>
                <c:pt idx="0">
                  <c:v>31.5</c:v>
                </c:pt>
                <c:pt idx="1">
                  <c:v>63</c:v>
                </c:pt>
                <c:pt idx="2">
                  <c:v>125</c:v>
                </c:pt>
                <c:pt idx="3">
                  <c:v>250</c:v>
                </c:pt>
                <c:pt idx="4">
                  <c:v>500</c:v>
                </c:pt>
                <c:pt idx="5">
                  <c:v>1000</c:v>
                </c:pt>
                <c:pt idx="6">
                  <c:v>2000</c:v>
                </c:pt>
                <c:pt idx="7">
                  <c:v>4000</c:v>
                </c:pt>
                <c:pt idx="8">
                  <c:v>8000</c:v>
                </c:pt>
                <c:pt idx="9">
                  <c:v>16000</c:v>
                </c:pt>
              </c:numCache>
            </c:numRef>
          </c:xVal>
          <c:yVal>
            <c:numRef>
              <c:f>ExtFreq!$M$47:$M$56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ExtFreq!$N$46</c:f>
              <c:strCache>
                <c:ptCount val="1"/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square"/>
            <c:size val="7"/>
            <c:spPr>
              <a:solidFill>
                <a:schemeClr val="bg1"/>
              </a:solidFill>
              <a:ln w="19050">
                <a:solidFill>
                  <a:srgbClr val="0070C0"/>
                </a:solidFill>
              </a:ln>
            </c:spPr>
          </c:marker>
          <c:xVal>
            <c:numRef>
              <c:f>ExtFreq!$J$47:$J$56</c:f>
              <c:numCache>
                <c:formatCode>General</c:formatCode>
                <c:ptCount val="10"/>
                <c:pt idx="0">
                  <c:v>31.5</c:v>
                </c:pt>
                <c:pt idx="1">
                  <c:v>63</c:v>
                </c:pt>
                <c:pt idx="2">
                  <c:v>125</c:v>
                </c:pt>
                <c:pt idx="3">
                  <c:v>250</c:v>
                </c:pt>
                <c:pt idx="4">
                  <c:v>500</c:v>
                </c:pt>
                <c:pt idx="5">
                  <c:v>1000</c:v>
                </c:pt>
                <c:pt idx="6">
                  <c:v>2000</c:v>
                </c:pt>
                <c:pt idx="7">
                  <c:v>4000</c:v>
                </c:pt>
                <c:pt idx="8">
                  <c:v>8000</c:v>
                </c:pt>
                <c:pt idx="9">
                  <c:v>16000</c:v>
                </c:pt>
              </c:numCache>
            </c:numRef>
          </c:xVal>
          <c:yVal>
            <c:numRef>
              <c:f>ExtFreq!$N$47:$N$56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ExtFreq!$O$46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triangle"/>
            <c:size val="7"/>
            <c:spPr>
              <a:solidFill>
                <a:srgbClr val="7030A0"/>
              </a:solidFill>
              <a:ln w="19050">
                <a:solidFill>
                  <a:srgbClr val="7030A0"/>
                </a:solidFill>
              </a:ln>
            </c:spPr>
          </c:marker>
          <c:xVal>
            <c:numRef>
              <c:f>ExtFreq!$J$47:$J$56</c:f>
              <c:numCache>
                <c:formatCode>General</c:formatCode>
                <c:ptCount val="10"/>
                <c:pt idx="0">
                  <c:v>31.5</c:v>
                </c:pt>
                <c:pt idx="1">
                  <c:v>63</c:v>
                </c:pt>
                <c:pt idx="2">
                  <c:v>125</c:v>
                </c:pt>
                <c:pt idx="3">
                  <c:v>250</c:v>
                </c:pt>
                <c:pt idx="4">
                  <c:v>500</c:v>
                </c:pt>
                <c:pt idx="5">
                  <c:v>1000</c:v>
                </c:pt>
                <c:pt idx="6">
                  <c:v>2000</c:v>
                </c:pt>
                <c:pt idx="7">
                  <c:v>4000</c:v>
                </c:pt>
                <c:pt idx="8">
                  <c:v>8000</c:v>
                </c:pt>
                <c:pt idx="9">
                  <c:v>16000</c:v>
                </c:pt>
              </c:numCache>
            </c:numRef>
          </c:xVal>
          <c:yVal>
            <c:numRef>
              <c:f>ExtFreq!$O$47:$O$56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81616"/>
        <c:axId val="119182008"/>
      </c:scatterChart>
      <c:valAx>
        <c:axId val="119181616"/>
        <c:scaling>
          <c:logBase val="10"/>
          <c:orientation val="minMax"/>
          <c:min val="1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 Band, Hz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9182008"/>
        <c:crosses val="autoZero"/>
        <c:crossBetween val="midCat"/>
      </c:valAx>
      <c:valAx>
        <c:axId val="1191820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External Sound Pressure Level, dBA</a:t>
                </a:r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nextTo"/>
        <c:crossAx val="119181616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45719</xdr:colOff>
      <xdr:row>2</xdr:row>
      <xdr:rowOff>68580</xdr:rowOff>
    </xdr:from>
    <xdr:to>
      <xdr:col>1</xdr:col>
      <xdr:colOff>830580</xdr:colOff>
      <xdr:row>5</xdr:row>
      <xdr:rowOff>84773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19" y="441960"/>
          <a:ext cx="1661161" cy="5191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72390</xdr:colOff>
      <xdr:row>2</xdr:row>
      <xdr:rowOff>66675</xdr:rowOff>
    </xdr:from>
    <xdr:to>
      <xdr:col>1</xdr:col>
      <xdr:colOff>815340</xdr:colOff>
      <xdr:row>5</xdr:row>
      <xdr:rowOff>57150</xdr:rowOff>
    </xdr:to>
    <xdr:pic>
      <xdr:nvPicPr>
        <xdr:cNvPr id="2" name="Picture 1" descr="koso_logo - blue.jp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390" y="440055"/>
          <a:ext cx="1619250" cy="49339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38099</xdr:colOff>
      <xdr:row>8</xdr:row>
      <xdr:rowOff>26018</xdr:rowOff>
    </xdr:from>
    <xdr:to>
      <xdr:col>8</xdr:col>
      <xdr:colOff>625929</xdr:colOff>
      <xdr:row>40</xdr:row>
      <xdr:rowOff>63500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8</xdr:row>
      <xdr:rowOff>0</xdr:rowOff>
    </xdr:from>
    <xdr:to>
      <xdr:col>19</xdr:col>
      <xdr:colOff>215902</xdr:colOff>
      <xdr:row>40</xdr:row>
      <xdr:rowOff>37482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arry%20Stratton/Documents/Koso%20Data/SS/Technical/VB%20Code/VB_Code_2.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city"/>
      <sheetName val="Conversions"/>
      <sheetName val="Fluids"/>
      <sheetName val="FluidData"/>
      <sheetName val="H2O Properties"/>
      <sheetName val="Hardware"/>
      <sheetName val="Material"/>
      <sheetName val="MatlData"/>
      <sheetName val="Math"/>
      <sheetName val="Noise"/>
      <sheetName val="PipeData"/>
      <sheetName val="Orifice"/>
      <sheetName val="Revisions"/>
    </sheetNames>
    <sheetDataSet>
      <sheetData sheetId="0"/>
      <sheetData sheetId="1"/>
      <sheetData sheetId="2"/>
      <sheetData sheetId="3">
        <row r="10">
          <cell r="A10" t="str">
            <v>Water/Steam</v>
          </cell>
        </row>
        <row r="11">
          <cell r="A11" t="str">
            <v>Custom</v>
          </cell>
        </row>
        <row r="12">
          <cell r="A12" t="str">
            <v>1-Propene, 2-methyl-</v>
          </cell>
        </row>
        <row r="13">
          <cell r="A13" t="str">
            <v>1,3-Butadiene, 2-methyl-</v>
          </cell>
        </row>
        <row r="14">
          <cell r="A14" t="str">
            <v>2-Methyl-1-propene</v>
          </cell>
        </row>
        <row r="15">
          <cell r="A15" t="str">
            <v xml:space="preserve">2-Methylbutadiene </v>
          </cell>
        </row>
        <row r="16">
          <cell r="A16" t="str">
            <v>2-Methylbutane</v>
          </cell>
        </row>
        <row r="17">
          <cell r="A17" t="str">
            <v>2-Methylpentane</v>
          </cell>
        </row>
        <row r="18">
          <cell r="A18" t="str">
            <v>2-Methylpropene</v>
          </cell>
        </row>
        <row r="19">
          <cell r="A19" t="str">
            <v>3-Methylpentane</v>
          </cell>
        </row>
        <row r="20">
          <cell r="A20" t="str">
            <v>Acetene</v>
          </cell>
        </row>
        <row r="21">
          <cell r="A21" t="str">
            <v>Acetylene</v>
          </cell>
        </row>
        <row r="22">
          <cell r="A22" t="str">
            <v>Air</v>
          </cell>
        </row>
        <row r="23">
          <cell r="A23" t="str">
            <v>Alcohol</v>
          </cell>
        </row>
        <row r="24">
          <cell r="A24" t="str">
            <v>Ammonia</v>
          </cell>
        </row>
        <row r="25">
          <cell r="A25" t="str">
            <v>Argon</v>
          </cell>
        </row>
        <row r="26">
          <cell r="A26" t="str">
            <v>Benzene</v>
          </cell>
        </row>
        <row r="27">
          <cell r="A27" t="str">
            <v>Benzene, (1-methylethyl)-</v>
          </cell>
        </row>
        <row r="28">
          <cell r="A28" t="str">
            <v>Butane</v>
          </cell>
        </row>
        <row r="29">
          <cell r="A29" t="str">
            <v>Butane, 2-methyl-</v>
          </cell>
        </row>
        <row r="30">
          <cell r="A30" t="str">
            <v>Carbon dioxide</v>
          </cell>
        </row>
        <row r="31">
          <cell r="A31" t="str">
            <v>Carbon monoxide</v>
          </cell>
        </row>
        <row r="32">
          <cell r="A32" t="str">
            <v>Chlorine</v>
          </cell>
        </row>
        <row r="33">
          <cell r="A33" t="str">
            <v>Cyclohexane</v>
          </cell>
        </row>
        <row r="34">
          <cell r="A34" t="str">
            <v>Cyclopentane</v>
          </cell>
        </row>
        <row r="35">
          <cell r="A35" t="str">
            <v>Decane</v>
          </cell>
        </row>
        <row r="36">
          <cell r="A36" t="str">
            <v>Dichlorodifluoromethane</v>
          </cell>
        </row>
        <row r="37">
          <cell r="A37" t="str">
            <v>Ethane</v>
          </cell>
        </row>
        <row r="38">
          <cell r="A38" t="str">
            <v>Ethanol</v>
          </cell>
        </row>
        <row r="39">
          <cell r="A39" t="str">
            <v>Ethene</v>
          </cell>
        </row>
        <row r="40">
          <cell r="A40" t="str">
            <v>Ethyl alcohol</v>
          </cell>
        </row>
        <row r="41">
          <cell r="A41" t="str">
            <v>Ethylbenzene</v>
          </cell>
        </row>
        <row r="42">
          <cell r="A42" t="str">
            <v>Ethylene</v>
          </cell>
        </row>
        <row r="43">
          <cell r="A43" t="str">
            <v>Freon (F-12)</v>
          </cell>
        </row>
        <row r="44">
          <cell r="A44" t="str">
            <v>Helium</v>
          </cell>
        </row>
        <row r="45">
          <cell r="A45" t="str">
            <v>Heptane</v>
          </cell>
        </row>
        <row r="46">
          <cell r="A46" t="str">
            <v>Hexane</v>
          </cell>
        </row>
        <row r="47">
          <cell r="A47" t="str">
            <v>Hydrogen</v>
          </cell>
        </row>
        <row r="48">
          <cell r="A48" t="str">
            <v>Hydrogen chloride</v>
          </cell>
        </row>
        <row r="49">
          <cell r="A49" t="str">
            <v>Hydrogen sulfide</v>
          </cell>
        </row>
        <row r="50">
          <cell r="A50" t="str">
            <v>Isobutane</v>
          </cell>
        </row>
        <row r="51">
          <cell r="A51" t="str">
            <v>Isobutene</v>
          </cell>
        </row>
        <row r="52">
          <cell r="A52" t="str">
            <v>Isobutylene</v>
          </cell>
        </row>
        <row r="53">
          <cell r="A53" t="str">
            <v>Isohexane</v>
          </cell>
        </row>
        <row r="54">
          <cell r="A54" t="str">
            <v>Isoprene</v>
          </cell>
        </row>
        <row r="55">
          <cell r="A55" t="str">
            <v>Isopropilbenzene</v>
          </cell>
        </row>
        <row r="56">
          <cell r="A56" t="str">
            <v>iso-Pentane</v>
          </cell>
        </row>
        <row r="57">
          <cell r="A57" t="str">
            <v>Methane</v>
          </cell>
        </row>
        <row r="58">
          <cell r="A58" t="str">
            <v>Methanol</v>
          </cell>
        </row>
        <row r="59">
          <cell r="A59" t="str">
            <v>Methyl alcohol</v>
          </cell>
        </row>
        <row r="60">
          <cell r="A60" t="str">
            <v>Methyl chloride</v>
          </cell>
        </row>
        <row r="61">
          <cell r="A61" t="str">
            <v>Natural gas</v>
          </cell>
        </row>
        <row r="62">
          <cell r="A62" t="str">
            <v>Neon</v>
          </cell>
        </row>
        <row r="63">
          <cell r="A63" t="str">
            <v>Nitrogen</v>
          </cell>
        </row>
        <row r="64">
          <cell r="A64" t="str">
            <v>Nitrous oxide</v>
          </cell>
        </row>
        <row r="65">
          <cell r="A65" t="str">
            <v>Nonane</v>
          </cell>
        </row>
        <row r="66">
          <cell r="A66" t="str">
            <v>n-Butane</v>
          </cell>
        </row>
        <row r="67">
          <cell r="A67" t="str">
            <v>n-Decane</v>
          </cell>
        </row>
        <row r="68">
          <cell r="A68" t="str">
            <v>n-Heptane</v>
          </cell>
        </row>
        <row r="69">
          <cell r="A69" t="str">
            <v>n-Hexane</v>
          </cell>
        </row>
        <row r="70">
          <cell r="A70" t="str">
            <v>n-Nonane</v>
          </cell>
        </row>
        <row r="71">
          <cell r="A71" t="str">
            <v>n-Octane</v>
          </cell>
        </row>
        <row r="72">
          <cell r="A72" t="str">
            <v>n-Pentane</v>
          </cell>
        </row>
        <row r="73">
          <cell r="A73" t="str">
            <v>n-Propane</v>
          </cell>
        </row>
        <row r="74">
          <cell r="A74" t="str">
            <v>Octane</v>
          </cell>
        </row>
        <row r="75">
          <cell r="A75" t="str">
            <v>Oxygen</v>
          </cell>
        </row>
        <row r="76">
          <cell r="A76" t="str">
            <v>Pentane</v>
          </cell>
        </row>
        <row r="77">
          <cell r="A77" t="str">
            <v>Pentane, 2-methyl-</v>
          </cell>
        </row>
        <row r="78">
          <cell r="A78" t="str">
            <v>Pentane, 3-methyl-</v>
          </cell>
        </row>
        <row r="79">
          <cell r="A79" t="str">
            <v>Propane</v>
          </cell>
        </row>
        <row r="80">
          <cell r="A80" t="str">
            <v>Propene</v>
          </cell>
        </row>
        <row r="81">
          <cell r="A81" t="str">
            <v>Propene, 2-methyl-</v>
          </cell>
        </row>
        <row r="82">
          <cell r="A82" t="str">
            <v>Propylene</v>
          </cell>
        </row>
        <row r="83">
          <cell r="A83" t="str">
            <v>Sulfur dioxide</v>
          </cell>
        </row>
        <row r="84">
          <cell r="A84" t="str">
            <v>Sulfur trioxide</v>
          </cell>
        </row>
        <row r="85">
          <cell r="A85" t="str">
            <v>Water</v>
          </cell>
        </row>
      </sheetData>
      <sheetData sheetId="4"/>
      <sheetData sheetId="5"/>
      <sheetData sheetId="6"/>
      <sheetData sheetId="7">
        <row r="6">
          <cell r="A6" t="str">
            <v>A350 LF1</v>
          </cell>
        </row>
        <row r="7">
          <cell r="A7" t="str">
            <v>A106B</v>
          </cell>
        </row>
        <row r="8">
          <cell r="A8" t="str">
            <v>A352 LCB</v>
          </cell>
        </row>
        <row r="9">
          <cell r="A9" t="str">
            <v>A105</v>
          </cell>
        </row>
        <row r="10">
          <cell r="A10" t="str">
            <v>A234 WPB</v>
          </cell>
        </row>
        <row r="11">
          <cell r="A11" t="str">
            <v>A216 WCB</v>
          </cell>
        </row>
        <row r="12">
          <cell r="A12" t="str">
            <v>A350 LF2 Cl. 1</v>
          </cell>
        </row>
        <row r="13">
          <cell r="A13" t="str">
            <v>A350 LF2 Cl. 2</v>
          </cell>
        </row>
        <row r="14">
          <cell r="A14" t="str">
            <v>A106C</v>
          </cell>
        </row>
        <row r="15">
          <cell r="A15" t="str">
            <v>A216 WCC</v>
          </cell>
        </row>
        <row r="16">
          <cell r="A16" t="str">
            <v>A352 LCC</v>
          </cell>
        </row>
        <row r="17">
          <cell r="A17" t="str">
            <v>A352 LC1</v>
          </cell>
        </row>
        <row r="18">
          <cell r="A18" t="str">
            <v>A234 WP12 Cl. 1</v>
          </cell>
        </row>
        <row r="19">
          <cell r="A19" t="str">
            <v>A335 P12</v>
          </cell>
        </row>
        <row r="20">
          <cell r="A20" t="str">
            <v>A182 F12 Cl. 2</v>
          </cell>
        </row>
        <row r="21">
          <cell r="A21" t="str">
            <v>A217 WC6</v>
          </cell>
        </row>
        <row r="22">
          <cell r="A22" t="str">
            <v>A234 WP11 Cl. 1</v>
          </cell>
        </row>
        <row r="23">
          <cell r="A23" t="str">
            <v>A335 P11</v>
          </cell>
        </row>
        <row r="24">
          <cell r="A24" t="str">
            <v>A387 11 Cl. 2</v>
          </cell>
        </row>
        <row r="25">
          <cell r="A25" t="str">
            <v>A182 F11 Cl. 2</v>
          </cell>
        </row>
        <row r="26">
          <cell r="A26" t="str">
            <v>A234 WP22 Cl. 1</v>
          </cell>
        </row>
        <row r="27">
          <cell r="A27" t="str">
            <v>A335 P22</v>
          </cell>
        </row>
        <row r="28">
          <cell r="A28" t="str">
            <v>A217 WC9</v>
          </cell>
        </row>
        <row r="29">
          <cell r="A29" t="str">
            <v>A182 F22 Cl. 3</v>
          </cell>
        </row>
        <row r="30">
          <cell r="A30" t="str">
            <v>A335 P21</v>
          </cell>
        </row>
        <row r="31">
          <cell r="A31" t="str">
            <v>A182 F21</v>
          </cell>
        </row>
        <row r="32">
          <cell r="A32" t="str">
            <v>A217 C5</v>
          </cell>
        </row>
        <row r="33">
          <cell r="A33" t="str">
            <v>A182 F91 &lt;=3</v>
          </cell>
        </row>
        <row r="34">
          <cell r="A34" t="str">
            <v>A182 F91 &gt;3</v>
          </cell>
        </row>
        <row r="35">
          <cell r="A35" t="str">
            <v>A217 C12A</v>
          </cell>
        </row>
        <row r="36">
          <cell r="A36" t="str">
            <v>A234 WP91 &lt;=3</v>
          </cell>
        </row>
        <row r="37">
          <cell r="A37" t="str">
            <v>A234 WP91 &gt;3</v>
          </cell>
        </row>
        <row r="38">
          <cell r="A38" t="str">
            <v>A335 P91 &lt;3</v>
          </cell>
        </row>
        <row r="39">
          <cell r="A39" t="str">
            <v>A335 P91 &gt;=3</v>
          </cell>
        </row>
        <row r="40">
          <cell r="A40" t="str">
            <v>A240 410</v>
          </cell>
        </row>
        <row r="41">
          <cell r="A41" t="str">
            <v>A279 410</v>
          </cell>
        </row>
        <row r="42">
          <cell r="A42" t="str">
            <v>A182 F6a Cl. 2</v>
          </cell>
        </row>
        <row r="43">
          <cell r="A43" t="str">
            <v>A351-CF8M</v>
          </cell>
        </row>
        <row r="44">
          <cell r="A44" t="str">
            <v>A182 F316</v>
          </cell>
        </row>
        <row r="45">
          <cell r="A45" t="str">
            <v>A240 316</v>
          </cell>
        </row>
        <row r="46">
          <cell r="A46" t="str">
            <v>A312 TP316</v>
          </cell>
        </row>
        <row r="47">
          <cell r="A47" t="str">
            <v>A182 F304</v>
          </cell>
        </row>
        <row r="48">
          <cell r="A48" t="str">
            <v>A240 304</v>
          </cell>
        </row>
        <row r="49">
          <cell r="A49" t="str">
            <v>A312 TP304</v>
          </cell>
        </row>
        <row r="50">
          <cell r="A50" t="str">
            <v>A351-CK3MCuN</v>
          </cell>
        </row>
        <row r="51">
          <cell r="A51" t="str">
            <v>A182 F44</v>
          </cell>
        </row>
        <row r="52">
          <cell r="A52" t="str">
            <v>A182 F51</v>
          </cell>
        </row>
      </sheetData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ebbook.nist.gov/chemistry/name-ser.htm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valuation="1" codeName="Sheet1">
    <pageSetUpPr fitToPage="1"/>
  </sheetPr>
  <dimension ref="A1:AV2418"/>
  <sheetViews>
    <sheetView showGridLines="0" tabSelected="1" zoomScaleNormal="100" workbookViewId="0">
      <selection activeCell="D2" sqref="D2:E2"/>
    </sheetView>
  </sheetViews>
  <sheetFormatPr defaultColWidth="12.54296875" defaultRowHeight="12.5" outlineLevelRow="1" x14ac:dyDescent="0.25"/>
  <cols>
    <col min="1" max="11" width="12.81640625" style="95" customWidth="1"/>
    <col min="12" max="12" width="12.81640625" style="97" hidden="1" customWidth="1"/>
    <col min="13" max="13" width="29.6328125" style="82" hidden="1" customWidth="1"/>
    <col min="14" max="14" width="38.08984375" style="82" hidden="1" customWidth="1"/>
    <col min="15" max="16" width="12.81640625" style="96" customWidth="1"/>
    <col min="17" max="109" width="12.81640625" style="95" customWidth="1"/>
    <col min="110" max="117" width="13.90625" style="95" customWidth="1"/>
    <col min="118" max="203" width="12.54296875" style="95"/>
    <col min="204" max="204" width="2.36328125" style="95" customWidth="1"/>
    <col min="205" max="16384" width="12.54296875" style="95"/>
  </cols>
  <sheetData>
    <row r="1" spans="1:18" ht="16" thickBot="1" x14ac:dyDescent="0.4">
      <c r="A1" s="464" t="s">
        <v>372</v>
      </c>
      <c r="B1" s="465"/>
      <c r="C1" s="465"/>
      <c r="D1" s="465"/>
      <c r="E1" s="93" t="s">
        <v>1052</v>
      </c>
      <c r="F1" s="466"/>
      <c r="G1" s="466"/>
      <c r="H1" s="466"/>
      <c r="I1" s="467">
        <f ca="1">NOW()</f>
        <v>42746.876168750001</v>
      </c>
      <c r="J1" s="467"/>
      <c r="K1" s="468"/>
      <c r="L1" s="94" t="s">
        <v>681</v>
      </c>
      <c r="M1" s="80" t="s">
        <v>682</v>
      </c>
      <c r="N1" s="80" t="s">
        <v>683</v>
      </c>
      <c r="O1" s="95" t="s">
        <v>373</v>
      </c>
      <c r="Q1" s="96"/>
    </row>
    <row r="2" spans="1:18" ht="13" x14ac:dyDescent="0.3">
      <c r="A2" s="469" t="s">
        <v>374</v>
      </c>
      <c r="B2" s="470"/>
      <c r="C2" s="165" t="s">
        <v>375</v>
      </c>
      <c r="D2" s="475"/>
      <c r="E2" s="475"/>
      <c r="F2" s="166" t="s">
        <v>376</v>
      </c>
      <c r="G2" s="167"/>
      <c r="H2" s="165" t="s">
        <v>377</v>
      </c>
      <c r="I2" s="180"/>
      <c r="J2" s="168" t="s">
        <v>378</v>
      </c>
      <c r="K2" s="167"/>
      <c r="O2" s="95"/>
      <c r="P2" s="95"/>
      <c r="Q2" s="96"/>
    </row>
    <row r="3" spans="1:18" ht="13" x14ac:dyDescent="0.3">
      <c r="A3" s="471"/>
      <c r="B3" s="472"/>
      <c r="C3" s="169" t="s">
        <v>721</v>
      </c>
      <c r="D3" s="476"/>
      <c r="E3" s="476"/>
      <c r="F3" s="476"/>
      <c r="G3" s="477"/>
      <c r="H3" s="169" t="s">
        <v>379</v>
      </c>
      <c r="I3" s="478"/>
      <c r="J3" s="478"/>
      <c r="K3" s="479"/>
      <c r="M3" s="98"/>
      <c r="O3" s="95"/>
      <c r="P3" s="95"/>
      <c r="Q3" s="96"/>
    </row>
    <row r="4" spans="1:18" ht="13" x14ac:dyDescent="0.3">
      <c r="A4" s="471"/>
      <c r="B4" s="472"/>
      <c r="C4" s="169" t="s">
        <v>380</v>
      </c>
      <c r="D4" s="478"/>
      <c r="E4" s="478"/>
      <c r="F4" s="478"/>
      <c r="G4" s="478"/>
      <c r="H4" s="169" t="s">
        <v>381</v>
      </c>
      <c r="I4" s="478"/>
      <c r="J4" s="478"/>
      <c r="K4" s="479"/>
      <c r="M4" s="98"/>
      <c r="O4" s="95"/>
      <c r="P4" s="95"/>
      <c r="Q4" s="96"/>
    </row>
    <row r="5" spans="1:18" ht="13" x14ac:dyDescent="0.3">
      <c r="A5" s="471"/>
      <c r="B5" s="472"/>
      <c r="C5" s="169" t="s">
        <v>382</v>
      </c>
      <c r="D5" s="478"/>
      <c r="E5" s="478"/>
      <c r="F5" s="6" t="s">
        <v>383</v>
      </c>
      <c r="G5" s="7">
        <f ca="1">NOW()</f>
        <v>42746.876168750001</v>
      </c>
      <c r="H5" s="169" t="s">
        <v>384</v>
      </c>
      <c r="I5" s="478">
        <v>7</v>
      </c>
      <c r="J5" s="478"/>
      <c r="K5" s="479"/>
      <c r="O5" s="95"/>
      <c r="Q5" s="96"/>
    </row>
    <row r="6" spans="1:18" ht="13" x14ac:dyDescent="0.3">
      <c r="A6" s="471"/>
      <c r="B6" s="472"/>
      <c r="C6" s="169" t="s">
        <v>385</v>
      </c>
      <c r="D6" s="478"/>
      <c r="E6" s="478"/>
      <c r="F6" s="6" t="s">
        <v>383</v>
      </c>
      <c r="G6" s="7">
        <f ca="1">NOW()</f>
        <v>42746.876168750001</v>
      </c>
      <c r="H6" s="169" t="s">
        <v>386</v>
      </c>
      <c r="I6" s="478">
        <v>1</v>
      </c>
      <c r="J6" s="478"/>
      <c r="K6" s="479"/>
      <c r="O6" s="95"/>
      <c r="Q6" s="96"/>
      <c r="R6" s="96"/>
    </row>
    <row r="7" spans="1:18" ht="13.5" thickBot="1" x14ac:dyDescent="0.35">
      <c r="A7" s="473"/>
      <c r="B7" s="474"/>
      <c r="C7" s="170" t="s">
        <v>387</v>
      </c>
      <c r="D7" s="480"/>
      <c r="E7" s="480"/>
      <c r="F7" s="480"/>
      <c r="G7" s="480"/>
      <c r="H7" s="171" t="s">
        <v>388</v>
      </c>
      <c r="I7" s="181"/>
      <c r="J7" s="181"/>
      <c r="K7" s="362"/>
      <c r="O7" s="95"/>
      <c r="Q7" s="96"/>
      <c r="R7" s="96"/>
    </row>
    <row r="8" spans="1:18" ht="13" x14ac:dyDescent="0.3">
      <c r="A8" s="8"/>
      <c r="B8" s="8"/>
      <c r="C8" s="8"/>
      <c r="D8" s="99"/>
      <c r="E8" s="99"/>
      <c r="F8" s="8"/>
      <c r="G8" s="100"/>
      <c r="H8" s="100"/>
      <c r="I8" s="100"/>
      <c r="J8" s="100"/>
      <c r="K8" s="100"/>
      <c r="O8" s="95"/>
      <c r="Q8" s="96"/>
      <c r="R8" s="96"/>
    </row>
    <row r="9" spans="1:18" s="101" customFormat="1" ht="13" x14ac:dyDescent="0.3">
      <c r="A9" s="459" t="s">
        <v>389</v>
      </c>
      <c r="B9" s="459"/>
      <c r="C9" s="459"/>
      <c r="D9" s="460" t="s">
        <v>390</v>
      </c>
      <c r="E9" s="460"/>
      <c r="F9" s="460"/>
      <c r="G9" s="412"/>
      <c r="H9" s="412"/>
      <c r="I9" s="412"/>
      <c r="J9" s="412"/>
      <c r="K9" s="412"/>
      <c r="L9" s="97"/>
      <c r="M9" s="81"/>
      <c r="N9" s="82"/>
      <c r="P9" s="96"/>
      <c r="Q9" s="96"/>
      <c r="R9" s="96"/>
    </row>
    <row r="10" spans="1:18" s="101" customFormat="1" ht="13" x14ac:dyDescent="0.3">
      <c r="A10" s="458" t="s">
        <v>391</v>
      </c>
      <c r="B10" s="458"/>
      <c r="C10" s="458"/>
      <c r="D10" s="461" t="s">
        <v>1055</v>
      </c>
      <c r="E10" s="461"/>
      <c r="F10" s="461"/>
      <c r="G10" s="141"/>
      <c r="H10" s="141"/>
      <c r="I10" s="141"/>
      <c r="J10" s="141"/>
      <c r="K10" s="141"/>
      <c r="L10" s="97"/>
      <c r="M10" s="82"/>
      <c r="N10" s="82"/>
      <c r="P10" s="96"/>
      <c r="Q10" s="96"/>
      <c r="R10" s="96"/>
    </row>
    <row r="11" spans="1:18" s="101" customFormat="1" ht="13" x14ac:dyDescent="0.3">
      <c r="A11" s="458" t="s">
        <v>392</v>
      </c>
      <c r="B11" s="458"/>
      <c r="C11" s="458"/>
      <c r="D11" s="461" t="s">
        <v>247</v>
      </c>
      <c r="E11" s="461"/>
      <c r="F11" s="461"/>
      <c r="G11" s="141"/>
      <c r="H11" s="141"/>
      <c r="I11" s="141"/>
      <c r="J11" s="141"/>
      <c r="K11" s="141"/>
      <c r="L11" s="97"/>
      <c r="M11" s="82"/>
      <c r="N11" s="82"/>
      <c r="P11" s="96"/>
      <c r="Q11" s="96"/>
      <c r="R11" s="96"/>
    </row>
    <row r="12" spans="1:18" s="101" customFormat="1" ht="13" x14ac:dyDescent="0.3">
      <c r="A12" s="458" t="s">
        <v>393</v>
      </c>
      <c r="B12" s="458"/>
      <c r="C12" s="458"/>
      <c r="D12" s="461" t="s">
        <v>394</v>
      </c>
      <c r="E12" s="461"/>
      <c r="F12" s="461"/>
      <c r="G12" s="141"/>
      <c r="H12" s="141"/>
      <c r="I12" s="141"/>
      <c r="J12" s="141"/>
      <c r="K12" s="141"/>
      <c r="L12" s="97"/>
      <c r="M12" s="82"/>
      <c r="N12" s="82"/>
      <c r="P12" s="96"/>
      <c r="Q12" s="96"/>
      <c r="R12" s="96"/>
    </row>
    <row r="13" spans="1:18" s="101" customFormat="1" ht="13" x14ac:dyDescent="0.3">
      <c r="A13" s="458" t="s">
        <v>395</v>
      </c>
      <c r="B13" s="458"/>
      <c r="C13" s="458"/>
      <c r="D13" s="461" t="s">
        <v>734</v>
      </c>
      <c r="E13" s="461"/>
      <c r="F13" s="461"/>
      <c r="G13" s="141"/>
      <c r="H13" s="141"/>
      <c r="I13" s="141"/>
      <c r="J13" s="141"/>
      <c r="K13" s="141"/>
      <c r="L13" s="97" t="str">
        <f>IF($D$11="Custom Gas","Required","Not Req'd")</f>
        <v>Not Req'd</v>
      </c>
      <c r="M13" s="82"/>
      <c r="N13" s="82"/>
      <c r="P13" s="96"/>
      <c r="Q13" s="96"/>
      <c r="R13" s="96"/>
    </row>
    <row r="14" spans="1:18" s="101" customFormat="1" ht="13" x14ac:dyDescent="0.3">
      <c r="A14" s="458" t="s">
        <v>396</v>
      </c>
      <c r="B14" s="458"/>
      <c r="C14" s="458"/>
      <c r="D14" s="461" t="s">
        <v>1020</v>
      </c>
      <c r="E14" s="461"/>
      <c r="F14" s="461"/>
      <c r="G14" s="417"/>
      <c r="H14" s="417"/>
      <c r="I14" s="417"/>
      <c r="J14" s="417"/>
      <c r="K14" s="85"/>
      <c r="L14" s="97" t="str">
        <f>IF(AND(TypeOfGas="Custom Gas",MethodOfSpecifyingDensity&lt;&gt;"Direct Input"),"Required","Not Req'd")</f>
        <v>Not Req'd</v>
      </c>
      <c r="M14" s="82"/>
      <c r="N14" s="82"/>
      <c r="P14" s="96"/>
      <c r="Q14" s="96"/>
      <c r="R14" s="96"/>
    </row>
    <row r="15" spans="1:18" s="101" customFormat="1" ht="13" x14ac:dyDescent="0.3">
      <c r="A15" s="458" t="s">
        <v>9</v>
      </c>
      <c r="B15" s="458"/>
      <c r="C15" s="458"/>
      <c r="D15" s="461" t="s">
        <v>1030</v>
      </c>
      <c r="E15" s="461"/>
      <c r="F15" s="461"/>
      <c r="G15" s="417"/>
      <c r="H15" s="417"/>
      <c r="I15" s="417"/>
      <c r="J15" s="417"/>
      <c r="K15" s="417"/>
      <c r="L15" s="97"/>
      <c r="M15" s="82"/>
      <c r="N15" s="82"/>
      <c r="P15" s="102"/>
      <c r="Q15" s="102"/>
    </row>
    <row r="16" spans="1:18" s="101" customFormat="1" ht="13" x14ac:dyDescent="0.3">
      <c r="A16" s="458" t="s">
        <v>1041</v>
      </c>
      <c r="B16" s="458"/>
      <c r="C16" s="458"/>
      <c r="D16" s="461" t="s">
        <v>1043</v>
      </c>
      <c r="E16" s="461"/>
      <c r="F16" s="461"/>
      <c r="G16" s="417"/>
      <c r="H16" s="417"/>
      <c r="I16" s="417"/>
      <c r="J16" s="417"/>
      <c r="K16" s="417"/>
      <c r="L16" s="97" t="str">
        <f>IF($D$15="KKI HF, High Friction Cage","Required","Not Req'd")</f>
        <v>Not Req'd</v>
      </c>
      <c r="M16" s="82"/>
      <c r="N16" s="82"/>
      <c r="P16" s="102"/>
      <c r="Q16" s="102"/>
    </row>
    <row r="17" spans="1:17" s="101" customFormat="1" ht="13" x14ac:dyDescent="0.3">
      <c r="A17" s="458" t="s">
        <v>684</v>
      </c>
      <c r="B17" s="458"/>
      <c r="C17" s="458"/>
      <c r="D17" s="461" t="s">
        <v>1025</v>
      </c>
      <c r="E17" s="461"/>
      <c r="F17" s="461"/>
      <c r="G17" s="141"/>
      <c r="H17" s="141"/>
      <c r="I17" s="141"/>
      <c r="J17" s="141"/>
      <c r="K17" s="141"/>
      <c r="L17" s="97"/>
      <c r="M17" s="82"/>
      <c r="N17" s="82"/>
      <c r="P17" s="102"/>
      <c r="Q17" s="102"/>
    </row>
    <row r="18" spans="1:17" s="101" customFormat="1" ht="13" x14ac:dyDescent="0.3">
      <c r="A18" s="458" t="s">
        <v>397</v>
      </c>
      <c r="B18" s="458"/>
      <c r="C18" s="458"/>
      <c r="D18" s="461" t="s">
        <v>1054</v>
      </c>
      <c r="E18" s="461"/>
      <c r="F18" s="461"/>
      <c r="G18" s="141"/>
      <c r="H18" s="141"/>
      <c r="I18" s="141"/>
      <c r="J18" s="141"/>
      <c r="K18" s="141"/>
      <c r="L18" s="97"/>
      <c r="M18" s="82"/>
      <c r="N18" s="82"/>
      <c r="P18" s="102"/>
      <c r="Q18" s="102"/>
    </row>
    <row r="19" spans="1:17" ht="13" x14ac:dyDescent="0.3">
      <c r="A19" s="458" t="s">
        <v>398</v>
      </c>
      <c r="B19" s="458"/>
      <c r="C19" s="458"/>
      <c r="D19" s="461" t="s">
        <v>1026</v>
      </c>
      <c r="E19" s="461"/>
      <c r="F19" s="461"/>
      <c r="G19" s="141"/>
      <c r="H19" s="141"/>
      <c r="I19" s="141"/>
      <c r="J19" s="141"/>
      <c r="K19" s="141"/>
      <c r="M19" s="82" t="s">
        <v>399</v>
      </c>
      <c r="Q19" s="96"/>
    </row>
    <row r="20" spans="1:17" s="101" customFormat="1" ht="13" x14ac:dyDescent="0.3">
      <c r="A20" s="458" t="s">
        <v>400</v>
      </c>
      <c r="B20" s="458"/>
      <c r="C20" s="458"/>
      <c r="D20" s="461" t="s">
        <v>401</v>
      </c>
      <c r="E20" s="461"/>
      <c r="F20" s="461"/>
      <c r="G20" s="141"/>
      <c r="H20" s="141"/>
      <c r="I20" s="141"/>
      <c r="J20" s="141"/>
      <c r="K20" s="141"/>
      <c r="L20" s="97"/>
      <c r="M20" s="82"/>
      <c r="N20" s="82"/>
      <c r="P20" s="102"/>
      <c r="Q20" s="102"/>
    </row>
    <row r="21" spans="1:17" ht="13" x14ac:dyDescent="0.3">
      <c r="A21" s="459" t="s">
        <v>402</v>
      </c>
      <c r="B21" s="459"/>
      <c r="C21" s="459"/>
      <c r="D21" s="408" t="s">
        <v>403</v>
      </c>
      <c r="E21" s="408" t="s">
        <v>404</v>
      </c>
      <c r="F21" s="408" t="s">
        <v>405</v>
      </c>
      <c r="G21" s="141"/>
      <c r="H21" s="141"/>
      <c r="I21" s="141"/>
      <c r="J21" s="141"/>
      <c r="K21" s="141"/>
      <c r="Q21" s="96"/>
    </row>
    <row r="22" spans="1:17" s="101" customFormat="1" ht="13" x14ac:dyDescent="0.3">
      <c r="A22" s="458" t="s">
        <v>406</v>
      </c>
      <c r="B22" s="458"/>
      <c r="C22" s="458"/>
      <c r="D22" s="104"/>
      <c r="E22" s="426" t="s">
        <v>730</v>
      </c>
      <c r="F22" s="426" t="s">
        <v>730</v>
      </c>
      <c r="G22" s="141"/>
      <c r="H22" s="141"/>
      <c r="I22" s="141"/>
      <c r="J22" s="141"/>
      <c r="K22" s="141"/>
      <c r="L22" s="97"/>
      <c r="M22" s="82"/>
      <c r="N22" s="82"/>
      <c r="P22" s="102"/>
      <c r="Q22" s="102"/>
    </row>
    <row r="23" spans="1:17" ht="13" x14ac:dyDescent="0.3">
      <c r="A23" s="458" t="s">
        <v>407</v>
      </c>
      <c r="B23" s="458"/>
      <c r="C23" s="458"/>
      <c r="D23" s="105"/>
      <c r="E23" s="426" t="s">
        <v>616</v>
      </c>
      <c r="F23" s="426" t="s">
        <v>616</v>
      </c>
      <c r="G23" s="142" t="str">
        <f>IF(ISNUMBER(F111),
    IF(F111&gt;1066.8,
      "Noise calcs are limited to max pipe OD of 1066.8 mm (42 in.)",""),
      "Outlet Pipe size needed for noise prediction")</f>
        <v/>
      </c>
      <c r="H23" s="142"/>
      <c r="I23" s="142"/>
      <c r="J23" s="142"/>
      <c r="K23" s="142"/>
      <c r="L23" s="97" t="str">
        <f>IF(OR($E$22="NPS &amp; Schd",$F$22="NPS &amp; Schd"),"Required","Not Req'd")</f>
        <v>Required</v>
      </c>
      <c r="Q23" s="96"/>
    </row>
    <row r="24" spans="1:17" ht="13" x14ac:dyDescent="0.3">
      <c r="A24" s="458" t="s">
        <v>409</v>
      </c>
      <c r="B24" s="458"/>
      <c r="C24" s="458"/>
      <c r="D24" s="105"/>
      <c r="E24" s="426" t="s">
        <v>640</v>
      </c>
      <c r="F24" s="426" t="s">
        <v>640</v>
      </c>
      <c r="G24" s="418"/>
      <c r="H24" s="372"/>
      <c r="I24" s="141"/>
      <c r="J24" s="141"/>
      <c r="K24" s="141"/>
      <c r="L24" s="97" t="str">
        <f>IF(OR($E$22="NPS &amp; Schd",$F$22="NPS &amp; Schd"),"Required","Not Req'd")</f>
        <v>Required</v>
      </c>
      <c r="Q24" s="96"/>
    </row>
    <row r="25" spans="1:17" ht="13" x14ac:dyDescent="0.3">
      <c r="A25" s="458" t="s">
        <v>410</v>
      </c>
      <c r="B25" s="458"/>
      <c r="C25" s="458"/>
      <c r="D25" s="426" t="s">
        <v>469</v>
      </c>
      <c r="E25" s="428"/>
      <c r="F25" s="456"/>
      <c r="G25" s="141"/>
      <c r="H25" s="141"/>
      <c r="I25" s="141"/>
      <c r="J25" s="141"/>
      <c r="K25" s="141"/>
      <c r="L25" s="97" t="str">
        <f>IF(OR($E$22&lt;&gt;"NPS &amp; Schd",$F$22&lt;&gt;"NPS &amp; Schd"),"Required","Not Req'd")</f>
        <v>Not Req'd</v>
      </c>
      <c r="Q25" s="96"/>
    </row>
    <row r="26" spans="1:17" ht="13" x14ac:dyDescent="0.3">
      <c r="A26" s="458" t="s">
        <v>411</v>
      </c>
      <c r="B26" s="458"/>
      <c r="C26" s="458"/>
      <c r="D26" s="105" t="str">
        <f>$D$25</f>
        <v>mm</v>
      </c>
      <c r="E26" s="428"/>
      <c r="F26" s="428"/>
      <c r="G26" s="141"/>
      <c r="H26" s="141"/>
      <c r="I26" s="141"/>
      <c r="J26" s="141"/>
      <c r="K26" s="141"/>
      <c r="L26" s="97" t="str">
        <f>IF(OR($E$22="OD &amp; t",$F$22="OD &amp; t"),"Required","Not Req'd")</f>
        <v>Not Req'd</v>
      </c>
      <c r="Q26" s="96"/>
    </row>
    <row r="27" spans="1:17" ht="13" x14ac:dyDescent="0.3">
      <c r="A27" s="458" t="s">
        <v>412</v>
      </c>
      <c r="B27" s="458"/>
      <c r="C27" s="458"/>
      <c r="D27" s="105" t="str">
        <f>$D$25</f>
        <v>mm</v>
      </c>
      <c r="E27" s="428"/>
      <c r="F27" s="428"/>
      <c r="G27" s="141"/>
      <c r="H27" s="141"/>
      <c r="I27" s="141"/>
      <c r="J27" s="141"/>
      <c r="K27" s="141"/>
      <c r="L27" s="97" t="str">
        <f>IF(OR($E$22="OD &amp; ID",$F$22="OD &amp; ID"),"Required","Not Req'd")</f>
        <v>Not Req'd</v>
      </c>
      <c r="Q27" s="96"/>
    </row>
    <row r="28" spans="1:17" s="101" customFormat="1" ht="13" x14ac:dyDescent="0.3">
      <c r="A28" s="458" t="s">
        <v>413</v>
      </c>
      <c r="B28" s="458"/>
      <c r="C28" s="458"/>
      <c r="D28" s="410"/>
      <c r="E28" s="426" t="s">
        <v>616</v>
      </c>
      <c r="F28" s="426" t="s">
        <v>616</v>
      </c>
      <c r="G28" s="141"/>
      <c r="H28" s="141"/>
      <c r="I28" s="141"/>
      <c r="J28" s="141"/>
      <c r="K28" s="141"/>
      <c r="L28" s="97"/>
      <c r="M28" s="82"/>
      <c r="N28" s="82"/>
      <c r="P28" s="96"/>
      <c r="Q28" s="96"/>
    </row>
    <row r="29" spans="1:17" s="101" customFormat="1" ht="13" x14ac:dyDescent="0.3">
      <c r="A29" s="458" t="s">
        <v>720</v>
      </c>
      <c r="B29" s="458"/>
      <c r="C29" s="458"/>
      <c r="D29" s="410"/>
      <c r="E29" s="426">
        <v>2500</v>
      </c>
      <c r="F29" s="426">
        <v>2500</v>
      </c>
      <c r="G29" s="417"/>
      <c r="H29" s="141"/>
      <c r="I29" s="141"/>
      <c r="J29" s="141"/>
      <c r="K29" s="141"/>
      <c r="L29" s="97"/>
      <c r="M29" s="82"/>
      <c r="N29" s="82"/>
      <c r="P29" s="96"/>
      <c r="Q29" s="96"/>
    </row>
    <row r="30" spans="1:17" ht="13" x14ac:dyDescent="0.3">
      <c r="A30" s="459" t="s">
        <v>726</v>
      </c>
      <c r="B30" s="459"/>
      <c r="C30" s="459"/>
      <c r="D30" s="408" t="s">
        <v>403</v>
      </c>
      <c r="E30" s="408" t="s">
        <v>741</v>
      </c>
      <c r="F30" s="408" t="s">
        <v>414</v>
      </c>
      <c r="G30" s="107"/>
      <c r="H30" s="138"/>
      <c r="I30" s="139"/>
      <c r="J30" s="139"/>
      <c r="K30" s="139"/>
      <c r="M30" s="82" t="s">
        <v>416</v>
      </c>
      <c r="N30" s="82" t="s">
        <v>417</v>
      </c>
      <c r="O30" s="95"/>
      <c r="Q30" s="96"/>
    </row>
    <row r="31" spans="1:17" ht="13" x14ac:dyDescent="0.3">
      <c r="A31" s="463" t="s">
        <v>722</v>
      </c>
      <c r="B31" s="463"/>
      <c r="C31" s="141" t="s">
        <v>415</v>
      </c>
      <c r="D31" s="174" t="s">
        <v>723</v>
      </c>
      <c r="E31" s="84">
        <f>VLOOKUP(D15,ValveData!$A$4:$L$14,2)</f>
        <v>1.0699999999999999E-2</v>
      </c>
      <c r="F31" s="448">
        <f>E31</f>
        <v>1.0699999999999999E-2</v>
      </c>
      <c r="G31" s="107"/>
      <c r="H31" s="138"/>
      <c r="I31" s="139"/>
      <c r="J31" s="139"/>
      <c r="K31" s="139"/>
      <c r="O31" s="95"/>
      <c r="Q31" s="96"/>
    </row>
    <row r="32" spans="1:17" ht="13" x14ac:dyDescent="0.3">
      <c r="A32" s="463" t="s">
        <v>724</v>
      </c>
      <c r="B32" s="463"/>
      <c r="C32" s="141" t="s">
        <v>418</v>
      </c>
      <c r="D32" s="139"/>
      <c r="E32" s="85">
        <f>VLOOKUP(D15,ValveData!$A$4:$L$14,4)</f>
        <v>1</v>
      </c>
      <c r="F32" s="419">
        <f>E32</f>
        <v>1</v>
      </c>
      <c r="G32" s="107"/>
      <c r="H32" s="138"/>
      <c r="I32" s="139"/>
      <c r="J32" s="139"/>
      <c r="K32" s="139"/>
      <c r="O32" s="95"/>
      <c r="Q32" s="96"/>
    </row>
    <row r="33" spans="1:17" ht="13" x14ac:dyDescent="0.3">
      <c r="A33" s="463" t="s">
        <v>725</v>
      </c>
      <c r="B33" s="463"/>
      <c r="C33" s="141" t="s">
        <v>11</v>
      </c>
      <c r="D33" s="139"/>
      <c r="E33" s="85">
        <f>VLOOKUP(D15,ValveData!$A$4:$L$14,3)</f>
        <v>1</v>
      </c>
      <c r="F33" s="419">
        <f>E33</f>
        <v>1</v>
      </c>
      <c r="G33" s="107"/>
      <c r="H33" s="138"/>
      <c r="I33" s="139"/>
      <c r="J33" s="139"/>
      <c r="K33" s="139"/>
      <c r="O33" s="95"/>
      <c r="Q33" s="96"/>
    </row>
    <row r="34" spans="1:17" ht="13" x14ac:dyDescent="0.3">
      <c r="A34" s="463" t="s">
        <v>566</v>
      </c>
      <c r="B34" s="463"/>
      <c r="C34" s="141" t="s">
        <v>419</v>
      </c>
      <c r="D34" s="139"/>
      <c r="E34" s="85" t="str">
        <f>VLOOKUP(D15,ValveData!$A$4:$L$14,8)</f>
        <v>Calc'd</v>
      </c>
      <c r="F34" s="419" t="str">
        <f>E34</f>
        <v>Calc'd</v>
      </c>
      <c r="G34" s="107"/>
      <c r="H34" s="138"/>
      <c r="I34" s="139"/>
      <c r="J34" s="139"/>
      <c r="K34" s="139"/>
      <c r="O34" s="95"/>
      <c r="Q34" s="96"/>
    </row>
    <row r="35" spans="1:17" ht="13" x14ac:dyDescent="0.3">
      <c r="A35" s="462" t="s">
        <v>420</v>
      </c>
      <c r="B35" s="462"/>
      <c r="C35" s="107" t="s">
        <v>421</v>
      </c>
      <c r="D35" s="107"/>
      <c r="E35" s="107"/>
      <c r="F35" s="425">
        <v>0</v>
      </c>
      <c r="G35" s="410"/>
      <c r="H35" s="410"/>
      <c r="I35" s="410"/>
      <c r="J35" s="410"/>
      <c r="K35" s="410"/>
      <c r="M35" s="82" t="s">
        <v>399</v>
      </c>
      <c r="Q35" s="96"/>
    </row>
    <row r="36" spans="1:17" ht="13" x14ac:dyDescent="0.3">
      <c r="A36" s="459" t="s">
        <v>422</v>
      </c>
      <c r="B36" s="459"/>
      <c r="C36" s="459"/>
      <c r="D36" s="408"/>
      <c r="E36" s="408"/>
      <c r="F36" s="410"/>
      <c r="G36" s="410"/>
      <c r="H36" s="410"/>
      <c r="I36" s="410"/>
      <c r="J36" s="410"/>
      <c r="K36" s="410"/>
      <c r="L36" s="97" t="str">
        <f>IF(AND(TypeOfGas="Custom Gas",MethodOfSpecifyingDensity&lt;&gt;"Direct Input",CompressibilityOption="Calculate from Pc &amp; Tc"),"Required","Not Req'd")</f>
        <v>Not Req'd</v>
      </c>
      <c r="Q36" s="96"/>
    </row>
    <row r="37" spans="1:17" ht="13" x14ac:dyDescent="0.3">
      <c r="A37" s="458" t="s">
        <v>423</v>
      </c>
      <c r="B37" s="458"/>
      <c r="C37" s="458"/>
      <c r="D37" s="426" t="s">
        <v>463</v>
      </c>
      <c r="E37" s="428"/>
      <c r="F37" s="410"/>
      <c r="G37" s="410"/>
      <c r="H37" s="410"/>
      <c r="I37" s="410"/>
      <c r="J37" s="410"/>
      <c r="K37" s="410"/>
      <c r="L37" s="97" t="str">
        <f>IF(AND(TypeOfGas="Custom Gas",MethodOfSpecifyingDensity&lt;&gt;"Direct Input",CompressibilityOption="Calculate from Pc &amp; Tc"),"Required","Not Req'd")</f>
        <v>Not Req'd</v>
      </c>
      <c r="M37" s="82" t="s">
        <v>399</v>
      </c>
      <c r="Q37" s="96"/>
    </row>
    <row r="38" spans="1:17" ht="13" x14ac:dyDescent="0.3">
      <c r="A38" s="458" t="s">
        <v>425</v>
      </c>
      <c r="B38" s="458"/>
      <c r="C38" s="458"/>
      <c r="D38" s="426" t="s">
        <v>241</v>
      </c>
      <c r="E38" s="428"/>
      <c r="F38" s="410"/>
      <c r="G38" s="410"/>
      <c r="H38" s="410"/>
      <c r="I38" s="410"/>
      <c r="J38" s="410"/>
      <c r="K38" s="410"/>
      <c r="L38" s="97" t="str">
        <f>IF(AND(TypeOfGas="Custom Gas",MethodOfSpecifyingDensity&lt;&gt;"Direct Input",CompressibilityOption="Calculate from Pc &amp; Tc"),"Required","Not Req'd")</f>
        <v>Not Req'd</v>
      </c>
      <c r="M38" s="82" t="s">
        <v>399</v>
      </c>
      <c r="Q38" s="96"/>
    </row>
    <row r="39" spans="1:17" ht="13" x14ac:dyDescent="0.3">
      <c r="A39" s="459" t="s">
        <v>426</v>
      </c>
      <c r="B39" s="459"/>
      <c r="C39" s="459"/>
      <c r="D39" s="408" t="s">
        <v>403</v>
      </c>
      <c r="E39" s="460" t="s">
        <v>427</v>
      </c>
      <c r="F39" s="460"/>
      <c r="G39" s="460"/>
      <c r="H39" s="460"/>
      <c r="I39" s="460"/>
      <c r="J39" s="482"/>
      <c r="K39" s="482"/>
      <c r="Q39" s="96"/>
    </row>
    <row r="40" spans="1:17" ht="13" x14ac:dyDescent="0.3">
      <c r="A40" s="458" t="s">
        <v>1045</v>
      </c>
      <c r="B40" s="458"/>
      <c r="C40" s="458"/>
      <c r="D40" s="105"/>
      <c r="E40" s="442"/>
      <c r="F40" s="161"/>
      <c r="G40" s="161"/>
      <c r="H40" s="161"/>
      <c r="I40" s="161"/>
      <c r="J40" s="481"/>
      <c r="K40" s="481"/>
      <c r="M40" s="82" t="s">
        <v>399</v>
      </c>
      <c r="Q40" s="96"/>
    </row>
    <row r="41" spans="1:17" ht="13" x14ac:dyDescent="0.3">
      <c r="A41" s="458" t="s">
        <v>428</v>
      </c>
      <c r="B41" s="458"/>
      <c r="C41" s="458"/>
      <c r="D41" s="105"/>
      <c r="E41" s="442"/>
      <c r="F41" s="161"/>
      <c r="G41" s="161"/>
      <c r="H41" s="161"/>
      <c r="I41" s="161"/>
      <c r="J41" s="444"/>
      <c r="K41" s="444"/>
      <c r="M41" s="82" t="s">
        <v>399</v>
      </c>
      <c r="Q41" s="96"/>
    </row>
    <row r="42" spans="1:17" ht="13" x14ac:dyDescent="0.3">
      <c r="A42" s="458" t="s">
        <v>429</v>
      </c>
      <c r="B42" s="458"/>
      <c r="C42" s="458"/>
      <c r="D42" s="429" t="s">
        <v>499</v>
      </c>
      <c r="E42" s="419"/>
      <c r="F42" s="419"/>
      <c r="G42" s="419"/>
      <c r="H42" s="419"/>
      <c r="I42" s="419"/>
      <c r="J42" s="481"/>
      <c r="K42" s="481"/>
      <c r="L42" s="97" t="str">
        <f>IF(FlowRateType="Mass Flow Rate","Required","Not Req'd")</f>
        <v>Required</v>
      </c>
      <c r="M42" s="82" t="s">
        <v>399</v>
      </c>
      <c r="Q42" s="96"/>
    </row>
    <row r="43" spans="1:17" ht="13" x14ac:dyDescent="0.3">
      <c r="A43" s="458" t="s">
        <v>430</v>
      </c>
      <c r="B43" s="458"/>
      <c r="C43" s="458"/>
      <c r="D43" s="426" t="s">
        <v>1049</v>
      </c>
      <c r="E43" s="419"/>
      <c r="F43" s="419"/>
      <c r="G43" s="419"/>
      <c r="H43" s="419"/>
      <c r="I43" s="419"/>
      <c r="J43" s="481"/>
      <c r="K43" s="481"/>
      <c r="L43" s="97" t="str">
        <f>IF(FlowRateType="Volume Flow Rate","Required","Not Req'd")</f>
        <v>Not Req'd</v>
      </c>
      <c r="M43" s="82" t="s">
        <v>399</v>
      </c>
      <c r="Q43" s="96"/>
    </row>
    <row r="44" spans="1:17" ht="13" x14ac:dyDescent="0.3">
      <c r="A44" s="458" t="s">
        <v>431</v>
      </c>
      <c r="B44" s="458"/>
      <c r="C44" s="458"/>
      <c r="D44" s="426" t="s">
        <v>463</v>
      </c>
      <c r="E44" s="442"/>
      <c r="F44" s="161"/>
      <c r="G44" s="161"/>
      <c r="H44" s="161"/>
      <c r="I44" s="161"/>
      <c r="J44" s="481"/>
      <c r="K44" s="481"/>
      <c r="M44" s="82" t="s">
        <v>399</v>
      </c>
      <c r="Q44" s="96"/>
    </row>
    <row r="45" spans="1:17" ht="13" x14ac:dyDescent="0.3">
      <c r="A45" s="458" t="s">
        <v>432</v>
      </c>
      <c r="B45" s="458"/>
      <c r="C45" s="458"/>
      <c r="D45" s="105" t="str">
        <f>D44</f>
        <v>barA</v>
      </c>
      <c r="E45" s="442"/>
      <c r="F45" s="442"/>
      <c r="G45" s="442"/>
      <c r="H45" s="161"/>
      <c r="I45" s="161"/>
      <c r="J45" s="481"/>
      <c r="K45" s="481"/>
      <c r="M45" s="82" t="s">
        <v>399</v>
      </c>
      <c r="Q45" s="96"/>
    </row>
    <row r="46" spans="1:17" ht="13" x14ac:dyDescent="0.3">
      <c r="A46" s="458" t="s">
        <v>433</v>
      </c>
      <c r="B46" s="458"/>
      <c r="C46" s="458"/>
      <c r="D46" s="429" t="s">
        <v>241</v>
      </c>
      <c r="E46" s="419"/>
      <c r="F46" s="419"/>
      <c r="G46" s="419"/>
      <c r="H46" s="419"/>
      <c r="I46" s="419"/>
      <c r="J46" s="481"/>
      <c r="K46" s="481"/>
      <c r="L46" s="97" t="str">
        <f>IF(OR(TypeOfGas&lt;&gt;"Custom Gas",MethodOfSpecifyingDensity&lt;&gt;"Direct Input"),"Required","Not Req'd")</f>
        <v>Required</v>
      </c>
      <c r="M46" s="82" t="s">
        <v>399</v>
      </c>
      <c r="Q46" s="96"/>
    </row>
    <row r="47" spans="1:17" s="101" customFormat="1" ht="13" x14ac:dyDescent="0.3">
      <c r="A47" s="458" t="s">
        <v>434</v>
      </c>
      <c r="B47" s="458"/>
      <c r="C47" s="458"/>
      <c r="D47" s="439"/>
      <c r="E47" s="419"/>
      <c r="F47" s="419"/>
      <c r="G47" s="419"/>
      <c r="H47" s="419"/>
      <c r="I47" s="419"/>
      <c r="J47" s="481"/>
      <c r="K47" s="481"/>
      <c r="L47" s="97" t="str">
        <f>IF(AND(TypeOfGas="Custom Gas",MethodOfSpecifyingDensity="Calculate from Spec Grav"),"Required","Not Req'd")</f>
        <v>Not Req'd</v>
      </c>
      <c r="M47" s="82" t="s">
        <v>399</v>
      </c>
      <c r="N47" s="82"/>
      <c r="P47" s="96"/>
      <c r="Q47" s="96"/>
    </row>
    <row r="48" spans="1:17" s="101" customFormat="1" ht="13" x14ac:dyDescent="0.3">
      <c r="A48" s="458" t="s">
        <v>435</v>
      </c>
      <c r="B48" s="458"/>
      <c r="C48" s="458"/>
      <c r="D48" s="439"/>
      <c r="E48" s="419"/>
      <c r="F48" s="419"/>
      <c r="G48" s="419"/>
      <c r="H48" s="419"/>
      <c r="I48" s="419"/>
      <c r="J48" s="481"/>
      <c r="K48" s="481"/>
      <c r="L48" s="97" t="str">
        <f>IF(AND(TypeOfGas="Custom Gas",OR(MethodOfSpecifyingDensity="Calculate from Mw",AND(FlowRateType="Volume Flow Rate",MethodOfSpecifyingDensity="Direct Input"))),"Required","Not Req'd")</f>
        <v>Not Req'd</v>
      </c>
      <c r="M48" s="82" t="s">
        <v>399</v>
      </c>
      <c r="N48" s="82"/>
      <c r="P48" s="96"/>
      <c r="Q48" s="96"/>
    </row>
    <row r="49" spans="1:17" s="101" customFormat="1" ht="13" x14ac:dyDescent="0.3">
      <c r="A49" s="458" t="s">
        <v>436</v>
      </c>
      <c r="B49" s="458"/>
      <c r="C49" s="458"/>
      <c r="D49" s="439"/>
      <c r="E49" s="419"/>
      <c r="F49" s="419"/>
      <c r="G49" s="419"/>
      <c r="H49" s="419"/>
      <c r="I49" s="419"/>
      <c r="J49" s="481"/>
      <c r="K49" s="481"/>
      <c r="L49" s="97" t="str">
        <f>IF(AND(TypeOfGas="Custom Gas",MethodOfSpecifyingDensity&lt;&gt;"Direct Input",CompressibilityOption="Direct Input"),"Required","Not Req'd")</f>
        <v>Not Req'd</v>
      </c>
      <c r="M49" s="82" t="s">
        <v>399</v>
      </c>
      <c r="N49" s="82"/>
      <c r="P49" s="96"/>
      <c r="Q49" s="96"/>
    </row>
    <row r="50" spans="1:17" s="101" customFormat="1" ht="13" x14ac:dyDescent="0.3">
      <c r="A50" s="458" t="s">
        <v>437</v>
      </c>
      <c r="B50" s="458"/>
      <c r="C50" s="458"/>
      <c r="D50" s="429" t="s">
        <v>438</v>
      </c>
      <c r="E50" s="419"/>
      <c r="F50" s="419"/>
      <c r="G50" s="419"/>
      <c r="H50" s="419"/>
      <c r="I50" s="419"/>
      <c r="J50" s="481"/>
      <c r="K50" s="481"/>
      <c r="L50" s="97" t="str">
        <f>IF(AND(TypeOfGas="Custom Gas",MethodOfSpecifyingDensity="Direct Input"),"Required","Not Req'd")</f>
        <v>Not Req'd</v>
      </c>
      <c r="M50" s="82" t="s">
        <v>399</v>
      </c>
      <c r="N50" s="82"/>
      <c r="P50" s="96"/>
      <c r="Q50" s="96"/>
    </row>
    <row r="51" spans="1:17" ht="13" x14ac:dyDescent="0.3">
      <c r="A51" s="458" t="s">
        <v>439</v>
      </c>
      <c r="B51" s="458"/>
      <c r="C51" s="458"/>
      <c r="D51" s="439"/>
      <c r="E51" s="419"/>
      <c r="F51" s="419"/>
      <c r="G51" s="419"/>
      <c r="H51" s="419"/>
      <c r="I51" s="419"/>
      <c r="J51" s="481"/>
      <c r="K51" s="481"/>
      <c r="L51" s="97" t="str">
        <f>IF(TypeOfGas="Custom Gas","Required","Not Req'd")</f>
        <v>Not Req'd</v>
      </c>
      <c r="M51" s="82" t="s">
        <v>399</v>
      </c>
      <c r="P51" s="102"/>
      <c r="Q51" s="102"/>
    </row>
    <row r="52" spans="1:17" s="101" customFormat="1" ht="13" x14ac:dyDescent="0.3">
      <c r="A52" s="458" t="s">
        <v>440</v>
      </c>
      <c r="B52" s="458"/>
      <c r="C52" s="458"/>
      <c r="D52" s="426" t="s">
        <v>441</v>
      </c>
      <c r="E52" s="164" t="str">
        <f>IF(E135=0,"",Conv("C",E160,$D$160,$D$52))</f>
        <v/>
      </c>
      <c r="F52" s="9" t="str">
        <f>IF(F135=0,"",Conv("C",F160,$D$160,$D$52))</f>
        <v/>
      </c>
      <c r="G52" s="9" t="str">
        <f>IF(G135=0,"",Conv("C",G160,$D$160,$D$52))</f>
        <v/>
      </c>
      <c r="H52" s="9" t="str">
        <f>IF(H135=0,"",Conv("C",H160,$D$160,$D$52))</f>
        <v/>
      </c>
      <c r="I52" s="9" t="str">
        <f>IF(I135=0,"",Conv("C",I160,$D$160,$D$52))</f>
        <v/>
      </c>
      <c r="J52" s="481"/>
      <c r="K52" s="481"/>
      <c r="L52" s="97"/>
      <c r="M52" s="82" t="s">
        <v>442</v>
      </c>
      <c r="N52" s="82" t="str">
        <f>"C("&amp;$D$52&amp;") = "&amp;TEXT(Conv("C",1,$D$160,$D$52),"General")&amp;"*C("&amp;$D$160&amp;")"</f>
        <v>C(Cv) = 1.156098639*C(Kv)</v>
      </c>
      <c r="P52" s="96"/>
      <c r="Q52" s="96"/>
    </row>
    <row r="53" spans="1:17" s="101" customFormat="1" ht="13" x14ac:dyDescent="0.3">
      <c r="A53" s="409"/>
      <c r="B53" s="409"/>
      <c r="C53" s="409"/>
      <c r="D53" s="174"/>
      <c r="E53" s="164"/>
      <c r="F53" s="9"/>
      <c r="G53" s="9"/>
      <c r="H53" s="9"/>
      <c r="I53" s="9"/>
      <c r="J53" s="410"/>
      <c r="K53" s="410"/>
      <c r="L53" s="97"/>
      <c r="M53" s="82"/>
      <c r="N53" s="82"/>
      <c r="P53" s="96"/>
      <c r="Q53" s="96"/>
    </row>
    <row r="54" spans="1:17" ht="13" x14ac:dyDescent="0.3">
      <c r="A54" s="485" t="s">
        <v>754</v>
      </c>
      <c r="B54" s="485"/>
      <c r="C54" s="485"/>
      <c r="D54" s="408" t="s">
        <v>403</v>
      </c>
      <c r="E54" s="460" t="s">
        <v>427</v>
      </c>
      <c r="F54" s="460"/>
      <c r="G54" s="460"/>
      <c r="H54" s="460"/>
      <c r="I54" s="460"/>
      <c r="J54" s="410"/>
      <c r="K54" s="410"/>
      <c r="N54" s="113"/>
      <c r="P54" s="102"/>
      <c r="Q54" s="102"/>
    </row>
    <row r="55" spans="1:17" ht="13" x14ac:dyDescent="0.3">
      <c r="A55" s="484" t="s">
        <v>749</v>
      </c>
      <c r="B55" s="484"/>
      <c r="C55" s="484"/>
      <c r="D55" s="427" t="s">
        <v>496</v>
      </c>
      <c r="E55" s="175" t="str">
        <f>IF(E135=0,"",Conv("U",E138,$D$138,$D$55))</f>
        <v/>
      </c>
      <c r="F55" s="175" t="str">
        <f>IF(F135=0,"",Conv("U",F138,$D$138,$D$55))</f>
        <v/>
      </c>
      <c r="G55" s="175" t="str">
        <f>IF(G135=0,"",Conv("U",G138,$D$138,$D$55))</f>
        <v/>
      </c>
      <c r="H55" s="175" t="str">
        <f>IF(H135=0,"",Conv("U",H138,$D$138,$D$55))</f>
        <v/>
      </c>
      <c r="I55" s="175" t="str">
        <f>IF(I135=0,"",Conv("U",I138,$D$138,$D$55))</f>
        <v/>
      </c>
      <c r="J55" s="410"/>
      <c r="K55" s="410"/>
      <c r="N55" s="113"/>
      <c r="P55" s="102"/>
      <c r="Q55" s="102"/>
    </row>
    <row r="56" spans="1:17" ht="13" x14ac:dyDescent="0.3">
      <c r="A56" s="484" t="s">
        <v>750</v>
      </c>
      <c r="B56" s="484"/>
      <c r="C56" s="484"/>
      <c r="D56" s="426" t="s">
        <v>513</v>
      </c>
      <c r="E56" s="175" t="str">
        <f>IF(E135=0,"",Conv("dP",E139,$D$139,$D$56))</f>
        <v/>
      </c>
      <c r="F56" s="175" t="str">
        <f>IF(F135=0,"",Conv("dP",F139,$D$139,$D$56))</f>
        <v/>
      </c>
      <c r="G56" s="175" t="str">
        <f>IF(G135=0,"",Conv("dP",G139,$D$139,$D$56))</f>
        <v/>
      </c>
      <c r="H56" s="175" t="str">
        <f>IF(H135=0,"",Conv("dP",H139,$D$139,$D$56))</f>
        <v/>
      </c>
      <c r="I56" s="175" t="str">
        <f>IF(I135=0,"",Conv("dP",I139,$D$139,$D$56))</f>
        <v/>
      </c>
      <c r="J56" s="410"/>
      <c r="K56" s="410"/>
      <c r="N56" s="113"/>
      <c r="P56" s="102"/>
      <c r="Q56" s="102"/>
    </row>
    <row r="57" spans="1:17" ht="13" x14ac:dyDescent="0.3">
      <c r="A57" s="413"/>
      <c r="B57" s="413"/>
      <c r="C57" s="107"/>
      <c r="D57" s="12"/>
      <c r="E57" s="9"/>
      <c r="F57" s="9"/>
      <c r="G57" s="9"/>
      <c r="H57" s="9"/>
      <c r="I57" s="9"/>
      <c r="J57" s="410"/>
      <c r="K57" s="410"/>
      <c r="N57" s="113"/>
      <c r="P57" s="102"/>
      <c r="Q57" s="102"/>
    </row>
    <row r="58" spans="1:17" ht="13" x14ac:dyDescent="0.3">
      <c r="A58" s="459" t="s">
        <v>447</v>
      </c>
      <c r="B58" s="459"/>
      <c r="C58" s="459"/>
      <c r="D58" s="408" t="s">
        <v>403</v>
      </c>
      <c r="E58" s="460" t="s">
        <v>427</v>
      </c>
      <c r="F58" s="460"/>
      <c r="G58" s="460"/>
      <c r="H58" s="460"/>
      <c r="I58" s="460"/>
      <c r="J58" s="483"/>
      <c r="K58" s="483"/>
      <c r="Q58" s="96"/>
    </row>
    <row r="59" spans="1:17" s="101" customFormat="1" ht="13" x14ac:dyDescent="0.3">
      <c r="A59" s="458" t="s">
        <v>739</v>
      </c>
      <c r="B59" s="458"/>
      <c r="C59" s="458"/>
      <c r="D59" s="105" t="s">
        <v>469</v>
      </c>
      <c r="E59" s="161" t="str">
        <f>$M$59</f>
        <v/>
      </c>
      <c r="F59" s="161" t="str">
        <f t="shared" ref="F59:I59" si="0">$M$59</f>
        <v/>
      </c>
      <c r="G59" s="161" t="str">
        <f t="shared" si="0"/>
        <v/>
      </c>
      <c r="H59" s="161" t="str">
        <f t="shared" si="0"/>
        <v/>
      </c>
      <c r="I59" s="161" t="str">
        <f t="shared" si="0"/>
        <v/>
      </c>
      <c r="J59" s="410"/>
      <c r="K59" s="410"/>
      <c r="L59" s="97" t="str">
        <f>IF(OR(ValveType="KKI HF, High Friction Cage",ValveType="550G/560G, Standard DHC"),  "Required",  "Not Req'd")</f>
        <v>Not Req'd</v>
      </c>
      <c r="M59" s="455" t="str">
        <f>IF(ValveType="KKI HF, High Friction Cage",
    mathNSf(Conv("L",INDEX(ValveData!$L$19:$M$42, MATCH($E$28,NomValveSizes,0), IF($D$16="HF",1,2)),"mm",D59),3),
    IF(ValveType="550G/560G, Standard DHC",
      IF(F70&lt;50,  2,  IF(F70&lt;90,  2.5,  IF(F70&lt;160,  3,  IF(F70&lt;245,  4,  6)))),""))</f>
        <v/>
      </c>
      <c r="N59" s="82"/>
      <c r="P59" s="102"/>
      <c r="Q59" s="102"/>
    </row>
    <row r="60" spans="1:17" ht="13.25" customHeight="1" x14ac:dyDescent="0.3">
      <c r="A60" s="458" t="s">
        <v>742</v>
      </c>
      <c r="B60" s="458"/>
      <c r="C60" s="458"/>
      <c r="D60" s="105"/>
      <c r="E60" s="433" t="str">
        <f>IF(E135=0,"",
    StgNeeded(E135/3600,E154,E132,E174,IF($D$10="Turbine Bypass",10.35,4.85),2^0.1,1))</f>
        <v/>
      </c>
      <c r="F60" s="433" t="str">
        <f>IF(F135=0,"",
    StgNeeded(F135/3600,F154,F132,F174,IF($D$10="Turbine Bypass",10.35,4.85),2^0.1,1))</f>
        <v/>
      </c>
      <c r="G60" s="433" t="str">
        <f>IF(G135=0,"",
    StgNeeded(G135/3600,G154,G132,G174,IF($D$10="Turbine Bypass",10.35,4.85),2^0.1,1))</f>
        <v/>
      </c>
      <c r="H60" s="433" t="str">
        <f>IF(H135=0,"",
    StgNeeded(H135/3600,H154,H132,H174,IF($D$10="Turbine Bypass",10.35,4.85),2^0.1,1))</f>
        <v/>
      </c>
      <c r="I60" s="433" t="str">
        <f>IF(I135=0,"",
    StgNeeded(I135/3600,I154,I132,I174,IF($D$10="Turbine Bypass",10.35,4.85),2^0.1,1))</f>
        <v/>
      </c>
      <c r="J60" s="142" t="s">
        <v>448</v>
      </c>
      <c r="K60" s="107"/>
      <c r="L60" s="97" t="str">
        <f>IF(OR(
    ValveType="530D/540D, Custom Vector",
    ValveType="510D/520D, Standard Vector"),"Required","Not Req'd")</f>
        <v>Required</v>
      </c>
      <c r="N60" s="111" t="str">
        <f>IF($D$10="Turbine Bypass","Nn = StgNeeded(W, rho2, c1, Cv_Vctr, 10.35,1)","Nn = StgNeeded(W, rho2, c1, Cv_Vctr, 4.85,1)")</f>
        <v>Nn = StgNeeded(W, rho2, c1, Cv_Vctr, 4.85,1)</v>
      </c>
      <c r="P60" s="112"/>
      <c r="Q60" s="112"/>
    </row>
    <row r="61" spans="1:17" ht="13" x14ac:dyDescent="0.3">
      <c r="A61" s="458" t="s">
        <v>449</v>
      </c>
      <c r="B61" s="458"/>
      <c r="C61" s="458"/>
      <c r="D61" s="105"/>
      <c r="E61" s="419"/>
      <c r="F61" s="419"/>
      <c r="G61" s="419"/>
      <c r="H61" s="419"/>
      <c r="I61" s="419"/>
      <c r="J61" s="172" t="str">
        <f>IF(MAX(E177:I177)&gt;E105,"More stages recommended","")</f>
        <v/>
      </c>
      <c r="K61" s="107"/>
      <c r="L61" s="97" t="str">
        <f>IF(OR(
    ValveType="530D/540D, Custom Vector",
    ValveType="510D/520D, Standard Vector"),"Required","Not Req'd")</f>
        <v>Required</v>
      </c>
      <c r="M61" s="82" t="str">
        <f>IF(OR(ValveType="530D/540D, Custom Vector",  ValveType="510D/520D, Standard Vector"),  "Given",  "")</f>
        <v>Given</v>
      </c>
      <c r="Q61" s="96"/>
    </row>
    <row r="62" spans="1:17" ht="13" x14ac:dyDescent="0.3">
      <c r="A62" s="458" t="s">
        <v>756</v>
      </c>
      <c r="B62" s="458"/>
      <c r="C62" s="458"/>
      <c r="D62" s="105" t="str">
        <f>D55</f>
        <v>m/s</v>
      </c>
      <c r="E62" s="434" t="str">
        <f>IF(OR(ISBLANK(E61),E135=0),"",Conv("U",E176,$D$176,$D$62))</f>
        <v/>
      </c>
      <c r="F62" s="434" t="str">
        <f>IF(OR(ISBLANK(F61),F135=0),"",Conv("U",F176,$D$176,$D$62))</f>
        <v/>
      </c>
      <c r="G62" s="434" t="str">
        <f>IF(OR(ISBLANK(G61),G135=0),"",Conv("U",G176,$D$176,$D$62))</f>
        <v/>
      </c>
      <c r="H62" s="434" t="str">
        <f>IF(OR(ISBLANK(H61),H135=0),"",Conv("U",H176,$D$176,$D$62))</f>
        <v/>
      </c>
      <c r="I62" s="434" t="str">
        <f>IF(OR(ISBLANK(I61),I135=0),"",Conv("U",I176,$D$176,$D$62))</f>
        <v/>
      </c>
      <c r="J62" s="107"/>
      <c r="K62" s="107"/>
      <c r="L62" s="97" t="str">
        <f>IF(OR(ValveType="530D/540D, Custom Vector",
            ValveType="510D/520D, Standard Vector",
            AND(ValveType="KKI HF, High Friction Cage",D16&lt;&gt;"HF")),  "Required",  "Not Req'd")</f>
        <v>Required</v>
      </c>
      <c r="Q62" s="96"/>
    </row>
    <row r="63" spans="1:17" s="101" customFormat="1" ht="13" x14ac:dyDescent="0.3">
      <c r="A63" s="458" t="s">
        <v>755</v>
      </c>
      <c r="B63" s="458"/>
      <c r="C63" s="458"/>
      <c r="D63" s="105" t="str">
        <f>D56</f>
        <v>bar</v>
      </c>
      <c r="E63" s="435" t="str">
        <f>IF(OR(ISBLANK(E61),E135=0),"",Conv("dp",E177,$D$177,$D$63))</f>
        <v/>
      </c>
      <c r="F63" s="435" t="str">
        <f>IF(OR(ISBLANK(F61),F135=0),"",Conv("dp",F177,$D$177,$D$63))</f>
        <v/>
      </c>
      <c r="G63" s="435" t="str">
        <f>IF(OR(ISBLANK(G61),G135=0),"",Conv("dp",G177,$D$177,$D$63))</f>
        <v/>
      </c>
      <c r="H63" s="435" t="str">
        <f>IF(OR(ISBLANK(H61),H135=0),"",Conv("dp",H177,$D$177,$D$63))</f>
        <v/>
      </c>
      <c r="I63" s="435" t="str">
        <f>IF(OR(ISBLANK(I61),I135=0),"",Conv("dp",I177,$D$177,$D$63))</f>
        <v/>
      </c>
      <c r="J63" s="481"/>
      <c r="K63" s="481"/>
      <c r="L63" s="97" t="str">
        <f>IF(OR(ValveType="530D/540D, Custom Vector",
            ValveType="510D/520D, Standard Vector",
            AND(ValveType="KKI HF, High Friction Cage",D16&lt;&gt;"HF")),  "Required",  "Not Req'd")</f>
        <v>Required</v>
      </c>
      <c r="M63" s="82" t="s">
        <v>442</v>
      </c>
      <c r="N63" s="82" t="str">
        <f>"KEo("&amp;$D$63&amp;") = "&amp;TEXT((Conv("dP",1,$D$177,$D$63)-Conv("dP",0,$D$177,$D$63))/1,"General")&amp;"*KEo(bar)"</f>
        <v>KEo(bar) = 1*KEo(bar)</v>
      </c>
      <c r="P63" s="102"/>
      <c r="Q63" s="102"/>
    </row>
    <row r="64" spans="1:17" s="101" customFormat="1" ht="13" x14ac:dyDescent="0.3">
      <c r="A64" s="443"/>
      <c r="B64" s="443"/>
      <c r="C64" s="443"/>
      <c r="D64" s="105"/>
      <c r="E64" s="435"/>
      <c r="F64" s="435"/>
      <c r="G64" s="435"/>
      <c r="H64" s="435"/>
      <c r="I64" s="435"/>
      <c r="J64" s="444"/>
      <c r="K64" s="444"/>
      <c r="L64" s="97"/>
      <c r="M64" s="82"/>
      <c r="N64" s="82"/>
      <c r="P64" s="102"/>
      <c r="Q64" s="102"/>
    </row>
    <row r="65" spans="1:48" ht="13" x14ac:dyDescent="0.3">
      <c r="A65" s="484" t="s">
        <v>744</v>
      </c>
      <c r="B65" s="484"/>
      <c r="C65" s="484"/>
      <c r="D65" s="12" t="s">
        <v>450</v>
      </c>
      <c r="E65" s="9" t="str">
        <f>IF(E135=0,"",MAX(75,E255))</f>
        <v/>
      </c>
      <c r="F65" s="9" t="str">
        <f>IF(F135=0,"",MAX(75,F255))</f>
        <v/>
      </c>
      <c r="G65" s="9" t="str">
        <f>IF(G135=0,"",MAX(75,G255))</f>
        <v/>
      </c>
      <c r="H65" s="9" t="str">
        <f>IF(H135=0,"",MAX(75,H255))</f>
        <v/>
      </c>
      <c r="I65" s="9" t="str">
        <f>IF(I135=0,"",MAX(75,I255))</f>
        <v/>
      </c>
      <c r="J65" s="481"/>
      <c r="K65" s="481"/>
      <c r="N65" s="113"/>
      <c r="P65" s="102"/>
      <c r="Q65" s="102"/>
    </row>
    <row r="66" spans="1:48" x14ac:dyDescent="0.25">
      <c r="A66" s="107"/>
      <c r="B66" s="107"/>
      <c r="C66" s="107"/>
      <c r="D66" s="107"/>
      <c r="E66" s="107"/>
      <c r="F66" s="107"/>
      <c r="G66" s="107"/>
      <c r="H66" s="107"/>
      <c r="I66" s="107"/>
      <c r="J66" s="107"/>
      <c r="K66" s="107"/>
    </row>
    <row r="67" spans="1:48" ht="13" x14ac:dyDescent="0.3">
      <c r="A67" s="459" t="s">
        <v>443</v>
      </c>
      <c r="B67" s="459"/>
      <c r="C67" s="459"/>
      <c r="D67" s="408" t="s">
        <v>403</v>
      </c>
      <c r="E67" s="408" t="s">
        <v>741</v>
      </c>
      <c r="F67" s="408" t="s">
        <v>414</v>
      </c>
      <c r="G67" s="412"/>
      <c r="H67" s="412"/>
      <c r="I67" s="412"/>
      <c r="J67" s="412"/>
      <c r="K67" s="412"/>
      <c r="M67" s="108"/>
      <c r="O67" s="95"/>
      <c r="Q67" s="96"/>
    </row>
    <row r="68" spans="1:48" ht="13" x14ac:dyDescent="0.3">
      <c r="A68" s="462" t="s">
        <v>444</v>
      </c>
      <c r="B68" s="462"/>
      <c r="C68" s="462"/>
      <c r="D68" s="426" t="s">
        <v>469</v>
      </c>
      <c r="E68" s="109">
        <f>Conv("L",E166,$D$166,$D$68)</f>
        <v>0</v>
      </c>
      <c r="F68" s="107"/>
      <c r="G68" s="142"/>
      <c r="H68" s="142"/>
      <c r="I68" s="142"/>
      <c r="J68" s="142"/>
      <c r="K68" s="142"/>
      <c r="M68" s="82" t="s">
        <v>442</v>
      </c>
      <c r="N68" s="82" t="str">
        <f>"Dplgke("&amp;$D$68&amp;") = "&amp;TEXT(Conv("L",1,$D$161,$D$68),"General")&amp;"*Dplgke("&amp;$D$161&amp;")"</f>
        <v>Dplgke(mm) = 1*Dplgke(mm)</v>
      </c>
      <c r="Q68" s="96"/>
    </row>
    <row r="69" spans="1:48" ht="13" x14ac:dyDescent="0.3">
      <c r="A69" s="458" t="s">
        <v>445</v>
      </c>
      <c r="B69" s="458"/>
      <c r="C69" s="458"/>
      <c r="D69" s="105" t="str">
        <f>$D$68</f>
        <v>mm</v>
      </c>
      <c r="E69" s="109">
        <f>Conv("L",E161,$D$161,$D$69)</f>
        <v>0</v>
      </c>
      <c r="F69" s="107"/>
      <c r="G69" s="142" t="str">
        <f>IF($D$17="Angle","Assumes BF = 30","Assumes BF = 21")</f>
        <v>Assumes BF = 21</v>
      </c>
      <c r="H69" s="142"/>
      <c r="I69" s="142"/>
      <c r="J69" s="142"/>
      <c r="K69" s="142"/>
      <c r="M69" s="82" t="s">
        <v>442</v>
      </c>
      <c r="N69" s="82" t="str">
        <f>"Dplgcv("&amp;$D$69&amp;") = "&amp;TEXT(Conv("L",1,$D$161,$D$69),"General")&amp;"*Dplgcv("&amp;$D$161&amp;")"</f>
        <v>Dplgcv(mm) = 1*Dplgcv(mm)</v>
      </c>
      <c r="Q69" s="96"/>
    </row>
    <row r="70" spans="1:48" ht="13" x14ac:dyDescent="0.3">
      <c r="A70" s="458" t="s">
        <v>446</v>
      </c>
      <c r="B70" s="458"/>
      <c r="C70" s="458"/>
      <c r="D70" s="105" t="str">
        <f>$D$68</f>
        <v>mm</v>
      </c>
      <c r="E70" s="107"/>
      <c r="F70" s="428"/>
      <c r="G70" s="142" t="str">
        <f>IF(MAX(E169:I169)&gt;E105,"Larger plug recommended","")</f>
        <v/>
      </c>
      <c r="H70" s="142"/>
      <c r="I70" s="142"/>
      <c r="J70" s="142"/>
      <c r="K70" s="142"/>
      <c r="Q70" s="96"/>
    </row>
    <row r="71" spans="1:48" ht="13" x14ac:dyDescent="0.3">
      <c r="A71" s="459" t="s">
        <v>1001</v>
      </c>
      <c r="B71" s="459"/>
      <c r="C71" s="459"/>
      <c r="D71" s="416" t="s">
        <v>403</v>
      </c>
      <c r="E71" s="460" t="s">
        <v>427</v>
      </c>
      <c r="F71" s="460"/>
      <c r="G71" s="460"/>
      <c r="H71" s="460"/>
      <c r="I71" s="460"/>
      <c r="J71" s="142"/>
      <c r="K71" s="142"/>
      <c r="Q71" s="96"/>
    </row>
    <row r="72" spans="1:48" ht="13" x14ac:dyDescent="0.3">
      <c r="A72" s="458" t="s">
        <v>1016</v>
      </c>
      <c r="B72" s="458"/>
      <c r="C72" s="458"/>
      <c r="D72" s="105" t="str">
        <f>D55</f>
        <v>m/s</v>
      </c>
      <c r="E72" s="110" t="str">
        <f>IF(E135=0,"",Conv("U",E168,$D$168,$D$72))</f>
        <v/>
      </c>
      <c r="F72" s="110" t="str">
        <f>IF(F135=0,"",Conv("U",F168,$D$168,$D$72))</f>
        <v/>
      </c>
      <c r="G72" s="110" t="str">
        <f>IF(G135=0,"",Conv("U",G168,$D$168,$D$72))</f>
        <v/>
      </c>
      <c r="H72" s="110" t="str">
        <f>IF(H135=0,"",Conv("U",H168,$D$168,$D$72))</f>
        <v/>
      </c>
      <c r="I72" s="110" t="str">
        <f>IF(I135=0,"",Conv("U",I168,$D$168,$D$72))</f>
        <v/>
      </c>
      <c r="J72" s="142"/>
      <c r="K72" s="142"/>
      <c r="Q72" s="96"/>
    </row>
    <row r="73" spans="1:48" ht="13" x14ac:dyDescent="0.3">
      <c r="A73" s="458" t="s">
        <v>1017</v>
      </c>
      <c r="B73" s="458"/>
      <c r="C73" s="458"/>
      <c r="D73" s="426" t="s">
        <v>513</v>
      </c>
      <c r="E73" s="110" t="str">
        <f>IF(E135=0,"",Conv("dP",E169,$D$169,$D$73))</f>
        <v/>
      </c>
      <c r="F73" s="110" t="str">
        <f>IF(F135=0,"",Conv("dP",F169,$D$169,$D$73))</f>
        <v/>
      </c>
      <c r="G73" s="110" t="str">
        <f>IF(G135=0,"",Conv("dP",G169,$D$169,$D$73))</f>
        <v/>
      </c>
      <c r="H73" s="110" t="str">
        <f>IF(H135=0,"",Conv("dP",H169,$D$169,$D$73))</f>
        <v/>
      </c>
      <c r="I73" s="110" t="str">
        <f>IF(I135=0,"",Conv("dP",I169,$D$169,$D$73))</f>
        <v/>
      </c>
      <c r="J73" s="140"/>
      <c r="K73" s="140"/>
      <c r="Q73" s="96"/>
    </row>
    <row r="74" spans="1:48" ht="13" x14ac:dyDescent="0.3">
      <c r="A74" s="409"/>
      <c r="B74" s="409"/>
      <c r="C74" s="409"/>
      <c r="D74" s="409"/>
      <c r="E74" s="110"/>
      <c r="F74" s="110"/>
      <c r="G74" s="110"/>
      <c r="H74" s="110"/>
      <c r="I74" s="110"/>
      <c r="J74" s="140"/>
      <c r="K74" s="140"/>
      <c r="Q74" s="96"/>
    </row>
    <row r="75" spans="1:48" ht="13" x14ac:dyDescent="0.3">
      <c r="A75" s="459" t="s">
        <v>451</v>
      </c>
      <c r="B75" s="459"/>
      <c r="C75" s="459"/>
      <c r="D75" s="408" t="s">
        <v>403</v>
      </c>
      <c r="E75" s="408" t="s">
        <v>741</v>
      </c>
      <c r="F75" s="408" t="s">
        <v>414</v>
      </c>
      <c r="G75" s="412"/>
      <c r="H75" s="412"/>
      <c r="I75" s="412"/>
      <c r="J75" s="412"/>
      <c r="K75" s="412"/>
      <c r="Q75" s="96"/>
    </row>
    <row r="76" spans="1:48" ht="13" x14ac:dyDescent="0.3">
      <c r="A76" s="458" t="str">
        <f>IF(FlowDirection="Flow to Open (UTP)","Minimum Valve Outlet Run ID","Plug Diameter")</f>
        <v>Minimum Valve Outlet Run ID</v>
      </c>
      <c r="B76" s="458"/>
      <c r="C76" s="458"/>
      <c r="D76" s="105" t="str">
        <f>$D$68</f>
        <v>mm</v>
      </c>
      <c r="E76" s="361">
        <f>IF(FlowDirection="Flow to Open (UTP)",
    mathNSf(Conv("L",INDEX(ValveData!$D$19:$J$42, MATCH(F28,NomValveSizes,0), MATCH(F29,Pr,0)),"mm",$D$76),4),
    F70)</f>
        <v>72.900000000000006</v>
      </c>
      <c r="F76" s="106">
        <f>E76</f>
        <v>72.900000000000006</v>
      </c>
      <c r="G76" s="410"/>
      <c r="H76" s="410"/>
      <c r="I76" s="410"/>
      <c r="J76" s="410"/>
      <c r="K76" s="410"/>
      <c r="Q76" s="96"/>
    </row>
    <row r="77" spans="1:48" ht="13" x14ac:dyDescent="0.3">
      <c r="A77" s="409"/>
      <c r="B77" s="409"/>
      <c r="C77" s="409"/>
      <c r="D77" s="105"/>
      <c r="E77" s="105"/>
      <c r="F77" s="105"/>
      <c r="G77" s="410"/>
      <c r="H77" s="410"/>
      <c r="I77" s="410"/>
      <c r="J77" s="410"/>
      <c r="K77" s="410"/>
      <c r="Q77" s="96"/>
    </row>
    <row r="78" spans="1:48" s="116" customFormat="1" ht="13.5" x14ac:dyDescent="0.35">
      <c r="A78" s="485" t="s">
        <v>685</v>
      </c>
      <c r="B78" s="485"/>
      <c r="C78" s="485"/>
      <c r="D78" s="408" t="s">
        <v>403</v>
      </c>
      <c r="E78" s="408" t="s">
        <v>741</v>
      </c>
      <c r="F78" s="408" t="s">
        <v>414</v>
      </c>
      <c r="G78" s="410"/>
      <c r="H78" s="410"/>
      <c r="I78" s="410"/>
      <c r="J78" s="410"/>
      <c r="K78" s="410"/>
      <c r="L78" s="97"/>
      <c r="M78" s="114"/>
      <c r="N78" s="114"/>
      <c r="O78" s="96"/>
      <c r="P78" s="115"/>
      <c r="Q78" s="115"/>
      <c r="AA78" s="95"/>
      <c r="AB78" s="95"/>
      <c r="AC78" s="95"/>
      <c r="AD78" s="95"/>
      <c r="AE78" s="95"/>
      <c r="AF78" s="95"/>
      <c r="AG78" s="95"/>
      <c r="AH78" s="95"/>
      <c r="AI78" s="95"/>
      <c r="AJ78" s="95"/>
      <c r="AK78" s="95"/>
      <c r="AL78" s="95"/>
      <c r="AM78" s="95"/>
      <c r="AN78" s="95"/>
      <c r="AO78" s="95"/>
      <c r="AP78" s="95"/>
      <c r="AQ78" s="95"/>
      <c r="AR78" s="95"/>
      <c r="AS78" s="95"/>
      <c r="AT78" s="95"/>
      <c r="AU78" s="95"/>
      <c r="AV78" s="95"/>
    </row>
    <row r="79" spans="1:48" ht="13" x14ac:dyDescent="0.3">
      <c r="A79" s="462" t="str">
        <f>IF(FlowDistributorDesign="None","Entrance Dia to Outlet Pipe","Flow Distributor Outlet Hole Size")</f>
        <v>Entrance Dia to Outlet Pipe</v>
      </c>
      <c r="B79" s="462"/>
      <c r="C79" s="462"/>
      <c r="D79" s="85" t="str">
        <f>$D$68</f>
        <v>mm</v>
      </c>
      <c r="E79" s="105">
        <f>IF(FlowDistributorDesign="None",
    Conv("L",E143,$D$143,$D$79),
    IF(D79="in.",0.25,6.35))</f>
        <v>72.900000000000006</v>
      </c>
      <c r="F79" s="441">
        <f>E79</f>
        <v>72.900000000000006</v>
      </c>
      <c r="G79" s="145" t="s">
        <v>452</v>
      </c>
      <c r="H79" s="145"/>
      <c r="I79" s="145"/>
      <c r="J79" s="145"/>
      <c r="K79" s="145"/>
      <c r="M79" s="82" t="s">
        <v>399</v>
      </c>
      <c r="Q79" s="96"/>
    </row>
    <row r="80" spans="1:48" ht="13" x14ac:dyDescent="0.3">
      <c r="A80" s="490" t="s">
        <v>1003</v>
      </c>
      <c r="B80" s="490"/>
      <c r="C80" s="490"/>
      <c r="D80" s="173"/>
      <c r="E80" s="105">
        <f>IF(FlowDistributorDesign="None",
    1,
    INT(1.5*E143^2/Conv("L",F79,$D79,"mm")^2))</f>
        <v>1</v>
      </c>
      <c r="F80" s="106">
        <f>E80</f>
        <v>1</v>
      </c>
      <c r="G80" s="143" t="str">
        <f>IF($D$19="None","",
    IF(E80=F80,
      IF($D$18="Flow to Close (OTP)","Default outlet hole area is 1.5 times the plug area","Default outlet hole area is 1.5 times the valve run area"),""))</f>
        <v/>
      </c>
      <c r="H80" s="143"/>
      <c r="I80" s="143"/>
      <c r="J80" s="143"/>
      <c r="K80" s="143"/>
      <c r="M80" s="82" t="s">
        <v>399</v>
      </c>
      <c r="Q80" s="96"/>
    </row>
    <row r="81" spans="1:17" s="101" customFormat="1" ht="13" x14ac:dyDescent="0.3">
      <c r="A81" s="488" t="s">
        <v>1002</v>
      </c>
      <c r="B81" s="488"/>
      <c r="C81" s="488"/>
      <c r="D81" s="14"/>
      <c r="E81" s="417"/>
      <c r="F81" s="15">
        <f>E147/(PI()/4*E143^2)</f>
        <v>1</v>
      </c>
      <c r="G81" s="144"/>
      <c r="H81" s="144"/>
      <c r="I81" s="144"/>
      <c r="J81" s="144"/>
      <c r="K81" s="144"/>
      <c r="L81" s="97" t="str">
        <f>IF(FlowDistributorDesign="None","Not Req'd","Required")</f>
        <v>Not Req'd</v>
      </c>
      <c r="M81" s="82"/>
      <c r="N81" s="82" t="s">
        <v>454</v>
      </c>
      <c r="P81" s="102"/>
      <c r="Q81" s="102"/>
    </row>
    <row r="82" spans="1:17" s="101" customFormat="1" ht="13" x14ac:dyDescent="0.3">
      <c r="A82" s="488" t="s">
        <v>453</v>
      </c>
      <c r="B82" s="488"/>
      <c r="C82" s="488"/>
      <c r="D82" s="85"/>
      <c r="E82" s="14">
        <v>2</v>
      </c>
      <c r="F82" s="400">
        <f>E82</f>
        <v>2</v>
      </c>
      <c r="G82" s="411"/>
      <c r="H82" s="144"/>
      <c r="I82" s="144"/>
      <c r="J82" s="144"/>
      <c r="K82" s="144"/>
      <c r="L82" s="97" t="str">
        <f>IF(OR(FlowDistributorDesign="None",FlowDistributorDesign="1 Stage"),"Not Req'd","Required")</f>
        <v>Not Req'd</v>
      </c>
      <c r="M82" s="82" t="str">
        <f>IF(OR(D19="None",D19="1 Stage"),"","Given")</f>
        <v/>
      </c>
      <c r="N82" s="82"/>
      <c r="P82" s="102"/>
      <c r="Q82" s="102"/>
    </row>
    <row r="83" spans="1:17" s="101" customFormat="1" ht="13" x14ac:dyDescent="0.3">
      <c r="A83" s="488" t="str">
        <f>IF(FlowDistributorDesign="None","Expander Flow Coefficient","Flow Distrib. Flow Coefficient")</f>
        <v>Expander Flow Coefficient</v>
      </c>
      <c r="B83" s="488"/>
      <c r="C83" s="488"/>
      <c r="D83" s="85" t="str">
        <f>$D$52</f>
        <v>Cv</v>
      </c>
      <c r="E83" s="417"/>
      <c r="F83" s="9">
        <f>Conv("C",E148,$D$148,$D$83)</f>
        <v>1449.3565623161703</v>
      </c>
      <c r="G83" s="144"/>
      <c r="H83" s="144"/>
      <c r="I83" s="144"/>
      <c r="J83" s="144"/>
      <c r="K83" s="144"/>
      <c r="L83" s="97" t="str">
        <f>IF(FlowDistributorDesign="None","Not Req'd","Required")</f>
        <v>Not Req'd</v>
      </c>
      <c r="M83" s="82"/>
      <c r="N83" s="82"/>
      <c r="P83" s="102"/>
      <c r="Q83" s="102"/>
    </row>
    <row r="84" spans="1:17" s="101" customFormat="1" ht="13" x14ac:dyDescent="0.3">
      <c r="A84" s="411"/>
      <c r="B84" s="411"/>
      <c r="C84" s="411"/>
      <c r="D84" s="85"/>
      <c r="E84" s="417"/>
      <c r="F84" s="9"/>
      <c r="G84" s="144"/>
      <c r="H84" s="144"/>
      <c r="I84" s="144"/>
      <c r="J84" s="144"/>
      <c r="K84" s="144"/>
      <c r="L84" s="97"/>
      <c r="M84" s="82"/>
      <c r="N84" s="82"/>
      <c r="P84" s="102"/>
      <c r="Q84" s="102"/>
    </row>
    <row r="85" spans="1:17" s="101" customFormat="1" ht="13" x14ac:dyDescent="0.3">
      <c r="A85" s="485" t="s">
        <v>727</v>
      </c>
      <c r="B85" s="485"/>
      <c r="C85" s="485"/>
      <c r="D85" s="408" t="s">
        <v>403</v>
      </c>
      <c r="E85" s="460" t="s">
        <v>427</v>
      </c>
      <c r="F85" s="460"/>
      <c r="G85" s="460"/>
      <c r="H85" s="460"/>
      <c r="I85" s="460"/>
      <c r="J85" s="483"/>
      <c r="K85" s="483"/>
      <c r="L85" s="97"/>
      <c r="M85" s="82"/>
      <c r="N85" s="82"/>
      <c r="P85" s="102"/>
      <c r="Q85" s="102"/>
    </row>
    <row r="86" spans="1:17" s="101" customFormat="1" ht="13" x14ac:dyDescent="0.3">
      <c r="A86" s="487" t="s">
        <v>455</v>
      </c>
      <c r="B86" s="487"/>
      <c r="C86" s="487"/>
      <c r="D86" s="14" t="str">
        <f>$D$44</f>
        <v>barA</v>
      </c>
      <c r="E86" s="11" t="str">
        <f>IF(E135=0,"",Conv("p",E152,$D$152,$D$86))</f>
        <v/>
      </c>
      <c r="F86" s="11" t="str">
        <f>IF(F135=0,"",Conv("p",F152,$D$152,$D$86))</f>
        <v/>
      </c>
      <c r="G86" s="11" t="str">
        <f>IF(G135=0,"",Conv("p",G152,$D$152,$D$86))</f>
        <v/>
      </c>
      <c r="H86" s="11" t="str">
        <f>IF(H135=0,"",Conv("p",H152,$D$152,$D$86))</f>
        <v/>
      </c>
      <c r="I86" s="11" t="str">
        <f>IF(I135=0,"",Conv("p",I152,$D$152,$D$86))</f>
        <v/>
      </c>
      <c r="J86" s="141"/>
      <c r="K86" s="141"/>
      <c r="L86" s="97" t="str">
        <f>IF(FlowDistributorDesign="None","Not Req'd","Required")</f>
        <v>Not Req'd</v>
      </c>
      <c r="M86" s="82" t="s">
        <v>442</v>
      </c>
      <c r="N86" s="82" t="str">
        <f>"Pi'("&amp;$D$86&amp;") = "&amp;TEXT((Conv("P",1,$D$152,$D$86)-Conv("P",0,$D$152,$D$86))/1,"General")&amp;"*Pi(barA) + "&amp;TEXT(Conv("P",0,$D$152,$D$86),"General")</f>
        <v>Pi'(barA) = 1*Pi(barA) + 0</v>
      </c>
      <c r="P86" s="102"/>
      <c r="Q86" s="102"/>
    </row>
    <row r="87" spans="1:17" s="101" customFormat="1" ht="13" x14ac:dyDescent="0.3">
      <c r="A87" s="462" t="str">
        <f>IF(D18="Flow to Open (UTP)",  "Gas Velocity, Valve Outlet",  "Gas Velocity, Through Seat Ring")</f>
        <v>Gas Velocity, Valve Outlet</v>
      </c>
      <c r="B87" s="462"/>
      <c r="C87" s="462"/>
      <c r="D87" s="427" t="s">
        <v>496</v>
      </c>
      <c r="E87" s="11" t="str">
        <f>IF(E135=0,"",Conv("U",E258,D258,D87))</f>
        <v/>
      </c>
      <c r="F87" s="11" t="str">
        <f>IF(F135=0,"",F258)</f>
        <v/>
      </c>
      <c r="G87" s="11" t="str">
        <f>IF(G135=0,"",G258)</f>
        <v/>
      </c>
      <c r="H87" s="11" t="str">
        <f>IF(H135=0,"",H258)</f>
        <v/>
      </c>
      <c r="I87" s="11" t="str">
        <f>IF(I135=0,"",I258)</f>
        <v/>
      </c>
      <c r="J87" s="141"/>
      <c r="K87" s="141"/>
      <c r="L87" s="97"/>
      <c r="M87" s="82"/>
      <c r="N87" s="82"/>
      <c r="P87" s="102"/>
      <c r="Q87" s="102"/>
    </row>
    <row r="88" spans="1:17" s="101" customFormat="1" ht="13" x14ac:dyDescent="0.3">
      <c r="A88" s="462" t="str">
        <f>IF(D18="Flow to Open (UTP)",  "Mach Number, Valve Outlet",  "Mach Number, Through Seat Ring")</f>
        <v>Mach Number, Valve Outlet</v>
      </c>
      <c r="B88" s="462"/>
      <c r="C88" s="462"/>
      <c r="D88" s="14"/>
      <c r="E88" s="11" t="str">
        <f>IF(E135=0,"",E259)</f>
        <v/>
      </c>
      <c r="F88" s="11" t="str">
        <f>IF(F135=0,"",F259)</f>
        <v/>
      </c>
      <c r="G88" s="11" t="str">
        <f>IF(G135=0,"",G259)</f>
        <v/>
      </c>
      <c r="H88" s="11" t="str">
        <f>IF(H135=0,"",H259)</f>
        <v/>
      </c>
      <c r="I88" s="11" t="str">
        <f>IF(I135=0,"",I259)</f>
        <v/>
      </c>
      <c r="J88" s="141"/>
      <c r="K88" s="141"/>
      <c r="L88" s="97"/>
      <c r="M88" s="82"/>
      <c r="N88" s="82"/>
      <c r="P88" s="102"/>
      <c r="Q88" s="102"/>
    </row>
    <row r="89" spans="1:17" s="101" customFormat="1" ht="13" x14ac:dyDescent="0.3">
      <c r="A89" s="458" t="str">
        <f>IF(D18="Flow to Open (UTP)",  "Gas Kinetic Energy, Valve Outlet",  "Gas Kinetic Energy, Through Seat Ring")</f>
        <v>Gas Kinetic Energy, Valve Outlet</v>
      </c>
      <c r="B89" s="458"/>
      <c r="C89" s="458"/>
      <c r="D89" s="14" t="str">
        <f>$D$73</f>
        <v>bar</v>
      </c>
      <c r="E89" s="11" t="str">
        <f>IF(E135=0,"",Conv("dP",E260,D260,D89))</f>
        <v/>
      </c>
      <c r="F89" s="11" t="str">
        <f>IF(F135=0,"",F260)</f>
        <v/>
      </c>
      <c r="G89" s="11" t="str">
        <f>IF(G135=0,"",G260)</f>
        <v/>
      </c>
      <c r="H89" s="11" t="str">
        <f>IF(H135=0,"",H260)</f>
        <v/>
      </c>
      <c r="I89" s="11" t="str">
        <f>IF(I135=0,"",I260)</f>
        <v/>
      </c>
      <c r="J89" s="172" t="str">
        <f>IF(FlowDistributorDesign="None",
    IF(D18="Flow to Close (OTP)",
      IF(MAX(E262:I262)&gt;E105,  "Need larger plug",  ""),
      IF(MAX(E262:I262)&gt;E106,  "Need larger valve outlet",  "")),
    "")</f>
        <v/>
      </c>
      <c r="K89" s="141"/>
      <c r="L89" s="97"/>
      <c r="M89" s="82"/>
      <c r="N89" s="82"/>
      <c r="P89" s="102"/>
      <c r="Q89" s="102"/>
    </row>
    <row r="90" spans="1:17" s="101" customFormat="1" ht="13" x14ac:dyDescent="0.3">
      <c r="A90" s="462" t="s">
        <v>1005</v>
      </c>
      <c r="B90" s="462"/>
      <c r="C90" s="462"/>
      <c r="D90" s="14" t="str">
        <f>D55</f>
        <v>m/s</v>
      </c>
      <c r="E90" s="11" t="str">
        <f>IF(E135=0,"",Conv("U",E261,$D$261,$D$90))</f>
        <v/>
      </c>
      <c r="F90" s="11" t="str">
        <f>IF(F135=0,"",Conv("U",F261,$D$261,$D$90))</f>
        <v/>
      </c>
      <c r="G90" s="11" t="str">
        <f>IF(G135=0,"",Conv("U",G261,$D$261,$D$90))</f>
        <v/>
      </c>
      <c r="H90" s="11" t="str">
        <f>IF(H135=0,"",Conv("U",H261,$D$261,$D$90))</f>
        <v/>
      </c>
      <c r="I90" s="11" t="str">
        <f>IF(I135=0,"",Conv("U",I261,$D$261,$D$90))</f>
        <v/>
      </c>
      <c r="J90" s="141"/>
      <c r="K90" s="141"/>
      <c r="L90" s="97" t="str">
        <f>IF(FlowDistributorDesign="None","Not Req'd","Required")</f>
        <v>Not Req'd</v>
      </c>
      <c r="M90" s="82"/>
      <c r="N90" s="82"/>
      <c r="P90" s="102"/>
      <c r="Q90" s="102"/>
    </row>
    <row r="91" spans="1:17" s="101" customFormat="1" ht="13" x14ac:dyDescent="0.3">
      <c r="A91" s="487" t="s">
        <v>1004</v>
      </c>
      <c r="B91" s="487"/>
      <c r="C91" s="487"/>
      <c r="D91" s="14"/>
      <c r="E91" s="11" t="str">
        <f>IF(E135=0,"",E261/E240)</f>
        <v/>
      </c>
      <c r="F91" s="11" t="str">
        <f>IF(F135=0,"",F261/F240)</f>
        <v/>
      </c>
      <c r="G91" s="11" t="str">
        <f>IF(G135=0,"",G261/G240)</f>
        <v/>
      </c>
      <c r="H91" s="11" t="str">
        <f>IF(H135=0,"",H261/H240)</f>
        <v/>
      </c>
      <c r="I91" s="11" t="str">
        <f>IF(I135=0,"",I261/I240)</f>
        <v/>
      </c>
      <c r="J91" s="141"/>
      <c r="K91" s="141"/>
      <c r="L91" s="97" t="str">
        <f>IF(FlowDistributorDesign="None","Not Req'd","Required")</f>
        <v>Not Req'd</v>
      </c>
      <c r="M91" s="82"/>
      <c r="N91" s="82"/>
      <c r="P91" s="102"/>
      <c r="Q91" s="102"/>
    </row>
    <row r="92" spans="1:17" ht="13" x14ac:dyDescent="0.3">
      <c r="A92" s="462" t="s">
        <v>1006</v>
      </c>
      <c r="B92" s="462"/>
      <c r="C92" s="462"/>
      <c r="D92" s="14" t="str">
        <f>$D$73</f>
        <v>bar</v>
      </c>
      <c r="E92" s="110" t="str">
        <f>IF(E135=0,"",Conv("dP",E262,$D$262,$D$92))</f>
        <v/>
      </c>
      <c r="F92" s="110" t="str">
        <f>IF(F135=0,"",Conv("dP",F262,$D$262,$D$92))</f>
        <v/>
      </c>
      <c r="G92" s="110" t="str">
        <f>IF(G135=0,"",Conv("dP",G262,$D$262,$D$92))</f>
        <v/>
      </c>
      <c r="H92" s="110" t="str">
        <f>IF(H135=0,"",Conv("dP",H262,$D$262,$D$92))</f>
        <v/>
      </c>
      <c r="I92" s="110" t="str">
        <f>IF(I135=0,"",Conv("dP",I262,$D$262,$D$92))</f>
        <v/>
      </c>
      <c r="J92" s="16" t="str">
        <f>IF(FlowDistributorDesign="None",  "",
    IF(MAX(E262:I262)&gt;E106,  "Need more holes",  ""))</f>
        <v/>
      </c>
      <c r="K92" s="107"/>
      <c r="L92" s="97" t="str">
        <f>IF(FlowDistributorDesign="None","Not Req'd","Required")</f>
        <v>Not Req'd</v>
      </c>
      <c r="O92" s="95"/>
      <c r="Q92" s="96"/>
    </row>
    <row r="93" spans="1:17" ht="13" x14ac:dyDescent="0.3">
      <c r="A93" s="462" t="s">
        <v>1007</v>
      </c>
      <c r="B93" s="462"/>
      <c r="C93" s="462"/>
      <c r="D93" s="14" t="str">
        <f>$D$87</f>
        <v>m/s</v>
      </c>
      <c r="E93" s="109" t="str">
        <f>IF(E135=0,"",Conv("U",E241,$D$241,$D$93))</f>
        <v/>
      </c>
      <c r="F93" s="109" t="str">
        <f>IF(F135=0,"",Conv("U",F241,$D$241,$D$93))</f>
        <v/>
      </c>
      <c r="G93" s="109" t="str">
        <f>IF(G135=0,"",Conv("U",G241,$D$241,$D$93))</f>
        <v/>
      </c>
      <c r="H93" s="109" t="str">
        <f>IF(H135=0,"",Conv("U",H241,$D$241,$D$93))</f>
        <v/>
      </c>
      <c r="I93" s="109" t="str">
        <f>IF(I135=0,"",Conv("U",I241,$D$241,$D$93))</f>
        <v/>
      </c>
      <c r="J93" s="16"/>
      <c r="K93" s="107"/>
      <c r="O93" s="95"/>
      <c r="Q93" s="96"/>
    </row>
    <row r="94" spans="1:17" ht="13" x14ac:dyDescent="0.3">
      <c r="A94" s="462" t="s">
        <v>957</v>
      </c>
      <c r="B94" s="462"/>
      <c r="C94" s="462"/>
      <c r="D94" s="105"/>
      <c r="E94" s="110" t="str">
        <f>IF(E135="","",E242)</f>
        <v/>
      </c>
      <c r="F94" s="110" t="str">
        <f t="shared" ref="F94:I94" si="1">IF(F135="","",F242)</f>
        <v/>
      </c>
      <c r="G94" s="110" t="str">
        <f t="shared" si="1"/>
        <v/>
      </c>
      <c r="H94" s="110" t="str">
        <f t="shared" si="1"/>
        <v/>
      </c>
      <c r="I94" s="110" t="str">
        <f t="shared" si="1"/>
        <v/>
      </c>
      <c r="J94" s="141"/>
      <c r="K94" s="141"/>
      <c r="O94" s="95"/>
      <c r="Q94" s="96"/>
    </row>
    <row r="95" spans="1:17" ht="13" x14ac:dyDescent="0.3">
      <c r="A95" s="462" t="s">
        <v>1008</v>
      </c>
      <c r="B95" s="462"/>
      <c r="C95" s="462"/>
      <c r="D95" s="14" t="str">
        <f>$D$73</f>
        <v>bar</v>
      </c>
      <c r="E95" s="11" t="str">
        <f>IF(E135=0,"",Conv("dP",E243,$D$243,$D$95))</f>
        <v/>
      </c>
      <c r="F95" s="11" t="str">
        <f>IF(F135=0,"",Conv("dP",F243,$D$243,$D$95))</f>
        <v/>
      </c>
      <c r="G95" s="109" t="str">
        <f>IF(G135=0,"",Conv("dP",G243,$D$243,$D$95))</f>
        <v/>
      </c>
      <c r="H95" s="109" t="str">
        <f>IF(H135=0,"",Conv("dP",H243,$D$243,$D$95))</f>
        <v/>
      </c>
      <c r="I95" s="109" t="str">
        <f>IF(I135=0,"",Conv("dP",I243,$D$243,$D$95))</f>
        <v/>
      </c>
      <c r="J95" s="141"/>
      <c r="K95" s="141"/>
      <c r="O95" s="95"/>
      <c r="Q95" s="96"/>
    </row>
    <row r="96" spans="1:17" x14ac:dyDescent="0.25">
      <c r="A96" s="414"/>
      <c r="B96" s="414"/>
      <c r="C96" s="414"/>
      <c r="D96" s="105"/>
      <c r="E96" s="110"/>
      <c r="F96" s="110"/>
      <c r="G96" s="110"/>
      <c r="H96" s="110"/>
      <c r="I96" s="110"/>
      <c r="J96" s="141"/>
      <c r="K96" s="141"/>
      <c r="O96" s="95"/>
      <c r="Q96" s="96"/>
    </row>
    <row r="97" spans="1:19" ht="13" x14ac:dyDescent="0.3">
      <c r="A97" s="485" t="s">
        <v>743</v>
      </c>
      <c r="B97" s="485"/>
      <c r="C97" s="485"/>
      <c r="D97" s="408" t="s">
        <v>403</v>
      </c>
      <c r="E97" s="408" t="s">
        <v>741</v>
      </c>
      <c r="F97" s="408" t="s">
        <v>414</v>
      </c>
      <c r="G97" s="146"/>
      <c r="H97" s="146"/>
      <c r="I97" s="146"/>
      <c r="J97" s="146"/>
      <c r="K97" s="146"/>
      <c r="O97" s="95"/>
      <c r="Q97" s="96"/>
    </row>
    <row r="98" spans="1:19" ht="13" x14ac:dyDescent="0.3">
      <c r="A98" s="486" t="s">
        <v>456</v>
      </c>
      <c r="B98" s="486"/>
      <c r="C98" s="486"/>
      <c r="D98" s="12" t="s">
        <v>450</v>
      </c>
      <c r="E98" s="105">
        <f>IF(OR(Application="Turbine Bypass",Application="Steam Conditioning"),10,IF(MAX(E126:I126)&gt;370,5,0))</f>
        <v>0</v>
      </c>
      <c r="F98" s="106">
        <v>10</v>
      </c>
      <c r="G98" s="107"/>
      <c r="H98" s="107"/>
      <c r="I98" s="107"/>
      <c r="J98" s="107"/>
      <c r="K98" s="107"/>
      <c r="M98" s="82" t="s">
        <v>399</v>
      </c>
      <c r="O98" s="95"/>
      <c r="Q98" s="96"/>
    </row>
    <row r="99" spans="1:19" ht="13" x14ac:dyDescent="0.3">
      <c r="A99" s="489" t="s">
        <v>457</v>
      </c>
      <c r="B99" s="489"/>
      <c r="C99" s="489"/>
      <c r="D99" s="105" t="s">
        <v>450</v>
      </c>
      <c r="E99" s="105">
        <f>IF(Application="Steam Conditioning",5,VLOOKUP(D15,ValveData!$A$4:$L$14,11))</f>
        <v>0</v>
      </c>
      <c r="F99" s="106">
        <f>E99</f>
        <v>0</v>
      </c>
      <c r="G99" s="107"/>
      <c r="H99" s="107"/>
      <c r="I99" s="107"/>
      <c r="J99" s="117"/>
      <c r="K99" s="107"/>
      <c r="M99" s="82" t="s">
        <v>399</v>
      </c>
      <c r="O99" s="95"/>
      <c r="Q99" s="96"/>
    </row>
    <row r="100" spans="1:19" ht="13" x14ac:dyDescent="0.3">
      <c r="A100" s="414"/>
      <c r="B100" s="414"/>
      <c r="C100" s="414"/>
      <c r="D100" s="105"/>
      <c r="E100" s="105"/>
      <c r="F100" s="107"/>
      <c r="G100" s="107"/>
      <c r="H100" s="107"/>
      <c r="I100" s="107"/>
      <c r="J100" s="117"/>
      <c r="K100" s="107"/>
      <c r="O100" s="95"/>
      <c r="Q100" s="96"/>
    </row>
    <row r="101" spans="1:19" ht="13" x14ac:dyDescent="0.3">
      <c r="A101" s="485" t="s">
        <v>458</v>
      </c>
      <c r="B101" s="485"/>
      <c r="C101" s="485"/>
      <c r="D101" s="408" t="s">
        <v>403</v>
      </c>
      <c r="E101" s="460" t="s">
        <v>427</v>
      </c>
      <c r="F101" s="460"/>
      <c r="G101" s="460"/>
      <c r="H101" s="460"/>
      <c r="I101" s="460"/>
      <c r="J101" s="483"/>
      <c r="K101" s="483"/>
      <c r="O101" s="95"/>
      <c r="Q101" s="96"/>
    </row>
    <row r="102" spans="1:19" ht="13" x14ac:dyDescent="0.3">
      <c r="A102" s="486" t="s">
        <v>459</v>
      </c>
      <c r="B102" s="486"/>
      <c r="C102" s="486"/>
      <c r="D102" s="12" t="s">
        <v>450</v>
      </c>
      <c r="E102" s="9" t="str">
        <f>IF(E135="","",
    MAXA($L$102,
      IF($D$19="None",
        IF(PI()/4*$F$113^2/$E$147&lt;IF($E$147&lt;18000,4,2),  E255,  E283),
        E283) -
      $F$98-$F$99))</f>
        <v/>
      </c>
      <c r="F102" s="9" t="str">
        <f t="shared" ref="F102:I102" si="2">IF(F135="","",
    MAXA($L$102,
      IF($D$19="None",
        IF(PI()/4*$F$113^2/$E$147&lt;IF($E$147&lt;18000,4,2),  F255,  F283),
        F283) -
      $F$98-$F$99))</f>
        <v/>
      </c>
      <c r="G102" s="9" t="str">
        <f t="shared" si="2"/>
        <v/>
      </c>
      <c r="H102" s="9" t="str">
        <f t="shared" si="2"/>
        <v/>
      </c>
      <c r="I102" s="9" t="str">
        <f t="shared" si="2"/>
        <v/>
      </c>
      <c r="J102" s="432" t="s">
        <v>735</v>
      </c>
      <c r="L102" s="431">
        <v>75</v>
      </c>
      <c r="O102" s="95"/>
      <c r="Q102" s="96"/>
      <c r="R102" s="107"/>
      <c r="S102" s="107"/>
    </row>
    <row r="103" spans="1:19" x14ac:dyDescent="0.25">
      <c r="A103" s="107"/>
      <c r="B103" s="107"/>
      <c r="C103" s="107"/>
      <c r="D103" s="105"/>
      <c r="E103" s="107"/>
      <c r="F103" s="107"/>
      <c r="G103" s="9"/>
      <c r="H103" s="107"/>
      <c r="I103" s="107"/>
      <c r="J103" s="107"/>
      <c r="K103" s="107"/>
      <c r="O103" s="95"/>
      <c r="Q103" s="96"/>
    </row>
    <row r="104" spans="1:19" s="119" customFormat="1" ht="13" hidden="1" outlineLevel="1" x14ac:dyDescent="0.3">
      <c r="A104" s="118" t="s">
        <v>460</v>
      </c>
      <c r="D104" s="31"/>
      <c r="L104" s="97"/>
      <c r="M104" s="82"/>
      <c r="N104" s="82"/>
      <c r="P104" s="31"/>
      <c r="Q104" s="31"/>
    </row>
    <row r="105" spans="1:19" s="119" customFormat="1" hidden="1" outlineLevel="1" x14ac:dyDescent="0.25">
      <c r="A105" s="17" t="s">
        <v>461</v>
      </c>
      <c r="C105" s="119" t="s">
        <v>462</v>
      </c>
      <c r="D105" s="18" t="s">
        <v>463</v>
      </c>
      <c r="E105" s="19">
        <f>IF(Application="Turbine Bypass",10.35,4.85)</f>
        <v>4.8499999999999996</v>
      </c>
      <c r="F105" s="20">
        <f>Conv("dP",E105,"bar","psi")</f>
        <v>70.343302799151459</v>
      </c>
      <c r="G105" s="120" t="s">
        <v>424</v>
      </c>
      <c r="I105" s="19"/>
      <c r="L105" s="97"/>
      <c r="M105" s="82"/>
      <c r="N105" s="82" t="s">
        <v>464</v>
      </c>
      <c r="P105" s="31"/>
      <c r="Q105" s="31"/>
    </row>
    <row r="106" spans="1:19" s="119" customFormat="1" hidden="1" outlineLevel="1" x14ac:dyDescent="0.25">
      <c r="A106" s="17" t="s">
        <v>465</v>
      </c>
      <c r="C106" s="119" t="s">
        <v>466</v>
      </c>
      <c r="D106" s="18" t="s">
        <v>463</v>
      </c>
      <c r="E106" s="19">
        <f>IF(Application="Turbine Bypass",6.9,3.45)</f>
        <v>3.45</v>
      </c>
      <c r="F106" s="20">
        <f>Conv("dP",E106,"bar","psi")</f>
        <v>50.038019516922184</v>
      </c>
      <c r="G106" s="120" t="s">
        <v>424</v>
      </c>
      <c r="I106" s="19"/>
      <c r="L106" s="97"/>
      <c r="M106" s="82"/>
      <c r="N106" s="82"/>
      <c r="P106" s="31"/>
      <c r="Q106" s="31"/>
    </row>
    <row r="107" spans="1:19" s="119" customFormat="1" hidden="1" outlineLevel="1" x14ac:dyDescent="0.25">
      <c r="A107" s="21" t="s">
        <v>423</v>
      </c>
      <c r="B107" s="22"/>
      <c r="C107" s="22" t="s">
        <v>333</v>
      </c>
      <c r="D107" s="18" t="s">
        <v>463</v>
      </c>
      <c r="E107" s="18">
        <f>IF(TypeOfGas="Water/Steam",220.64,
    IF(TypeOfGas&lt;&gt;"Custom Gas",FluidNamePc(TypeOfGas,1),
      IF(AND(MethodOfSpecifyingDensity&lt;&gt;"Direct Input",CompressibilityOption="Calculate from Pc &amp; Tc"),Conv("P",E37,$D$37,$D$107),"")))</f>
        <v>220.64</v>
      </c>
      <c r="L107" s="97"/>
      <c r="M107" s="82" t="str">
        <f>IF(TypeOfGas="Water/Steam","Wtr Functions",
    IF(TypeOfGas&lt;&gt;"Custom Gas","Fluid Data",
      IF(AND(MethodOfSpecifyingDensity&lt;&gt;"Direct Input",CompressibilityOption="Calculate from Pc &amp; Tc"),"Unit Conversion","")))</f>
        <v>Wtr Functions</v>
      </c>
      <c r="N107" s="82" t="str">
        <f>IF(TypeOfGas="Water/Steam","From Water Functions",
    IF(TypeOfGas&lt;&gt;"Custom Gas","From FluidData",
      IF(AND(MethodOfSpecifyingDensity&lt;&gt;"Direct Input",CompressibilityOption="Calculate from Pc &amp; Tc"),
        "Pc(barA) = "&amp;TEXT((Conv("P",1,$D$37,$D$107)-Conv("P",0,$D$37,$D$107))/1,"General")&amp;"*Pc("&amp;$D$37&amp;") + "&amp;TEXT(Conv("P",0,$D$37,$D$107),"General"),
        "")))</f>
        <v>From Water Functions</v>
      </c>
      <c r="P107" s="31"/>
      <c r="Q107" s="31"/>
    </row>
    <row r="108" spans="1:19" s="119" customFormat="1" hidden="1" outlineLevel="1" x14ac:dyDescent="0.25">
      <c r="A108" s="21" t="s">
        <v>425</v>
      </c>
      <c r="B108" s="22"/>
      <c r="C108" s="22" t="s">
        <v>332</v>
      </c>
      <c r="D108" s="18" t="s">
        <v>241</v>
      </c>
      <c r="E108" s="18">
        <f>IF(TypeOfGas="Water/Steam",647.096-273.15,
    IF(TypeOfGas&lt;&gt;"Custom Gas",FluidNameTc(TypeOfGas,1),
      IF(AND(MethodOfSpecifyingDensity&lt;&gt;"Direct Input",CompressibilityOption="Calculate from Pc &amp; Tc"),Conv("T",E38,$D$38,$D$108),"")))</f>
        <v>373.94600000000003</v>
      </c>
      <c r="L108" s="97"/>
      <c r="M108" s="82" t="str">
        <f>IF(TypeOfGas="Water/Steam","Wtr Functions",
    IF(TypeOfGas&lt;&gt;"Custom Gas","Fluid Data",
      IF(AND(MethodOfSpecifyingDensity&lt;&gt;"Direct Input",CompressibilityOption="Calculate from Pc &amp; Tc"),"Unit Conversion","")))</f>
        <v>Wtr Functions</v>
      </c>
      <c r="N108" s="82" t="str">
        <f>IF(TypeOfGas="Water/Steam","From Water Functions",
    IF(TypeOfGas&lt;&gt;"Custom Gas","From FluidData",
      IF(AND(MethodOfSpecifyingDensity&lt;&gt;"Direct Input",CompressibilityOption="Calculate from Pc &amp; Tc"),
        "Tc(deg C) = "&amp;TEXT((Conv("T",1,$D$38,$D$108)-Conv("T",0,$D$38,$D$108))/1,"General")&amp;"*Tc("&amp;D38&amp;") + "&amp;TEXT(Conv("T",0,$D$38,$D$108),"General"),
        "")))</f>
        <v>From Water Functions</v>
      </c>
      <c r="P108" s="31"/>
      <c r="Q108" s="31"/>
    </row>
    <row r="109" spans="1:19" s="119" customFormat="1" hidden="1" outlineLevel="1" x14ac:dyDescent="0.25">
      <c r="D109" s="31"/>
      <c r="L109" s="97"/>
      <c r="M109" s="82"/>
      <c r="N109" s="82"/>
      <c r="P109" s="31"/>
      <c r="Q109" s="31"/>
    </row>
    <row r="110" spans="1:19" s="119" customFormat="1" ht="25" hidden="1" outlineLevel="1" x14ac:dyDescent="0.25">
      <c r="A110" s="119" t="s">
        <v>467</v>
      </c>
      <c r="D110" s="31"/>
      <c r="E110" s="121" t="str">
        <f>IF(MOSPin="NPS &amp; Schd",E23&amp;", Schd "&amp;E24,"")</f>
        <v>4in (100mm), Schd XXS</v>
      </c>
      <c r="F110" s="121" t="str">
        <f>IF(MOSPout="NPS &amp; Schd",F23&amp;", Schd "&amp;F24,"")</f>
        <v>4in (100mm), Schd XXS</v>
      </c>
      <c r="L110" s="97"/>
      <c r="M110" s="82"/>
      <c r="N110" s="82"/>
      <c r="P110" s="31"/>
      <c r="Q110" s="31"/>
    </row>
    <row r="111" spans="1:19" s="119" customFormat="1" hidden="1" outlineLevel="1" x14ac:dyDescent="0.25">
      <c r="A111" s="119" t="s">
        <v>410</v>
      </c>
      <c r="C111" s="119" t="s">
        <v>996</v>
      </c>
      <c r="D111" s="31" t="s">
        <v>469</v>
      </c>
      <c r="E111" s="31">
        <f>IF(MOSPin="NPS &amp; Schd",
    VLOOKUP(E110,PipeData!$A$6:$E$293,2,FALSE),
    Conv("L",E25,$D$25,$D$111))</f>
        <v>114.3</v>
      </c>
      <c r="F111" s="31">
        <f>IF(MOSPout="NPS &amp; Schd",
    VLOOKUP(F110,PipeData!$A$6:$E$293,2,FALSE),
    IF(F25="","",Conv("L",F25,$D$25,$D$111)))</f>
        <v>114.3</v>
      </c>
      <c r="L111" s="97"/>
      <c r="M111" s="82"/>
      <c r="N111" s="82"/>
      <c r="P111" s="31"/>
      <c r="Q111" s="31"/>
    </row>
    <row r="112" spans="1:19" s="119" customFormat="1" hidden="1" outlineLevel="1" x14ac:dyDescent="0.25">
      <c r="A112" s="119" t="s">
        <v>411</v>
      </c>
      <c r="C112" s="119" t="s">
        <v>470</v>
      </c>
      <c r="D112" s="31" t="s">
        <v>469</v>
      </c>
      <c r="E112" s="31">
        <f>IF(MOSPin="NPS &amp; Schd",
    VLOOKUP(E110,PipeData!$A$6:$E$293,5,FALSE),
    IF(MOSPin="OD &amp; t",
      Conv("L",F26,$D$26,$D$112),
      (E111-E113)/2))</f>
        <v>17.12</v>
      </c>
      <c r="F112" s="31">
        <f>IF(MOSPout="NPS &amp; Schd",
    VLOOKUP(F110,PipeData!$A$6:$E$293,5,FALSE),
    IF(MOSPout="OD &amp; t",
      Conv("L",F26,$D$26,$D$112),
      (F111-F113)/2))</f>
        <v>17.12</v>
      </c>
      <c r="L112" s="97"/>
      <c r="M112" s="82"/>
      <c r="N112" s="82"/>
      <c r="P112" s="31"/>
      <c r="Q112" s="31"/>
    </row>
    <row r="113" spans="1:17" s="119" customFormat="1" hidden="1" outlineLevel="1" x14ac:dyDescent="0.25">
      <c r="A113" s="119" t="s">
        <v>412</v>
      </c>
      <c r="C113" s="119" t="s">
        <v>468</v>
      </c>
      <c r="D113" s="31" t="s">
        <v>469</v>
      </c>
      <c r="E113" s="31">
        <f>IF(MOSPin="NPS &amp; Schd",
    VLOOKUP(E110,PipeData!$A$6:$E$293,4,FALSE),
    IF(MOSPin="OD &amp; ID",
      Conv("L",E27,$D$27,$D$113),
      E111-2*E112))</f>
        <v>80</v>
      </c>
      <c r="F113" s="31">
        <f>IF(MOSPout="NPS &amp; Schd",
    VLOOKUP(F110,PipeData!$A$6:$E$293,4,FALSE),
    IF(MOSPout="OD &amp; ID",
      Conv("L",F27,$D$27,$D$113),
      F111-2*F112))</f>
        <v>80</v>
      </c>
      <c r="H113" s="31"/>
      <c r="I113" s="31"/>
      <c r="L113" s="97"/>
      <c r="M113" s="82"/>
      <c r="N113" s="82"/>
      <c r="P113" s="31"/>
      <c r="Q113" s="31"/>
    </row>
    <row r="114" spans="1:17" s="119" customFormat="1" hidden="1" outlineLevel="1" x14ac:dyDescent="0.25">
      <c r="D114" s="31"/>
      <c r="F114" s="31"/>
      <c r="H114" s="31"/>
      <c r="I114" s="31"/>
      <c r="L114" s="97"/>
      <c r="M114" s="82"/>
      <c r="N114" s="82"/>
      <c r="P114" s="31"/>
      <c r="Q114" s="31"/>
    </row>
    <row r="115" spans="1:17" s="119" customFormat="1" ht="13" hidden="1" outlineLevel="1" x14ac:dyDescent="0.3">
      <c r="A115" s="119" t="s">
        <v>471</v>
      </c>
      <c r="C115" s="119" t="s">
        <v>1000</v>
      </c>
      <c r="D115" s="31" t="s">
        <v>469</v>
      </c>
      <c r="E115" s="24">
        <f>VLOOKUP(E28,ValveData!$A$19:$C$41,3,FALSE)</f>
        <v>100</v>
      </c>
      <c r="F115" s="24">
        <f>VLOOKUP(F28,ValveData!$A$19:$C$42,3,FALSE)</f>
        <v>100</v>
      </c>
      <c r="G115" s="122"/>
      <c r="H115" s="31"/>
      <c r="I115" s="31"/>
      <c r="L115" s="97"/>
      <c r="M115" s="82"/>
      <c r="N115" s="82"/>
      <c r="P115" s="31"/>
      <c r="Q115" s="31"/>
    </row>
    <row r="116" spans="1:17" s="119" customFormat="1" ht="13" hidden="1" outlineLevel="1" x14ac:dyDescent="0.3">
      <c r="A116" s="119" t="s">
        <v>998</v>
      </c>
      <c r="C116" s="119" t="s">
        <v>999</v>
      </c>
      <c r="D116" s="31" t="s">
        <v>469</v>
      </c>
      <c r="E116" s="24">
        <f>INDEX(ValveData!$D$19:$J$42, MATCH(E28,NomValveSizes,0), MATCH(E29,Pr,0))</f>
        <v>72.900000000000006</v>
      </c>
      <c r="F116" s="24">
        <f>INDEX(ValveData!$D$19:$J$42, MATCH(F28,NomValveSizes,0), MATCH(F29,Pr,0))</f>
        <v>72.900000000000006</v>
      </c>
      <c r="G116" s="122"/>
      <c r="H116" s="31"/>
      <c r="I116" s="31"/>
      <c r="L116" s="97"/>
      <c r="M116" s="82"/>
      <c r="N116" s="82"/>
      <c r="P116" s="31"/>
      <c r="Q116" s="31"/>
    </row>
    <row r="117" spans="1:17" s="119" customFormat="1" hidden="1" outlineLevel="1" x14ac:dyDescent="0.25">
      <c r="A117" s="119" t="s">
        <v>473</v>
      </c>
      <c r="C117" s="119" t="s">
        <v>474</v>
      </c>
      <c r="D117" s="23"/>
      <c r="E117" s="24">
        <f>IF(PipeCorrectionFactorOption="Calculate Correction",
    IF(E113&gt;E116,
      0.5*(1-($E116/$E113)^2)^2,
      (1-($E113/$E116)^2)^2/(E113/E116)^4),
    0)</f>
        <v>1.4386055274658161E-2</v>
      </c>
      <c r="F117" s="24">
        <f>IF(AND(PipeCorrectionFactorOption="Calculate Correction",
    OR(FlowDistributorDesign="None",FlowDistributorDesign="1 Stage")),
    IF(F113&gt;F116,
      (1-($F116/$F113)^2)^2,
      0.5*(1-($F113/$F116)^2)^2/($F113/$F116)^4),
    0)</f>
        <v>2.8772110549316322E-2</v>
      </c>
      <c r="H117" s="24"/>
      <c r="I117" s="24"/>
      <c r="L117" s="97"/>
      <c r="M117" s="83" t="s">
        <v>871</v>
      </c>
      <c r="N117" s="83" t="str">
        <f>IF($D$20="Ignore Correction","","K1 = 0.5*(1 - (NVS1/D1)^2)^2,     K2 = 1*(1 - (NVS2/D2)^2)^2")</f>
        <v>K1 = 0.5*(1 - (NVS1/D1)^2)^2,     K2 = 1*(1 - (NVS2/D2)^2)^2</v>
      </c>
      <c r="P117" s="18"/>
      <c r="Q117" s="18"/>
    </row>
    <row r="118" spans="1:17" s="119" customFormat="1" hidden="1" outlineLevel="1" x14ac:dyDescent="0.25">
      <c r="A118" s="119" t="s">
        <v>475</v>
      </c>
      <c r="C118" s="119" t="s">
        <v>476</v>
      </c>
      <c r="D118" s="23"/>
      <c r="E118" s="24">
        <f>IF(PipeCorrectionFactorOption="Calculate Correction",
    IF(E113&gt;E116,
      1-($E116/$E113)^4,
      (1-($E113/$E116)^4)/($E113/$E116)^4),
    0)</f>
        <v>0.31047476445068323</v>
      </c>
      <c r="F118" s="24">
        <f>IF(AND(PipeCorrectionFactorOption="Calculate Correction",
    OR(FlowDistributorDesign="None",FlowDistributorDesign="1 Stage")),
    IF(F113&gt;F116,
      1-($F116/$F113)^4,
      (1-($F113/$F116)^4)/($F113/$F116)^4),
    0)</f>
        <v>0.31047476445068323</v>
      </c>
      <c r="H118" s="24"/>
      <c r="I118" s="24"/>
      <c r="L118" s="97"/>
      <c r="M118" s="83" t="s">
        <v>872</v>
      </c>
      <c r="N118" s="83" t="str">
        <f>IF($D$20="Ignore Correction","","KB1 = 1 - (NVS1/D1)^4,               KB2 = 1 - (NVS2/D2)^4")</f>
        <v>KB1 = 1 - (NVS1/D1)^4,               KB2 = 1 - (NVS2/D2)^4</v>
      </c>
      <c r="P118" s="18"/>
      <c r="Q118" s="18"/>
    </row>
    <row r="119" spans="1:17" s="119" customFormat="1" hidden="1" outlineLevel="1" x14ac:dyDescent="0.25">
      <c r="A119" s="119" t="s">
        <v>477</v>
      </c>
      <c r="C119" s="119" t="s">
        <v>478</v>
      </c>
      <c r="D119" s="23"/>
      <c r="E119" s="23">
        <f>F33*(1 + F33^2*(E117+E118)*F31^2/0.00214)^-0.5</f>
        <v>0.99142163188722576</v>
      </c>
      <c r="F119" s="24"/>
      <c r="H119" s="31"/>
      <c r="I119" s="31"/>
      <c r="L119" s="97"/>
      <c r="M119" s="83" t="s">
        <v>875</v>
      </c>
      <c r="N119" s="83"/>
      <c r="P119" s="18"/>
      <c r="Q119" s="18"/>
    </row>
    <row r="120" spans="1:17" s="119" customFormat="1" hidden="1" outlineLevel="1" x14ac:dyDescent="0.25">
      <c r="A120" s="17" t="s">
        <v>479</v>
      </c>
      <c r="C120" s="119" t="s">
        <v>480</v>
      </c>
      <c r="D120" s="31"/>
      <c r="E120" s="24">
        <f>1/(1 + (E117+E118+F117-F118)*F31^2/0.00214)^0.5</f>
        <v>0.99884751446450493</v>
      </c>
      <c r="F120" s="123"/>
      <c r="H120" s="31"/>
      <c r="I120" s="31"/>
      <c r="L120" s="97"/>
      <c r="M120" s="83" t="s">
        <v>884</v>
      </c>
      <c r="N120" s="82" t="str">
        <f>IF($D$20="Ignore Correction","Fp = 1","Fp = ((K1 + K2 + KB1 - KB2)*Cd^2/0.00214 + 1)^-0.5")</f>
        <v>Fp = ((K1 + K2 + KB1 - KB2)*Cd^2/0.00214 + 1)^-0.5</v>
      </c>
      <c r="P120" s="31"/>
      <c r="Q120" s="31"/>
    </row>
    <row r="121" spans="1:17" s="119" customFormat="1" hidden="1" outlineLevel="1" x14ac:dyDescent="0.25">
      <c r="A121" s="17" t="s">
        <v>481</v>
      </c>
      <c r="C121" s="119" t="s">
        <v>482</v>
      </c>
      <c r="D121" s="31"/>
      <c r="E121" s="23">
        <f>E119/E120</f>
        <v>0.9925655493258545</v>
      </c>
      <c r="F121" s="123"/>
      <c r="H121" s="23"/>
      <c r="I121" s="31"/>
      <c r="L121" s="97"/>
      <c r="M121" s="83" t="s">
        <v>890</v>
      </c>
      <c r="N121" s="82"/>
      <c r="P121" s="31"/>
      <c r="Q121" s="31"/>
    </row>
    <row r="122" spans="1:17" s="119" customFormat="1" hidden="1" outlineLevel="1" x14ac:dyDescent="0.25">
      <c r="A122" s="17" t="s">
        <v>483</v>
      </c>
      <c r="C122" s="119" t="s">
        <v>484</v>
      </c>
      <c r="D122" s="23"/>
      <c r="E122" s="23">
        <f>F32/E120^2/(1 + F32*(E117+E118)*F31^2/0.00241)</f>
        <v>0.98707551342889932</v>
      </c>
      <c r="F122" s="123"/>
      <c r="H122" s="31"/>
      <c r="I122" s="31"/>
      <c r="L122" s="97"/>
      <c r="M122" s="82" t="s">
        <v>877</v>
      </c>
      <c r="N122" s="82" t="str">
        <f>IF($D$20="Ignore Correction","Xtp = Xt","Xtp = Xt/Fp^2*(Xt*(K1 + KB1)*Cd^2/0.00241 + 1)^-1")</f>
        <v>Xtp = Xt/Fp^2*(Xt*(K1 + KB1)*Cd^2/0.00241 + 1)^-1</v>
      </c>
      <c r="P122" s="31"/>
      <c r="Q122" s="31"/>
    </row>
    <row r="123" spans="1:17" s="119" customFormat="1" hidden="1" outlineLevel="1" x14ac:dyDescent="0.25">
      <c r="A123" s="17"/>
      <c r="D123" s="23"/>
      <c r="E123" s="25"/>
      <c r="F123" s="124"/>
      <c r="L123" s="97"/>
      <c r="M123" s="82"/>
      <c r="N123" s="82"/>
      <c r="P123" s="31"/>
      <c r="Q123" s="31"/>
    </row>
    <row r="124" spans="1:17" s="119" customFormat="1" ht="13" hidden="1" outlineLevel="1" x14ac:dyDescent="0.3">
      <c r="A124" s="392" t="s">
        <v>485</v>
      </c>
      <c r="B124" s="393"/>
      <c r="C124" s="393"/>
      <c r="D124" s="394"/>
      <c r="E124" s="436"/>
      <c r="F124" s="437"/>
      <c r="G124" s="393"/>
      <c r="H124" s="393"/>
      <c r="I124" s="393"/>
      <c r="L124" s="97"/>
      <c r="M124" s="82"/>
      <c r="N124" s="82"/>
      <c r="P124" s="31"/>
      <c r="Q124" s="31"/>
    </row>
    <row r="125" spans="1:17" s="119" customFormat="1" hidden="1" outlineLevel="1" x14ac:dyDescent="0.25">
      <c r="A125" s="119" t="s">
        <v>431</v>
      </c>
      <c r="C125" s="119" t="s">
        <v>486</v>
      </c>
      <c r="D125" s="31" t="s">
        <v>463</v>
      </c>
      <c r="E125" s="26">
        <f>Conv("P",E44,$D44,$D125)</f>
        <v>0</v>
      </c>
      <c r="F125" s="26">
        <f>Conv("P",F44,$D44,$D125)</f>
        <v>0</v>
      </c>
      <c r="G125" s="26">
        <f>Conv("P",G44,$D44,$D125)</f>
        <v>0</v>
      </c>
      <c r="H125" s="26">
        <f>Conv("P",H44,$D44,$D125)</f>
        <v>0</v>
      </c>
      <c r="I125" s="26">
        <f>Conv("P",I44,$D44,$D125)</f>
        <v>0</v>
      </c>
      <c r="L125" s="97"/>
      <c r="M125" s="83" t="s">
        <v>472</v>
      </c>
      <c r="N125" s="82" t="str">
        <f>"P1(barA) = "&amp;TEXT((Conv("P",1,$D$44,$D$125)-Conv("P",0,$D$44,$D$125))/1,"General")&amp;"*P1("&amp;$D$44&amp;") + "&amp;TEXT(Conv("P",0,$D$44,$D$125),"General")</f>
        <v>P1(barA) = 1*P1(barA) + 0</v>
      </c>
      <c r="P125" s="31"/>
      <c r="Q125" s="31"/>
    </row>
    <row r="126" spans="1:17" s="119" customFormat="1" hidden="1" outlineLevel="1" x14ac:dyDescent="0.25">
      <c r="A126" s="21" t="s">
        <v>433</v>
      </c>
      <c r="B126" s="22"/>
      <c r="C126" s="22" t="s">
        <v>487</v>
      </c>
      <c r="D126" s="18" t="s">
        <v>241</v>
      </c>
      <c r="E126" s="26">
        <f>IF(OR(TypeOfGas&lt;&gt;"Custom Gas",MethodOfSpecifyingDensity&lt;&gt;"Direct Input"),Conv("T",E46,$D46,$D126),"")</f>
        <v>0</v>
      </c>
      <c r="F126" s="26">
        <f>IF(OR(TypeOfGas&lt;&gt;"Custom Gas",MethodOfSpecifyingDensity&lt;&gt;"Direct Input"),Conv("T",F46,$D46,$D126),"")</f>
        <v>0</v>
      </c>
      <c r="G126" s="26">
        <f>IF(OR(TypeOfGas&lt;&gt;"Custom Gas",MethodOfSpecifyingDensity&lt;&gt;"Direct Input"),Conv("T",G46,$D46,$D126),"")</f>
        <v>0</v>
      </c>
      <c r="H126" s="26">
        <f>IF(OR(TypeOfGas&lt;&gt;"Custom Gas",MethodOfSpecifyingDensity&lt;&gt;"Direct Input"),Conv("T",H46,$D46,$D126),"")</f>
        <v>0</v>
      </c>
      <c r="I126" s="26">
        <f>IF(OR(TypeOfGas&lt;&gt;"Custom Gas",MethodOfSpecifyingDensity&lt;&gt;"Direct Input"),Conv("T",I46,$D46,$D126),"")</f>
        <v>0</v>
      </c>
      <c r="L126" s="97"/>
      <c r="M126" s="83" t="str">
        <f>IF(OR(TypeOfGas&lt;&gt;"Custom Gas",MethodOfSpecifyingDensity&lt;&gt;"Direct Input"),"Unit Conversion","")</f>
        <v>Unit Conversion</v>
      </c>
      <c r="N126" s="82" t="str">
        <f>IF(OR(TypeOfGas&lt;&gt;"Custom Gas",MethodOfSpecifyingDensity&lt;&gt;"Direct Input"),
    "T1(deg C) = "&amp;TEXT((Conv("T",1,$D$46,$D$126)-Conv("T",0,$D$46,$D$126))/1,"General")&amp;"*T1("&amp;$D$46&amp;") + "&amp;TEXT(Conv("T",0,$D$46,$D$126),"General"),"")</f>
        <v>T1(deg C) = 1*T1(deg C) + 0</v>
      </c>
      <c r="P126" s="31"/>
      <c r="Q126" s="31"/>
    </row>
    <row r="127" spans="1:17" s="125" customFormat="1" hidden="1" outlineLevel="1" x14ac:dyDescent="0.25">
      <c r="A127" s="22" t="s">
        <v>439</v>
      </c>
      <c r="B127" s="22"/>
      <c r="C127" s="22" t="s">
        <v>339</v>
      </c>
      <c r="D127" s="18"/>
      <c r="E127" s="26" t="str">
        <f>IF(TypeOfGas="Water/Steam",wtrptg(E125,E126,1),
    IF(TypeOfGas&lt;&gt;"Custom Gas",FluidNamek(TypeOfGas),E51))</f>
        <v>p too small</v>
      </c>
      <c r="F127" s="26" t="str">
        <f>IF(TypeOfGas="Water/Steam",wtrptg(F125,F126,1),
    IF(TypeOfGas&lt;&gt;"Custom Gas",FluidNamek(TypeOfGas),F51))</f>
        <v>p too small</v>
      </c>
      <c r="G127" s="26" t="str">
        <f>IF(TypeOfGas="Water/Steam",wtrptg(G125,G126,1),
    IF(TypeOfGas&lt;&gt;"Custom Gas",FluidNamek(TypeOfGas),G51))</f>
        <v>p too small</v>
      </c>
      <c r="H127" s="26" t="str">
        <f>IF(TypeOfGas="Water/Steam",wtrptg(H125,H126,1),
    IF(TypeOfGas&lt;&gt;"Custom Gas",FluidNamek(TypeOfGas),H51))</f>
        <v>p too small</v>
      </c>
      <c r="I127" s="26" t="str">
        <f>IF(TypeOfGas="Water/Steam",wtrptg(I125,I126,1),
    IF(TypeOfGas&lt;&gt;"Custom Gas",FluidNamek(TypeOfGas),I51))</f>
        <v>p too small</v>
      </c>
      <c r="L127" s="126"/>
      <c r="M127" s="83" t="str">
        <f>IF(TypeOfGas="Water/Steam","Wtr Function",
    IF(TypeOfGas&lt;&gt;"Custom Gas","Fluid Data","Given"))</f>
        <v>Wtr Function</v>
      </c>
      <c r="N127" s="83" t="str">
        <f>IF(TypeOfGas="Water/Steam","From Water Functions",
    IF(TypeOfGas&lt;&gt;"Custom Gas","From FluidData",""))</f>
        <v>From Water Functions</v>
      </c>
      <c r="P127" s="18"/>
      <c r="Q127" s="18"/>
    </row>
    <row r="128" spans="1:17" s="119" customFormat="1" hidden="1" outlineLevel="1" x14ac:dyDescent="0.25">
      <c r="A128" s="119" t="s">
        <v>488</v>
      </c>
      <c r="C128" s="119" t="s">
        <v>489</v>
      </c>
      <c r="D128" s="31"/>
      <c r="E128" s="24">
        <f>E127/1.4</f>
        <v>0</v>
      </c>
      <c r="F128" s="24">
        <f>F127/1.4</f>
        <v>0</v>
      </c>
      <c r="G128" s="24">
        <f>G127/1.4</f>
        <v>0</v>
      </c>
      <c r="H128" s="24">
        <f>H127/1.4</f>
        <v>0</v>
      </c>
      <c r="I128" s="24">
        <f>I127/1.4</f>
        <v>0</v>
      </c>
      <c r="L128" s="97"/>
      <c r="M128" s="82" t="s">
        <v>878</v>
      </c>
      <c r="N128" s="82" t="s">
        <v>490</v>
      </c>
      <c r="P128" s="31"/>
      <c r="Q128" s="31"/>
    </row>
    <row r="129" spans="1:17" s="119" customFormat="1" hidden="1" outlineLevel="1" x14ac:dyDescent="0.25">
      <c r="A129" s="22" t="s">
        <v>435</v>
      </c>
      <c r="B129" s="22"/>
      <c r="C129" s="22" t="s">
        <v>491</v>
      </c>
      <c r="D129" s="27"/>
      <c r="E129" s="18">
        <f>IF(TypeOfGas="Water/Steam",18,
    IF(TypeOfGas&lt;&gt;"Custom Gas",FluidNameMw(TypeOfGas),
      IF(MethodOfSpecifyingDensity="Calculate from Spec Grav",28.97*E47,
        IF(OR(MethodOfSpecifyingDensity="Calculate from MW",FlowRateType="Volume Flow Rate"),E48,""))))</f>
        <v>18</v>
      </c>
      <c r="F129" s="18">
        <f>IF(TypeOfGas="Water/Steam",18,
    IF(TypeOfGas&lt;&gt;"Custom Gas",FluidNameMw(TypeOfGas),
      IF(MethodOfSpecifyingDensity="Calculate from Spec Grav",28.97*F47,
        IF(OR(MethodOfSpecifyingDensity="Calculate from MW",FlowRateType="Volume Flow Rate"),F48,""))))</f>
        <v>18</v>
      </c>
      <c r="G129" s="18">
        <f>IF(TypeOfGas="Water/Steam",18,
    IF(TypeOfGas&lt;&gt;"Custom Gas",FluidNameMw(TypeOfGas),
      IF(MethodOfSpecifyingDensity="Calculate from Spec Grav",28.97*G47,
        IF(OR(MethodOfSpecifyingDensity="Calculate from MW",FlowRateType="Volume Flow Rate"),G48,""))))</f>
        <v>18</v>
      </c>
      <c r="H129" s="18">
        <f>IF(TypeOfGas="Water/Steam",18,
    IF(TypeOfGas&lt;&gt;"Custom Gas",FluidNameMw(TypeOfGas),
      IF(MethodOfSpecifyingDensity="Calculate from Spec Grav",28.97*H47,
        IF(OR(MethodOfSpecifyingDensity="Calculate from MW",FlowRateType="Volume Flow Rate"),H48,""))))</f>
        <v>18</v>
      </c>
      <c r="I129" s="18">
        <f>IF(TypeOfGas="Water/Steam",18,
    IF(TypeOfGas&lt;&gt;"Custom Gas",FluidNameMw(TypeOfGas),
      IF(MethodOfSpecifyingDensity="Calculate from Spec Grav",28.97*I47,
        IF(OR(MethodOfSpecifyingDensity="Calculate from MW",FlowRateType="Volume Flow Rate"),I48,""))))</f>
        <v>18</v>
      </c>
      <c r="L129" s="97"/>
      <c r="M129" s="83" t="str">
        <f>IF(TypeOfGas="Water/Steam","Wtr Functions",
    IF(TypeOfGas&lt;&gt;"Custom Gas","Fluid Data",
      IF(OR(MethodOfSpecifyingDensity="Calculate from MW",AND(FlowRateType="Volume Flow Rate",MethodOfSpecifyingDensity="Direct Input")),"Given",
        IF(MethodOfSpecifyingDensity="Calculate from Spec Grav","Def of Gg",""))))</f>
        <v>Wtr Functions</v>
      </c>
      <c r="N129" s="83" t="str">
        <f>IF(TypeOfGas="Water/Steam","From Water Functions",
    IF(TypeOfGas&lt;&gt;"Custom Gas","From FluidData",
      IF(MethodOfSpecifyingDensity="Calculate from Spec Grav","Mw = 28.97*Gg",
        IF(OR(MethodOfSpecifyingDensity="Calculate from MW",FlowRateType="Volume Flow Rate"),"Given",""))))</f>
        <v>From Water Functions</v>
      </c>
      <c r="P129" s="18"/>
      <c r="Q129" s="18"/>
    </row>
    <row r="130" spans="1:17" s="119" customFormat="1" hidden="1" outlineLevel="1" x14ac:dyDescent="0.25">
      <c r="A130" s="22" t="s">
        <v>436</v>
      </c>
      <c r="B130" s="22"/>
      <c r="C130" s="22" t="s">
        <v>492</v>
      </c>
      <c r="D130" s="28"/>
      <c r="E130" s="28" t="str">
        <f>IF(OR(TypeOfGas="Water/Steam",AND(TypeOfGas="Custom Gas",MethodOfSpecifyingDensity="Direct Input")),"",
    IF(AND(TypeOfGas="Custom Gas",CompressibilityOption="Assume 1"),1,
      IF(AND(TypeOfGas="Custom Gas",CompressibilityOption="Direct Input"),E49,
        GasPTPcTcZ(E125,E126,$E107,$E108,1))))</f>
        <v/>
      </c>
      <c r="F130" s="28" t="str">
        <f>IF(OR(TypeOfGas="Water/Steam",AND(TypeOfGas="Custom Gas",MethodOfSpecifyingDensity="Direct Input")),"",
    IF(AND(TypeOfGas="Custom Gas",CompressibilityOption="Assume 1"),1,
      IF(AND(TypeOfGas="Custom Gas",CompressibilityOption="Direct Input"),F49,
        GasPTPcTcZ(F125,F126,$E107,$E108,1))))</f>
        <v/>
      </c>
      <c r="G130" s="28" t="str">
        <f>IF(OR(TypeOfGas="Water/Steam",AND(TypeOfGas="Custom Gas",MethodOfSpecifyingDensity="Direct Input")),"",
    IF(AND(TypeOfGas="Custom Gas",CompressibilityOption="Assume 1"),1,
      IF(AND(TypeOfGas="Custom Gas",CompressibilityOption="Direct Input"),G49,
        GasPTPcTcZ(G125,G126,$E107,$E108,1))))</f>
        <v/>
      </c>
      <c r="H130" s="28" t="str">
        <f>IF(OR(TypeOfGas="Water/Steam",AND(TypeOfGas="Custom Gas",MethodOfSpecifyingDensity="Direct Input")),"",
    IF(AND(TypeOfGas="Custom Gas",CompressibilityOption="Assume 1"),1,
      IF(AND(TypeOfGas="Custom Gas",CompressibilityOption="Direct Input"),H49,
        GasPTPcTcZ(H125,H126,$E107,$E108,1))))</f>
        <v/>
      </c>
      <c r="I130" s="28" t="str">
        <f>IF(OR(TypeOfGas="Water/Steam",AND(TypeOfGas="Custom Gas",MethodOfSpecifyingDensity="Direct Input")),"",
    IF(AND(TypeOfGas="Custom Gas",CompressibilityOption="Assume 1"),1,
      IF(AND(TypeOfGas="Custom Gas",CompressibilityOption="Direct Input"),I49,
        GasPTPcTcZ(I125,I126,$E107,$E108,1))))</f>
        <v/>
      </c>
      <c r="L130" s="97"/>
      <c r="M130" s="83" t="str">
        <f>IF(OR(TypeOfGas="Water/Steam",MethodOfSpecifyingDensity="Direct Input"),"",
    IF(OR(TypeOfGas&lt;&gt;"Custom Gas",CompressibilityOption="Calculate from Pc &amp; Tc"),
      "Relich-Kwon",
      IF(CompressibilityOption="Assume 1","Assumed 1","Given")))</f>
        <v/>
      </c>
      <c r="N130" s="83" t="str">
        <f>IF(OR(TypeOfGas="Water/Steam",MethodOfSpecifyingDensity="Direct Input"),"",
    IF(OR(TypeOfGas&lt;&gt;"Custom Gas",CompressibilityOption="Calculate from Pc &amp; Tc"),
      "Z = GasPTPcTcZ(P1, T1, Pc, Tc)",
      IF(CompressibilityOption="Assume 1","Z = 1","")))</f>
        <v/>
      </c>
      <c r="P130" s="18"/>
      <c r="Q130" s="18"/>
    </row>
    <row r="131" spans="1:17" s="119" customFormat="1" hidden="1" outlineLevel="1" x14ac:dyDescent="0.25">
      <c r="A131" s="21" t="s">
        <v>437</v>
      </c>
      <c r="B131" s="22"/>
      <c r="C131" s="22" t="s">
        <v>493</v>
      </c>
      <c r="D131" s="18" t="s">
        <v>438</v>
      </c>
      <c r="E131" s="29" t="str">
        <f>IF(TypeOfGas="Water/Steam",wtrPTD(E125,E126,1),
    IF(TypeOfGas&lt;&gt;"Custom Gas",FluidNamePTRho(TypeOfGas,E125,E126,1),
      IF(MethodOfSpecifyingDensity="Direct Input",Conv("rho",E50,$D$50,$D$131),
        E129*E125/(0.083143*E130*(E126+273.15)))))</f>
        <v>p too small</v>
      </c>
      <c r="F131" s="29" t="str">
        <f>IF(TypeOfGas="Water/Steam",wtrPTD(F125,F126,1),
    IF(TypeOfGas&lt;&gt;"Custom Gas",FluidNamePTRho(TypeOfGas,F125,F126,1),
      IF(MethodOfSpecifyingDensity="Direct Input",Conv("rho",F50,$D$50,$D$131),
        F129*F125/(0.083143*F130*(F126+273.15)))))</f>
        <v>p too small</v>
      </c>
      <c r="G131" s="29" t="str">
        <f>IF(TypeOfGas="Water/Steam",wtrPTD(G125,G126,1),
    IF(TypeOfGas&lt;&gt;"Custom Gas",FluidNamePTRho(TypeOfGas,G125,G126,1),
      IF(MethodOfSpecifyingDensity="Direct Input",Conv("rho",G50,$D$50,$D$131),
        G129*G125/(0.083143*G130*(G126+273.15)))))</f>
        <v>p too small</v>
      </c>
      <c r="H131" s="29" t="str">
        <f>IF(TypeOfGas="Water/Steam",wtrPTD(H125,H126,1),
    IF(TypeOfGas&lt;&gt;"Custom Gas",FluidNamePTRho(TypeOfGas,H125,H126,1),
      IF(MethodOfSpecifyingDensity="Direct Input",Conv("rho",H50,$D$50,$D$131),
        H129*H125/(0.083143*H130*(H126+273.15)))))</f>
        <v>p too small</v>
      </c>
      <c r="I131" s="29" t="str">
        <f>IF(TypeOfGas="Water/Steam",wtrPTD(I125,I126,1),
    IF(TypeOfGas&lt;&gt;"Custom Gas",FluidNamePTRho(TypeOfGas,I125,I126,1),
      IF(MethodOfSpecifyingDensity="Direct Input",Conv("rho",I50,$D$50,$D$131),
        I129*I125/(0.083143*I130*(I126+273.15)))))</f>
        <v>p too small</v>
      </c>
      <c r="L131" s="97"/>
      <c r="M131" s="83" t="str">
        <f>IF(TypeOfGas="Water/Steam","Wtr Functions",
    IF(TypeOfGas&lt;&gt;"Custom Gas","Fluid Functions",
      IF(MethodOfSpecifyingDensity="Direct Input","Unit Conversion",
        "Ideal Gas")))</f>
        <v>Wtr Functions</v>
      </c>
      <c r="N131" s="83" t="str">
        <f>IF(TypeOfGas="Water/Steam","rho1 = wtrPTD(P1, T1)",
    IF(MethodOfSpecifyingDensity="Direct Input","Rho1(kg/m3) = "&amp;TEXT(Conv("rho",1,$D$50,$D$131),"General")&amp;"*Rho1("&amp;$D$50&amp;")",
      "Rho1 = MW*P1/(0.083143*Z*(T1 + 273.15))"))</f>
        <v>rho1 = wtrPTD(P1, T1)</v>
      </c>
      <c r="P131" s="18"/>
      <c r="Q131" s="18"/>
    </row>
    <row r="132" spans="1:17" s="119" customFormat="1" hidden="1" outlineLevel="1" x14ac:dyDescent="0.25">
      <c r="A132" s="119" t="s">
        <v>494</v>
      </c>
      <c r="B132" s="22"/>
      <c r="C132" s="119" t="s">
        <v>495</v>
      </c>
      <c r="D132" s="31" t="s">
        <v>496</v>
      </c>
      <c r="E132" s="29" t="e">
        <f>GasPRhokc(E125,E131,E127,1)</f>
        <v>#VALUE!</v>
      </c>
      <c r="F132" s="29" t="e">
        <f>GasPRhokc(F125,F131,F127,1)</f>
        <v>#VALUE!</v>
      </c>
      <c r="G132" s="29" t="e">
        <f>GasPRhokc(G125,G131,G127,1)</f>
        <v>#VALUE!</v>
      </c>
      <c r="H132" s="29" t="e">
        <f>GasPRhokc(H125,H131,H127,1)</f>
        <v>#VALUE!</v>
      </c>
      <c r="I132" s="29" t="e">
        <f>GasPRhokc(I125,I131,I127,1)</f>
        <v>#VALUE!</v>
      </c>
      <c r="L132" s="97"/>
      <c r="M132" s="83" t="s">
        <v>879</v>
      </c>
      <c r="N132" s="83" t="s">
        <v>497</v>
      </c>
      <c r="P132" s="18"/>
      <c r="Q132" s="18"/>
    </row>
    <row r="133" spans="1:17" s="119" customFormat="1" hidden="1" outlineLevel="1" x14ac:dyDescent="0.25">
      <c r="A133" s="30" t="s">
        <v>394</v>
      </c>
      <c r="C133" s="119" t="s">
        <v>498</v>
      </c>
      <c r="D133" s="31" t="s">
        <v>499</v>
      </c>
      <c r="E133" s="18">
        <f>IF(FlowRateType="Mass Flow Rate",Conv("m",E42,$D$42,$D$133),"")</f>
        <v>0</v>
      </c>
      <c r="F133" s="18">
        <f>IF(FlowRateType="Mass Flow Rate",Conv("m",F42,$D$42,$D$133),"")</f>
        <v>0</v>
      </c>
      <c r="G133" s="18">
        <f>IF(FlowRateType="Mass Flow Rate",Conv("m",G42,$D$42,$D$133),"")</f>
        <v>0</v>
      </c>
      <c r="H133" s="18">
        <f>IF(FlowRateType="Mass Flow Rate",Conv("m",H42,$D$42,$D$133),"")</f>
        <v>0</v>
      </c>
      <c r="I133" s="18">
        <f>IF(FlowRateType="Mass Flow Rate",Conv("m",I42,$D$42,$D$133),"")</f>
        <v>0</v>
      </c>
      <c r="L133" s="97"/>
      <c r="M133" s="83" t="str">
        <f>IF(FlowRateType="Mass Flow Rate","Unit Conversion","")</f>
        <v>Unit Conversion</v>
      </c>
      <c r="N133" s="83" t="str">
        <f>IF(FlowRateType="Mass Flow Rate","W(kg/h) = "&amp;TEXT(Conv("m",1,$D$42,$D$133),"General")&amp;"*W("&amp;$D$42&amp;")","")</f>
        <v>W(kg/h) = 1*W(kg/h)</v>
      </c>
      <c r="P133" s="18"/>
      <c r="Q133" s="18"/>
    </row>
    <row r="134" spans="1:17" s="119" customFormat="1" hidden="1" outlineLevel="1" x14ac:dyDescent="0.25">
      <c r="A134" s="21" t="s">
        <v>430</v>
      </c>
      <c r="B134" s="22"/>
      <c r="C134" s="22" t="s">
        <v>500</v>
      </c>
      <c r="D134" s="18" t="s">
        <v>501</v>
      </c>
      <c r="E134" s="18" t="str">
        <f>IF(FlowRateType="Volume Flow Rate",Conv("Qg",E43,$D$43,$D$134),"")</f>
        <v/>
      </c>
      <c r="F134" s="18" t="str">
        <f>IF(FlowRateType="Volume Flow Rate",Conv("Qg",F43,$D$43,$D$134),"")</f>
        <v/>
      </c>
      <c r="G134" s="18" t="str">
        <f>IF(FlowRateType="Volume Flow Rate",Conv("Qg",G43,$D$43,$D$134),"")</f>
        <v/>
      </c>
      <c r="H134" s="18" t="str">
        <f>IF(FlowRateType="Volume Flow Rate",Conv("Qg",H43,$D$43,$D$134),"")</f>
        <v/>
      </c>
      <c r="I134" s="18" t="str">
        <f>IF(FlowRateType="Volume Flow Rate",Conv("Qg",I43,$D$43,$D$134),"")</f>
        <v/>
      </c>
      <c r="L134" s="97"/>
      <c r="M134" s="83" t="str">
        <f>IF(FlowRateType="Volume Flow Rate","Unit Conversion","")</f>
        <v/>
      </c>
      <c r="N134" s="83" t="str">
        <f>IF(FlowRateType="Volume Flow Rate","Qg(Nm3/h) = "&amp;TEXT(Conv("Qg",1,$D$43,$D$134),"General")&amp;"*Qg("&amp;$D$43&amp;")","")</f>
        <v/>
      </c>
      <c r="P134" s="18"/>
      <c r="Q134" s="18"/>
    </row>
    <row r="135" spans="1:17" s="119" customFormat="1" hidden="1" outlineLevel="1" x14ac:dyDescent="0.25">
      <c r="A135" s="119" t="s">
        <v>394</v>
      </c>
      <c r="C135" s="119" t="s">
        <v>498</v>
      </c>
      <c r="D135" s="31" t="s">
        <v>499</v>
      </c>
      <c r="E135" s="31">
        <f>IF(FlowRateType="Mass Flow Rate",E133,
    E134*1.01325*E129/(0.083143*(273.15)))</f>
        <v>0</v>
      </c>
      <c r="F135" s="31">
        <f>IF(FlowRateType="Mass Flow Rate",F133,
    F134*1.01325*F129/(0.083143*(273.15)))</f>
        <v>0</v>
      </c>
      <c r="G135" s="31">
        <f>IF(FlowRateType="Mass Flow Rate",G133,
    G134*1.01325*G129/(0.083143*(273.15)))</f>
        <v>0</v>
      </c>
      <c r="H135" s="31">
        <f>IF(FlowRateType="Mass Flow Rate",H133,
    H134*1.01325*H129/(0.083143*(273.15)))</f>
        <v>0</v>
      </c>
      <c r="I135" s="31">
        <f>IF(FlowRateType="Mass Flow Rate",I133,
    I134*1.01325*I129/(0.083143*(273.15)))</f>
        <v>0</v>
      </c>
      <c r="L135" s="97"/>
      <c r="M135" s="82" t="str">
        <f>IF(FlowRateType="Mass Flow Rate",
    "Given",
    "Conversion")</f>
        <v>Given</v>
      </c>
      <c r="N135" s="82" t="str">
        <f>IF(FlowRateType="Mass Flow Rate",
    "",
    "W = Qg*1.01325*MW/(0.083143*273.15)")</f>
        <v/>
      </c>
      <c r="P135" s="31"/>
      <c r="Q135" s="31"/>
    </row>
    <row r="136" spans="1:17" s="119" customFormat="1" hidden="1" outlineLevel="1" x14ac:dyDescent="0.25">
      <c r="D136" s="31"/>
      <c r="F136" s="31"/>
      <c r="G136" s="31"/>
      <c r="H136" s="31"/>
      <c r="I136" s="31"/>
      <c r="L136" s="97"/>
      <c r="M136" s="82"/>
      <c r="N136" s="82"/>
      <c r="P136" s="31"/>
      <c r="Q136" s="31"/>
    </row>
    <row r="137" spans="1:17" s="119" customFormat="1" ht="13" hidden="1" outlineLevel="1" x14ac:dyDescent="0.3">
      <c r="A137" s="397" t="s">
        <v>1015</v>
      </c>
      <c r="B137" s="393"/>
      <c r="C137" s="393"/>
      <c r="D137" s="395"/>
      <c r="E137" s="393"/>
      <c r="F137" s="395"/>
      <c r="G137" s="395"/>
      <c r="H137" s="395"/>
      <c r="I137" s="395"/>
      <c r="L137" s="97"/>
      <c r="M137" s="82"/>
      <c r="N137" s="82"/>
      <c r="P137" s="31"/>
      <c r="Q137" s="31"/>
    </row>
    <row r="138" spans="1:17" s="119" customFormat="1" hidden="1" outlineLevel="1" x14ac:dyDescent="0.25">
      <c r="A138" s="119" t="s">
        <v>749</v>
      </c>
      <c r="C138" s="119" t="s">
        <v>752</v>
      </c>
      <c r="D138" s="31" t="s">
        <v>496</v>
      </c>
      <c r="E138" s="119" t="e">
        <f>GasWRhoAcV(E135/3600,E131,PI()/4*($E$113/1000)^2,E132,1)</f>
        <v>#VALUE!</v>
      </c>
      <c r="F138" s="119" t="e">
        <f>GasWRhoAcV(F135/3600,F131,PI()/4*($E$113/1000)^2,F132,1)</f>
        <v>#VALUE!</v>
      </c>
      <c r="G138" s="119" t="e">
        <f>GasWRhoAcV(G135/3600,G131,PI()/4*($E$113/1000)^2,G132,1)</f>
        <v>#VALUE!</v>
      </c>
      <c r="H138" s="119" t="e">
        <f>GasWRhoAcV(H135/3600,H131,PI()/4*($E$113/1000)^2,H132,1)</f>
        <v>#VALUE!</v>
      </c>
      <c r="I138" s="119" t="e">
        <f>GasWRhoAcV(I135/3600,I131,PI()/4*($E$113/1000)^2,I132,1)</f>
        <v>#VALUE!</v>
      </c>
      <c r="L138" s="97"/>
      <c r="M138" s="82" t="s">
        <v>880</v>
      </c>
      <c r="N138" s="82"/>
      <c r="P138" s="31"/>
      <c r="Q138" s="31"/>
    </row>
    <row r="139" spans="1:17" s="119" customFormat="1" hidden="1" outlineLevel="1" x14ac:dyDescent="0.25">
      <c r="A139" s="119" t="s">
        <v>751</v>
      </c>
      <c r="C139" s="119" t="s">
        <v>753</v>
      </c>
      <c r="D139" s="31" t="s">
        <v>513</v>
      </c>
      <c r="E139" s="119" t="e">
        <f>GasWRhoAcKE(E135/3600,E131,PI()/4*($E$113/1000)^2,E132,1)</f>
        <v>#VALUE!</v>
      </c>
      <c r="F139" s="119" t="e">
        <f>GasWRhoAcKE(F135/3600,F131,PI()/4*($E$113/1000)^2,F132,1)</f>
        <v>#VALUE!</v>
      </c>
      <c r="G139" s="119" t="e">
        <f>GasWRhoAcKE(G135/3600,G131,PI()/4*($E$113/1000)^2,G132,1)</f>
        <v>#VALUE!</v>
      </c>
      <c r="H139" s="119" t="e">
        <f>GasWRhoAcKE(H135/3600,H131,PI()/4*($E$113/1000)^2,H132,1)</f>
        <v>#VALUE!</v>
      </c>
      <c r="I139" s="119" t="e">
        <f>GasWRhoAcKE(I135/3600,I131,PI()/4*($E$113/1000)^2,I132,1)</f>
        <v>#VALUE!</v>
      </c>
      <c r="L139" s="97"/>
      <c r="M139" s="82"/>
      <c r="N139" s="82"/>
      <c r="P139" s="31"/>
      <c r="Q139" s="31"/>
    </row>
    <row r="140" spans="1:17" s="119" customFormat="1" hidden="1" outlineLevel="1" x14ac:dyDescent="0.25">
      <c r="D140" s="31"/>
      <c r="F140" s="31"/>
      <c r="G140" s="31"/>
      <c r="H140" s="31"/>
      <c r="I140" s="31"/>
      <c r="L140" s="97"/>
      <c r="M140" s="82"/>
      <c r="N140" s="82"/>
      <c r="P140" s="31"/>
      <c r="Q140" s="31"/>
    </row>
    <row r="141" spans="1:17" s="119" customFormat="1" hidden="1" outlineLevel="1" x14ac:dyDescent="0.25">
      <c r="F141" s="24"/>
      <c r="G141" s="24"/>
      <c r="H141" s="24"/>
      <c r="I141" s="24"/>
      <c r="L141" s="97"/>
      <c r="M141" s="82"/>
      <c r="N141" s="82"/>
      <c r="P141" s="31"/>
      <c r="Q141" s="31"/>
    </row>
    <row r="142" spans="1:17" s="119" customFormat="1" ht="13" hidden="1" outlineLevel="1" x14ac:dyDescent="0.3">
      <c r="A142" s="397" t="s">
        <v>1013</v>
      </c>
      <c r="B142" s="393"/>
      <c r="C142" s="393"/>
      <c r="D142" s="395"/>
      <c r="E142" s="396"/>
      <c r="F142" s="24"/>
      <c r="G142" s="24"/>
      <c r="H142" s="24"/>
      <c r="I142" s="24"/>
      <c r="L142" s="97"/>
      <c r="M142" s="82"/>
      <c r="N142" s="82"/>
      <c r="P142" s="31"/>
      <c r="Q142" s="31"/>
    </row>
    <row r="143" spans="1:17" s="119" customFormat="1" hidden="1" outlineLevel="1" x14ac:dyDescent="0.25">
      <c r="A143" s="119" t="str">
        <f>IF(D18="Flow to Open (UTP)","Valve Outlet Run ID","Plug Diameter")</f>
        <v>Valve Outlet Run ID</v>
      </c>
      <c r="C143" s="119" t="s">
        <v>514</v>
      </c>
      <c r="D143" s="31" t="s">
        <v>469</v>
      </c>
      <c r="E143" s="24">
        <f>Conv("L",F76,$D76,$D143)</f>
        <v>72.900000000000006</v>
      </c>
      <c r="L143" s="97"/>
      <c r="M143" s="82" t="s">
        <v>472</v>
      </c>
      <c r="N143" s="82" t="str">
        <f>"Dvr2(mm) = "&amp;TEXT(Conv("L",1,D76,$D$143),"General")&amp;"*Dvr2("&amp;D76&amp;")"</f>
        <v>Dvr2(mm) = 1*Dvr2(mm)</v>
      </c>
      <c r="P143" s="31"/>
      <c r="Q143" s="31"/>
    </row>
    <row r="144" spans="1:17" s="119" customFormat="1" hidden="1" outlineLevel="1" x14ac:dyDescent="0.25">
      <c r="A144" s="119" t="str">
        <f>IF(D18="Flow to Open (UTP)","Valve Outlet Run Area","Plug Area")</f>
        <v>Valve Outlet Run Area</v>
      </c>
      <c r="C144" s="119" t="s">
        <v>736</v>
      </c>
      <c r="D144" s="31" t="s">
        <v>517</v>
      </c>
      <c r="E144" s="119">
        <f>PI()/4*E143^2</f>
        <v>4173.927853541034</v>
      </c>
      <c r="L144" s="97"/>
      <c r="M144" s="82" t="s">
        <v>881</v>
      </c>
      <c r="N144" s="82"/>
      <c r="P144" s="31"/>
      <c r="Q144" s="31"/>
    </row>
    <row r="145" spans="1:17" s="119" customFormat="1" hidden="1" outlineLevel="1" x14ac:dyDescent="0.25">
      <c r="A145" s="119" t="str">
        <f>IF($D$19="None","Expander Inlet Inside Diameter","Flow Distributor Hole Size")</f>
        <v>Expander Inlet Inside Diameter</v>
      </c>
      <c r="C145" s="119" t="s">
        <v>515</v>
      </c>
      <c r="D145" s="31" t="s">
        <v>469</v>
      </c>
      <c r="E145" s="24">
        <f>Conv("L",F79,$D$79,$D$145)</f>
        <v>72.900000000000006</v>
      </c>
      <c r="F145" s="123"/>
      <c r="G145" s="123"/>
      <c r="H145" s="123"/>
      <c r="I145" s="123"/>
      <c r="L145" s="97"/>
      <c r="M145" s="82" t="s">
        <v>472</v>
      </c>
      <c r="N145" s="82" t="str">
        <f>"Dje(mm) = "&amp;TEXT(Conv("L",1,$D$79,$D$145),"General")&amp;"*Dje("&amp;$D$79&amp;")"</f>
        <v>Dje(mm) = 1*Dje(mm)</v>
      </c>
      <c r="P145" s="31"/>
      <c r="Q145" s="31"/>
    </row>
    <row r="146" spans="1:17" s="119" customFormat="1" hidden="1" outlineLevel="1" x14ac:dyDescent="0.25">
      <c r="A146" s="17" t="str">
        <f>IF($D$19="None","Expander Jet Diameter","Flow Distributor Jet Diameter")</f>
        <v>Expander Jet Diameter</v>
      </c>
      <c r="C146" s="119" t="s">
        <v>515</v>
      </c>
      <c r="D146" s="23" t="s">
        <v>522</v>
      </c>
      <c r="E146" s="23">
        <f>E145/1000</f>
        <v>7.2900000000000006E-2</v>
      </c>
      <c r="F146" s="24"/>
      <c r="G146" s="24"/>
      <c r="H146" s="24"/>
      <c r="I146" s="24"/>
      <c r="L146" s="97"/>
      <c r="M146" s="82" t="s">
        <v>472</v>
      </c>
      <c r="N146" s="119" t="s">
        <v>882</v>
      </c>
      <c r="P146" s="31"/>
      <c r="Q146" s="31"/>
    </row>
    <row r="147" spans="1:17" s="119" customFormat="1" hidden="1" outlineLevel="1" x14ac:dyDescent="0.25">
      <c r="A147" s="17" t="str">
        <f>IF($D$19="None","Expander Inlet Hole Area","Flow Distrib. Outlet Hole Area")</f>
        <v>Expander Inlet Hole Area</v>
      </c>
      <c r="C147" s="119" t="s">
        <v>516</v>
      </c>
      <c r="D147" s="23" t="s">
        <v>517</v>
      </c>
      <c r="E147" s="23">
        <f>F80*PI()/4*E145^2</f>
        <v>4173.927853541034</v>
      </c>
      <c r="F147" s="123"/>
      <c r="G147" s="123"/>
      <c r="H147" s="123"/>
      <c r="I147" s="123"/>
      <c r="L147" s="97"/>
      <c r="M147" s="82"/>
      <c r="N147" s="82" t="s">
        <v>518</v>
      </c>
      <c r="P147" s="31"/>
      <c r="Q147" s="31"/>
    </row>
    <row r="148" spans="1:17" s="119" customFormat="1" hidden="1" outlineLevel="1" x14ac:dyDescent="0.25">
      <c r="A148" s="17" t="str">
        <f>IF($D$19="None","Expander Flow Coefficient","Flow Distrib. Flow Coefficient")</f>
        <v>Expander Flow Coefficient</v>
      </c>
      <c r="C148" s="119" t="s">
        <v>519</v>
      </c>
      <c r="D148" s="31" t="s">
        <v>520</v>
      </c>
      <c r="E148" s="23">
        <f>Conv("C",38*(E147/25.4^2)/
  IF(D19="None",(1-(E143/F113)^2)^2,
    IF(D19="1 Stage",1,
      IF(D19="2 Stage",1+F82^2,
        1+F82^2+F82^4))*1.5)^0.5, "Cv","Kv")</f>
        <v>1253.6616803618886</v>
      </c>
      <c r="F148" s="375"/>
      <c r="G148" s="375"/>
      <c r="H148" s="123"/>
      <c r="I148" s="123"/>
      <c r="L148" s="97"/>
      <c r="M148" s="82"/>
      <c r="N148" s="82" t="s">
        <v>521</v>
      </c>
      <c r="P148" s="31"/>
      <c r="Q148" s="31"/>
    </row>
    <row r="149" spans="1:17" s="119" customFormat="1" hidden="1" outlineLevel="1" x14ac:dyDescent="0.25">
      <c r="A149" s="17" t="s">
        <v>523</v>
      </c>
      <c r="C149" s="119" t="s">
        <v>524</v>
      </c>
      <c r="D149" s="23" t="s">
        <v>520</v>
      </c>
      <c r="E149" s="23" t="e">
        <f>IF(D19="None",NA(),
    Conv("C",38*E147/(25.4^2*1.5^0.5),"Cv","Kv"))</f>
        <v>#N/A</v>
      </c>
      <c r="F149" s="24"/>
      <c r="G149" s="24"/>
      <c r="H149" s="24"/>
      <c r="I149" s="24"/>
      <c r="L149" s="97"/>
      <c r="M149" s="82"/>
      <c r="N149" s="82"/>
      <c r="P149" s="31"/>
      <c r="Q149" s="31"/>
    </row>
    <row r="150" spans="1:17" s="119" customFormat="1" hidden="1" outlineLevel="1" x14ac:dyDescent="0.25">
      <c r="A150" s="17"/>
      <c r="D150" s="23"/>
      <c r="E150" s="23"/>
      <c r="F150" s="24"/>
      <c r="G150" s="24"/>
      <c r="H150" s="24"/>
      <c r="I150" s="24"/>
      <c r="L150" s="97"/>
      <c r="M150" s="82"/>
      <c r="N150" s="82"/>
      <c r="P150" s="31"/>
      <c r="Q150" s="31"/>
    </row>
    <row r="151" spans="1:17" s="119" customFormat="1" ht="13" hidden="1" outlineLevel="1" x14ac:dyDescent="0.3">
      <c r="A151" s="392" t="s">
        <v>1012</v>
      </c>
      <c r="B151" s="393"/>
      <c r="C151" s="393"/>
      <c r="D151" s="394"/>
      <c r="E151" s="394"/>
      <c r="F151" s="396"/>
      <c r="G151" s="396"/>
      <c r="H151" s="396"/>
      <c r="I151" s="396"/>
      <c r="L151" s="97"/>
      <c r="M151" s="82"/>
      <c r="N151" s="82"/>
      <c r="P151" s="31"/>
      <c r="Q151" s="31"/>
    </row>
    <row r="152" spans="1:17" s="119" customFormat="1" hidden="1" outlineLevel="1" x14ac:dyDescent="0.25">
      <c r="A152" s="17" t="s">
        <v>525</v>
      </c>
      <c r="C152" s="119" t="s">
        <v>526</v>
      </c>
      <c r="D152" s="23" t="s">
        <v>463</v>
      </c>
      <c r="E152" s="24">
        <f>IF($D$19="None",E237,
    GasCvP1(E135/3600,E237,E239,E127,IF($D$19="2 Stage",0.85,0.95),$E$148,1))</f>
        <v>0</v>
      </c>
      <c r="F152" s="24">
        <f>IF($D$19="None",F237,
    GasCvP1(F135/3600,F237,F239,F127,IF($D$19="2 Stage",0.85,0.95),$E$148,1))</f>
        <v>0</v>
      </c>
      <c r="G152" s="24">
        <f>IF($D$19="None",G237,
    GasCvP1(G135/3600,G237,G239,G127,IF($D$19="2 Stage",0.85,0.95),$E$148,1))</f>
        <v>0</v>
      </c>
      <c r="H152" s="24">
        <f>IF($D$19="None",H237,
    GasCvP1(H135/3600,H237,H239,H127,IF($D$19="2 Stage",0.85,0.95),$E$148,1))</f>
        <v>0</v>
      </c>
      <c r="I152" s="24">
        <f>IF($D$19="None",I237,
    GasCvP1(I135/3600,I237,I239,I127,IF($D$19="2 Stage",0.85,0.95),$E$148,1))</f>
        <v>0</v>
      </c>
      <c r="J152" s="24"/>
      <c r="L152" s="97"/>
      <c r="M152" s="82"/>
      <c r="N152" s="113" t="str">
        <f>IF(E135=0,"",
    IF(OR($D$19="None",$D$19="1 Stage"),"Pi = P2",
      IF($D$19="2 Stage","Pi = GasCvP1(W, P2, rho2, 0.75, Cve, 1)","Pi = GasCvP1(W, P2, rho2, 0.95, Cve, 1)")))</f>
        <v/>
      </c>
      <c r="P152" s="31"/>
      <c r="Q152" s="31"/>
    </row>
    <row r="153" spans="1:17" s="119" customFormat="1" hidden="1" outlineLevel="1" x14ac:dyDescent="0.25">
      <c r="A153" s="17" t="s">
        <v>527</v>
      </c>
      <c r="C153" s="119" t="s">
        <v>528</v>
      </c>
      <c r="D153" s="23" t="s">
        <v>241</v>
      </c>
      <c r="E153" s="23" t="e">
        <f>IF(TypeOfGas="Water/Steam",wtrPHT(E152,wtrPTH(E125,E126,1),1),E126)</f>
        <v>#VALUE!</v>
      </c>
      <c r="F153" s="23" t="e">
        <f>IF(TypeOfGas="Water/Steam",wtrPHT(F152,wtrPTH(F125,F126,1),1),F126)</f>
        <v>#VALUE!</v>
      </c>
      <c r="G153" s="23" t="e">
        <f>IF(TypeOfGas="Water/Steam",wtrPHT(G152,wtrPTH(G125,G126,1),1),G126)</f>
        <v>#VALUE!</v>
      </c>
      <c r="H153" s="23" t="e">
        <f>IF(TypeOfGas="Water/Steam",wtrPHT(H152,wtrPTH(H125,H126,1),1),H126)</f>
        <v>#VALUE!</v>
      </c>
      <c r="I153" s="23" t="e">
        <f>IF(TypeOfGas="Water/Steam",wtrPHT(I152,wtrPTH(I125,I126,1),1),I126)</f>
        <v>#VALUE!</v>
      </c>
      <c r="L153" s="97"/>
      <c r="M153" s="82"/>
      <c r="N153" s="82"/>
      <c r="P153" s="31"/>
      <c r="Q153" s="31"/>
    </row>
    <row r="154" spans="1:17" s="119" customFormat="1" hidden="1" outlineLevel="1" x14ac:dyDescent="0.25">
      <c r="A154" s="17" t="s">
        <v>529</v>
      </c>
      <c r="C154" s="119" t="s">
        <v>530</v>
      </c>
      <c r="D154" s="31" t="s">
        <v>438</v>
      </c>
      <c r="E154" s="31" t="e">
        <f>IF(TypeOfGas="Water/Steam",wtrPTD(E152,E153,1),E131*E152/E125)</f>
        <v>#VALUE!</v>
      </c>
      <c r="F154" s="31" t="e">
        <f>IF(TypeOfGas="Water/Steam",wtrPTD(F152,F153,1),F131*F152/F125)</f>
        <v>#VALUE!</v>
      </c>
      <c r="G154" s="31" t="e">
        <f>IF(TypeOfGas="Water/Steam",wtrPTD(G152,G153,1),G131*G152/G125)</f>
        <v>#VALUE!</v>
      </c>
      <c r="H154" s="31" t="e">
        <f>IF(TypeOfGas="Water/Steam",wtrPTD(H152,H153,1),H131*H152/H125)</f>
        <v>#VALUE!</v>
      </c>
      <c r="I154" s="31" t="e">
        <f>IF(TypeOfGas="Water/Steam",wtrPTD(I152,I153,1),I131*I152/I125)</f>
        <v>#VALUE!</v>
      </c>
      <c r="L154" s="97"/>
      <c r="M154" s="82" t="s">
        <v>883</v>
      </c>
      <c r="N154" s="113" t="s">
        <v>531</v>
      </c>
      <c r="P154" s="31"/>
      <c r="Q154" s="31"/>
    </row>
    <row r="155" spans="1:17" s="119" customFormat="1" hidden="1" outlineLevel="1" x14ac:dyDescent="0.25">
      <c r="A155" s="17" t="s">
        <v>532</v>
      </c>
      <c r="C155" s="119" t="s">
        <v>533</v>
      </c>
      <c r="D155" s="23" t="s">
        <v>496</v>
      </c>
      <c r="E155" s="23" t="e">
        <f>IF(TypeOfGas="Water/Steam",wtrptW(E152,E153,1),
    (10^5*E152*E127/E154)^0.5)</f>
        <v>#VALUE!</v>
      </c>
      <c r="F155" s="23" t="e">
        <f>IF(TypeOfGas="Water/Steam",wtrptW(F152,F153,1),
    (10^5*F152*F127/F154)^0.5)</f>
        <v>#VALUE!</v>
      </c>
      <c r="G155" s="23" t="e">
        <f>IF(TypeOfGas="Water/Steam",wtrptW(G152,G153,1),
    (10^5*G152*G127/G154)^0.5)</f>
        <v>#VALUE!</v>
      </c>
      <c r="H155" s="23" t="e">
        <f>IF(TypeOfGas="Water/Steam",wtrptW(H152,H153,1),
    (10^5*H152*H127/H154)^0.5)</f>
        <v>#VALUE!</v>
      </c>
      <c r="I155" s="23" t="e">
        <f>IF(TypeOfGas="Water/Steam",wtrptW(I152,I153,1),
    (10^5*I152*I127/I154)^0.5)</f>
        <v>#VALUE!</v>
      </c>
      <c r="L155" s="97"/>
      <c r="M155" s="83" t="s">
        <v>879</v>
      </c>
      <c r="N155" s="82"/>
      <c r="P155" s="31"/>
      <c r="Q155" s="31"/>
    </row>
    <row r="156" spans="1:17" s="119" customFormat="1" hidden="1" outlineLevel="1" x14ac:dyDescent="0.25">
      <c r="A156" s="17"/>
      <c r="D156" s="31"/>
      <c r="E156" s="31"/>
      <c r="F156" s="31"/>
      <c r="G156" s="31"/>
      <c r="H156" s="31"/>
      <c r="I156" s="31"/>
      <c r="L156" s="97"/>
      <c r="M156" s="82"/>
      <c r="N156" s="113"/>
      <c r="P156" s="31"/>
      <c r="Q156" s="31"/>
    </row>
    <row r="157" spans="1:17" s="119" customFormat="1" ht="13" hidden="1" outlineLevel="1" x14ac:dyDescent="0.3">
      <c r="A157" s="392" t="s">
        <v>1011</v>
      </c>
      <c r="B157" s="393"/>
      <c r="C157" s="393"/>
      <c r="D157" s="438"/>
      <c r="E157" s="396"/>
      <c r="F157" s="396"/>
      <c r="G157" s="396"/>
      <c r="H157" s="396"/>
      <c r="I157" s="396"/>
      <c r="L157" s="97"/>
      <c r="M157" s="82"/>
      <c r="N157" s="82"/>
      <c r="P157" s="31"/>
      <c r="Q157" s="31"/>
    </row>
    <row r="158" spans="1:17" s="119" customFormat="1" hidden="1" outlineLevel="1" x14ac:dyDescent="0.25">
      <c r="A158" s="119" t="s">
        <v>534</v>
      </c>
      <c r="C158" s="119" t="s">
        <v>535</v>
      </c>
      <c r="D158" s="31"/>
      <c r="E158" s="31" t="e">
        <f>MINA(E128*$E$122,(E125-E152)/E125)</f>
        <v>#DIV/0!</v>
      </c>
      <c r="F158" s="31" t="e">
        <f>MINA(F128*$E$122,(F125-F152)/F125)</f>
        <v>#DIV/0!</v>
      </c>
      <c r="G158" s="31" t="e">
        <f>MINA(G128*$E$122,(G125-G152)/G125)</f>
        <v>#DIV/0!</v>
      </c>
      <c r="H158" s="31" t="e">
        <f>MINA(H128*$E$122,(H125-H152)/H125)</f>
        <v>#DIV/0!</v>
      </c>
      <c r="I158" s="31" t="e">
        <f>MINA(I128*$E$122,(I125-I152)/I125)</f>
        <v>#DIV/0!</v>
      </c>
      <c r="L158" s="97"/>
      <c r="M158" s="82" t="s">
        <v>889</v>
      </c>
      <c r="N158" s="82" t="s">
        <v>536</v>
      </c>
      <c r="P158" s="31"/>
      <c r="Q158" s="31"/>
    </row>
    <row r="159" spans="1:17" s="119" customFormat="1" hidden="1" outlineLevel="1" x14ac:dyDescent="0.25">
      <c r="A159" s="119" t="s">
        <v>537</v>
      </c>
      <c r="C159" s="119" t="s">
        <v>538</v>
      </c>
      <c r="D159" s="31"/>
      <c r="E159" s="31" t="e">
        <f>1-E158/(3*E128*$E122)</f>
        <v>#DIV/0!</v>
      </c>
      <c r="F159" s="31" t="e">
        <f>1-F158/(3*F128*$E122)</f>
        <v>#DIV/0!</v>
      </c>
      <c r="G159" s="31" t="e">
        <f>1-G158/(3*G128*$E122)</f>
        <v>#DIV/0!</v>
      </c>
      <c r="H159" s="31" t="e">
        <f>1-H158/(3*H128*$E122)</f>
        <v>#DIV/0!</v>
      </c>
      <c r="I159" s="31" t="e">
        <f>1-I158/(3*I128*$E122)</f>
        <v>#DIV/0!</v>
      </c>
      <c r="L159" s="97"/>
      <c r="M159" s="82" t="s">
        <v>887</v>
      </c>
      <c r="N159" s="82" t="s">
        <v>539</v>
      </c>
      <c r="P159" s="31"/>
      <c r="Q159" s="31"/>
    </row>
    <row r="160" spans="1:17" s="119" customFormat="1" hidden="1" outlineLevel="1" x14ac:dyDescent="0.25">
      <c r="A160" s="119" t="s">
        <v>440</v>
      </c>
      <c r="C160" s="119" t="s">
        <v>336</v>
      </c>
      <c r="D160" s="31" t="s">
        <v>520</v>
      </c>
      <c r="E160" s="23" t="str">
        <f>IF(E135="",  "",  E135/(31.6*$E120*E159*(E158*E125*E131)^0.5))</f>
        <v/>
      </c>
      <c r="F160" s="23" t="str">
        <f>IF(F135="",  "",  F135/(31.6*$E120*F159*(F158*F125*F131)^0.5))</f>
        <v/>
      </c>
      <c r="G160" s="23" t="str">
        <f>IF(G135="",  "",  G135/(31.6*$E120*G159*(G158*G125*G131)^0.5))</f>
        <v/>
      </c>
      <c r="H160" s="23" t="str">
        <f>IF(H135="",  "",  H135/(31.6*$E120*H159*(H158*H125*H131)^0.5))</f>
        <v/>
      </c>
      <c r="I160" s="23" t="str">
        <f>IF(I135="",  "",  I135/(31.6*$E120*I159*(I158*I125*I131)^0.5))</f>
        <v/>
      </c>
      <c r="L160" s="97"/>
      <c r="M160" s="82" t="s">
        <v>888</v>
      </c>
      <c r="N160" s="82" t="s">
        <v>540</v>
      </c>
      <c r="P160" s="31"/>
      <c r="Q160" s="31"/>
    </row>
    <row r="161" spans="1:17" s="119" customFormat="1" hidden="1" outlineLevel="1" x14ac:dyDescent="0.25">
      <c r="A161" s="119" t="s">
        <v>445</v>
      </c>
      <c r="C161" s="119" t="s">
        <v>509</v>
      </c>
      <c r="D161" s="31" t="s">
        <v>469</v>
      </c>
      <c r="E161" s="24">
        <f>(4*Conv("C",MAX(E160:I160),$D$160,"Cv")*(1+F35)/(IF($D$17="Angle",30/2^0.5,21/2^0.5)/25.4^2*PI()))^0.5</f>
        <v>0</v>
      </c>
      <c r="F161" s="24"/>
      <c r="G161" s="24"/>
      <c r="H161" s="24"/>
      <c r="I161" s="24"/>
      <c r="L161" s="97"/>
      <c r="M161" s="82"/>
      <c r="N161" s="82" t="str">
        <f>IF($D$17="Angle","Dplgcv = (4*Cvmax*(1 + OCM)/(21/25.4^2*PI))^0.5","Dplgcv = (4*Cvmax*(1 + OCM)/(15/25.4^2*PI))^0.5")</f>
        <v>Dplgcv = (4*Cvmax*(1 + OCM)/(15/25.4^2*PI))^0.5</v>
      </c>
      <c r="P161" s="31"/>
      <c r="Q161" s="31"/>
    </row>
    <row r="162" spans="1:17" s="119" customFormat="1" hidden="1" outlineLevel="1" x14ac:dyDescent="0.25">
      <c r="D162" s="31"/>
      <c r="E162" s="23"/>
      <c r="F162" s="23"/>
      <c r="G162" s="23"/>
      <c r="H162" s="23"/>
      <c r="I162" s="23"/>
      <c r="L162" s="97"/>
      <c r="M162" s="82"/>
      <c r="N162" s="82"/>
      <c r="P162" s="31"/>
      <c r="Q162" s="31"/>
    </row>
    <row r="163" spans="1:17" s="119" customFormat="1" ht="13" hidden="1" outlineLevel="1" x14ac:dyDescent="0.3">
      <c r="A163" s="397" t="s">
        <v>1014</v>
      </c>
      <c r="B163" s="393"/>
      <c r="C163" s="393"/>
      <c r="D163" s="395"/>
      <c r="E163" s="395"/>
      <c r="F163" s="395"/>
      <c r="G163" s="395"/>
      <c r="H163" s="395"/>
      <c r="I163" s="395"/>
      <c r="L163" s="97"/>
      <c r="M163" s="82"/>
      <c r="N163" s="82"/>
      <c r="P163" s="31"/>
      <c r="Q163" s="31"/>
    </row>
    <row r="164" spans="1:17" s="119" customFormat="1" hidden="1" outlineLevel="1" x14ac:dyDescent="0.25">
      <c r="A164" s="17" t="s">
        <v>502</v>
      </c>
      <c r="C164" s="119" t="s">
        <v>503</v>
      </c>
      <c r="D164" s="18" t="s">
        <v>438</v>
      </c>
      <c r="E164" s="24" t="str">
        <f>IF($D$18="Flow to Open (UTP)",E131,E154)</f>
        <v>p too small</v>
      </c>
      <c r="F164" s="24" t="str">
        <f>IF($D$18="Flow to Open (UTP)",F131,F154)</f>
        <v>p too small</v>
      </c>
      <c r="G164" s="24" t="str">
        <f>IF($D$18="Flow to Open (UTP)",G131,G154)</f>
        <v>p too small</v>
      </c>
      <c r="H164" s="24" t="str">
        <f>IF($D$18="Flow to Open (UTP)",H131,H154)</f>
        <v>p too small</v>
      </c>
      <c r="I164" s="24" t="str">
        <f>IF($D$18="Flow to Open (UTP)",I131,I154)</f>
        <v>p too small</v>
      </c>
      <c r="L164" s="97"/>
      <c r="M164" s="82"/>
      <c r="N164" s="82" t="s">
        <v>504</v>
      </c>
      <c r="P164" s="31"/>
      <c r="Q164" s="31"/>
    </row>
    <row r="165" spans="1:17" s="119" customFormat="1" hidden="1" outlineLevel="1" x14ac:dyDescent="0.25">
      <c r="A165" s="119" t="s">
        <v>505</v>
      </c>
      <c r="C165" s="119" t="s">
        <v>506</v>
      </c>
      <c r="D165" s="31" t="s">
        <v>469</v>
      </c>
      <c r="E165" s="24" t="str">
        <f>IF(E135=0,"",
    IF((200000*$E$105/E164)^0.5&lt;E132,
      1000*(4*E135/(3600*PI()*(200000*$E$105*E164)^0.5))^0.5,
      1000*(4*E135*E132/(3600*PI()*200000*$E$105))^0.5))</f>
        <v/>
      </c>
      <c r="F165" s="24" t="str">
        <f>IF(F135=0,"",
    IF((200000*$E$105/F164)^0.5&lt;F132,
      1000*(4*F135/(3600*PI()*(200000*$E$105*F164)^0.5))^0.5,
      1000*(4*F135*F132/(3600*PI()*200000*$E$105))^0.5))</f>
        <v/>
      </c>
      <c r="G165" s="24" t="str">
        <f>IF(G135=0,"",
    IF((200000*$E$105/G164)^0.5&lt;G132,
      1000*(4*G135/(3600*PI()*(200000*$E$105*G164)^0.5))^0.5,
      1000*(4*G135*G132/(3600*PI()*200000*$E$105))^0.5))</f>
        <v/>
      </c>
      <c r="H165" s="24" t="str">
        <f>IF(H135=0,"",
    IF((200000*$E$105/H164)^0.5&lt;H132,
      1000*(4*H135/(3600*PI()*(200000*$E$105*H164)^0.5))^0.5,
      1000*(4*H135*H132/(3600*PI()*200000*$E$105))^0.5))</f>
        <v/>
      </c>
      <c r="I165" s="24" t="str">
        <f>IF(I135=0,"",
    IF((200000*$E$105/I164)^0.5&lt;I132,
      1000*(4*I135/(3600*PI()*(200000*$E$105*I164)^0.5))^0.5,
      1000*(4*I135*I132/(3600*PI()*200000*$E$105))^0.5))</f>
        <v/>
      </c>
      <c r="L165" s="97"/>
      <c r="M165" s="82"/>
      <c r="N165" s="113" t="s">
        <v>507</v>
      </c>
      <c r="P165" s="31"/>
      <c r="Q165" s="31"/>
    </row>
    <row r="166" spans="1:17" s="119" customFormat="1" hidden="1" outlineLevel="1" x14ac:dyDescent="0.25">
      <c r="A166" s="119" t="s">
        <v>444</v>
      </c>
      <c r="C166" s="119" t="s">
        <v>506</v>
      </c>
      <c r="D166" s="31" t="s">
        <v>469</v>
      </c>
      <c r="E166" s="24">
        <f>MAX(E165:I165)</f>
        <v>0</v>
      </c>
      <c r="F166" s="24"/>
      <c r="G166" s="24"/>
      <c r="H166" s="24"/>
      <c r="I166" s="24"/>
      <c r="L166" s="97"/>
      <c r="M166" s="82"/>
      <c r="N166" s="82" t="s">
        <v>508</v>
      </c>
      <c r="P166" s="31"/>
      <c r="Q166" s="31"/>
    </row>
    <row r="167" spans="1:17" s="119" customFormat="1" hidden="1" outlineLevel="1" x14ac:dyDescent="0.25">
      <c r="A167" s="119" t="s">
        <v>510</v>
      </c>
      <c r="C167" s="119" t="s">
        <v>511</v>
      </c>
      <c r="D167" s="31" t="s">
        <v>469</v>
      </c>
      <c r="E167" s="24">
        <f>Conv("L",F70,$D70,$D167)</f>
        <v>0</v>
      </c>
      <c r="F167" s="123"/>
      <c r="G167" s="123"/>
      <c r="H167" s="123"/>
      <c r="I167" s="123"/>
      <c r="L167" s="97"/>
      <c r="M167" s="82"/>
      <c r="N167" s="82"/>
      <c r="P167" s="31"/>
      <c r="Q167" s="31"/>
    </row>
    <row r="168" spans="1:17" s="119" customFormat="1" hidden="1" outlineLevel="1" x14ac:dyDescent="0.25">
      <c r="A168" s="119" t="s">
        <v>1016</v>
      </c>
      <c r="C168" s="119" t="s">
        <v>748</v>
      </c>
      <c r="D168" s="31" t="s">
        <v>496</v>
      </c>
      <c r="E168" s="24" t="e">
        <f>GasWRhoAcV(E135/3600,E164,PI()/4*($E$167/1000)^2,E132,1)</f>
        <v>#VALUE!</v>
      </c>
      <c r="F168" s="24" t="e">
        <f>GasWRhoAcV(F135/3600,F164,PI()/4*($E$167/1000)^2,F132,1)</f>
        <v>#VALUE!</v>
      </c>
      <c r="G168" s="24" t="e">
        <f>GasWRhoAcV(G135/3600,G164,PI()/4*($E$167/1000)^2,G132,1)</f>
        <v>#VALUE!</v>
      </c>
      <c r="H168" s="24" t="e">
        <f>GasWRhoAcV(H135/3600,H164,PI()/4*($E$167/1000)^2,H132,1)</f>
        <v>#VALUE!</v>
      </c>
      <c r="I168" s="24" t="e">
        <f>GasWRhoAcV(I135/3600,I164,PI()/4*($E$167/1000)^2,I132,1)</f>
        <v>#VALUE!</v>
      </c>
      <c r="L168" s="97"/>
      <c r="M168" s="82"/>
      <c r="N168" s="82"/>
      <c r="P168" s="31"/>
      <c r="Q168" s="31"/>
    </row>
    <row r="169" spans="1:17" s="119" customFormat="1" hidden="1" outlineLevel="1" x14ac:dyDescent="0.25">
      <c r="A169" s="119" t="s">
        <v>1017</v>
      </c>
      <c r="C169" s="119" t="s">
        <v>512</v>
      </c>
      <c r="D169" s="31" t="s">
        <v>513</v>
      </c>
      <c r="E169" s="24" t="str">
        <f>IF(E135=0,  "",  GasWRhoAcKE(E135/3600,E164,PI()/4*($E$167/1000)^2,E132,1))</f>
        <v/>
      </c>
      <c r="F169" s="24" t="str">
        <f>IF(F135=0,  "",  GasWRhoAcKE(F135/3600,F164,PI()/4*($E$167/1000)^2,F132,1))</f>
        <v/>
      </c>
      <c r="G169" s="24" t="str">
        <f>IF(G135=0,  "",  GasWRhoAcKE(G135/3600,G164,PI()/4*($E$167/1000)^2,G132,1))</f>
        <v/>
      </c>
      <c r="H169" s="24" t="str">
        <f>IF(H135=0,  "",  GasWRhoAcKE(H135/3600,H164,PI()/4*($E$167/1000)^2,H132,1))</f>
        <v/>
      </c>
      <c r="I169" s="24" t="str">
        <f>IF(I135=0,  "",  GasWRhoAcKE(I135/3600,I164,PI()/4*($E$167/1000)^2,I132,1))</f>
        <v/>
      </c>
      <c r="L169" s="97"/>
      <c r="M169" s="82"/>
      <c r="N169" s="82"/>
      <c r="P169" s="31"/>
      <c r="Q169" s="31"/>
    </row>
    <row r="170" spans="1:17" s="119" customFormat="1" hidden="1" outlineLevel="1" x14ac:dyDescent="0.25">
      <c r="D170" s="31"/>
      <c r="E170" s="23"/>
      <c r="F170" s="23"/>
      <c r="G170" s="23"/>
      <c r="H170" s="23"/>
      <c r="I170" s="23"/>
      <c r="L170" s="97"/>
      <c r="M170" s="82"/>
      <c r="N170" s="82"/>
      <c r="P170" s="31"/>
      <c r="Q170" s="31"/>
    </row>
    <row r="171" spans="1:17" s="119" customFormat="1" ht="13" hidden="1" outlineLevel="1" x14ac:dyDescent="0.3">
      <c r="A171" s="392" t="s">
        <v>1046</v>
      </c>
      <c r="B171" s="393"/>
      <c r="C171" s="393"/>
      <c r="D171" s="438"/>
      <c r="E171" s="396"/>
      <c r="F171" s="396"/>
      <c r="G171" s="396"/>
      <c r="H171" s="396"/>
      <c r="I171" s="396"/>
      <c r="L171" s="97"/>
      <c r="M171" s="82"/>
      <c r="N171" s="82"/>
      <c r="P171" s="31"/>
      <c r="Q171" s="31"/>
    </row>
    <row r="172" spans="1:17" s="119" customFormat="1" hidden="1" outlineLevel="1" x14ac:dyDescent="0.25">
      <c r="A172" s="119" t="s">
        <v>541</v>
      </c>
      <c r="C172" s="119" t="s">
        <v>542</v>
      </c>
      <c r="D172" s="31"/>
      <c r="E172" s="31" t="e">
        <f>MINA(E128*1,(E125-E152)/E125)</f>
        <v>#DIV/0!</v>
      </c>
      <c r="F172" s="31" t="e">
        <f>MINA(F128*1,(F125-F152)/F125)</f>
        <v>#DIV/0!</v>
      </c>
      <c r="G172" s="31" t="e">
        <f>MINA(G128*1,(G125-G152)/G125)</f>
        <v>#DIV/0!</v>
      </c>
      <c r="H172" s="31" t="e">
        <f>MINA(H128*1,(H125-H152)/H125)</f>
        <v>#DIV/0!</v>
      </c>
      <c r="I172" s="31" t="e">
        <f>MINA(I128*1,(I125-I152)/I125)</f>
        <v>#DIV/0!</v>
      </c>
      <c r="L172" s="97"/>
      <c r="M172" s="82" t="s">
        <v>889</v>
      </c>
      <c r="N172" s="113" t="s">
        <v>543</v>
      </c>
      <c r="P172" s="31"/>
      <c r="Q172" s="31"/>
    </row>
    <row r="173" spans="1:17" s="119" customFormat="1" hidden="1" outlineLevel="1" x14ac:dyDescent="0.25">
      <c r="A173" s="119" t="s">
        <v>544</v>
      </c>
      <c r="C173" s="119" t="s">
        <v>545</v>
      </c>
      <c r="D173" s="31"/>
      <c r="E173" s="31" t="e">
        <f>1-E172/(3*E128*1)</f>
        <v>#DIV/0!</v>
      </c>
      <c r="F173" s="31" t="e">
        <f>1-F172/(3*F128*1)</f>
        <v>#DIV/0!</v>
      </c>
      <c r="G173" s="31" t="e">
        <f>1-G172/(3*G128*1)</f>
        <v>#DIV/0!</v>
      </c>
      <c r="H173" s="31" t="e">
        <f>1-H172/(3*H128*1)</f>
        <v>#DIV/0!</v>
      </c>
      <c r="I173" s="31" t="e">
        <f>1-I172/(3*I128*1)</f>
        <v>#DIV/0!</v>
      </c>
      <c r="L173" s="97"/>
      <c r="M173" s="82" t="s">
        <v>887</v>
      </c>
      <c r="N173" s="113" t="s">
        <v>546</v>
      </c>
      <c r="P173" s="31"/>
      <c r="Q173" s="31"/>
    </row>
    <row r="174" spans="1:17" s="119" customFormat="1" hidden="1" outlineLevel="1" x14ac:dyDescent="0.25">
      <c r="A174" s="119" t="s">
        <v>547</v>
      </c>
      <c r="C174" s="119" t="s">
        <v>548</v>
      </c>
      <c r="D174" s="31" t="s">
        <v>520</v>
      </c>
      <c r="E174" s="23" t="e">
        <f>E135/(31.6*1*E173*(E172*E125*E131)^0.5)</f>
        <v>#DIV/0!</v>
      </c>
      <c r="F174" s="23" t="e">
        <f>F135/(31.6*1*F173*(F172*F125*F131)^0.5)</f>
        <v>#DIV/0!</v>
      </c>
      <c r="G174" s="23" t="e">
        <f>G135/(31.6*1*G173*(G172*G125*G131)^0.5)</f>
        <v>#DIV/0!</v>
      </c>
      <c r="H174" s="23" t="e">
        <f>H135/(31.6*1*H173*(H172*H125*H131)^0.5)</f>
        <v>#DIV/0!</v>
      </c>
      <c r="I174" s="23" t="e">
        <f>I135/(31.6*1*I173*(I172*I125*I131)^0.5)</f>
        <v>#DIV/0!</v>
      </c>
      <c r="L174" s="97"/>
      <c r="M174" s="82" t="s">
        <v>888</v>
      </c>
      <c r="N174" s="113" t="s">
        <v>549</v>
      </c>
      <c r="P174" s="31"/>
      <c r="Q174" s="31"/>
    </row>
    <row r="175" spans="1:17" s="119" customFormat="1" ht="13" hidden="1" outlineLevel="1" x14ac:dyDescent="0.3">
      <c r="A175" s="17" t="s">
        <v>550</v>
      </c>
      <c r="C175" s="119" t="s">
        <v>551</v>
      </c>
      <c r="D175" s="31" t="s">
        <v>517</v>
      </c>
      <c r="E175" s="23" t="e">
        <f>E174/
    IF(OR(
      ValveType="530D/540D, Custom Vector",
      ValveType="510D/520D, Standard Vector"),
      CpAo(E61,2^0.1,1),
      IF(ValveType="KKI HF, High Friction Cage",
        Conv("C",38/(0.0254^2*(2.135*
          IF($D$16="HF",  1,
            IF($D$16="HF-2",  1 + 2^2,
             IF($D$16="HF-3",  1 + 2^2 + 2^4,
               IF($D$16="HF-4",  1 + 2^2 + 2^4 + 2^4,
                 1 + 2^2 + 2^4 + 2^4 + 2^4)))))^0.5),"Cv","Kv"),
        CpAo(0,2^0.1,1)))*10^6</f>
        <v>#DIV/0!</v>
      </c>
      <c r="F175" s="23" t="e">
        <f>F174/
    IF(OR(
      ValveType="530D/540D, Custom Vector",
      ValveType="510D/520D, Standard Vector"),
      CpAo(F61,2^0.1,1),
      IF(ValveType="KKI HF, High Friction Cage",
        Conv("C",38/(0.0254^2*(2.135*
          IF($D$16="HF",  1,
            IF($D$16="HF-2",  1 + 2^2,
             IF($D$16="HF-3",  1 + 2^2 + 2^4,
               IF($D$16="HF-4",  1 + 2^2 + 2^4 + 2^4,
                 1 + 2^2 + 2^4 + 2^4 + 2^4)))))^0.5),"Cv","Kv"),
        CpAo(0,2^0.1,1)))*10^6</f>
        <v>#DIV/0!</v>
      </c>
      <c r="G175" s="23" t="e">
        <f>G174/
    IF(OR(
      ValveType="530D/540D, Custom Vector",
      ValveType="510D/520D, Standard Vector"),
      CpAo(G61,2^0.1,1),
      IF(ValveType="KKI HF, High Friction Cage",
        Conv("C",38/(0.0254^2*(2.135*
          IF($D$16="HF",  1,
            IF($D$16="HF-2",  1 + 2^2,
             IF($D$16="HF-3",  1 + 2^2 + 2^4,
               IF($D$16="HF-4",  1 + 2^2 + 2^4 + 2^4,
                 1 + 2^2 + 2^4 + 2^4 + 2^4)))))^0.5),"Cv","Kv"),
        CpAo(0,2^0.1,1)))*10^6</f>
        <v>#DIV/0!</v>
      </c>
      <c r="H175" s="23" t="e">
        <f>H174/
    IF(OR(
      ValveType="530D/540D, Custom Vector",
      ValveType="510D/520D, Standard Vector"),
      CpAo(H61,2^0.1,1),
      IF(ValveType="KKI HF, High Friction Cage",
        Conv("C",38/(0.0254^2*(2.135*
          IF($D$16="HF",  1,
            IF($D$16="HF-2",  1 + 2^2,
             IF($D$16="HF-3",  1 + 2^2 + 2^4,
               IF($D$16="HF-4",  1 + 2^2 + 2^4 + 2^4,
                 1 + 2^2 + 2^4 + 2^4 + 2^4)))))^0.5),"Cv","Kv"),
        CpAo(0,2^0.1,1)))*10^6</f>
        <v>#DIV/0!</v>
      </c>
      <c r="I175" s="23" t="e">
        <f>I174/
    IF(OR(
      ValveType="530D/540D, Custom Vector",
      ValveType="510D/520D, Standard Vector"),
      CpAo(I61,2^0.1,1),
      IF(ValveType="KKI HF, High Friction Cage",
        Conv("C",38/(0.0254^2*(2.135*
          IF($D$16="HF",  1,
            IF($D$16="HF-2",  1 + 2^2,
             IF($D$16="HF-3",  1 + 2^2 + 2^4,
               IF($D$16="HF-4",  1 + 2^2 + 2^4 + 2^4,
                 1 + 2^2 + 2^4 + 2^4 + 2^4)))))^0.5),"Cv","Kv"),
        CpAo(0,2^0.1,1)))*10^6</f>
        <v>#DIV/0!</v>
      </c>
      <c r="J175" s="122"/>
      <c r="L175" s="97"/>
      <c r="M175" s="82"/>
      <c r="N175" s="82" t="str">
        <f>IF(OR(ValveType="530D/540D, Custom Vector",  ValveType="510D/520D, Standard Vector"),
    "Ao = Cv_Vctr/CvAo(Nu, Ec)*25.4^2)",
    "")</f>
        <v>Ao = Cv_Vctr/CvAo(Nu, Ec)*25.4^2)</v>
      </c>
      <c r="P175" s="31"/>
      <c r="Q175" s="31"/>
    </row>
    <row r="176" spans="1:17" s="119" customFormat="1" ht="13" hidden="1" outlineLevel="1" x14ac:dyDescent="0.3">
      <c r="A176" s="17" t="s">
        <v>1009</v>
      </c>
      <c r="C176" s="119" t="s">
        <v>757</v>
      </c>
      <c r="D176" s="31" t="s">
        <v>496</v>
      </c>
      <c r="E176" s="23" t="e">
        <f>GasWRhoAcV(E135/3600,E154,E175/10^6,E132,1)</f>
        <v>#VALUE!</v>
      </c>
      <c r="F176" s="23" t="e">
        <f>GasWRhoAcV(F135/3600,F154,F175/10^6,F132,1)</f>
        <v>#VALUE!</v>
      </c>
      <c r="G176" s="23" t="e">
        <f>GasWRhoAcV(G135/3600,G154,G175/10^6,G132,1)</f>
        <v>#VALUE!</v>
      </c>
      <c r="H176" s="23" t="e">
        <f>GasWRhoAcV(H135/3600,H154,H175/10^6,H132,1)</f>
        <v>#VALUE!</v>
      </c>
      <c r="I176" s="23" t="e">
        <f>GasWRhoAcV(I135/3600,I154,I175/10^6,I132,1)</f>
        <v>#VALUE!</v>
      </c>
      <c r="J176" s="122"/>
      <c r="L176" s="97"/>
      <c r="M176" s="82" t="s">
        <v>885</v>
      </c>
      <c r="N176" s="82"/>
      <c r="P176" s="31"/>
      <c r="Q176" s="31"/>
    </row>
    <row r="177" spans="1:17" s="119" customFormat="1" ht="13" hidden="1" outlineLevel="1" x14ac:dyDescent="0.3">
      <c r="A177" s="17" t="s">
        <v>1010</v>
      </c>
      <c r="C177" s="119" t="s">
        <v>758</v>
      </c>
      <c r="D177" s="31" t="s">
        <v>513</v>
      </c>
      <c r="E177" s="24" t="str">
        <f>IF(E135=0,  "",  GasWRhoAcKE(E135/3600,E154,E175/10^6,E132,1))</f>
        <v/>
      </c>
      <c r="F177" s="24" t="str">
        <f>IF(F135=0,  "",  GasWRhoAcKE(F135/3600,F154,F175/10^6,F132,1))</f>
        <v/>
      </c>
      <c r="G177" s="24" t="str">
        <f>IF(G135=0,  "",  GasWRhoAcKE(G135/3600,G154,G175/10^6,G132,1))</f>
        <v/>
      </c>
      <c r="H177" s="24" t="str">
        <f>IF(H135=0,  "",  GasWRhoAcKE(H135/3600,H154,H175/10^6,H132,1))</f>
        <v/>
      </c>
      <c r="I177" s="24" t="str">
        <f>IF(I135=0,  "",  GasWRhoAcKE(I135/3600,I154,I175/10^6,I132,1))</f>
        <v/>
      </c>
      <c r="J177" s="122"/>
      <c r="L177" s="97"/>
      <c r="M177" s="82" t="s">
        <v>886</v>
      </c>
      <c r="N177" s="82" t="str">
        <f>IF(OR(ValveType="530D/540D, Custom Vector",  ValveType="510D/520D, Standard Vector"),
    "IF 1000^2*W/(3600*rho2*Ao) &lt; c1 THEN Ao = rho2*(1000^2*W/(3600*rho2*Ao))^2/200000 ELSE Ao = rho2*(1000^2*W/(3600*rho2*Ao))*c1/200000))",
    "")</f>
        <v>IF 1000^2*W/(3600*rho2*Ao) &lt; c1 THEN Ao = rho2*(1000^2*W/(3600*rho2*Ao))^2/200000 ELSE Ao = rho2*(1000^2*W/(3600*rho2*Ao))*c1/200000))</v>
      </c>
      <c r="P177" s="31"/>
      <c r="Q177" s="31"/>
    </row>
    <row r="178" spans="1:17" s="119" customFormat="1" ht="13" hidden="1" outlineLevel="1" x14ac:dyDescent="0.3">
      <c r="A178" s="17"/>
      <c r="D178" s="31"/>
      <c r="E178" s="24"/>
      <c r="F178" s="24"/>
      <c r="G178" s="24"/>
      <c r="H178" s="24"/>
      <c r="I178" s="24"/>
      <c r="J178" s="122"/>
      <c r="L178" s="97"/>
      <c r="M178" s="82"/>
      <c r="N178" s="82"/>
      <c r="P178" s="31"/>
      <c r="Q178" s="31"/>
    </row>
    <row r="179" spans="1:17" s="119" customFormat="1" ht="13" hidden="1" outlineLevel="1" x14ac:dyDescent="0.3">
      <c r="A179" s="392" t="s">
        <v>918</v>
      </c>
      <c r="B179" s="393"/>
      <c r="C179" s="393"/>
      <c r="D179" s="395"/>
      <c r="E179" s="396"/>
      <c r="F179" s="396"/>
      <c r="G179" s="396"/>
      <c r="H179" s="396"/>
      <c r="I179" s="396"/>
      <c r="J179" s="122"/>
      <c r="L179" s="97"/>
      <c r="M179" s="82"/>
      <c r="N179" s="82"/>
      <c r="P179" s="31"/>
      <c r="Q179" s="31"/>
    </row>
    <row r="180" spans="1:17" s="119" customFormat="1" ht="13" hidden="1" outlineLevel="1" x14ac:dyDescent="0.3">
      <c r="A180" s="17" t="s">
        <v>552</v>
      </c>
      <c r="C180" s="119" t="s">
        <v>553</v>
      </c>
      <c r="D180" s="31" t="s">
        <v>520</v>
      </c>
      <c r="E180" s="24" t="e">
        <f>CHOOSE(VLOOKUP($D$15,ValveData!$A$4:$L$14,7),
    E160,
    IF(AND(ValveType="KKI HF, High Friction Cage",$D$16="HF"),  E160,
      Conv("C",38*E175/(25.4^2*1.5^0.5),"Cv","Kv")))</f>
        <v>#VALUE!</v>
      </c>
      <c r="F180" s="24" t="e">
        <f>CHOOSE(VLOOKUP($D$15,ValveData!$A$4:$L$14,7),
    F160,
    IF(AND(ValveType="KKI HF, High Friction Cage",$D$16="HF"),  F160,
      Conv("C",38*F175/(25.4^2*1.5^0.5),"Cv","Kv")))</f>
        <v>#VALUE!</v>
      </c>
      <c r="G180" s="24" t="e">
        <f>CHOOSE(VLOOKUP($D$15,ValveData!$A$4:$L$14,7),
    G160,
    IF(AND(ValveType="KKI HF, High Friction Cage",$D$16="HF"),  G160,
      Conv("C",38*G175/(25.4^2*1.5^0.5),"Cv","Kv")))</f>
        <v>#VALUE!</v>
      </c>
      <c r="H180" s="24" t="e">
        <f>CHOOSE(VLOOKUP($D$15,ValveData!$A$4:$L$14,7),
    H160,
    IF(AND(ValveType="KKI HF, High Friction Cage",$D$16="HF"),  H160,
      Conv("C",38*H175/(25.4^2*1.5^0.5),"Cv","Kv")))</f>
        <v>#VALUE!</v>
      </c>
      <c r="I180" s="24" t="e">
        <f>CHOOSE(VLOOKUP($D$15,ValveData!$A$4:$L$14,7),
    I160,
    IF(AND(ValveType="KKI HF, High Friction Cage",$D$16="HF"),  I160,
      Conv("C",38*I175/(25.4^2*1.5^0.5),"Cv","Kv")))</f>
        <v>#VALUE!</v>
      </c>
      <c r="J180" s="122"/>
      <c r="L180" s="97"/>
      <c r="M180" s="82" t="s">
        <v>891</v>
      </c>
      <c r="N180" s="82"/>
      <c r="P180" s="31"/>
      <c r="Q180" s="31"/>
    </row>
    <row r="181" spans="1:17" s="119" customFormat="1" hidden="1" outlineLevel="1" x14ac:dyDescent="0.25">
      <c r="A181" s="17" t="s">
        <v>554</v>
      </c>
      <c r="C181" s="119" t="s">
        <v>555</v>
      </c>
      <c r="D181" s="23" t="s">
        <v>463</v>
      </c>
      <c r="E181" s="24">
        <f>CHOOSE(VLOOKUP($D$15,ValveData!$A$4:$L$14,7),
    E125,
    IF(ValveType="KKI HF, High Friction Cage",
      IF($D$16="HF", E125,  GasCvP1(E135/3600,E152,E154,E127,0.75,E180,1)),
      IF(E61&lt;1,  E125,  GasCvP1(E135/3600,E152,E154,E127,0.75,E180,1))))</f>
        <v>0</v>
      </c>
      <c r="F181" s="24">
        <f>CHOOSE(VLOOKUP($D$15,ValveData!$A$4:$L$14,7),
    F125,
    IF(ValveType="KKI HF, High Friction Cage",
      IF($D$16="HF", F125,  GasCvP1(F135/3600,F152,F154,F127,0.75,F180,1)),
      IF(F61&lt;1,  F125,  GasCvP1(F135/3600,F152,F154,F127,0.75,F180,1))))</f>
        <v>0</v>
      </c>
      <c r="G181" s="24">
        <f>CHOOSE(VLOOKUP($D$15,ValveData!$A$4:$L$14,7),
    G125,
    IF(ValveType="KKI HF, High Friction Cage",
      IF($D$16="HF", G125,  GasCvP1(G135/3600,G152,G154,G127,0.75,G180,1)),
      IF(G61&lt;1,  G125,  GasCvP1(G135/3600,G152,G154,G127,0.75,G180,1))))</f>
        <v>0</v>
      </c>
      <c r="H181" s="24">
        <f>CHOOSE(VLOOKUP($D$15,ValveData!$A$4:$L$14,7),
    H125,
    IF(ValveType="KKI HF, High Friction Cage",
      IF($D$16="HF", H125,  GasCvP1(H135/3600,H152,H154,H127,0.75,H180,1)),
      IF(H61&lt;1,  H125,  GasCvP1(H135/3600,H152,H154,H127,0.75,H180,1))))</f>
        <v>0</v>
      </c>
      <c r="I181" s="24">
        <f>CHOOSE(VLOOKUP($D$15,ValveData!$A$4:$L$14,7),
    I125,
    IF(ValveType="KKI HF, High Friction Cage",
      IF($D$16="HF", I125,  GasCvP1(I135/3600,I152,I154,I127,0.75,I180,1)),
      IF(I61&lt;1,  I125,  GasCvP1(I135/3600,I152,I154,I127,0.75,I180,1))))</f>
        <v>0</v>
      </c>
      <c r="L181" s="97"/>
      <c r="M181" s="82" t="s">
        <v>892</v>
      </c>
      <c r="N181" s="82"/>
      <c r="P181" s="31"/>
      <c r="Q181" s="31"/>
    </row>
    <row r="182" spans="1:17" s="119" customFormat="1" hidden="1" outlineLevel="1" x14ac:dyDescent="0.25">
      <c r="A182" s="17" t="s">
        <v>556</v>
      </c>
      <c r="C182" s="119" t="s">
        <v>557</v>
      </c>
      <c r="D182" s="23" t="s">
        <v>438</v>
      </c>
      <c r="E182" s="23" t="e">
        <f>E131*E181/E125</f>
        <v>#DIV/0!</v>
      </c>
      <c r="F182" s="23" t="e">
        <f>F131*F181/F125</f>
        <v>#DIV/0!</v>
      </c>
      <c r="G182" s="23" t="e">
        <f>G131*G181/G125</f>
        <v>#DIV/0!</v>
      </c>
      <c r="H182" s="23" t="e">
        <f>H131*H181/H125</f>
        <v>#DIV/0!</v>
      </c>
      <c r="I182" s="23" t="e">
        <f>I131*I181/I125</f>
        <v>#DIV/0!</v>
      </c>
      <c r="L182" s="97"/>
      <c r="M182" s="82" t="s">
        <v>893</v>
      </c>
      <c r="N182" s="82"/>
      <c r="P182" s="31"/>
      <c r="Q182" s="31"/>
    </row>
    <row r="183" spans="1:17" s="119" customFormat="1" hidden="1" outlineLevel="1" x14ac:dyDescent="0.25">
      <c r="A183" s="17"/>
      <c r="D183" s="23"/>
      <c r="E183" s="23"/>
      <c r="F183" s="23"/>
      <c r="G183" s="23"/>
      <c r="H183" s="23"/>
      <c r="I183" s="23"/>
      <c r="L183" s="97"/>
      <c r="M183" s="82"/>
      <c r="N183" s="82"/>
      <c r="P183" s="31"/>
      <c r="Q183" s="31"/>
    </row>
    <row r="184" spans="1:17" s="119" customFormat="1" ht="13" hidden="1" outlineLevel="1" x14ac:dyDescent="0.3">
      <c r="A184" s="392" t="s">
        <v>914</v>
      </c>
      <c r="B184" s="393"/>
      <c r="C184" s="393"/>
      <c r="D184" s="394"/>
      <c r="E184" s="394"/>
      <c r="F184" s="394"/>
      <c r="G184" s="394"/>
      <c r="H184" s="394"/>
      <c r="I184" s="394"/>
      <c r="L184" s="97"/>
      <c r="M184" s="82"/>
      <c r="N184" s="82"/>
      <c r="P184" s="31"/>
      <c r="Q184" s="31"/>
    </row>
    <row r="185" spans="1:17" s="119" customFormat="1" hidden="1" outlineLevel="1" x14ac:dyDescent="0.25">
      <c r="A185" s="17" t="s">
        <v>899</v>
      </c>
      <c r="C185" s="119" t="s">
        <v>535</v>
      </c>
      <c r="D185" s="23"/>
      <c r="E185" s="23" t="e">
        <f>(E181-E152)/E181</f>
        <v>#DIV/0!</v>
      </c>
      <c r="F185" s="23" t="e">
        <f>(F181-F152)/F181</f>
        <v>#DIV/0!</v>
      </c>
      <c r="G185" s="23" t="e">
        <f>(G181-G152)/G181</f>
        <v>#DIV/0!</v>
      </c>
      <c r="H185" s="23" t="e">
        <f>(H181-H152)/H181</f>
        <v>#DIV/0!</v>
      </c>
      <c r="I185" s="23" t="e">
        <f>(I181-I152)/I181</f>
        <v>#DIV/0!</v>
      </c>
      <c r="L185" s="97"/>
      <c r="M185" s="82" t="s">
        <v>900</v>
      </c>
      <c r="N185" s="82"/>
      <c r="P185" s="31"/>
      <c r="Q185" s="31"/>
    </row>
    <row r="186" spans="1:17" s="119" customFormat="1" hidden="1" outlineLevel="1" x14ac:dyDescent="0.25">
      <c r="A186" s="17" t="s">
        <v>558</v>
      </c>
      <c r="C186" s="119" t="s">
        <v>559</v>
      </c>
      <c r="D186" s="23" t="s">
        <v>463</v>
      </c>
      <c r="E186" s="23" t="e">
        <f>E181*(1 - E185/$E$121^2)</f>
        <v>#DIV/0!</v>
      </c>
      <c r="F186" s="23" t="e">
        <f t="shared" ref="F186:I186" si="3">F181*(1 - F185/$E$121^2)</f>
        <v>#DIV/0!</v>
      </c>
      <c r="G186" s="23" t="e">
        <f t="shared" si="3"/>
        <v>#DIV/0!</v>
      </c>
      <c r="H186" s="23" t="e">
        <f t="shared" si="3"/>
        <v>#DIV/0!</v>
      </c>
      <c r="I186" s="23" t="e">
        <f t="shared" si="3"/>
        <v>#DIV/0!</v>
      </c>
      <c r="L186" s="97"/>
      <c r="M186" s="82" t="s">
        <v>901</v>
      </c>
      <c r="N186" s="82"/>
      <c r="P186" s="31"/>
      <c r="Q186" s="31"/>
    </row>
    <row r="187" spans="1:17" s="119" customFormat="1" hidden="1" outlineLevel="1" x14ac:dyDescent="0.25">
      <c r="A187" s="389" t="s">
        <v>983</v>
      </c>
      <c r="B187" s="390"/>
      <c r="C187" s="389" t="s">
        <v>907</v>
      </c>
      <c r="E187" s="23">
        <f>1 - (2/(E127+1))^(E127/(E127-1))</f>
        <v>0</v>
      </c>
      <c r="F187" s="23">
        <f>1 - (2/(F127+1))^(F127/(F127-1))</f>
        <v>0</v>
      </c>
      <c r="G187" s="23">
        <f>1 - (2/(G127+1))^(G127/(G127-1))</f>
        <v>0</v>
      </c>
      <c r="H187" s="23">
        <f>1 - (2/(H127+1))^(H127/(H127-1))</f>
        <v>0</v>
      </c>
      <c r="I187" s="23">
        <f>1 - (2/(I127+1))^(I127/(I127-1))</f>
        <v>0</v>
      </c>
      <c r="L187" s="97"/>
      <c r="M187" s="82" t="s">
        <v>902</v>
      </c>
      <c r="N187" s="82"/>
      <c r="P187" s="31"/>
      <c r="Q187" s="31"/>
    </row>
    <row r="188" spans="1:17" s="119" customFormat="1" hidden="1" outlineLevel="1" x14ac:dyDescent="0.25">
      <c r="A188" s="389" t="s">
        <v>913</v>
      </c>
      <c r="B188" s="390"/>
      <c r="C188" s="389" t="s">
        <v>908</v>
      </c>
      <c r="E188" s="23">
        <f>$E$121^2*E187</f>
        <v>0</v>
      </c>
      <c r="F188" s="23">
        <f t="shared" ref="F188:I188" si="4">$E$121^2*F187</f>
        <v>0</v>
      </c>
      <c r="G188" s="23">
        <f t="shared" si="4"/>
        <v>0</v>
      </c>
      <c r="H188" s="23">
        <f t="shared" si="4"/>
        <v>0</v>
      </c>
      <c r="I188" s="23">
        <f t="shared" si="4"/>
        <v>0</v>
      </c>
      <c r="L188" s="97"/>
      <c r="M188" s="82" t="s">
        <v>903</v>
      </c>
      <c r="N188" s="82"/>
      <c r="P188" s="31"/>
      <c r="Q188" s="31"/>
    </row>
    <row r="189" spans="1:17" s="119" customFormat="1" hidden="1" outlineLevel="1" x14ac:dyDescent="0.25">
      <c r="A189" s="389" t="s">
        <v>560</v>
      </c>
      <c r="B189" s="390"/>
      <c r="C189" s="389" t="s">
        <v>561</v>
      </c>
      <c r="E189" s="23">
        <f>(1 - E187)/(1 - E188)</f>
        <v>1</v>
      </c>
      <c r="F189" s="23">
        <f t="shared" ref="F189:I189" si="5">(1 - F187)/(1 - F188)</f>
        <v>1</v>
      </c>
      <c r="G189" s="23">
        <f t="shared" si="5"/>
        <v>1</v>
      </c>
      <c r="H189" s="23">
        <f t="shared" si="5"/>
        <v>1</v>
      </c>
      <c r="I189" s="23">
        <f t="shared" si="5"/>
        <v>1</v>
      </c>
      <c r="L189" s="97"/>
      <c r="M189" s="82" t="s">
        <v>904</v>
      </c>
      <c r="N189" s="82"/>
      <c r="P189" s="31"/>
      <c r="Q189" s="31"/>
    </row>
    <row r="190" spans="1:17" s="119" customFormat="1" hidden="1" outlineLevel="1" x14ac:dyDescent="0.25">
      <c r="A190" s="389" t="s">
        <v>911</v>
      </c>
      <c r="B190" s="390"/>
      <c r="C190" s="389" t="s">
        <v>909</v>
      </c>
      <c r="E190" s="23" t="e">
        <f>1 - (1/E189)*(1/E127)^(E127/(E127-1))</f>
        <v>#DIV/0!</v>
      </c>
      <c r="F190" s="23" t="e">
        <f>1 - (1/F189)*(1/F127)^(F127/(F127-1))</f>
        <v>#DIV/0!</v>
      </c>
      <c r="G190" s="23" t="e">
        <f>1 - (1/G189)*(1/G127)^(G127/(G127-1))</f>
        <v>#DIV/0!</v>
      </c>
      <c r="H190" s="23" t="e">
        <f>1 - (1/H189)*(1/H127)^(H127/(H127-1))</f>
        <v>#DIV/0!</v>
      </c>
      <c r="I190" s="23" t="e">
        <f>1 - (1/I189)*(1/I127)^(I127/(I127-1))</f>
        <v>#DIV/0!</v>
      </c>
      <c r="L190" s="97"/>
      <c r="M190" s="82" t="s">
        <v>905</v>
      </c>
      <c r="N190" s="82"/>
      <c r="P190" s="31"/>
      <c r="Q190" s="31"/>
    </row>
    <row r="191" spans="1:17" s="119" customFormat="1" hidden="1" outlineLevel="1" x14ac:dyDescent="0.25">
      <c r="A191" s="389" t="s">
        <v>912</v>
      </c>
      <c r="B191" s="390"/>
      <c r="C191" s="389" t="s">
        <v>910</v>
      </c>
      <c r="E191" s="23">
        <f>1 - 1/(22*E189)</f>
        <v>0.95454545454545459</v>
      </c>
      <c r="F191" s="23">
        <f t="shared" ref="F191:I191" si="6">1 - 1/(22*F189)</f>
        <v>0.95454545454545459</v>
      </c>
      <c r="G191" s="23">
        <f t="shared" si="6"/>
        <v>0.95454545454545459</v>
      </c>
      <c r="H191" s="23">
        <f t="shared" si="6"/>
        <v>0.95454545454545459</v>
      </c>
      <c r="I191" s="23">
        <f t="shared" si="6"/>
        <v>0.95454545454545459</v>
      </c>
      <c r="L191" s="97"/>
      <c r="M191" s="82" t="s">
        <v>906</v>
      </c>
      <c r="N191" s="82"/>
      <c r="P191" s="31"/>
      <c r="Q191" s="31"/>
    </row>
    <row r="192" spans="1:17" s="119" customFormat="1" hidden="1" outlineLevel="1" x14ac:dyDescent="0.25">
      <c r="A192" s="17"/>
      <c r="D192" s="23"/>
      <c r="E192" s="391"/>
      <c r="F192" s="23"/>
      <c r="G192" s="23"/>
      <c r="H192" s="23"/>
      <c r="I192" s="23"/>
      <c r="L192" s="97"/>
      <c r="M192" s="82"/>
      <c r="N192" s="82"/>
      <c r="P192" s="31"/>
      <c r="Q192" s="31"/>
    </row>
    <row r="193" spans="1:17" s="119" customFormat="1" ht="13" hidden="1" outlineLevel="1" x14ac:dyDescent="0.3">
      <c r="A193" s="392" t="s">
        <v>915</v>
      </c>
      <c r="B193" s="393"/>
      <c r="C193" s="393"/>
      <c r="D193" s="394"/>
      <c r="E193" s="394"/>
      <c r="F193" s="394"/>
      <c r="G193" s="394"/>
      <c r="H193" s="394"/>
      <c r="I193" s="394"/>
      <c r="L193" s="97"/>
      <c r="M193" s="82"/>
      <c r="N193" s="82"/>
      <c r="P193" s="31"/>
      <c r="Q193" s="31"/>
    </row>
    <row r="194" spans="1:17" s="119" customFormat="1" hidden="1" outlineLevel="1" x14ac:dyDescent="0.25">
      <c r="A194" s="17" t="s">
        <v>562</v>
      </c>
      <c r="C194" s="119" t="s">
        <v>916</v>
      </c>
      <c r="D194" s="23"/>
      <c r="E194" s="23" t="e">
        <f>IF(E185 &lt;= E188,  1,
    IF(E185 &lt;= E187,  2,
      IF(E185 &lt;= E190,  3,
        IF(E185 &lt;= E191,  4,  5))))</f>
        <v>#DIV/0!</v>
      </c>
      <c r="F194" s="23" t="e">
        <f t="shared" ref="F194:I194" si="7">IF(F185 &lt;= F188,  1,
    IF(F185 &lt;= F187,  2,
      IF(F185 &lt;= F190,  3,
        IF(F185 &lt;= F191,  4,  5))))</f>
        <v>#DIV/0!</v>
      </c>
      <c r="G194" s="23" t="e">
        <f t="shared" si="7"/>
        <v>#DIV/0!</v>
      </c>
      <c r="H194" s="23" t="e">
        <f t="shared" si="7"/>
        <v>#DIV/0!</v>
      </c>
      <c r="I194" s="23" t="e">
        <f t="shared" si="7"/>
        <v>#DIV/0!</v>
      </c>
      <c r="L194" s="97"/>
      <c r="M194" s="82"/>
      <c r="N194" s="82"/>
      <c r="P194" s="31"/>
      <c r="Q194" s="31"/>
    </row>
    <row r="195" spans="1:17" s="119" customFormat="1" hidden="1" outlineLevel="1" x14ac:dyDescent="0.25">
      <c r="A195" s="17"/>
      <c r="D195" s="23"/>
      <c r="E195" s="23"/>
      <c r="F195" s="23"/>
      <c r="G195" s="23"/>
      <c r="H195" s="23"/>
      <c r="I195" s="23"/>
      <c r="L195" s="97"/>
      <c r="M195" s="82"/>
      <c r="N195" s="82"/>
      <c r="P195" s="31"/>
      <c r="Q195" s="31"/>
    </row>
    <row r="196" spans="1:17" s="119" customFormat="1" ht="13" hidden="1" outlineLevel="1" x14ac:dyDescent="0.3">
      <c r="A196" s="392" t="s">
        <v>917</v>
      </c>
      <c r="B196" s="393"/>
      <c r="C196" s="393"/>
      <c r="D196" s="394"/>
      <c r="E196" s="394"/>
      <c r="F196" s="394"/>
      <c r="G196" s="394"/>
      <c r="H196" s="394"/>
      <c r="I196" s="394"/>
      <c r="L196" s="97"/>
      <c r="M196" s="82"/>
      <c r="N196" s="82"/>
      <c r="P196" s="31"/>
      <c r="Q196" s="31"/>
    </row>
    <row r="197" spans="1:17" s="127" customFormat="1" hidden="1" outlineLevel="1" x14ac:dyDescent="0.25">
      <c r="A197" s="87" t="s">
        <v>563</v>
      </c>
      <c r="C197" s="127" t="s">
        <v>564</v>
      </c>
      <c r="D197" s="88" t="s">
        <v>469</v>
      </c>
      <c r="E197" s="88">
        <f>6*0.09*25.4</f>
        <v>13.715999999999999</v>
      </c>
      <c r="F197" s="88">
        <f>6*0.09*25.4</f>
        <v>13.715999999999999</v>
      </c>
      <c r="G197" s="88">
        <f>6*0.09*25.4</f>
        <v>13.715999999999999</v>
      </c>
      <c r="H197" s="88">
        <f>6*0.09*25.4</f>
        <v>13.715999999999999</v>
      </c>
      <c r="I197" s="88">
        <f>6*0.09*25.4</f>
        <v>13.715999999999999</v>
      </c>
      <c r="L197" s="103"/>
      <c r="M197" s="108" t="s">
        <v>894</v>
      </c>
      <c r="N197" s="108"/>
      <c r="P197" s="128"/>
      <c r="Q197" s="128"/>
    </row>
    <row r="198" spans="1:17" s="119" customFormat="1" hidden="1" outlineLevel="1" x14ac:dyDescent="0.25">
      <c r="A198" s="17" t="s">
        <v>565</v>
      </c>
      <c r="C198" s="119" t="s">
        <v>334</v>
      </c>
      <c r="D198" s="23" t="s">
        <v>517</v>
      </c>
      <c r="E198" s="23">
        <f>2*(25.4*0.09)^2</f>
        <v>10.451591999999996</v>
      </c>
      <c r="F198" s="23">
        <f>2*(25.4*0.09)^2</f>
        <v>10.451591999999996</v>
      </c>
      <c r="G198" s="23">
        <f>2*(25.4*0.09)^2</f>
        <v>10.451591999999996</v>
      </c>
      <c r="H198" s="23">
        <f>2*(25.4*0.09)^2</f>
        <v>10.451591999999996</v>
      </c>
      <c r="I198" s="23">
        <f>2*(25.4*0.09)^2</f>
        <v>10.451591999999996</v>
      </c>
      <c r="L198" s="97"/>
      <c r="M198" s="108" t="s">
        <v>895</v>
      </c>
      <c r="N198" s="82"/>
      <c r="P198" s="31"/>
      <c r="Q198" s="31"/>
    </row>
    <row r="199" spans="1:17" s="119" customFormat="1" hidden="1" outlineLevel="1" x14ac:dyDescent="0.25">
      <c r="A199" s="17" t="s">
        <v>566</v>
      </c>
      <c r="C199" s="119" t="s">
        <v>16</v>
      </c>
      <c r="D199" s="23"/>
      <c r="E199" s="23" t="e">
        <f>E175/E198</f>
        <v>#DIV/0!</v>
      </c>
      <c r="F199" s="23" t="e">
        <f>F175/F198</f>
        <v>#DIV/0!</v>
      </c>
      <c r="G199" s="23" t="e">
        <f>G175/G198</f>
        <v>#DIV/0!</v>
      </c>
      <c r="H199" s="23" t="e">
        <f>H175/H198</f>
        <v>#DIV/0!</v>
      </c>
      <c r="I199" s="23" t="e">
        <f>I175/I198</f>
        <v>#DIV/0!</v>
      </c>
      <c r="L199" s="97"/>
      <c r="M199" s="82"/>
      <c r="N199" s="82"/>
      <c r="P199" s="31"/>
      <c r="Q199" s="31"/>
    </row>
    <row r="200" spans="1:17" s="119" customFormat="1" hidden="1" outlineLevel="1" x14ac:dyDescent="0.25">
      <c r="A200" s="17" t="s">
        <v>567</v>
      </c>
      <c r="C200" s="119" t="s">
        <v>568</v>
      </c>
      <c r="D200" s="23" t="s">
        <v>469</v>
      </c>
      <c r="E200" s="23" t="e">
        <f>(4*E175/PI())^0.5</f>
        <v>#DIV/0!</v>
      </c>
      <c r="F200" s="23" t="e">
        <f>(4*F175/PI())^0.5</f>
        <v>#DIV/0!</v>
      </c>
      <c r="G200" s="23" t="e">
        <f>(4*G175/PI())^0.5</f>
        <v>#DIV/0!</v>
      </c>
      <c r="H200" s="23" t="e">
        <f>(4*H175/PI())^0.5</f>
        <v>#DIV/0!</v>
      </c>
      <c r="I200" s="23" t="e">
        <f>(4*I175/PI())^0.5</f>
        <v>#DIV/0!</v>
      </c>
      <c r="L200" s="97"/>
      <c r="M200" s="82" t="s">
        <v>896</v>
      </c>
      <c r="N200" s="82"/>
      <c r="P200" s="31"/>
      <c r="Q200" s="31"/>
    </row>
    <row r="201" spans="1:17" s="119" customFormat="1" hidden="1" outlineLevel="1" x14ac:dyDescent="0.25">
      <c r="A201" s="17" t="s">
        <v>569</v>
      </c>
      <c r="C201" s="119" t="s">
        <v>570</v>
      </c>
      <c r="D201" s="23" t="s">
        <v>469</v>
      </c>
      <c r="E201" s="23">
        <f>IF(OR(ValveType="KKI HF, High Friction Cage",ValveType="550G/560G, Standard DHC"),
    Conv("L",E59,$D$59,$D$201),
    4*E198/E197)</f>
        <v>3.0479999999999992</v>
      </c>
      <c r="F201" s="23">
        <f>IF(OR(ValveType="KKI HF, High Friction Cage",ValveType="550G/560G, Standard DHC"),
    Conv("L",F59,$D$59,$D$201),
    4*F198/F197)</f>
        <v>3.0479999999999992</v>
      </c>
      <c r="G201" s="23">
        <f>IF(OR(ValveType="KKI HF, High Friction Cage",ValveType="550G/560G, Standard DHC"),
    Conv("L",G59,$D$59,$D$201),
    4*G198/G197)</f>
        <v>3.0479999999999992</v>
      </c>
      <c r="H201" s="23">
        <f>IF(OR(ValveType="KKI HF, High Friction Cage",ValveType="550G/560G, Standard DHC"),
    Conv("L",H59,$D$59,$D$201),
    4*H198/H197)</f>
        <v>3.0479999999999992</v>
      </c>
      <c r="I201" s="23">
        <f>IF(OR(ValveType="KKI HF, High Friction Cage",ValveType="550G/560G, Standard DHC"),
    Conv("L",I59,$D$59,$D$201),
    4*I198/I197)</f>
        <v>3.0479999999999992</v>
      </c>
      <c r="L201" s="97"/>
      <c r="M201" s="82" t="s">
        <v>897</v>
      </c>
      <c r="N201" s="82"/>
      <c r="P201" s="31"/>
      <c r="Q201" s="31"/>
    </row>
    <row r="202" spans="1:17" s="119" customFormat="1" hidden="1" outlineLevel="1" x14ac:dyDescent="0.25">
      <c r="A202" s="17" t="s">
        <v>571</v>
      </c>
      <c r="C202" s="119" t="s">
        <v>13</v>
      </c>
      <c r="D202" s="23"/>
      <c r="E202" s="23" t="e">
        <f>IF($F$34="Calc'd",E201/E200,1/$F$34^0.5)</f>
        <v>#DIV/0!</v>
      </c>
      <c r="F202" s="23" t="e">
        <f>IF($F$34="Calc'd",F201/F200,1/$F$34^0.5)</f>
        <v>#DIV/0!</v>
      </c>
      <c r="G202" s="23" t="e">
        <f>IF($F$34="Calc'd",G201/G200,1/$F$34^0.5)</f>
        <v>#DIV/0!</v>
      </c>
      <c r="H202" s="23" t="e">
        <f>IF($F$34="Calc'd",H201/H200,1/$F$34^0.5)</f>
        <v>#DIV/0!</v>
      </c>
      <c r="I202" s="23" t="e">
        <f>IF($F$34="Calc'd",I201/I200,1/$F$34^0.5)</f>
        <v>#DIV/0!</v>
      </c>
      <c r="L202" s="97"/>
      <c r="M202" s="82" t="s">
        <v>898</v>
      </c>
      <c r="N202" s="82"/>
      <c r="P202" s="31"/>
      <c r="Q202" s="31"/>
    </row>
    <row r="203" spans="1:17" s="119" customFormat="1" hidden="1" outlineLevel="1" x14ac:dyDescent="0.25">
      <c r="A203" s="17" t="s">
        <v>572</v>
      </c>
      <c r="C203" s="119" t="s">
        <v>573</v>
      </c>
      <c r="D203" s="23" t="s">
        <v>522</v>
      </c>
      <c r="E203" s="23" t="e">
        <f>4.9*10^-3*E202*(E180*$E$121)^0.5</f>
        <v>#DIV/0!</v>
      </c>
      <c r="F203" s="23" t="e">
        <f>4.9*10^-3*F202*(F180*$E$121)^0.5</f>
        <v>#DIV/0!</v>
      </c>
      <c r="G203" s="23" t="e">
        <f>4.9*10^-3*G202*(G180*$E$121)^0.5</f>
        <v>#DIV/0!</v>
      </c>
      <c r="H203" s="23" t="e">
        <f>4.9*10^-3*H202*(H180*$E$121)^0.5</f>
        <v>#DIV/0!</v>
      </c>
      <c r="I203" s="23" t="e">
        <f>4.9*10^-3*I202*(I180*$E$121)^0.5</f>
        <v>#DIV/0!</v>
      </c>
      <c r="L203" s="97"/>
      <c r="M203" s="82" t="s">
        <v>919</v>
      </c>
      <c r="N203" s="82"/>
      <c r="P203" s="31"/>
      <c r="Q203" s="31"/>
    </row>
    <row r="204" spans="1:17" s="119" customFormat="1" hidden="1" outlineLevel="1" x14ac:dyDescent="0.25">
      <c r="A204" s="17"/>
      <c r="D204" s="23"/>
      <c r="E204" s="23"/>
      <c r="F204" s="23"/>
      <c r="G204" s="23"/>
      <c r="H204" s="23"/>
      <c r="I204" s="23"/>
      <c r="L204" s="97"/>
      <c r="M204" s="82"/>
      <c r="N204" s="82"/>
      <c r="P204" s="31"/>
      <c r="Q204" s="31"/>
    </row>
    <row r="205" spans="1:17" s="119" customFormat="1" ht="13" hidden="1" outlineLevel="1" x14ac:dyDescent="0.3">
      <c r="A205" s="392" t="s">
        <v>920</v>
      </c>
      <c r="B205" s="393"/>
      <c r="C205" s="393"/>
      <c r="D205" s="394"/>
      <c r="E205" s="394"/>
      <c r="F205" s="394"/>
      <c r="G205" s="394"/>
      <c r="H205" s="394"/>
      <c r="I205" s="394"/>
      <c r="L205" s="97"/>
      <c r="M205" s="82"/>
      <c r="N205" s="82"/>
      <c r="P205" s="31"/>
      <c r="Q205" s="31"/>
    </row>
    <row r="206" spans="1:17" s="119" customFormat="1" hidden="1" outlineLevel="1" x14ac:dyDescent="0.25">
      <c r="A206" s="17" t="s">
        <v>703</v>
      </c>
      <c r="C206" s="119" t="s">
        <v>576</v>
      </c>
      <c r="D206" s="23" t="s">
        <v>241</v>
      </c>
      <c r="E206" s="23" t="e">
        <f>(E126+273.15)*(1-E185/$E$121^2)^((E127-1)/E127)-273.15</f>
        <v>#DIV/0!</v>
      </c>
      <c r="F206" s="23" t="e">
        <f t="shared" ref="F206:I206" si="8">(F126+273.15)*(1-F185/$E$121^2)^((F127-1)/F127)-273.15</f>
        <v>#DIV/0!</v>
      </c>
      <c r="G206" s="23" t="e">
        <f t="shared" si="8"/>
        <v>#DIV/0!</v>
      </c>
      <c r="H206" s="23" t="e">
        <f t="shared" si="8"/>
        <v>#DIV/0!</v>
      </c>
      <c r="I206" s="23" t="e">
        <f t="shared" si="8"/>
        <v>#DIV/0!</v>
      </c>
      <c r="L206" s="97"/>
      <c r="M206" s="82" t="s">
        <v>949</v>
      </c>
      <c r="N206" s="82"/>
      <c r="P206" s="31"/>
      <c r="Q206" s="31"/>
    </row>
    <row r="207" spans="1:17" s="119" customFormat="1" hidden="1" outlineLevel="1" x14ac:dyDescent="0.25">
      <c r="A207" s="17" t="s">
        <v>929</v>
      </c>
      <c r="C207" s="119" t="s">
        <v>577</v>
      </c>
      <c r="D207" s="23" t="s">
        <v>496</v>
      </c>
      <c r="E207" s="23" t="e">
        <f>(E127*100000*E181/E182*(1-E185/$E$121^2)^((E127-1)/E127))^0.5</f>
        <v>#DIV/0!</v>
      </c>
      <c r="F207" s="23" t="e">
        <f>(F127*100000*F181/F182*(1-F185/$E$121^2)^((F127-1)/F127))^0.5</f>
        <v>#DIV/0!</v>
      </c>
      <c r="G207" s="23" t="e">
        <f>(G127*100000*G181/G182*(1-G185/$E$121^2)^((G127-1)/G127))^0.5</f>
        <v>#DIV/0!</v>
      </c>
      <c r="H207" s="23" t="e">
        <f>(H127*100000*H181/H182*(1-H185/$E$121^2)^((H127-1)/H127))^0.5</f>
        <v>#DIV/0!</v>
      </c>
      <c r="I207" s="23" t="e">
        <f>(I127*100000*I181/I182*(1-I185/$E$121^2)^((I127-1)/I127))^0.5</f>
        <v>#DIV/0!</v>
      </c>
      <c r="L207" s="97"/>
      <c r="M207" s="82" t="s">
        <v>949</v>
      </c>
      <c r="N207" s="82"/>
      <c r="P207" s="31"/>
      <c r="Q207" s="31"/>
    </row>
    <row r="208" spans="1:17" s="119" customFormat="1" hidden="1" outlineLevel="1" x14ac:dyDescent="0.25">
      <c r="A208" s="17" t="s">
        <v>928</v>
      </c>
      <c r="C208" s="119" t="s">
        <v>578</v>
      </c>
      <c r="D208" s="23"/>
      <c r="E208" s="23" t="e">
        <f>CHOOSE(VLOOKUP($D$15,ValveData!$A$4:$L$14,7),
    (2/(E127-1)*((1-E185/$E$121^2)^((1-E127)/E127)-1))^0.5,
    IF(AND(ValveType="KKI HF, High Friction Cage",$D$16="HF"),
      (2/(E127-1)*((1-E185/$E$121^2)^((1-E127)/E127)-1))^0.5,
      (2/(E127-1)*((1-E185/0.95^2)^((1-E127)/E127)-1))^0.5))</f>
        <v>#DIV/0!</v>
      </c>
      <c r="F208" s="23" t="e">
        <f>CHOOSE(VLOOKUP($D$15,ValveData!$A$4:$L$14,7),
    (2/(F127-1)*((1-F185/$E$121^2)^((1-F127)/F127)-1))^0.5,
    IF(AND(ValveType="KKI HF, High Friction Cage",$D$16="HF"),
      (2/(F127-1)*((1-F185/$E$121^2)^((1-F127)/F127)-1))^0.5,
      (2/(F127-1)*((1-F185/0.95^2)^((1-F127)/F127)-1))^0.5))</f>
        <v>#DIV/0!</v>
      </c>
      <c r="G208" s="23" t="e">
        <f>CHOOSE(VLOOKUP($D$15,ValveData!$A$4:$L$14,7),
    (2/(G127-1)*((1-G185/$E$121^2)^((1-G127)/G127)-1))^0.5,
    IF(AND(ValveType="KKI HF, High Friction Cage",$D$16="HF"),
      (2/(G127-1)*((1-G185/$E$121^2)^((1-G127)/G127)-1))^0.5,
      (2/(G127-1)*((1-G185/0.95^2)^((1-G127)/G127)-1))^0.5))</f>
        <v>#DIV/0!</v>
      </c>
      <c r="H208" s="23" t="e">
        <f>CHOOSE(VLOOKUP($D$15,ValveData!$A$4:$L$14,7),
    (2/(H127-1)*((1-H185/$E$121^2)^((1-H127)/H127)-1))^0.5,
    IF(AND(ValveType="KKI HF, High Friction Cage",$D$16="HF"),
      (2/(H127-1)*((1-H185/$E$121^2)^((1-H127)/H127)-1))^0.5,
      (2/(H127-1)*((1-H185/0.95^2)^((1-H127)/H127)-1))^0.5))</f>
        <v>#DIV/0!</v>
      </c>
      <c r="I208" s="23" t="e">
        <f>CHOOSE(VLOOKUP($D$15,ValveData!$A$4:$L$14,7),
    (2/(I127-1)*((1-I185/$E$121^2)^((1-I127)/I127)-1))^0.5,
    IF(AND(ValveType="KKI HF, High Friction Cage",$D$16="HF"),
      (2/(I127-1)*((1-I185/$E$121^2)^((1-I127)/I127)-1))^0.5,
      (2/(I127-1)*((1-I185/0.95^2)^((1-I127)/I127)-1))^0.5))</f>
        <v>#DIV/0!</v>
      </c>
      <c r="L208" s="97"/>
      <c r="M208" s="82" t="s">
        <v>950</v>
      </c>
      <c r="N208" s="82"/>
      <c r="P208" s="31"/>
      <c r="Q208" s="31"/>
    </row>
    <row r="209" spans="1:17" s="119" customFormat="1" hidden="1" outlineLevel="1" x14ac:dyDescent="0.25">
      <c r="A209" s="17" t="s">
        <v>574</v>
      </c>
      <c r="C209" s="119" t="s">
        <v>575</v>
      </c>
      <c r="D209" s="23" t="s">
        <v>498</v>
      </c>
      <c r="E209" s="23" t="e">
        <f>E135/3600*(E207*E208)^2/2</f>
        <v>#DIV/0!</v>
      </c>
      <c r="F209" s="23" t="e">
        <f>F135/3600*(F207*F208)^2/2</f>
        <v>#DIV/0!</v>
      </c>
      <c r="G209" s="23" t="e">
        <f>G135/3600*(G207*G208)^2/2</f>
        <v>#DIV/0!</v>
      </c>
      <c r="H209" s="23" t="e">
        <f>H135/3600*(H207*H208)^2/2</f>
        <v>#DIV/0!</v>
      </c>
      <c r="I209" s="23" t="e">
        <f>I135/3600*(I207*I208)^2/2</f>
        <v>#DIV/0!</v>
      </c>
      <c r="L209" s="97"/>
      <c r="M209" s="82" t="s">
        <v>949</v>
      </c>
      <c r="N209" s="82"/>
      <c r="P209" s="31"/>
      <c r="Q209" s="31"/>
    </row>
    <row r="210" spans="1:17" s="119" customFormat="1" hidden="1" outlineLevel="1" x14ac:dyDescent="0.25">
      <c r="A210" s="17" t="s">
        <v>579</v>
      </c>
      <c r="C210" s="119" t="s">
        <v>17</v>
      </c>
      <c r="D210" s="23"/>
      <c r="E210" s="23">
        <f>IF(VLOOKUP($D$15,ValveData!$A$4:$L$14,9)="Calc'd",
    IF(FlowDirection="Flow to Open (UTP)",  -4.8,  -4.4),
    VLOOKUP($D$15,ValveData!$A$4:$L$14,9))</f>
        <v>-4.8</v>
      </c>
      <c r="F210" s="24"/>
      <c r="G210" s="24"/>
      <c r="H210" s="24"/>
      <c r="I210" s="24"/>
      <c r="L210" s="97"/>
      <c r="M210" s="82" t="s">
        <v>951</v>
      </c>
      <c r="N210" s="82"/>
      <c r="P210" s="31"/>
      <c r="Q210" s="31"/>
    </row>
    <row r="211" spans="1:17" s="119" customFormat="1" hidden="1" outlineLevel="1" x14ac:dyDescent="0.25">
      <c r="A211" s="17" t="s">
        <v>923</v>
      </c>
      <c r="C211" s="119" t="s">
        <v>922</v>
      </c>
      <c r="D211" s="23"/>
      <c r="E211" s="23" t="e">
        <f>10^$E$210*$E$121^2*E208^3</f>
        <v>#DIV/0!</v>
      </c>
      <c r="F211" s="23" t="e">
        <f>10^$E$210*$E$121^2*F208^3</f>
        <v>#DIV/0!</v>
      </c>
      <c r="G211" s="23" t="e">
        <f>10^$E$210*$E$121^2*G208^3</f>
        <v>#DIV/0!</v>
      </c>
      <c r="H211" s="23" t="e">
        <f>10^$E$210*$E$121^2*H208^3</f>
        <v>#DIV/0!</v>
      </c>
      <c r="I211" s="23" t="e">
        <f>10^$E$210*$E$121^2*I208^3</f>
        <v>#DIV/0!</v>
      </c>
      <c r="L211" s="97"/>
      <c r="M211" s="82" t="s">
        <v>949</v>
      </c>
      <c r="N211" s="82"/>
      <c r="P211" s="31"/>
      <c r="Q211" s="31"/>
    </row>
    <row r="212" spans="1:17" s="119" customFormat="1" hidden="1" outlineLevel="1" x14ac:dyDescent="0.25">
      <c r="A212" s="17" t="s">
        <v>924</v>
      </c>
      <c r="C212" s="119" t="s">
        <v>581</v>
      </c>
      <c r="D212" s="23" t="s">
        <v>498</v>
      </c>
      <c r="E212" s="23" t="e">
        <f>E209*E211</f>
        <v>#DIV/0!</v>
      </c>
      <c r="F212" s="23" t="e">
        <f t="shared" ref="F212:I212" si="9">F209*F211</f>
        <v>#DIV/0!</v>
      </c>
      <c r="G212" s="23" t="e">
        <f t="shared" si="9"/>
        <v>#DIV/0!</v>
      </c>
      <c r="H212" s="23" t="e">
        <f t="shared" si="9"/>
        <v>#DIV/0!</v>
      </c>
      <c r="I212" s="23" t="e">
        <f t="shared" si="9"/>
        <v>#DIV/0!</v>
      </c>
      <c r="L212" s="97"/>
      <c r="M212" s="82" t="s">
        <v>952</v>
      </c>
      <c r="N212" s="82"/>
      <c r="P212" s="31"/>
      <c r="Q212" s="31"/>
    </row>
    <row r="213" spans="1:17" s="119" customFormat="1" hidden="1" outlineLevel="1" x14ac:dyDescent="0.25">
      <c r="A213" s="17" t="s">
        <v>580</v>
      </c>
      <c r="C213" s="119" t="s">
        <v>18</v>
      </c>
      <c r="D213" s="23"/>
      <c r="E213" s="23">
        <f>VLOOKUP($D$15,ValveData!$A$4:$L$14,10)</f>
        <v>0.2</v>
      </c>
      <c r="F213" s="24"/>
      <c r="G213" s="24"/>
      <c r="H213" s="24"/>
      <c r="I213" s="24"/>
      <c r="L213" s="97"/>
      <c r="M213" s="82" t="s">
        <v>951</v>
      </c>
      <c r="N213" s="82"/>
      <c r="P213" s="31"/>
      <c r="Q213" s="31"/>
    </row>
    <row r="214" spans="1:17" s="119" customFormat="1" hidden="1" outlineLevel="1" x14ac:dyDescent="0.25">
      <c r="A214" s="17" t="s">
        <v>925</v>
      </c>
      <c r="C214" s="119" t="s">
        <v>480</v>
      </c>
      <c r="D214" s="23" t="s">
        <v>582</v>
      </c>
      <c r="E214" s="23" t="e">
        <f>$E$213*E208*E207/E203</f>
        <v>#DIV/0!</v>
      </c>
      <c r="F214" s="23" t="e">
        <f t="shared" ref="F214:I214" si="10">$E$213*F208*F207/F203</f>
        <v>#DIV/0!</v>
      </c>
      <c r="G214" s="23" t="e">
        <f t="shared" si="10"/>
        <v>#DIV/0!</v>
      </c>
      <c r="H214" s="23" t="e">
        <f t="shared" si="10"/>
        <v>#DIV/0!</v>
      </c>
      <c r="I214" s="23" t="e">
        <f t="shared" si="10"/>
        <v>#DIV/0!</v>
      </c>
      <c r="L214" s="97"/>
      <c r="M214" s="82" t="s">
        <v>953</v>
      </c>
      <c r="N214" s="82"/>
      <c r="P214" s="31"/>
      <c r="Q214" s="31"/>
    </row>
    <row r="215" spans="1:17" s="119" customFormat="1" hidden="1" outlineLevel="1" x14ac:dyDescent="0.25">
      <c r="A215" s="17"/>
      <c r="D215" s="23"/>
      <c r="E215" s="23"/>
      <c r="F215" s="23"/>
      <c r="G215" s="23"/>
      <c r="H215" s="23"/>
      <c r="I215" s="23"/>
      <c r="L215" s="97"/>
      <c r="M215" s="82"/>
      <c r="N215" s="82"/>
      <c r="P215" s="31"/>
      <c r="Q215" s="31"/>
    </row>
    <row r="216" spans="1:17" s="119" customFormat="1" ht="13" hidden="1" outlineLevel="1" x14ac:dyDescent="0.3">
      <c r="A216" s="392" t="s">
        <v>926</v>
      </c>
      <c r="B216" s="397"/>
      <c r="C216" s="397"/>
      <c r="D216" s="398"/>
      <c r="E216" s="398"/>
      <c r="F216" s="398"/>
      <c r="G216" s="398"/>
      <c r="H216" s="398"/>
      <c r="I216" s="398"/>
      <c r="L216" s="97"/>
      <c r="M216" s="82"/>
      <c r="N216" s="82"/>
      <c r="P216" s="31"/>
      <c r="Q216" s="31"/>
    </row>
    <row r="217" spans="1:17" s="119" customFormat="1" hidden="1" outlineLevel="1" x14ac:dyDescent="0.25">
      <c r="A217" s="17" t="s">
        <v>927</v>
      </c>
      <c r="C217" s="119" t="s">
        <v>583</v>
      </c>
      <c r="D217" s="31" t="s">
        <v>241</v>
      </c>
      <c r="E217" s="23">
        <f>2*(E126+273.15)/(E127+1)-273.15</f>
        <v>273.14999999999998</v>
      </c>
      <c r="F217" s="23">
        <f>2*(F126+273.15)/(F127+1)-273.15</f>
        <v>273.14999999999998</v>
      </c>
      <c r="G217" s="23">
        <f>2*(G126+273.15)/(G127+1)-273.15</f>
        <v>273.14999999999998</v>
      </c>
      <c r="H217" s="23">
        <f>2*(H126+273.15)/(H127+1)-273.15</f>
        <v>273.14999999999998</v>
      </c>
      <c r="I217" s="23">
        <f>2*(I126+273.15)/(I127+1)-273.15</f>
        <v>273.14999999999998</v>
      </c>
      <c r="J217" s="119" t="s">
        <v>995</v>
      </c>
      <c r="L217" s="97"/>
      <c r="M217" s="82" t="s">
        <v>987</v>
      </c>
      <c r="N217" s="82"/>
      <c r="P217" s="31"/>
      <c r="Q217" s="31"/>
    </row>
    <row r="218" spans="1:17" s="119" customFormat="1" hidden="1" outlineLevel="1" x14ac:dyDescent="0.25">
      <c r="A218" s="17" t="s">
        <v>930</v>
      </c>
      <c r="C218" s="119" t="s">
        <v>584</v>
      </c>
      <c r="D218" s="23" t="s">
        <v>496</v>
      </c>
      <c r="E218" s="88" t="e">
        <f>(2*E127/(E127+1)*E181*10^5/E182)^0.5</f>
        <v>#DIV/0!</v>
      </c>
      <c r="F218" s="88" t="e">
        <f>(2*F127/(F127+1)*F181*10^5/F182)^0.5</f>
        <v>#DIV/0!</v>
      </c>
      <c r="G218" s="88" t="e">
        <f>(2*G127/(G127+1)*G181*10^5/G182)^0.5</f>
        <v>#DIV/0!</v>
      </c>
      <c r="H218" s="88" t="e">
        <f>(2*H127/(H127+1)*H181*10^5/H182)^0.5</f>
        <v>#DIV/0!</v>
      </c>
      <c r="I218" s="88" t="e">
        <f>(2*I127/(I127+1)*I181*10^5/I182)^0.5</f>
        <v>#DIV/0!</v>
      </c>
      <c r="L218" s="97"/>
      <c r="M218" s="82" t="s">
        <v>949</v>
      </c>
      <c r="N218" s="82"/>
      <c r="P218" s="31"/>
      <c r="Q218" s="31"/>
    </row>
    <row r="219" spans="1:17" s="127" customFormat="1" hidden="1" outlineLevel="1" x14ac:dyDescent="0.25">
      <c r="A219" s="87" t="s">
        <v>931</v>
      </c>
      <c r="C219" s="127" t="s">
        <v>575</v>
      </c>
      <c r="D219" s="88" t="s">
        <v>498</v>
      </c>
      <c r="E219" s="88" t="e">
        <f>(E135/3600)*E218^2/2</f>
        <v>#DIV/0!</v>
      </c>
      <c r="F219" s="88" t="e">
        <f>(F135/3600)*F218^2/2</f>
        <v>#DIV/0!</v>
      </c>
      <c r="G219" s="88" t="e">
        <f>(G135/3600)*G218^2/2</f>
        <v>#DIV/0!</v>
      </c>
      <c r="H219" s="88" t="e">
        <f>(H135/3600)*H218^2/2</f>
        <v>#DIV/0!</v>
      </c>
      <c r="I219" s="88" t="e">
        <f>(I135/3600)*I218^2/2</f>
        <v>#DIV/0!</v>
      </c>
      <c r="L219" s="103"/>
      <c r="M219" s="82" t="s">
        <v>949</v>
      </c>
      <c r="N219" s="108"/>
      <c r="P219" s="128"/>
      <c r="Q219" s="128"/>
    </row>
    <row r="220" spans="1:17" s="119" customFormat="1" hidden="1" outlineLevel="1" x14ac:dyDescent="0.25">
      <c r="A220" s="17" t="s">
        <v>932</v>
      </c>
      <c r="C220" s="119" t="s">
        <v>585</v>
      </c>
      <c r="D220" s="23"/>
      <c r="E220" s="23" t="e">
        <f>(2/(E127-1)*(MIN(22,1/(E189*(1 - E185)))^((E127-1)/E127) - 1))^0.5</f>
        <v>#DIV/0!</v>
      </c>
      <c r="F220" s="23" t="e">
        <f>(2/(F127-1)*(MIN(22,1/(F189*(1 - F185)))^((F127-1)/F127) - 1))^0.5</f>
        <v>#DIV/0!</v>
      </c>
      <c r="G220" s="23" t="e">
        <f>(2/(G127-1)*(MIN(22,1/(G189*(1 - G185)))^((G127-1)/G127) - 1))^0.5</f>
        <v>#DIV/0!</v>
      </c>
      <c r="H220" s="23" t="e">
        <f>(2/(H127-1)*(MIN(22,1/(H189*(1 - H185)))^((H127-1)/H127) - 1))^0.5</f>
        <v>#DIV/0!</v>
      </c>
      <c r="I220" s="23" t="e">
        <f>(2/(I127-1)*(MIN(22,1/(I189*(1 - I185)))^((I127-1)/I127) - 1))^0.5</f>
        <v>#DIV/0!</v>
      </c>
      <c r="L220" s="97"/>
      <c r="M220" s="82" t="s">
        <v>949</v>
      </c>
      <c r="N220" s="82"/>
      <c r="P220" s="31"/>
      <c r="Q220" s="31"/>
    </row>
    <row r="221" spans="1:17" s="119" customFormat="1" hidden="1" outlineLevel="1" x14ac:dyDescent="0.25">
      <c r="A221" s="17"/>
      <c r="D221" s="23"/>
      <c r="E221" s="23"/>
      <c r="F221" s="23"/>
      <c r="G221" s="23"/>
      <c r="H221" s="23"/>
      <c r="I221" s="23"/>
      <c r="L221" s="97"/>
      <c r="M221" s="82"/>
      <c r="N221" s="82"/>
      <c r="P221" s="31"/>
      <c r="Q221" s="31"/>
    </row>
    <row r="222" spans="1:17" s="119" customFormat="1" ht="13" hidden="1" outlineLevel="1" x14ac:dyDescent="0.3">
      <c r="A222" s="392" t="s">
        <v>933</v>
      </c>
      <c r="B222" s="397"/>
      <c r="C222" s="397"/>
      <c r="D222" s="398"/>
      <c r="E222" s="398"/>
      <c r="F222" s="398"/>
      <c r="G222" s="398"/>
      <c r="H222" s="398"/>
      <c r="I222" s="398"/>
      <c r="L222" s="97"/>
      <c r="M222" s="82"/>
      <c r="N222" s="82"/>
      <c r="P222" s="31"/>
      <c r="Q222" s="31"/>
    </row>
    <row r="223" spans="1:17" s="119" customFormat="1" hidden="1" outlineLevel="1" x14ac:dyDescent="0.25">
      <c r="A223" s="17" t="s">
        <v>934</v>
      </c>
      <c r="C223" s="119" t="s">
        <v>922</v>
      </c>
      <c r="D223" s="23"/>
      <c r="E223" s="23" t="e">
        <f>10^$E$210*E185/E187*E220^(6.6*$E$121^2)</f>
        <v>#DIV/0!</v>
      </c>
      <c r="F223" s="23" t="e">
        <f>10^$E$210*F185/F187*F220^(6.6*$E$121^2)</f>
        <v>#DIV/0!</v>
      </c>
      <c r="G223" s="23" t="e">
        <f>10^$E$210*G185/G187*G220^(6.6*$E$121^2)</f>
        <v>#DIV/0!</v>
      </c>
      <c r="H223" s="23" t="e">
        <f>10^$E$210*H185/H187*H220^(6.6*$E$121^2)</f>
        <v>#DIV/0!</v>
      </c>
      <c r="I223" s="23" t="e">
        <f>10^$E$210*I185/I187*I220^(6.6*$E$121^2)</f>
        <v>#DIV/0!</v>
      </c>
      <c r="L223" s="97"/>
      <c r="M223" s="82" t="s">
        <v>949</v>
      </c>
      <c r="N223" s="82"/>
      <c r="P223" s="31"/>
      <c r="Q223" s="31"/>
    </row>
    <row r="224" spans="1:17" s="119" customFormat="1" hidden="1" outlineLevel="1" x14ac:dyDescent="0.25">
      <c r="A224" s="17" t="s">
        <v>935</v>
      </c>
      <c r="C224" s="119" t="s">
        <v>581</v>
      </c>
      <c r="D224" s="23" t="s">
        <v>498</v>
      </c>
      <c r="E224" s="23" t="e">
        <f>E223*E219</f>
        <v>#DIV/0!</v>
      </c>
      <c r="F224" s="23" t="e">
        <f t="shared" ref="F224:I224" si="11">F223*F219</f>
        <v>#DIV/0!</v>
      </c>
      <c r="G224" s="23" t="e">
        <f t="shared" si="11"/>
        <v>#DIV/0!</v>
      </c>
      <c r="H224" s="23" t="e">
        <f t="shared" si="11"/>
        <v>#DIV/0!</v>
      </c>
      <c r="I224" s="23" t="e">
        <f t="shared" si="11"/>
        <v>#DIV/0!</v>
      </c>
      <c r="L224" s="97"/>
      <c r="M224" s="82" t="s">
        <v>952</v>
      </c>
      <c r="N224" s="82"/>
      <c r="P224" s="31"/>
      <c r="Q224" s="31"/>
    </row>
    <row r="225" spans="1:17" s="119" customFormat="1" hidden="1" outlineLevel="1" x14ac:dyDescent="0.25">
      <c r="A225" s="17" t="s">
        <v>936</v>
      </c>
      <c r="C225" s="119" t="s">
        <v>599</v>
      </c>
      <c r="D225" s="23" t="s">
        <v>582</v>
      </c>
      <c r="E225" s="23" t="e">
        <f>$E$213*E220*E218/E203</f>
        <v>#DIV/0!</v>
      </c>
      <c r="F225" s="23" t="e">
        <f t="shared" ref="F225:I225" si="12">$E$213*F220*F218/F203</f>
        <v>#DIV/0!</v>
      </c>
      <c r="G225" s="23" t="e">
        <f t="shared" si="12"/>
        <v>#DIV/0!</v>
      </c>
      <c r="H225" s="23" t="e">
        <f t="shared" si="12"/>
        <v>#DIV/0!</v>
      </c>
      <c r="I225" s="23" t="e">
        <f t="shared" si="12"/>
        <v>#DIV/0!</v>
      </c>
      <c r="L225" s="97"/>
      <c r="M225" s="82" t="s">
        <v>949</v>
      </c>
      <c r="N225" s="82"/>
      <c r="P225" s="31"/>
      <c r="Q225" s="31"/>
    </row>
    <row r="226" spans="1:17" s="119" customFormat="1" hidden="1" outlineLevel="1" x14ac:dyDescent="0.25">
      <c r="A226" s="17"/>
      <c r="D226" s="23"/>
      <c r="E226" s="23"/>
      <c r="F226" s="23"/>
      <c r="G226" s="23"/>
      <c r="H226" s="23"/>
      <c r="I226" s="23"/>
      <c r="L226" s="97"/>
      <c r="M226" s="82"/>
      <c r="N226" s="82"/>
      <c r="P226" s="31"/>
      <c r="Q226" s="31"/>
    </row>
    <row r="227" spans="1:17" s="119" customFormat="1" ht="13" hidden="1" outlineLevel="1" x14ac:dyDescent="0.3">
      <c r="A227" s="392" t="s">
        <v>937</v>
      </c>
      <c r="B227" s="397"/>
      <c r="C227" s="397"/>
      <c r="D227" s="398"/>
      <c r="E227" s="398"/>
      <c r="F227" s="398"/>
      <c r="G227" s="398"/>
      <c r="H227" s="398"/>
      <c r="I227" s="398"/>
      <c r="L227" s="97"/>
      <c r="M227" s="82"/>
      <c r="N227" s="82"/>
      <c r="P227" s="31"/>
      <c r="Q227" s="31"/>
    </row>
    <row r="228" spans="1:17" s="119" customFormat="1" hidden="1" outlineLevel="1" x14ac:dyDescent="0.25">
      <c r="A228" s="17" t="s">
        <v>938</v>
      </c>
      <c r="C228" s="119" t="s">
        <v>922</v>
      </c>
      <c r="D228" s="23"/>
      <c r="E228" s="23" t="e">
        <f>10^$E$210*E220^(6.6*$E$121^2)</f>
        <v>#DIV/0!</v>
      </c>
      <c r="F228" s="23" t="e">
        <f t="shared" ref="F228:I228" si="13">10^$E$210*F220^(6.6*$E$121^2)</f>
        <v>#DIV/0!</v>
      </c>
      <c r="G228" s="23" t="e">
        <f t="shared" si="13"/>
        <v>#DIV/0!</v>
      </c>
      <c r="H228" s="23" t="e">
        <f t="shared" si="13"/>
        <v>#DIV/0!</v>
      </c>
      <c r="I228" s="23" t="e">
        <f t="shared" si="13"/>
        <v>#DIV/0!</v>
      </c>
      <c r="L228" s="97"/>
      <c r="M228" s="82" t="s">
        <v>949</v>
      </c>
      <c r="N228" s="82"/>
      <c r="P228" s="31"/>
      <c r="Q228" s="31"/>
    </row>
    <row r="229" spans="1:17" s="119" customFormat="1" hidden="1" outlineLevel="1" x14ac:dyDescent="0.25">
      <c r="A229" s="17" t="s">
        <v>939</v>
      </c>
      <c r="C229" s="119" t="s">
        <v>581</v>
      </c>
      <c r="D229" s="23" t="s">
        <v>498</v>
      </c>
      <c r="E229" s="23" t="e">
        <f>E228*E219</f>
        <v>#DIV/0!</v>
      </c>
      <c r="F229" s="23" t="e">
        <f t="shared" ref="F229:I229" si="14">F228*F219</f>
        <v>#DIV/0!</v>
      </c>
      <c r="G229" s="23" t="e">
        <f t="shared" si="14"/>
        <v>#DIV/0!</v>
      </c>
      <c r="H229" s="23" t="e">
        <f t="shared" si="14"/>
        <v>#DIV/0!</v>
      </c>
      <c r="I229" s="23" t="e">
        <f t="shared" si="14"/>
        <v>#DIV/0!</v>
      </c>
      <c r="L229" s="97"/>
      <c r="M229" s="82" t="s">
        <v>952</v>
      </c>
      <c r="N229" s="82"/>
      <c r="P229" s="31"/>
      <c r="Q229" s="31"/>
    </row>
    <row r="230" spans="1:17" s="119" customFormat="1" hidden="1" outlineLevel="1" x14ac:dyDescent="0.25">
      <c r="A230" s="17"/>
      <c r="D230" s="23"/>
      <c r="E230" s="23"/>
      <c r="F230" s="23"/>
      <c r="G230" s="23"/>
      <c r="H230" s="23"/>
      <c r="I230" s="23"/>
      <c r="L230" s="97"/>
      <c r="M230" s="82"/>
      <c r="N230" s="82"/>
      <c r="P230" s="31"/>
      <c r="Q230" s="31"/>
    </row>
    <row r="231" spans="1:17" s="119" customFormat="1" ht="13" hidden="1" outlineLevel="1" x14ac:dyDescent="0.3">
      <c r="A231" s="392" t="s">
        <v>941</v>
      </c>
      <c r="B231" s="397"/>
      <c r="C231" s="397"/>
      <c r="D231" s="398"/>
      <c r="E231" s="398"/>
      <c r="F231" s="398"/>
      <c r="G231" s="398"/>
      <c r="H231" s="398"/>
      <c r="I231" s="398"/>
      <c r="L231" s="97"/>
      <c r="M231" s="82"/>
      <c r="N231" s="82"/>
      <c r="P231" s="31"/>
      <c r="Q231" s="31"/>
    </row>
    <row r="232" spans="1:17" s="119" customFormat="1" hidden="1" outlineLevel="1" x14ac:dyDescent="0.25">
      <c r="A232" s="17" t="s">
        <v>942</v>
      </c>
      <c r="C232" s="119" t="s">
        <v>922</v>
      </c>
      <c r="D232" s="23"/>
      <c r="E232" s="23" t="e">
        <f>10^$E$210*E220^2/2*SQRT(2)^(6.6*$E$121^2)</f>
        <v>#DIV/0!</v>
      </c>
      <c r="F232" s="23" t="e">
        <f>10^$E$210*F220^2/2*SQRT(2)^(6.6*$E$121^2)</f>
        <v>#DIV/0!</v>
      </c>
      <c r="G232" s="23" t="e">
        <f>10^$E$210*G220^2/2*SQRT(2)^(6.6*$E$121^2)</f>
        <v>#DIV/0!</v>
      </c>
      <c r="H232" s="23" t="e">
        <f>10^$E$210*H220^2/2*SQRT(2)^(6.6*$E$121^2)</f>
        <v>#DIV/0!</v>
      </c>
      <c r="I232" s="23" t="e">
        <f>10^$E$210*I220^2/2*SQRT(2)^(6.6*$E$121^2)</f>
        <v>#DIV/0!</v>
      </c>
      <c r="L232" s="97"/>
      <c r="M232" s="82" t="s">
        <v>949</v>
      </c>
      <c r="N232" s="82"/>
      <c r="P232" s="31"/>
      <c r="Q232" s="31"/>
    </row>
    <row r="233" spans="1:17" s="119" customFormat="1" hidden="1" outlineLevel="1" x14ac:dyDescent="0.25">
      <c r="A233" s="17" t="s">
        <v>943</v>
      </c>
      <c r="C233" s="119" t="s">
        <v>581</v>
      </c>
      <c r="D233" s="23" t="s">
        <v>498</v>
      </c>
      <c r="E233" s="23" t="e">
        <f>E232*E219</f>
        <v>#DIV/0!</v>
      </c>
      <c r="F233" s="23" t="e">
        <f t="shared" ref="F233:I233" si="15">F232*F219</f>
        <v>#DIV/0!</v>
      </c>
      <c r="G233" s="23" t="e">
        <f t="shared" si="15"/>
        <v>#DIV/0!</v>
      </c>
      <c r="H233" s="23" t="e">
        <f t="shared" si="15"/>
        <v>#DIV/0!</v>
      </c>
      <c r="I233" s="23" t="e">
        <f t="shared" si="15"/>
        <v>#DIV/0!</v>
      </c>
      <c r="L233" s="97"/>
      <c r="M233" s="82" t="s">
        <v>952</v>
      </c>
      <c r="N233" s="82"/>
      <c r="P233" s="31"/>
      <c r="Q233" s="31"/>
    </row>
    <row r="234" spans="1:17" s="119" customFormat="1" hidden="1" outlineLevel="1" x14ac:dyDescent="0.25">
      <c r="A234" s="17" t="s">
        <v>940</v>
      </c>
      <c r="C234" s="119" t="s">
        <v>599</v>
      </c>
      <c r="D234" s="23" t="s">
        <v>582</v>
      </c>
      <c r="E234" s="23" t="e">
        <f>1.4*$E$213*E218/(E203*((E220^2 - 1)^0.5))</f>
        <v>#DIV/0!</v>
      </c>
      <c r="F234" s="23" t="e">
        <f t="shared" ref="F234:I234" si="16">1.4*$E$213*F218/(F203*((F220^2 - 1)^0.5))</f>
        <v>#DIV/0!</v>
      </c>
      <c r="G234" s="23" t="e">
        <f t="shared" si="16"/>
        <v>#DIV/0!</v>
      </c>
      <c r="H234" s="23" t="e">
        <f t="shared" si="16"/>
        <v>#DIV/0!</v>
      </c>
      <c r="I234" s="23" t="e">
        <f t="shared" si="16"/>
        <v>#DIV/0!</v>
      </c>
      <c r="L234" s="97"/>
      <c r="M234" s="82" t="s">
        <v>949</v>
      </c>
      <c r="N234" s="82"/>
      <c r="P234" s="31"/>
      <c r="Q234" s="31"/>
    </row>
    <row r="235" spans="1:17" s="119" customFormat="1" hidden="1" outlineLevel="1" x14ac:dyDescent="0.25">
      <c r="A235" s="17"/>
      <c r="D235" s="23"/>
      <c r="E235" s="23"/>
      <c r="F235" s="23"/>
      <c r="G235" s="23"/>
      <c r="H235" s="23"/>
      <c r="I235" s="23"/>
      <c r="L235" s="97"/>
      <c r="M235" s="82"/>
      <c r="N235" s="82"/>
      <c r="P235" s="31"/>
      <c r="Q235" s="31"/>
    </row>
    <row r="236" spans="1:17" s="127" customFormat="1" ht="13" hidden="1" outlineLevel="1" x14ac:dyDescent="0.3">
      <c r="A236" s="392" t="s">
        <v>944</v>
      </c>
      <c r="B236" s="397"/>
      <c r="C236" s="397"/>
      <c r="D236" s="398"/>
      <c r="E236" s="398"/>
      <c r="F236" s="398"/>
      <c r="G236" s="398"/>
      <c r="H236" s="398"/>
      <c r="I236" s="398"/>
      <c r="L236" s="103"/>
      <c r="M236" s="108"/>
      <c r="N236" s="108"/>
      <c r="P236" s="128"/>
      <c r="Q236" s="128"/>
    </row>
    <row r="237" spans="1:17" s="127" customFormat="1" hidden="1" outlineLevel="1" x14ac:dyDescent="0.25">
      <c r="A237" s="89" t="s">
        <v>432</v>
      </c>
      <c r="B237" s="89"/>
      <c r="C237" s="89" t="s">
        <v>586</v>
      </c>
      <c r="D237" s="90" t="s">
        <v>463</v>
      </c>
      <c r="E237" s="90">
        <f>Conv("P",E45,$D45,$D237)</f>
        <v>0</v>
      </c>
      <c r="F237" s="90">
        <f>Conv("P",F45,$D45,$D237)</f>
        <v>0</v>
      </c>
      <c r="G237" s="90">
        <f>Conv("P",G45,$D45,$D237)</f>
        <v>0</v>
      </c>
      <c r="H237" s="90">
        <f>Conv("P",H45,$D45,$D237)</f>
        <v>0</v>
      </c>
      <c r="I237" s="90">
        <f>Conv("P",I45,$D45,$D237)</f>
        <v>0</v>
      </c>
      <c r="J237" s="89"/>
      <c r="L237" s="103"/>
      <c r="M237" s="91" t="s">
        <v>587</v>
      </c>
      <c r="N237" s="108" t="str">
        <f>"P2(barA) = "&amp;TEXT((Conv("P",1,$D$45,$D$237)-Conv("P",0,$D$45,$D$237))/1,"General")&amp;"*P2("&amp;$D$45&amp;") + "&amp;TEXT(Conv("P",0,$D$45,$D$237),"General")</f>
        <v>P2(barA) = 1*P2(barA) + 0</v>
      </c>
      <c r="P237" s="128"/>
      <c r="Q237" s="128"/>
    </row>
    <row r="238" spans="1:17" s="127" customFormat="1" hidden="1" outlineLevel="1" x14ac:dyDescent="0.25">
      <c r="A238" s="89" t="s">
        <v>588</v>
      </c>
      <c r="B238" s="89"/>
      <c r="C238" s="89" t="s">
        <v>589</v>
      </c>
      <c r="D238" s="90" t="s">
        <v>241</v>
      </c>
      <c r="E238" s="90" t="e">
        <f>IF(TypeOfGas="Water/Steam",  wtrPHT(E237,wtrPTH(E125,E126,1),1),
    E126)</f>
        <v>#VALUE!</v>
      </c>
      <c r="F238" s="90" t="e">
        <f>IF(TypeOfGas="Water/Steam",  wtrPHT(F237,wtrPTH(F125,F126,1),1),
    F126)</f>
        <v>#VALUE!</v>
      </c>
      <c r="G238" s="90" t="e">
        <f>IF(TypeOfGas="Water/Steam",  wtrPHT(G237,wtrPTH(G125,G126,1),1),
    G126)</f>
        <v>#VALUE!</v>
      </c>
      <c r="H238" s="90" t="e">
        <f>IF(TypeOfGas="Water/Steam",  wtrPHT(H237,wtrPTH(H125,H126,1),1),
    H126)</f>
        <v>#VALUE!</v>
      </c>
      <c r="I238" s="90" t="e">
        <f>IF(TypeOfGas="Water/Steam",  wtrPHT(I237,wtrPTH(I125,I126,1),1),
    I126)</f>
        <v>#VALUE!</v>
      </c>
      <c r="J238" s="89"/>
      <c r="L238" s="103"/>
      <c r="M238" s="91"/>
      <c r="N238" s="108"/>
      <c r="P238" s="128"/>
      <c r="Q238" s="128"/>
    </row>
    <row r="239" spans="1:17" s="127" customFormat="1" hidden="1" outlineLevel="1" x14ac:dyDescent="0.25">
      <c r="A239" s="87" t="s">
        <v>590</v>
      </c>
      <c r="C239" s="127" t="s">
        <v>591</v>
      </c>
      <c r="D239" s="90" t="s">
        <v>438</v>
      </c>
      <c r="E239" s="88" t="e">
        <f>IF(TypeOfGas="Water/Steam",  wtrPTD(E237,E238,1),
    E131*E237/E125)</f>
        <v>#VALUE!</v>
      </c>
      <c r="F239" s="88" t="e">
        <f>IF(TypeOfGas="Water/Steam",  wtrPTD(F237,F238,1),
    F131*F237/F125)</f>
        <v>#VALUE!</v>
      </c>
      <c r="G239" s="88" t="e">
        <f>IF(TypeOfGas="Water/Steam",  wtrPTD(G237,G238,1),
    G131*G237/G125)</f>
        <v>#VALUE!</v>
      </c>
      <c r="H239" s="88" t="e">
        <f>IF(TypeOfGas="Water/Steam",  wtrPTD(H237,H238,1),
    H131*H237/H125)</f>
        <v>#VALUE!</v>
      </c>
      <c r="I239" s="88" t="e">
        <f>IF(TypeOfGas="Water/Steam",  wtrPTD(I237,I238,1),
    I131*I237/I125)</f>
        <v>#VALUE!</v>
      </c>
      <c r="L239" s="103"/>
      <c r="M239" s="108" t="s">
        <v>954</v>
      </c>
      <c r="N239" s="108" t="s">
        <v>592</v>
      </c>
      <c r="P239" s="128"/>
      <c r="Q239" s="128"/>
    </row>
    <row r="240" spans="1:17" s="127" customFormat="1" hidden="1" outlineLevel="1" x14ac:dyDescent="0.25">
      <c r="A240" s="87" t="s">
        <v>593</v>
      </c>
      <c r="C240" s="127" t="s">
        <v>594</v>
      </c>
      <c r="D240" s="90" t="s">
        <v>496</v>
      </c>
      <c r="E240" s="92" t="e">
        <f>IF(TypeOfGas="Water/Steam",  wtrptW(E237,E238,1),
    (10^5*E237*E127/E239)^0.5)</f>
        <v>#VALUE!</v>
      </c>
      <c r="F240" s="92" t="e">
        <f>IF(TypeOfGas="Water/Steam",wtrptW(F237,F238,1),
    (10^5*F237*F127/F239)^0.5)</f>
        <v>#VALUE!</v>
      </c>
      <c r="G240" s="92" t="e">
        <f>IF(TypeOfGas="Water/Steam",wtrptW(G237,G238,1),
    (10^5*G237*G127/G239)^0.5)</f>
        <v>#VALUE!</v>
      </c>
      <c r="H240" s="92" t="e">
        <f>IF(TypeOfGas="Water/Steam",wtrptW(H237,H238,1),
    (10^5*H237*H127/H239)^0.5)</f>
        <v>#VALUE!</v>
      </c>
      <c r="I240" s="92" t="e">
        <f>IF(TypeOfGas="Water/Steam",wtrptW(I237,I238,1),
    (10^5*I237*I127/I239)^0.5)</f>
        <v>#VALUE!</v>
      </c>
      <c r="L240" s="103"/>
      <c r="M240" s="108" t="s">
        <v>955</v>
      </c>
      <c r="N240" s="108"/>
      <c r="P240" s="128"/>
      <c r="Q240" s="128"/>
    </row>
    <row r="241" spans="1:17" s="127" customFormat="1" hidden="1" outlineLevel="1" x14ac:dyDescent="0.25">
      <c r="A241" s="87" t="s">
        <v>956</v>
      </c>
      <c r="C241" s="127" t="s">
        <v>595</v>
      </c>
      <c r="D241" s="90" t="s">
        <v>496</v>
      </c>
      <c r="E241" s="92" t="e">
        <f>GasWRhoAcV(E135/3600,E239,PI()/4*($F$113/1000)^2,E132,1)</f>
        <v>#VALUE!</v>
      </c>
      <c r="F241" s="92" t="e">
        <f>GasWRhoAcV(F135/3600,F239,PI()/4*($F$113/1000)^2,F132,1)</f>
        <v>#VALUE!</v>
      </c>
      <c r="G241" s="92" t="e">
        <f>GasWRhoAcV(G135/3600,G239,PI()/4*($F$113/1000)^2,G132,1)</f>
        <v>#VALUE!</v>
      </c>
      <c r="H241" s="92" t="e">
        <f>GasWRhoAcV(H135/3600,H239,PI()/4*($F$113/1000)^2,H132,1)</f>
        <v>#VALUE!</v>
      </c>
      <c r="I241" s="92" t="e">
        <f>GasWRhoAcV(I135/3600,I239,PI()/4*($F$113/1000)^2,I132,1)</f>
        <v>#VALUE!</v>
      </c>
      <c r="L241" s="103"/>
      <c r="M241" s="108"/>
      <c r="N241" s="108"/>
      <c r="P241" s="128"/>
      <c r="Q241" s="128"/>
    </row>
    <row r="242" spans="1:17" s="127" customFormat="1" hidden="1" outlineLevel="1" x14ac:dyDescent="0.25">
      <c r="A242" s="87" t="s">
        <v>957</v>
      </c>
      <c r="C242" s="127" t="s">
        <v>945</v>
      </c>
      <c r="D242" s="88"/>
      <c r="E242" s="88" t="e">
        <f>E241/E240</f>
        <v>#VALUE!</v>
      </c>
      <c r="F242" s="88" t="e">
        <f>F241/F240</f>
        <v>#VALUE!</v>
      </c>
      <c r="G242" s="88" t="e">
        <f>G241/G240</f>
        <v>#VALUE!</v>
      </c>
      <c r="H242" s="88" t="e">
        <f>H241/H240</f>
        <v>#VALUE!</v>
      </c>
      <c r="I242" s="88" t="e">
        <f>I241/I240</f>
        <v>#VALUE!</v>
      </c>
      <c r="L242" s="103"/>
      <c r="M242" s="108" t="s">
        <v>958</v>
      </c>
      <c r="N242" s="108"/>
      <c r="P242" s="128"/>
      <c r="Q242" s="128"/>
    </row>
    <row r="243" spans="1:17" s="127" customFormat="1" hidden="1" outlineLevel="1" x14ac:dyDescent="0.25">
      <c r="A243" s="87" t="s">
        <v>762</v>
      </c>
      <c r="C243" s="127" t="s">
        <v>946</v>
      </c>
      <c r="D243" s="88" t="s">
        <v>513</v>
      </c>
      <c r="E243" s="88" t="e">
        <f>GasWRhoAcKE(E135/3600,E239,PI()/4*($F$113/1000)^2,E132,1)</f>
        <v>#VALUE!</v>
      </c>
      <c r="F243" s="88" t="e">
        <f>GasWRhoAcKE(F135/3600,F239,PI()/4*($F$113/1000)^2,F132,1)</f>
        <v>#VALUE!</v>
      </c>
      <c r="G243" s="88" t="e">
        <f>GasWRhoAcKE(G135/3600,G239,PI()/4*($F$113/1000)^2,G132,1)</f>
        <v>#VALUE!</v>
      </c>
      <c r="H243" s="88" t="e">
        <f>GasWRhoAcKE(H135/3600,H239,PI()/4*($F$113/1000)^2,H132,1)</f>
        <v>#VALUE!</v>
      </c>
      <c r="I243" s="88" t="e">
        <f>GasWRhoAcKE(I135/3600,I239,PI()/4*($F$113/1000)^2,I132,1)</f>
        <v>#VALUE!</v>
      </c>
      <c r="L243" s="103"/>
      <c r="M243" s="108" t="s">
        <v>886</v>
      </c>
      <c r="N243" s="108"/>
      <c r="P243" s="128"/>
      <c r="Q243" s="128"/>
    </row>
    <row r="244" spans="1:17" s="127" customFormat="1" hidden="1" outlineLevel="1" x14ac:dyDescent="0.25">
      <c r="A244" s="87" t="s">
        <v>596</v>
      </c>
      <c r="C244" s="127" t="s">
        <v>597</v>
      </c>
      <c r="D244" s="88" t="s">
        <v>598</v>
      </c>
      <c r="E244" s="88" t="e">
        <f>16*LOG10(1/(1-MIN(0.3,E242)))</f>
        <v>#VALUE!</v>
      </c>
      <c r="F244" s="88" t="e">
        <f>16*LOG10(1/(1-MIN(0.3,F242)))</f>
        <v>#VALUE!</v>
      </c>
      <c r="G244" s="88" t="e">
        <f>16*LOG10(1/(1-MIN(0.3,G242)))</f>
        <v>#VALUE!</v>
      </c>
      <c r="H244" s="88" t="e">
        <f>16*LOG10(1/(1-MIN(0.3,H242)))</f>
        <v>#VALUE!</v>
      </c>
      <c r="I244" s="88" t="e">
        <f>16*LOG10(1/(1-MIN(0.3,I242)))</f>
        <v>#VALUE!</v>
      </c>
      <c r="L244" s="103"/>
      <c r="M244" s="108" t="s">
        <v>959</v>
      </c>
      <c r="N244" s="108"/>
      <c r="P244" s="128"/>
      <c r="Q244" s="128"/>
    </row>
    <row r="245" spans="1:17" s="127" customFormat="1" hidden="1" outlineLevel="1" x14ac:dyDescent="0.25">
      <c r="A245" s="87" t="s">
        <v>700</v>
      </c>
      <c r="C245" s="127" t="s">
        <v>581</v>
      </c>
      <c r="D245" s="88" t="s">
        <v>498</v>
      </c>
      <c r="E245" s="88" t="e">
        <f>CHOOSE(E194,  E212,  E224,  E229,  E233,
    10^$E$210*E220^2/2*SQRT(2)^(6.6*$E$121^2)*E219)</f>
        <v>#DIV/0!</v>
      </c>
      <c r="F245" s="88" t="e">
        <f t="shared" ref="F245:I245" si="17">CHOOSE(F194,  F212,  F224,  F229,  F233,
    10^$E$210*F220^2/2*SQRT(2)^(6.6*$E$121^2)*F219)</f>
        <v>#DIV/0!</v>
      </c>
      <c r="G245" s="88" t="e">
        <f t="shared" si="17"/>
        <v>#DIV/0!</v>
      </c>
      <c r="H245" s="88" t="e">
        <f t="shared" si="17"/>
        <v>#DIV/0!</v>
      </c>
      <c r="I245" s="88" t="e">
        <f t="shared" si="17"/>
        <v>#DIV/0!</v>
      </c>
      <c r="L245" s="103"/>
      <c r="M245" s="108"/>
      <c r="N245" s="108"/>
      <c r="P245" s="128"/>
      <c r="Q245" s="128"/>
    </row>
    <row r="246" spans="1:17" s="127" customFormat="1" hidden="1" outlineLevel="1" x14ac:dyDescent="0.25">
      <c r="A246" s="87" t="s">
        <v>947</v>
      </c>
      <c r="C246" s="127" t="s">
        <v>948</v>
      </c>
      <c r="D246" s="88" t="s">
        <v>598</v>
      </c>
      <c r="E246" s="88" t="e">
        <f>10*LOG(E245/10^-12)</f>
        <v>#DIV/0!</v>
      </c>
      <c r="F246" s="88" t="e">
        <f t="shared" ref="F246:I246" si="18">10*LOG(F245/10^-12)</f>
        <v>#DIV/0!</v>
      </c>
      <c r="G246" s="88" t="e">
        <f t="shared" si="18"/>
        <v>#DIV/0!</v>
      </c>
      <c r="H246" s="88" t="e">
        <f t="shared" si="18"/>
        <v>#DIV/0!</v>
      </c>
      <c r="I246" s="88" t="e">
        <f t="shared" si="18"/>
        <v>#DIV/0!</v>
      </c>
      <c r="L246" s="103"/>
      <c r="M246" s="108" t="s">
        <v>986</v>
      </c>
      <c r="N246" s="108"/>
      <c r="P246" s="128"/>
      <c r="Q246" s="128"/>
    </row>
    <row r="247" spans="1:17" s="127" customFormat="1" hidden="1" outlineLevel="1" x14ac:dyDescent="0.25">
      <c r="A247" s="87" t="s">
        <v>699</v>
      </c>
      <c r="C247" s="127" t="s">
        <v>599</v>
      </c>
      <c r="D247" s="88" t="s">
        <v>582</v>
      </c>
      <c r="E247" s="88" t="e">
        <f>CHOOSE(E194,  E214,  E225,  E225,  E234,  E234)</f>
        <v>#DIV/0!</v>
      </c>
      <c r="F247" s="88" t="e">
        <f t="shared" ref="F247:I247" si="19">CHOOSE(F194,  F214,  F225,  F225,  F234,  F234)</f>
        <v>#DIV/0!</v>
      </c>
      <c r="G247" s="88" t="e">
        <f t="shared" si="19"/>
        <v>#DIV/0!</v>
      </c>
      <c r="H247" s="88" t="e">
        <f t="shared" si="19"/>
        <v>#DIV/0!</v>
      </c>
      <c r="I247" s="88" t="e">
        <f t="shared" si="19"/>
        <v>#DIV/0!</v>
      </c>
      <c r="L247" s="103"/>
      <c r="M247" s="108"/>
      <c r="N247" s="108"/>
      <c r="P247" s="128"/>
      <c r="Q247" s="128"/>
    </row>
    <row r="248" spans="1:17" s="148" customFormat="1" hidden="1" outlineLevel="1" x14ac:dyDescent="0.25">
      <c r="A248" s="147" t="s">
        <v>600</v>
      </c>
      <c r="D248" s="149" t="s">
        <v>598</v>
      </c>
      <c r="E248" s="149">
        <f>IF($D$15="Multi-Stage, Single-Path",
    IF(E61&lt;2,  0,
      1/(E61-1)^0.125*10*LOG10(E125/E181)),
    0)</f>
        <v>0</v>
      </c>
      <c r="F248" s="149">
        <f>IF($D$15="Multi-Stage, Single-Path",
    IF(F61&lt;2,  0,
      1/(F61-1)^0.125*10*LOG10(F125/F181)),
    0)</f>
        <v>0</v>
      </c>
      <c r="G248" s="149">
        <f>IF($D$15="Multi-Stage, Single-Path",
    IF(G61&lt;2,  0,
      1/(G61-1)^0.125*10*LOG10(G125/G181)),
    0)</f>
        <v>0</v>
      </c>
      <c r="H248" s="149">
        <f>IF($D$15="Multi-Stage, Single-Path",
    IF(H61&lt;2,  0,
      1/(H61-1)^0.125*10*LOG10(H125/H181)),
    0)</f>
        <v>0</v>
      </c>
      <c r="I248" s="149">
        <f>IF($D$15="Multi-Stage, Single-Path",
    IF(I61&lt;2,  0,
      1/(I61-1)^0.125*10*LOG10(I125/I181)),
    0)</f>
        <v>0</v>
      </c>
      <c r="J248" s="149"/>
      <c r="L248" s="150"/>
      <c r="P248" s="150"/>
      <c r="Q248" s="150"/>
    </row>
    <row r="249" spans="1:17" s="127" customFormat="1" hidden="1" outlineLevel="1" x14ac:dyDescent="0.25">
      <c r="A249" s="87" t="s">
        <v>698</v>
      </c>
      <c r="C249" s="127" t="s">
        <v>601</v>
      </c>
      <c r="D249" s="88" t="s">
        <v>598</v>
      </c>
      <c r="E249" s="88" t="e">
        <f>10*LOG(3.2*10^9*E245*E239*E240/($F$113/1000)^2)+E244+E248</f>
        <v>#DIV/0!</v>
      </c>
      <c r="F249" s="88" t="e">
        <f>10*LOG10(3.2*10^9*F245*F239*F240/($F$113/1000)^2)+F244+F248</f>
        <v>#DIV/0!</v>
      </c>
      <c r="G249" s="88" t="e">
        <f>10*LOG10(3.2*10^9*G245*G239*G240/($F$113/1000)^2)+G244+G248</f>
        <v>#DIV/0!</v>
      </c>
      <c r="H249" s="88" t="e">
        <f>10*LOG10(3.2*10^9*H245*H239*H240/($F$113/1000)^2)+H244+H248</f>
        <v>#DIV/0!</v>
      </c>
      <c r="I249" s="88" t="e">
        <f>10*LOG10(3.2*10^9*I245*I239*I240/($F$113/1000)^2)+I244+I248</f>
        <v>#DIV/0!</v>
      </c>
      <c r="L249" s="103"/>
      <c r="M249" s="108" t="s">
        <v>960</v>
      </c>
      <c r="N249" s="108"/>
      <c r="P249" s="128"/>
      <c r="Q249" s="128"/>
    </row>
    <row r="250" spans="1:17" s="127" customFormat="1" hidden="1" outlineLevel="1" x14ac:dyDescent="0.25">
      <c r="A250" s="87" t="s">
        <v>697</v>
      </c>
      <c r="C250" s="127" t="s">
        <v>602</v>
      </c>
      <c r="D250" s="88" t="s">
        <v>598</v>
      </c>
      <c r="E250" s="88">
        <f>IF(($F$113/1000)&gt;0.15,0,
    IF(($F$113/1000)&lt;0.05,9,
      -16660*($F$113/1000)^3+6370*($F$113/1000)^2-813*($F$113/1000)+35.8))</f>
        <v>2.9980799999999874</v>
      </c>
      <c r="F250" s="92"/>
      <c r="G250" s="92"/>
      <c r="H250" s="92"/>
      <c r="I250" s="92"/>
      <c r="L250" s="103"/>
      <c r="M250" s="108" t="s">
        <v>961</v>
      </c>
      <c r="N250" s="108"/>
      <c r="P250" s="128"/>
      <c r="Q250" s="128"/>
    </row>
    <row r="251" spans="1:17" s="119" customFormat="1" hidden="1" outlineLevel="1" x14ac:dyDescent="0.25">
      <c r="A251" s="17" t="s">
        <v>694</v>
      </c>
      <c r="C251" s="119" t="s">
        <v>603</v>
      </c>
      <c r="D251" s="23" t="s">
        <v>582</v>
      </c>
      <c r="E251" s="23">
        <f>5000/(PI()*($F$113/1000))</f>
        <v>19894.367886486914</v>
      </c>
      <c r="F251" s="24"/>
      <c r="G251" s="24"/>
      <c r="H251" s="24"/>
      <c r="I251" s="24"/>
      <c r="L251" s="97"/>
      <c r="M251" s="108" t="s">
        <v>962</v>
      </c>
      <c r="N251" s="82"/>
      <c r="P251" s="31"/>
      <c r="Q251" s="31"/>
    </row>
    <row r="252" spans="1:17" s="119" customFormat="1" hidden="1" outlineLevel="1" x14ac:dyDescent="0.25">
      <c r="A252" s="17" t="s">
        <v>695</v>
      </c>
      <c r="C252" s="119" t="s">
        <v>604</v>
      </c>
      <c r="D252" s="23" t="s">
        <v>582</v>
      </c>
      <c r="E252" s="23" t="e">
        <f>$E$251*E240/(4*343)</f>
        <v>#VALUE!</v>
      </c>
      <c r="F252" s="23" t="e">
        <f t="shared" ref="F252:I252" si="20">$E$251*F240/(4*343)</f>
        <v>#VALUE!</v>
      </c>
      <c r="G252" s="23" t="e">
        <f t="shared" si="20"/>
        <v>#VALUE!</v>
      </c>
      <c r="H252" s="23" t="e">
        <f t="shared" si="20"/>
        <v>#VALUE!</v>
      </c>
      <c r="I252" s="23" t="e">
        <f t="shared" si="20"/>
        <v>#VALUE!</v>
      </c>
      <c r="L252" s="97"/>
      <c r="M252" s="108" t="s">
        <v>963</v>
      </c>
      <c r="N252" s="82"/>
      <c r="P252" s="31"/>
      <c r="Q252" s="31"/>
    </row>
    <row r="253" spans="1:17" s="119" customFormat="1" hidden="1" outlineLevel="1" x14ac:dyDescent="0.25">
      <c r="A253" s="17" t="s">
        <v>696</v>
      </c>
      <c r="C253" s="119" t="s">
        <v>605</v>
      </c>
      <c r="D253" s="23" t="s">
        <v>582</v>
      </c>
      <c r="E253" s="23">
        <f>3^0.5*343^2/(PI()*($F$112/1000)*5000)</f>
        <v>757.74875254063568</v>
      </c>
      <c r="F253" s="24"/>
      <c r="G253" s="24"/>
      <c r="H253" s="24"/>
      <c r="I253" s="24"/>
      <c r="L253" s="97"/>
      <c r="M253" s="108" t="s">
        <v>964</v>
      </c>
      <c r="N253" s="82"/>
      <c r="P253" s="31"/>
      <c r="Q253" s="31"/>
    </row>
    <row r="254" spans="1:17" s="119" customFormat="1" hidden="1" outlineLevel="1" x14ac:dyDescent="0.25">
      <c r="A254" s="17" t="s">
        <v>708</v>
      </c>
      <c r="C254" s="119" t="s">
        <v>707</v>
      </c>
      <c r="D254" s="23" t="s">
        <v>450</v>
      </c>
      <c r="E254" s="373">
        <f>IF(AND(VLOOKUP($D$15,ValveData!$A$4:$L$14,8)="Calc'd",F115&lt;150),
    0.12*(F115-150),
    0)</f>
        <v>-6</v>
      </c>
      <c r="F254" s="24"/>
      <c r="G254" s="24"/>
      <c r="H254" s="24"/>
      <c r="I254" s="24"/>
      <c r="L254" s="97"/>
      <c r="M254" s="82"/>
      <c r="N254" s="82"/>
      <c r="P254" s="31"/>
      <c r="Q254" s="31"/>
    </row>
    <row r="255" spans="1:17" s="119" customFormat="1" hidden="1" outlineLevel="1" x14ac:dyDescent="0.25">
      <c r="A255" s="17" t="s">
        <v>701</v>
      </c>
      <c r="C255" s="119" t="s">
        <v>868</v>
      </c>
      <c r="D255" s="23" t="s">
        <v>450</v>
      </c>
      <c r="E255" s="23" t="e">
        <f>NoiseLpe1m($F$113/1000,$F$112/1000,E239,E240,E247,E249,$E$250,$E$251,E252,$E$253)+$E$254</f>
        <v>#VALUE!</v>
      </c>
      <c r="F255" s="23" t="e">
        <f>NoiseLpe1m($F$113/1000,$F$112/1000,F239,F240,F247,F249,$E$250,$E$251,F252,$E$253)+$E$254</f>
        <v>#VALUE!</v>
      </c>
      <c r="G255" s="23" t="e">
        <f>NoiseLpe1m($F$113/1000,$F$112/1000,G239,G240,G247,G249,$E$250,$E$251,G252,$E$253)+$E$254</f>
        <v>#VALUE!</v>
      </c>
      <c r="H255" s="23" t="e">
        <f>NoiseLpe1m($F$113/1000,$F$112/1000,H239,H240,H247,H249,$E$250,$E$251,H252,$E$253)+$E$254</f>
        <v>#VALUE!</v>
      </c>
      <c r="I255" s="23" t="e">
        <f>NoiseLpe1m($F$113/1000,$F$112/1000,I239,I240,I247,I249,$E$250,$E$251,I252,$E$253)+$E$254</f>
        <v>#VALUE!</v>
      </c>
      <c r="L255" s="97"/>
      <c r="M255" s="82"/>
      <c r="N255" s="82"/>
      <c r="P255" s="31"/>
      <c r="Q255" s="31"/>
    </row>
    <row r="256" spans="1:17" s="119" customFormat="1" hidden="1" outlineLevel="1" x14ac:dyDescent="0.25">
      <c r="A256" s="17"/>
      <c r="D256" s="23"/>
      <c r="E256" s="23"/>
      <c r="F256" s="23"/>
      <c r="G256" s="23"/>
      <c r="H256" s="23"/>
      <c r="I256" s="23"/>
      <c r="L256" s="97"/>
      <c r="M256" s="82"/>
      <c r="N256" s="82"/>
      <c r="P256" s="31"/>
      <c r="Q256" s="31"/>
    </row>
    <row r="257" spans="1:17" s="119" customFormat="1" ht="13" hidden="1" outlineLevel="1" x14ac:dyDescent="0.3">
      <c r="A257" s="392" t="str">
        <f>IF($D$19="None","OUTLET EXPANDER NOISE","FLOW DISTRIBUTOR NOISE")</f>
        <v>OUTLET EXPANDER NOISE</v>
      </c>
      <c r="B257" s="393"/>
      <c r="C257" s="393"/>
      <c r="D257" s="395"/>
      <c r="E257" s="395"/>
      <c r="F257" s="395"/>
      <c r="G257" s="395"/>
      <c r="H257" s="395"/>
      <c r="I257" s="395"/>
      <c r="L257" s="97"/>
      <c r="M257" s="82"/>
      <c r="N257" s="113"/>
      <c r="P257" s="31"/>
      <c r="Q257" s="31"/>
    </row>
    <row r="258" spans="1:17" s="119" customFormat="1" hidden="1" outlineLevel="1" x14ac:dyDescent="0.25">
      <c r="A258" s="17" t="s">
        <v>975</v>
      </c>
      <c r="C258" s="119" t="s">
        <v>988</v>
      </c>
      <c r="D258" s="31" t="s">
        <v>496</v>
      </c>
      <c r="E258" s="31" t="str">
        <f>IF(E135=0,"",GasWRhoAcV(E135/3600,E154,$E$144/10^6,E155,1))</f>
        <v/>
      </c>
      <c r="F258" s="31" t="str">
        <f>IF(F135=0,"",GasWRhoAcV(F135/3600,F154,$E$144/10^6,F155,1))</f>
        <v/>
      </c>
      <c r="G258" s="31" t="str">
        <f>IF(G135=0,"",GasWRhoAcV(G135/3600,G154,$E$144/10^6,G155,1))</f>
        <v/>
      </c>
      <c r="H258" s="31" t="str">
        <f>IF(H135=0,"",GasWRhoAcV(H135/3600,H154,$E$144/10^6,H155,1))</f>
        <v/>
      </c>
      <c r="I258" s="31" t="str">
        <f>IF(I135=0,"",GasWRhoAcV(I135/3600,I154,$E$144/10^6,I155,1))</f>
        <v/>
      </c>
      <c r="L258" s="97"/>
      <c r="M258" s="82"/>
      <c r="N258" s="113"/>
      <c r="P258" s="31"/>
      <c r="Q258" s="31"/>
    </row>
    <row r="259" spans="1:17" s="119" customFormat="1" hidden="1" outlineLevel="1" x14ac:dyDescent="0.25">
      <c r="A259" s="17" t="s">
        <v>976</v>
      </c>
      <c r="C259" s="119" t="s">
        <v>989</v>
      </c>
      <c r="D259" s="31"/>
      <c r="E259" s="31" t="str">
        <f>IF(E135=0,"",E258/E155)</f>
        <v/>
      </c>
      <c r="F259" s="31" t="str">
        <f>IF(F135=0,"",F258/F155)</f>
        <v/>
      </c>
      <c r="G259" s="31" t="str">
        <f>IF(G135=0,"",G258/G155)</f>
        <v/>
      </c>
      <c r="H259" s="31" t="str">
        <f>IF(H135=0,"",H258/H155)</f>
        <v/>
      </c>
      <c r="I259" s="31" t="str">
        <f>IF(I135=0,"",I258/I155)</f>
        <v/>
      </c>
      <c r="L259" s="97"/>
      <c r="M259" s="82"/>
      <c r="N259" s="113"/>
      <c r="P259" s="31"/>
      <c r="Q259" s="31"/>
    </row>
    <row r="260" spans="1:17" s="119" customFormat="1" hidden="1" outlineLevel="1" x14ac:dyDescent="0.25">
      <c r="A260" s="17" t="s">
        <v>977</v>
      </c>
      <c r="C260" s="119" t="s">
        <v>990</v>
      </c>
      <c r="D260" s="31" t="s">
        <v>513</v>
      </c>
      <c r="E260" s="31" t="str">
        <f>IF(E135=0,"",GasWRhoAcKE(E135/3600,E154,$E$144/10^6,E155,1))</f>
        <v/>
      </c>
      <c r="F260" s="31" t="str">
        <f>IF(F135=0,"",GasWRhoAcKE(F135/3600,F154,$E$144/10^6,F155,1))</f>
        <v/>
      </c>
      <c r="G260" s="31" t="str">
        <f>IF(G135=0,"",GasWRhoAcKE(G135/3600,G154,$E$144/10^6,G155,1))</f>
        <v/>
      </c>
      <c r="H260" s="31" t="str">
        <f>IF(H135=0,"",GasWRhoAcKE(H135/3600,H154,$E$144/10^6,H155,1))</f>
        <v/>
      </c>
      <c r="I260" s="31" t="str">
        <f>IF(I135=0,"",GasWRhoAcKE(I135/3600,I154,$E$144/10^6,I155,1))</f>
        <v/>
      </c>
      <c r="L260" s="97"/>
      <c r="M260" s="82"/>
      <c r="N260" s="113"/>
      <c r="P260" s="31"/>
      <c r="Q260" s="31"/>
    </row>
    <row r="261" spans="1:17" s="119" customFormat="1" hidden="1" outlineLevel="1" x14ac:dyDescent="0.25">
      <c r="A261" s="17" t="s">
        <v>978</v>
      </c>
      <c r="C261" s="119" t="s">
        <v>693</v>
      </c>
      <c r="D261" s="18" t="s">
        <v>496</v>
      </c>
      <c r="E261" s="24" t="str">
        <f>IF(E135=0,"",GasWRhoAcV(E135/3600,E239,$E$147/10^6,E240,1))</f>
        <v/>
      </c>
      <c r="F261" s="24" t="str">
        <f>IF(F135=0,"",GasWRhoAcV(F135/3600,F239,$E$147/10^6,F240,1))</f>
        <v/>
      </c>
      <c r="G261" s="24" t="str">
        <f>IF(G135=0,"",GasWRhoAcV(G135/3600,G239,$E$147/10^6,G240,1))</f>
        <v/>
      </c>
      <c r="H261" s="24" t="str">
        <f>IF(H135=0,"",GasWRhoAcV(H135/3600,H239,$E$147/10^6,H240,1))</f>
        <v/>
      </c>
      <c r="I261" s="24" t="str">
        <f>IF(I135=0,"",GasWRhoAcV(I135/3600,I239,$E$147/10^6,I240,1))</f>
        <v/>
      </c>
      <c r="L261" s="97"/>
      <c r="M261" s="82"/>
      <c r="N261" s="82"/>
      <c r="P261" s="31"/>
      <c r="Q261" s="31"/>
    </row>
    <row r="262" spans="1:17" s="119" customFormat="1" hidden="1" outlineLevel="1" x14ac:dyDescent="0.25">
      <c r="A262" s="17" t="s">
        <v>979</v>
      </c>
      <c r="C262" s="119" t="s">
        <v>606</v>
      </c>
      <c r="D262" s="23" t="s">
        <v>513</v>
      </c>
      <c r="E262" s="24" t="str">
        <f>IF(E135=0,"",GasWRhoAcKE(E135/3600,E239,$E$147/10^6,E240,1))</f>
        <v/>
      </c>
      <c r="F262" s="24" t="str">
        <f>IF(F135=0,"",GasWRhoAcKE(F135/3600,F239,$E$147/10^6,F240,1))</f>
        <v/>
      </c>
      <c r="G262" s="24" t="str">
        <f>IF(G135=0,"",GasWRhoAcKE(G135/3600,G239,$E$147/10^6,G240,1))</f>
        <v/>
      </c>
      <c r="H262" s="24" t="str">
        <f>IF(H135=0,"",GasWRhoAcKE(H135/3600,H239,$E$147/10^6,H240,1))</f>
        <v/>
      </c>
      <c r="I262" s="24" t="str">
        <f>IF(I135=0,"",GasWRhoAcKE(I135/3600,I239,$E$147/10^6,I240,1))</f>
        <v/>
      </c>
      <c r="L262" s="97"/>
      <c r="M262" s="82"/>
      <c r="N262" s="82" t="s">
        <v>607</v>
      </c>
      <c r="P262" s="31"/>
      <c r="Q262" s="31"/>
    </row>
    <row r="263" spans="1:17" s="119" customFormat="1" hidden="1" outlineLevel="1" x14ac:dyDescent="0.25">
      <c r="A263" s="17" t="s">
        <v>705</v>
      </c>
      <c r="C263" s="119" t="s">
        <v>690</v>
      </c>
      <c r="D263" s="23" t="s">
        <v>463</v>
      </c>
      <c r="E263" s="24" t="e">
        <f>IF(FlowDistributorDesign="None",
    NA(),
    GasCvP1(E135/3600,E237,E239,E127,0.75,$E$149,1))</f>
        <v>#N/A</v>
      </c>
      <c r="F263" s="24" t="e">
        <f>IF(FlowDistributorDesign="None",NA(),
    GasCvP1(F135/3600,F237,F239,F127,0.75,$E$149,1))</f>
        <v>#N/A</v>
      </c>
      <c r="G263" s="24" t="e">
        <f>IF(FlowDistributorDesign="None",NA(),
    GasCvP1(G135/3600,G237,G239,G127,0.75,$E$149,1))</f>
        <v>#N/A</v>
      </c>
      <c r="H263" s="24" t="e">
        <f>IF(FlowDistributorDesign="None",NA(),
    GasCvP1(H135/3600,H237,H239,H127,0.75,$E$149,1))</f>
        <v>#N/A</v>
      </c>
      <c r="I263" s="24" t="e">
        <f>IF(FlowDistributorDesign="None",NA(),
    GasCvP1(I135/3600,I237,I239,I127,0.75,$E$149,1))</f>
        <v>#N/A</v>
      </c>
      <c r="L263" s="97"/>
      <c r="M263" s="82" t="s">
        <v>892</v>
      </c>
      <c r="N263" s="82"/>
      <c r="P263" s="31"/>
      <c r="Q263" s="31"/>
    </row>
    <row r="264" spans="1:17" s="119" customFormat="1" hidden="1" outlineLevel="1" x14ac:dyDescent="0.25">
      <c r="A264" s="17" t="s">
        <v>706</v>
      </c>
      <c r="C264" s="119" t="s">
        <v>692</v>
      </c>
      <c r="D264" s="23" t="s">
        <v>438</v>
      </c>
      <c r="E264" s="23" t="e">
        <f>E131*E263/E125</f>
        <v>#N/A</v>
      </c>
      <c r="F264" s="23" t="e">
        <f>F131*F263/F125</f>
        <v>#N/A</v>
      </c>
      <c r="G264" s="23" t="e">
        <f>G131*G263/G125</f>
        <v>#N/A</v>
      </c>
      <c r="H264" s="23" t="e">
        <f>H131*H263/H125</f>
        <v>#N/A</v>
      </c>
      <c r="I264" s="23" t="e">
        <f>I131*I263/I125</f>
        <v>#N/A</v>
      </c>
      <c r="L264" s="97"/>
      <c r="M264" s="82" t="s">
        <v>893</v>
      </c>
      <c r="N264" s="82"/>
      <c r="P264" s="31"/>
      <c r="Q264" s="31"/>
    </row>
    <row r="265" spans="1:17" s="119" customFormat="1" hidden="1" outlineLevel="1" x14ac:dyDescent="0.25">
      <c r="A265" s="17" t="s">
        <v>993</v>
      </c>
      <c r="C265" s="119" t="s">
        <v>11</v>
      </c>
      <c r="D265" s="23"/>
      <c r="E265" s="23">
        <f>IF(FlowDistributorDesign="None",  0.55,
    0.95)</f>
        <v>0.55000000000000004</v>
      </c>
      <c r="F265" s="23"/>
      <c r="G265" s="23"/>
      <c r="H265" s="23"/>
      <c r="I265" s="23"/>
      <c r="L265" s="97"/>
      <c r="M265" s="82"/>
      <c r="N265" s="82"/>
      <c r="P265" s="31"/>
      <c r="Q265" s="31"/>
    </row>
    <row r="266" spans="1:17" s="119" customFormat="1" hidden="1" outlineLevel="1" x14ac:dyDescent="0.25">
      <c r="A266" s="17" t="s">
        <v>899</v>
      </c>
      <c r="C266" s="119" t="s">
        <v>980</v>
      </c>
      <c r="D266" s="23"/>
      <c r="E266" s="23" t="e">
        <f>(E263-E237)/E263</f>
        <v>#N/A</v>
      </c>
      <c r="F266" s="23" t="e">
        <f t="shared" ref="F266:I266" si="21">(F263-F237)/F263</f>
        <v>#N/A</v>
      </c>
      <c r="G266" s="23" t="e">
        <f t="shared" si="21"/>
        <v>#N/A</v>
      </c>
      <c r="H266" s="23" t="e">
        <f t="shared" si="21"/>
        <v>#N/A</v>
      </c>
      <c r="I266" s="23" t="e">
        <f t="shared" si="21"/>
        <v>#N/A</v>
      </c>
      <c r="L266" s="97"/>
      <c r="M266" s="82" t="s">
        <v>900</v>
      </c>
      <c r="N266" s="82"/>
      <c r="P266" s="31"/>
      <c r="Q266" s="31"/>
    </row>
    <row r="267" spans="1:17" s="119" customFormat="1" hidden="1" outlineLevel="1" x14ac:dyDescent="0.25">
      <c r="A267" s="17" t="s">
        <v>558</v>
      </c>
      <c r="C267" s="119" t="s">
        <v>689</v>
      </c>
      <c r="D267" s="23" t="s">
        <v>463</v>
      </c>
      <c r="E267" s="23" t="e">
        <f>E263*(1-E266/$E$265^2)</f>
        <v>#N/A</v>
      </c>
      <c r="F267" s="23" t="e">
        <f>F263*(1-F266/0.95^2)</f>
        <v>#N/A</v>
      </c>
      <c r="G267" s="23" t="e">
        <f>G263*(1-G266/0.95^2)</f>
        <v>#N/A</v>
      </c>
      <c r="H267" s="23" t="e">
        <f>H263*(1-H266/0.95^2)</f>
        <v>#N/A</v>
      </c>
      <c r="I267" s="23" t="e">
        <f>I263*(1-I266/0.95^2)</f>
        <v>#N/A</v>
      </c>
      <c r="L267" s="97"/>
      <c r="M267" s="82" t="s">
        <v>901</v>
      </c>
      <c r="N267" s="82"/>
      <c r="P267" s="31"/>
      <c r="Q267" s="31"/>
    </row>
    <row r="268" spans="1:17" s="119" customFormat="1" hidden="1" outlineLevel="1" x14ac:dyDescent="0.25">
      <c r="A268" s="389" t="s">
        <v>983</v>
      </c>
      <c r="C268" s="119" t="s">
        <v>982</v>
      </c>
      <c r="D268" s="23"/>
      <c r="E268" s="23">
        <f>E187</f>
        <v>0</v>
      </c>
      <c r="F268" s="23">
        <f t="shared" ref="F268:I268" si="22">F187</f>
        <v>0</v>
      </c>
      <c r="G268" s="23">
        <f t="shared" si="22"/>
        <v>0</v>
      </c>
      <c r="H268" s="23">
        <f t="shared" si="22"/>
        <v>0</v>
      </c>
      <c r="I268" s="23">
        <f t="shared" si="22"/>
        <v>0</v>
      </c>
      <c r="L268" s="97"/>
      <c r="M268" s="82" t="s">
        <v>902</v>
      </c>
      <c r="N268" s="82"/>
      <c r="P268" s="31"/>
      <c r="Q268" s="31"/>
    </row>
    <row r="269" spans="1:17" s="119" customFormat="1" hidden="1" outlineLevel="1" x14ac:dyDescent="0.25">
      <c r="A269" s="389" t="s">
        <v>913</v>
      </c>
      <c r="B269" s="390"/>
      <c r="C269" s="389" t="s">
        <v>981</v>
      </c>
      <c r="E269" s="23">
        <f>$E$265^2*E268</f>
        <v>0</v>
      </c>
      <c r="F269" s="23">
        <f t="shared" ref="F269:I269" si="23">0.95^2*F187</f>
        <v>0</v>
      </c>
      <c r="G269" s="23">
        <f t="shared" si="23"/>
        <v>0</v>
      </c>
      <c r="H269" s="23">
        <f t="shared" si="23"/>
        <v>0</v>
      </c>
      <c r="I269" s="23">
        <f t="shared" si="23"/>
        <v>0</v>
      </c>
      <c r="L269" s="97"/>
      <c r="M269" s="82" t="s">
        <v>903</v>
      </c>
      <c r="N269" s="82"/>
      <c r="P269" s="31"/>
      <c r="Q269" s="31"/>
    </row>
    <row r="270" spans="1:17" s="119" customFormat="1" hidden="1" outlineLevel="1" x14ac:dyDescent="0.25">
      <c r="A270" s="389" t="s">
        <v>560</v>
      </c>
      <c r="B270" s="390"/>
      <c r="C270" s="389" t="s">
        <v>691</v>
      </c>
      <c r="E270" s="23">
        <f>(1-E268)/(1-E269)</f>
        <v>1</v>
      </c>
      <c r="F270" s="23">
        <f>(1-F187)/(1-F269)</f>
        <v>1</v>
      </c>
      <c r="G270" s="23">
        <f>(1-G187)/(1-G269)</f>
        <v>1</v>
      </c>
      <c r="H270" s="23">
        <f>(1-H187)/(1-H269)</f>
        <v>1</v>
      </c>
      <c r="I270" s="23">
        <f>(1-I187)/(1-I269)</f>
        <v>1</v>
      </c>
      <c r="L270" s="97"/>
      <c r="M270" s="82" t="s">
        <v>904</v>
      </c>
      <c r="N270" s="82"/>
      <c r="P270" s="31"/>
      <c r="Q270" s="31"/>
    </row>
    <row r="271" spans="1:17" s="119" customFormat="1" hidden="1" outlineLevel="1" x14ac:dyDescent="0.25">
      <c r="A271" s="389" t="s">
        <v>911</v>
      </c>
      <c r="B271" s="390"/>
      <c r="C271" s="389" t="s">
        <v>909</v>
      </c>
      <c r="E271" s="23" t="e">
        <f>1 - (1/E270)*(1/E127)^(E127/(E127-1))</f>
        <v>#DIV/0!</v>
      </c>
      <c r="F271" s="23" t="e">
        <f>1 - (1/F270)*(1/F127)^(F127/(F127-1))</f>
        <v>#DIV/0!</v>
      </c>
      <c r="G271" s="23" t="e">
        <f>1 - (1/G270)*(1/G127)^(G127/(G127-1))</f>
        <v>#DIV/0!</v>
      </c>
      <c r="H271" s="23" t="e">
        <f>1 - (1/H270)*(1/H127)^(H127/(H127-1))</f>
        <v>#DIV/0!</v>
      </c>
      <c r="I271" s="23" t="e">
        <f>1 - (1/I270)*(1/I127)^(I127/(I127-1))</f>
        <v>#DIV/0!</v>
      </c>
      <c r="L271" s="97"/>
      <c r="M271" s="82" t="s">
        <v>905</v>
      </c>
      <c r="N271" s="82"/>
      <c r="P271" s="31"/>
      <c r="Q271" s="31"/>
    </row>
    <row r="272" spans="1:17" s="119" customFormat="1" hidden="1" outlineLevel="1" x14ac:dyDescent="0.25">
      <c r="A272" s="389" t="s">
        <v>912</v>
      </c>
      <c r="B272" s="390"/>
      <c r="C272" s="389" t="s">
        <v>910</v>
      </c>
      <c r="E272" s="23">
        <f>1 - 1/(22*E270)</f>
        <v>0.95454545454545459</v>
      </c>
      <c r="F272" s="23">
        <f t="shared" ref="F272:I272" si="24">1 - 1/(22*F270)</f>
        <v>0.95454545454545459</v>
      </c>
      <c r="G272" s="23">
        <f t="shared" si="24"/>
        <v>0.95454545454545459</v>
      </c>
      <c r="H272" s="23">
        <f t="shared" si="24"/>
        <v>0.95454545454545459</v>
      </c>
      <c r="I272" s="23">
        <f t="shared" si="24"/>
        <v>0.95454545454545459</v>
      </c>
      <c r="L272" s="97"/>
      <c r="M272" s="82" t="s">
        <v>906</v>
      </c>
      <c r="N272" s="82"/>
      <c r="P272" s="31"/>
      <c r="Q272" s="31"/>
    </row>
    <row r="273" spans="1:17" s="119" customFormat="1" hidden="1" outlineLevel="1" x14ac:dyDescent="0.25">
      <c r="A273" s="17" t="s">
        <v>984</v>
      </c>
      <c r="C273" s="119" t="s">
        <v>985</v>
      </c>
      <c r="D273" s="23"/>
      <c r="E273" s="23">
        <f>IF(FlowDistributorDesign="None",
    1,
    IF(E266 &lt;= E269,  1,
      IF(E266 &lt;= E268,  2,
        IF(E266 &lt;= E271,  3,
          IF(E266 &lt;= E272,  4,  5)))))</f>
        <v>1</v>
      </c>
      <c r="F273" s="23">
        <f>IF(FlowDistributorDesign="None",  1,
    IF(F266 &lt;= F269,  1,
      IF(F266 &lt;= F268,  2,
        IF(F266 &lt;= F271,  3,
          IF(F266 &lt;= F272,  4,  5)))))</f>
        <v>1</v>
      </c>
      <c r="G273" s="23">
        <f>IF(FlowDistributorDesign="None",  1,
    IF(G266 &lt;= G269,  1,
      IF(G266 &lt;= G268,  2,
        IF(G266 &lt;= G271,  3,
          IF(G266 &lt;= G272,  4,  5)))))</f>
        <v>1</v>
      </c>
      <c r="H273" s="23">
        <f>IF(FlowDistributorDesign="None",  1,
    IF(H266 &lt;= H269,  1,
      IF(H266 &lt;= H268,  2,
        IF(H266 &lt;= H271,  3,
          IF(H266 &lt;= H272,  4,  5)))))</f>
        <v>1</v>
      </c>
      <c r="I273" s="23">
        <f>IF(FlowDistributorDesign="None",  1,
    IF(I266 &lt;= I269,  1,
      IF(I266 &lt;= I268,  2,
        IF(I266 &lt;= I271,  3,
          IF(I266 &lt;= I272,  4,  5)))))</f>
        <v>1</v>
      </c>
      <c r="L273" s="97"/>
      <c r="M273" s="82"/>
      <c r="N273" s="82"/>
      <c r="P273" s="31"/>
      <c r="Q273" s="31"/>
    </row>
    <row r="274" spans="1:17" s="127" customFormat="1" hidden="1" outlineLevel="1" x14ac:dyDescent="0.25">
      <c r="A274" s="87" t="s">
        <v>928</v>
      </c>
      <c r="C274" s="127" t="str">
        <f>CHOOSE(E273,  "Mvce",  "Mje",  "Mje",  "Mje", "Mj5e")</f>
        <v>Mvce</v>
      </c>
      <c r="D274" s="88"/>
      <c r="E274" s="88" t="e">
        <f>IF(FlowDistributorDesign="None",
    E261/E240,
    IF(E273=1,
      (2/(E127-1)*((1-E266/$E$265^2)^((1-E127)/E127)-1))^0.5,
      (2/(E127-1)*(MIN(22,1/(E270*(1 - E266)))^((E127-1)/E127) - 1))^0.5))</f>
        <v>#VALUE!</v>
      </c>
      <c r="F274" s="88" t="e">
        <f>IF(FlowDistributorDesign="None",
    F261/F240,
    IF(F273=1,
      (2/(F127-1)*((1-F266/$E$265^2)^((1-F127)/F127)-1))^0.5,
      (2/(F127-1)*(MIN(22,1/(F270*(1 - F266)))^((F127-1)/F127) - 1))^0.5))</f>
        <v>#VALUE!</v>
      </c>
      <c r="G274" s="88" t="e">
        <f>IF(FlowDistributorDesign="None",
    G261/G240,
    IF(G273=1,
      (2/(G127-1)*((1-G266/$E$265^2)^((1-G127)/G127)-1))^0.5,
      (2/(G127-1)*(MIN(22,1/(G270*(1 - G266)))^((G127-1)/G127) - 1))^0.5))</f>
        <v>#VALUE!</v>
      </c>
      <c r="H274" s="88" t="e">
        <f>IF(FlowDistributorDesign="None",
    H261/H240,
    IF(H273=1,
      (2/(H127-1)*((1-H266/$E$265^2)^((1-H127)/H127)-1))^0.5,
      (2/(H127-1)*(MIN(22,1/(H270*(1 - H266)))^((H127-1)/H127) - 1))^0.5))</f>
        <v>#VALUE!</v>
      </c>
      <c r="I274" s="88" t="e">
        <f>IF(FlowDistributorDesign="None",
    I261/I240,
    IF(I273=1,
      (2/(I127-1)*((1-I266/$E$265^2)^((1-I127)/I127)-1))^0.5,
      (2/(I127-1)*(MIN(22,1/(I270*(1 - I266)))^((I127-1)/I127) - 1))^0.5))</f>
        <v>#VALUE!</v>
      </c>
      <c r="L274" s="103"/>
      <c r="M274" s="82" t="s">
        <v>949</v>
      </c>
      <c r="N274" s="108"/>
      <c r="P274" s="128"/>
      <c r="Q274" s="128"/>
    </row>
    <row r="275" spans="1:17" s="119" customFormat="1" hidden="1" outlineLevel="1" x14ac:dyDescent="0.25">
      <c r="A275" s="87" t="s">
        <v>991</v>
      </c>
      <c r="B275" s="127"/>
      <c r="C275" s="127" t="s">
        <v>992</v>
      </c>
      <c r="D275" s="88"/>
      <c r="E275" s="31">
        <f>IF(FlowDistributorDesign="None",  -3,
    -4.8)</f>
        <v>-3</v>
      </c>
      <c r="L275" s="97"/>
      <c r="M275" s="82" t="s">
        <v>951</v>
      </c>
      <c r="N275" s="82"/>
      <c r="P275" s="31"/>
      <c r="Q275" s="31"/>
    </row>
    <row r="276" spans="1:17" s="119" customFormat="1" hidden="1" outlineLevel="1" x14ac:dyDescent="0.25">
      <c r="A276" s="17" t="s">
        <v>921</v>
      </c>
      <c r="C276" s="119" t="s">
        <v>922</v>
      </c>
      <c r="D276" s="23"/>
      <c r="E276" s="119" t="e">
        <f>CHOOSE(E273,
    10^$E$275*$E$265^2*E274^3,
    10^$E$275*E266/E268*E274^(6.6*$E$265^2),
    10^$E$275*E274^(6.6*$E$265^2),
    10^$E$275*E274^2/2*SQRT(2)^(6.6*$E$265^2),
    10^$E$275*E274^2/2*SQRT(2)^(6.6*$E$265^2))</f>
        <v>#VALUE!</v>
      </c>
      <c r="F276" s="119" t="e">
        <f t="shared" ref="F276:I276" si="25">CHOOSE(F273,
    10^$E$275*$E$265^2*F274^3,
    10^$E$275*F266/F268*F274^(6.6*$E$265^2),
    10^$E$275*F274^(6.6*$E$265^2),
    10^$E$275*F274^2/2*SQRT(2)^(6.6*$E$265^2),
    10^$E$275*F274^2/2*SQRT(2)^(6.6*$E$265^2))</f>
        <v>#VALUE!</v>
      </c>
      <c r="G276" s="119" t="e">
        <f t="shared" si="25"/>
        <v>#VALUE!</v>
      </c>
      <c r="H276" s="119" t="e">
        <f t="shared" si="25"/>
        <v>#VALUE!</v>
      </c>
      <c r="I276" s="119" t="e">
        <f t="shared" si="25"/>
        <v>#VALUE!</v>
      </c>
      <c r="L276" s="97"/>
      <c r="M276" s="82" t="s">
        <v>949</v>
      </c>
      <c r="N276" s="82"/>
      <c r="P276" s="31"/>
      <c r="Q276" s="31"/>
    </row>
    <row r="277" spans="1:17" s="127" customFormat="1" hidden="1" outlineLevel="1" x14ac:dyDescent="0.25">
      <c r="A277" s="17" t="s">
        <v>927</v>
      </c>
      <c r="B277" s="119"/>
      <c r="C277" s="119" t="str">
        <f>IF(E273=1,
    "Tvce",
    "Tvcce")</f>
        <v>Tvce</v>
      </c>
      <c r="D277" s="31" t="s">
        <v>241</v>
      </c>
      <c r="E277" s="88" t="e">
        <f>IF(E273=1,
    (E126+273.15)*(1-E266/$E$265^2)^((E127-1)/E127)-273.15,
    2*(E126+273.15)/(E127+1)-273.15)</f>
        <v>#N/A</v>
      </c>
      <c r="F277" s="88" t="e">
        <f>IF(F273=1,
    (F126+273.15)*(1-F266/$E$265^2)^((F127-1)/F127)-273.15,
    2*(F126+273.15)/(F127+1)-273.15)</f>
        <v>#N/A</v>
      </c>
      <c r="G277" s="88" t="e">
        <f>IF(G273=1,
    (G126+273.15)*(1-G266/$E$265^2)^((G127-1)/G127)-273.15,
    2*(G126+273.15)/(G127+1)-273.15)</f>
        <v>#N/A</v>
      </c>
      <c r="H277" s="88" t="e">
        <f>IF(H273=1,
    (H126+273.15)*(1-H266/$E$265^2)^((H127-1)/H127)-273.15,
    2*(H126+273.15)/(H127+1)-273.15)</f>
        <v>#N/A</v>
      </c>
      <c r="I277" s="88" t="e">
        <f>IF(I273=1,
    (I126+273.15)*(1-I266/$E$265^2)^((I127-1)/I127)-273.15,
    2*(I126+273.15)/(I127+1)-273.15)</f>
        <v>#N/A</v>
      </c>
      <c r="J277" s="127" t="s">
        <v>995</v>
      </c>
      <c r="L277" s="103"/>
      <c r="M277" s="82" t="s">
        <v>949</v>
      </c>
      <c r="N277" s="108"/>
      <c r="P277" s="128"/>
      <c r="Q277" s="128"/>
    </row>
    <row r="278" spans="1:17" s="127" customFormat="1" hidden="1" outlineLevel="1" x14ac:dyDescent="0.25">
      <c r="A278" s="87" t="s">
        <v>929</v>
      </c>
      <c r="C278" s="127" t="str">
        <f>IF(E273=1,
    "cvce",
    "cvcce")</f>
        <v>cvce</v>
      </c>
      <c r="D278" s="88" t="s">
        <v>496</v>
      </c>
      <c r="E278" s="92" t="e">
        <f>IF(FlowDistributorDesign="None",
    E240,
    IF(E273=1,
      (E127*100000*E263/E264*(1-E266/$E$265^2)^((E127-1)/E127))^0.5,
      (2*E127/(E127+1)*E263*10^5/E264)^0.5))</f>
        <v>#VALUE!</v>
      </c>
      <c r="F278" s="92" t="e">
        <f>IF(FlowDistributorDesign="None",
    F240,
    IF(F273=1,
      (F127*100000*F263/F264*(1-F266/$E$265^2)^((F127-1)/F127))^0.5,
      (2*F127/(F127+1)*F263*10^5/F264)^0.5))</f>
        <v>#VALUE!</v>
      </c>
      <c r="G278" s="92" t="e">
        <f>IF(FlowDistributorDesign="None",
    G240,
    IF(G273=1,
      (G127*100000*G263/G264*(1-G266/$E$265^2)^((G127-1)/G127))^0.5,
      (2*G127/(G127+1)*G263*10^5/G264)^0.5))</f>
        <v>#VALUE!</v>
      </c>
      <c r="H278" s="92" t="e">
        <f>IF(FlowDistributorDesign="None",
    H240,
    IF(H273=1,
      (H127*100000*H263/H264*(1-H266/$E$265^2)^((H127-1)/H127))^0.5,
      (2*H127/(H127+1)*H263*10^5/H264)^0.5))</f>
        <v>#VALUE!</v>
      </c>
      <c r="I278" s="92" t="e">
        <f>IF(FlowDistributorDesign="None",
    I240,
    IF(I273=1,
      (I127*100000*I263/I264*(1-I266/$E$265^2)^((I127-1)/I127))^0.5,
      (2*I127/(I127+1)*I263*10^5/I264)^0.5))</f>
        <v>#VALUE!</v>
      </c>
      <c r="L278" s="103"/>
      <c r="M278" s="82" t="s">
        <v>949</v>
      </c>
      <c r="N278" s="108"/>
      <c r="P278" s="128"/>
      <c r="Q278" s="128"/>
    </row>
    <row r="279" spans="1:17" s="127" customFormat="1" hidden="1" outlineLevel="1" x14ac:dyDescent="0.25">
      <c r="A279" s="87" t="s">
        <v>699</v>
      </c>
      <c r="C279" s="127" t="s">
        <v>994</v>
      </c>
      <c r="D279" s="88" t="s">
        <v>582</v>
      </c>
      <c r="E279" s="88" t="e">
        <f>CHOOSE(E273,
    0.2*E274*E278/$E$146,
    0.2*E274*E278/$E$146,
    0.2*E274*E278/$E$146,
    1.4*0.2*E278/($E$146*(E274^2-1)^0.5),
    1.4*0.2*E278/($E$146*(E274^2-1)^0.5))</f>
        <v>#VALUE!</v>
      </c>
      <c r="F279" s="88" t="e">
        <f t="shared" ref="F279:I279" si="26">CHOOSE(F273,
    0.2*F274*F278/$E$146,
    0.2*F274*F278/$E$146,
    0.2*F274*F278/$E$146,
    1.4*0.2*F278/($E$146*(F274^2-1)^0.5),
    1.4*0.2*F278/($E$146*(F274^2-1)^0.5))</f>
        <v>#VALUE!</v>
      </c>
      <c r="G279" s="88" t="e">
        <f t="shared" si="26"/>
        <v>#VALUE!</v>
      </c>
      <c r="H279" s="88" t="e">
        <f t="shared" si="26"/>
        <v>#VALUE!</v>
      </c>
      <c r="I279" s="88" t="e">
        <f t="shared" si="26"/>
        <v>#VALUE!</v>
      </c>
      <c r="L279" s="103"/>
      <c r="M279" s="82" t="s">
        <v>949</v>
      </c>
      <c r="N279" s="108"/>
      <c r="P279" s="128"/>
      <c r="Q279" s="128"/>
    </row>
    <row r="280" spans="1:17" s="119" customFormat="1" hidden="1" outlineLevel="1" x14ac:dyDescent="0.25">
      <c r="A280" s="87" t="s">
        <v>574</v>
      </c>
      <c r="B280" s="127"/>
      <c r="C280" s="127" t="s">
        <v>608</v>
      </c>
      <c r="D280" s="88" t="s">
        <v>498</v>
      </c>
      <c r="E280" s="119" t="e">
        <f>IF(E273=1,
    E135/3600*(E274*E278)^2/2,
    E135/3600*E278^2/2)</f>
        <v>#VALUE!</v>
      </c>
      <c r="F280" s="119" t="e">
        <f t="shared" ref="F280:I280" si="27">IF(F273=1,
    F135/3600*(F274*F278)^2/2,
    F135/3600*F278^2/2)</f>
        <v>#VALUE!</v>
      </c>
      <c r="G280" s="119" t="e">
        <f t="shared" si="27"/>
        <v>#VALUE!</v>
      </c>
      <c r="H280" s="119" t="e">
        <f t="shared" si="27"/>
        <v>#VALUE!</v>
      </c>
      <c r="I280" s="119" t="e">
        <f t="shared" si="27"/>
        <v>#VALUE!</v>
      </c>
      <c r="L280" s="97"/>
      <c r="M280" s="82" t="s">
        <v>949</v>
      </c>
      <c r="N280" s="82"/>
      <c r="P280" s="31"/>
      <c r="Q280" s="31"/>
    </row>
    <row r="281" spans="1:17" s="127" customFormat="1" hidden="1" outlineLevel="1" x14ac:dyDescent="0.25">
      <c r="A281" s="87" t="s">
        <v>700</v>
      </c>
      <c r="C281" s="127" t="s">
        <v>704</v>
      </c>
      <c r="D281" s="88" t="s">
        <v>498</v>
      </c>
      <c r="E281" s="88" t="e">
        <f>E276*E280</f>
        <v>#VALUE!</v>
      </c>
      <c r="F281" s="88" t="e">
        <f t="shared" ref="F281:I281" si="28">F276*F280</f>
        <v>#VALUE!</v>
      </c>
      <c r="G281" s="88" t="e">
        <f t="shared" si="28"/>
        <v>#VALUE!</v>
      </c>
      <c r="H281" s="88" t="e">
        <f t="shared" si="28"/>
        <v>#VALUE!</v>
      </c>
      <c r="I281" s="88" t="e">
        <f t="shared" si="28"/>
        <v>#VALUE!</v>
      </c>
      <c r="L281" s="103"/>
      <c r="M281" s="108"/>
      <c r="N281" s="108"/>
      <c r="P281" s="128"/>
      <c r="Q281" s="128"/>
    </row>
    <row r="282" spans="1:17" s="119" customFormat="1" hidden="1" outlineLevel="1" x14ac:dyDescent="0.25">
      <c r="A282" s="87" t="s">
        <v>698</v>
      </c>
      <c r="C282" s="119" t="s">
        <v>866</v>
      </c>
      <c r="D282" s="23" t="s">
        <v>598</v>
      </c>
      <c r="E282" s="23" t="e">
        <f>10*LOG10(3.2*10^9*E281*E239*E240/($F$113/1000)^2)+E244</f>
        <v>#VALUE!</v>
      </c>
      <c r="F282" s="23" t="e">
        <f>10*LOG10(3.2*10^9*F281*F239*F240/($F$113/1000)^2)+F244</f>
        <v>#VALUE!</v>
      </c>
      <c r="G282" s="23" t="e">
        <f>10*LOG10(3.2*10^9*G281*G239*G240/($F$113/1000)^2)+G244</f>
        <v>#VALUE!</v>
      </c>
      <c r="H282" s="23" t="e">
        <f>10*LOG10(3.2*10^9*H281*H239*H240/($F$113/1000)^2)+H244</f>
        <v>#VALUE!</v>
      </c>
      <c r="I282" s="23" t="e">
        <f>10*LOG10(3.2*10^9*I281*I239*I240/($F$113/1000)^2)+I244</f>
        <v>#VALUE!</v>
      </c>
      <c r="L282" s="97"/>
      <c r="M282" s="82"/>
      <c r="N282" s="82"/>
      <c r="P282" s="31"/>
      <c r="Q282" s="31"/>
    </row>
    <row r="283" spans="1:17" s="119" customFormat="1" hidden="1" outlineLevel="1" x14ac:dyDescent="0.25">
      <c r="A283" s="17" t="s">
        <v>702</v>
      </c>
      <c r="C283" s="119" t="s">
        <v>867</v>
      </c>
      <c r="D283" s="23" t="s">
        <v>450</v>
      </c>
      <c r="E283" s="373" t="e">
        <f>NoiseLpeS1m($F$113/1000,$F$112/1000,E239,E240,E247,E249,$E$250,$E$251,E$252,$E$253,E279,E282)+$E$254</f>
        <v>#VALUE!</v>
      </c>
      <c r="F283" s="373" t="e">
        <f t="shared" ref="F283:I283" si="29">NoiseLpeS1m($F$113/1000,$F$112/1000,F239,F240,F247,F249,$E$250,$E$251,F$252,$E$253,F279,F282)+$E$254</f>
        <v>#VALUE!</v>
      </c>
      <c r="G283" s="373" t="e">
        <f t="shared" si="29"/>
        <v>#VALUE!</v>
      </c>
      <c r="H283" s="373" t="e">
        <f t="shared" si="29"/>
        <v>#VALUE!</v>
      </c>
      <c r="I283" s="373" t="e">
        <f t="shared" si="29"/>
        <v>#VALUE!</v>
      </c>
      <c r="L283" s="97"/>
      <c r="M283" s="82"/>
      <c r="N283" s="82"/>
      <c r="P283" s="31"/>
      <c r="Q283" s="31"/>
    </row>
    <row r="284" spans="1:17" collapsed="1" x14ac:dyDescent="0.25">
      <c r="A284" s="95" t="s">
        <v>609</v>
      </c>
      <c r="O284" s="95"/>
      <c r="Q284" s="96"/>
    </row>
    <row r="286" spans="1:17" ht="13" x14ac:dyDescent="0.3">
      <c r="A286" s="134" t="s">
        <v>873</v>
      </c>
    </row>
    <row r="287" spans="1:17" ht="13" x14ac:dyDescent="0.3">
      <c r="A287" s="95" t="s">
        <v>874</v>
      </c>
    </row>
    <row r="288" spans="1:17" ht="13" x14ac:dyDescent="0.3">
      <c r="A288" s="95" t="s">
        <v>876</v>
      </c>
    </row>
    <row r="298" spans="12:16" x14ac:dyDescent="0.25">
      <c r="L298" s="95"/>
      <c r="M298" s="95"/>
      <c r="N298" s="95"/>
      <c r="O298" s="95"/>
      <c r="P298" s="95"/>
    </row>
    <row r="299" spans="12:16" x14ac:dyDescent="0.25">
      <c r="L299" s="95"/>
      <c r="M299" s="95"/>
      <c r="N299" s="95"/>
      <c r="O299" s="95"/>
      <c r="P299" s="95"/>
    </row>
    <row r="300" spans="12:16" x14ac:dyDescent="0.25">
      <c r="L300" s="95"/>
      <c r="M300" s="95"/>
      <c r="N300" s="95"/>
      <c r="O300" s="95"/>
      <c r="P300" s="95"/>
    </row>
    <row r="301" spans="12:16" x14ac:dyDescent="0.25">
      <c r="L301" s="95"/>
      <c r="M301" s="95"/>
      <c r="N301" s="95"/>
      <c r="O301" s="95"/>
      <c r="P301" s="95"/>
    </row>
    <row r="302" spans="12:16" x14ac:dyDescent="0.25">
      <c r="L302" s="95"/>
      <c r="M302" s="95"/>
      <c r="N302" s="95"/>
      <c r="O302" s="95"/>
      <c r="P302" s="95"/>
    </row>
    <row r="303" spans="12:16" x14ac:dyDescent="0.25">
      <c r="L303" s="95"/>
      <c r="M303" s="95"/>
      <c r="N303" s="95"/>
      <c r="O303" s="95"/>
      <c r="P303" s="95"/>
    </row>
    <row r="304" spans="12:16" x14ac:dyDescent="0.25">
      <c r="L304" s="95"/>
      <c r="M304" s="95"/>
      <c r="N304" s="95"/>
      <c r="O304" s="95"/>
      <c r="P304" s="95"/>
    </row>
    <row r="305" spans="12:18" x14ac:dyDescent="0.25">
      <c r="L305" s="95"/>
      <c r="M305" s="95"/>
      <c r="N305" s="95"/>
      <c r="O305" s="95"/>
      <c r="P305" s="95"/>
    </row>
    <row r="306" spans="12:18" x14ac:dyDescent="0.25">
      <c r="L306" s="95"/>
      <c r="M306" s="95"/>
      <c r="N306" s="95"/>
      <c r="O306" s="95"/>
      <c r="P306" s="95"/>
    </row>
    <row r="307" spans="12:18" x14ac:dyDescent="0.25">
      <c r="L307" s="95"/>
      <c r="M307" s="95"/>
      <c r="N307" s="95"/>
      <c r="O307" s="95"/>
      <c r="P307" s="95"/>
    </row>
    <row r="308" spans="12:18" x14ac:dyDescent="0.25">
      <c r="L308" s="95"/>
      <c r="M308" s="95"/>
      <c r="N308" s="95"/>
      <c r="O308" s="95"/>
      <c r="P308" s="95"/>
    </row>
    <row r="309" spans="12:18" x14ac:dyDescent="0.25">
      <c r="L309" s="95"/>
      <c r="M309" s="95"/>
      <c r="N309" s="95"/>
      <c r="O309" s="95"/>
      <c r="P309" s="95"/>
    </row>
    <row r="310" spans="12:18" x14ac:dyDescent="0.25">
      <c r="L310" s="95"/>
      <c r="M310" s="95"/>
      <c r="N310" s="95"/>
      <c r="O310" s="95"/>
      <c r="P310" s="95"/>
    </row>
    <row r="311" spans="12:18" x14ac:dyDescent="0.25">
      <c r="L311" s="95"/>
      <c r="M311" s="95"/>
      <c r="N311" s="95"/>
      <c r="O311" s="95"/>
      <c r="P311" s="95"/>
    </row>
    <row r="312" spans="12:18" x14ac:dyDescent="0.25">
      <c r="L312" s="95"/>
      <c r="M312" s="95"/>
      <c r="N312" s="95"/>
      <c r="O312" s="95"/>
      <c r="P312" s="95"/>
    </row>
    <row r="313" spans="12:18" x14ac:dyDescent="0.25">
      <c r="L313" s="95"/>
      <c r="M313" s="95"/>
      <c r="N313" s="95"/>
      <c r="O313" s="95"/>
      <c r="P313" s="95"/>
    </row>
    <row r="314" spans="12:18" x14ac:dyDescent="0.25">
      <c r="L314" s="95"/>
      <c r="M314" s="95"/>
      <c r="N314" s="95"/>
      <c r="O314" s="95"/>
      <c r="P314" s="95"/>
    </row>
    <row r="315" spans="12:18" x14ac:dyDescent="0.25">
      <c r="L315" s="95"/>
      <c r="M315" s="95"/>
      <c r="N315" s="95"/>
      <c r="O315" s="95"/>
      <c r="P315" s="95"/>
    </row>
    <row r="316" spans="12:18" x14ac:dyDescent="0.25">
      <c r="L316" s="95"/>
      <c r="M316" s="95"/>
      <c r="N316" s="95"/>
      <c r="O316" s="95"/>
      <c r="P316" s="95"/>
    </row>
    <row r="317" spans="12:18" x14ac:dyDescent="0.25">
      <c r="L317" s="129"/>
    </row>
    <row r="318" spans="12:18" x14ac:dyDescent="0.25">
      <c r="L318" s="129"/>
    </row>
    <row r="319" spans="12:18" x14ac:dyDescent="0.25">
      <c r="L319" s="129"/>
      <c r="Q319" s="107"/>
      <c r="R319" s="107"/>
    </row>
    <row r="320" spans="12:18" x14ac:dyDescent="0.25">
      <c r="L320" s="129"/>
      <c r="Q320" s="107"/>
      <c r="R320" s="107"/>
    </row>
    <row r="321" spans="12:18" x14ac:dyDescent="0.25">
      <c r="L321" s="129"/>
      <c r="Q321" s="107"/>
      <c r="R321" s="107"/>
    </row>
    <row r="322" spans="12:18" x14ac:dyDescent="0.25">
      <c r="L322" s="129"/>
      <c r="Q322" s="107"/>
      <c r="R322" s="107"/>
    </row>
    <row r="323" spans="12:18" x14ac:dyDescent="0.25">
      <c r="L323" s="129"/>
      <c r="Q323" s="107"/>
      <c r="R323" s="107"/>
    </row>
    <row r="324" spans="12:18" x14ac:dyDescent="0.25">
      <c r="L324" s="129"/>
      <c r="Q324" s="107"/>
      <c r="R324" s="107"/>
    </row>
    <row r="325" spans="12:18" x14ac:dyDescent="0.25">
      <c r="L325" s="129"/>
      <c r="M325" s="108"/>
      <c r="N325" s="108"/>
      <c r="O325" s="105"/>
      <c r="P325" s="105"/>
      <c r="Q325" s="107"/>
      <c r="R325" s="107"/>
    </row>
    <row r="326" spans="12:18" x14ac:dyDescent="0.25">
      <c r="L326" s="129"/>
      <c r="M326" s="108"/>
      <c r="N326" s="108"/>
      <c r="O326" s="105"/>
      <c r="P326" s="105"/>
      <c r="Q326" s="107"/>
      <c r="R326" s="107"/>
    </row>
    <row r="327" spans="12:18" x14ac:dyDescent="0.25">
      <c r="L327" s="129"/>
      <c r="M327" s="108"/>
      <c r="N327" s="108"/>
      <c r="O327" s="105"/>
      <c r="P327" s="105"/>
      <c r="Q327" s="107"/>
      <c r="R327" s="107"/>
    </row>
    <row r="328" spans="12:18" x14ac:dyDescent="0.25">
      <c r="L328" s="129"/>
      <c r="M328" s="108"/>
      <c r="N328" s="108"/>
      <c r="O328" s="105"/>
      <c r="P328" s="105"/>
      <c r="Q328" s="107"/>
      <c r="R328" s="107"/>
    </row>
    <row r="329" spans="12:18" x14ac:dyDescent="0.25">
      <c r="L329" s="129"/>
      <c r="M329" s="108"/>
      <c r="N329" s="108"/>
      <c r="O329" s="105"/>
      <c r="P329" s="105"/>
      <c r="Q329" s="107"/>
      <c r="R329" s="107"/>
    </row>
    <row r="330" spans="12:18" x14ac:dyDescent="0.25">
      <c r="L330" s="129"/>
      <c r="M330" s="108"/>
      <c r="N330" s="108"/>
      <c r="O330" s="105"/>
      <c r="P330" s="105"/>
      <c r="Q330" s="107"/>
      <c r="R330" s="107"/>
    </row>
    <row r="331" spans="12:18" x14ac:dyDescent="0.25">
      <c r="L331" s="129"/>
      <c r="M331" s="108"/>
      <c r="N331" s="108"/>
      <c r="O331" s="105"/>
      <c r="P331" s="105"/>
      <c r="Q331" s="107"/>
      <c r="R331" s="107"/>
    </row>
    <row r="332" spans="12:18" x14ac:dyDescent="0.25">
      <c r="L332" s="129"/>
      <c r="M332" s="108"/>
      <c r="N332" s="108"/>
      <c r="O332" s="105"/>
      <c r="P332" s="105"/>
      <c r="Q332" s="107"/>
      <c r="R332" s="107"/>
    </row>
    <row r="333" spans="12:18" x14ac:dyDescent="0.25">
      <c r="L333" s="129"/>
      <c r="M333" s="108"/>
      <c r="N333" s="108"/>
      <c r="O333" s="105"/>
      <c r="P333" s="105"/>
      <c r="Q333" s="107"/>
      <c r="R333" s="107"/>
    </row>
    <row r="334" spans="12:18" x14ac:dyDescent="0.25">
      <c r="L334" s="129"/>
    </row>
    <row r="335" spans="12:18" x14ac:dyDescent="0.25">
      <c r="L335" s="129"/>
    </row>
    <row r="336" spans="12:18" x14ac:dyDescent="0.25">
      <c r="L336" s="129"/>
    </row>
    <row r="337" spans="12:12" x14ac:dyDescent="0.25">
      <c r="L337" s="129"/>
    </row>
    <row r="338" spans="12:12" x14ac:dyDescent="0.25">
      <c r="L338" s="129"/>
    </row>
    <row r="339" spans="12:12" x14ac:dyDescent="0.25">
      <c r="L339" s="129"/>
    </row>
    <row r="340" spans="12:12" x14ac:dyDescent="0.25">
      <c r="L340" s="129"/>
    </row>
    <row r="341" spans="12:12" x14ac:dyDescent="0.25">
      <c r="L341" s="129"/>
    </row>
    <row r="342" spans="12:12" x14ac:dyDescent="0.25">
      <c r="L342" s="129"/>
    </row>
    <row r="343" spans="12:12" x14ac:dyDescent="0.25">
      <c r="L343" s="129"/>
    </row>
    <row r="344" spans="12:12" x14ac:dyDescent="0.25">
      <c r="L344" s="129"/>
    </row>
    <row r="345" spans="12:12" x14ac:dyDescent="0.25">
      <c r="L345" s="129"/>
    </row>
    <row r="346" spans="12:12" x14ac:dyDescent="0.25">
      <c r="L346" s="129"/>
    </row>
    <row r="347" spans="12:12" x14ac:dyDescent="0.25">
      <c r="L347" s="129"/>
    </row>
    <row r="348" spans="12:12" x14ac:dyDescent="0.25">
      <c r="L348" s="129"/>
    </row>
    <row r="349" spans="12:12" x14ac:dyDescent="0.25">
      <c r="L349" s="129"/>
    </row>
    <row r="350" spans="12:12" x14ac:dyDescent="0.25">
      <c r="L350" s="129"/>
    </row>
    <row r="351" spans="12:12" x14ac:dyDescent="0.25">
      <c r="L351" s="129"/>
    </row>
    <row r="352" spans="12:12" x14ac:dyDescent="0.25">
      <c r="L352" s="129"/>
    </row>
    <row r="353" spans="12:23" x14ac:dyDescent="0.25">
      <c r="L353" s="129"/>
    </row>
    <row r="354" spans="12:23" x14ac:dyDescent="0.25">
      <c r="L354" s="129"/>
    </row>
    <row r="355" spans="12:23" x14ac:dyDescent="0.25">
      <c r="L355" s="129"/>
    </row>
    <row r="356" spans="12:23" x14ac:dyDescent="0.25">
      <c r="L356" s="129"/>
    </row>
    <row r="357" spans="12:23" x14ac:dyDescent="0.25">
      <c r="L357" s="129"/>
    </row>
    <row r="358" spans="12:23" x14ac:dyDescent="0.25">
      <c r="L358" s="129"/>
    </row>
    <row r="359" spans="12:23" x14ac:dyDescent="0.25">
      <c r="L359" s="129"/>
    </row>
    <row r="360" spans="12:23" x14ac:dyDescent="0.25">
      <c r="L360" s="129"/>
    </row>
    <row r="361" spans="12:23" x14ac:dyDescent="0.25">
      <c r="L361" s="129"/>
    </row>
    <row r="362" spans="12:23" x14ac:dyDescent="0.25">
      <c r="L362" s="129"/>
    </row>
    <row r="363" spans="12:23" x14ac:dyDescent="0.25">
      <c r="L363" s="129"/>
    </row>
    <row r="364" spans="12:23" ht="13" x14ac:dyDescent="0.3">
      <c r="L364" s="129"/>
      <c r="M364" s="94"/>
      <c r="N364" s="130"/>
      <c r="O364" s="131"/>
      <c r="P364" s="131"/>
      <c r="Q364" s="132"/>
      <c r="R364" s="132"/>
      <c r="S364" s="132"/>
      <c r="T364" s="132"/>
      <c r="U364" s="132"/>
      <c r="V364" s="133"/>
      <c r="W364" s="133"/>
    </row>
    <row r="365" spans="12:23" ht="13" x14ac:dyDescent="0.3">
      <c r="L365" s="129"/>
      <c r="M365" s="94"/>
      <c r="N365" s="130"/>
      <c r="O365" s="131"/>
      <c r="P365" s="131"/>
      <c r="Q365" s="132"/>
      <c r="R365" s="132"/>
      <c r="S365" s="132"/>
      <c r="T365" s="132"/>
      <c r="U365" s="132"/>
      <c r="V365" s="133"/>
      <c r="W365" s="133"/>
    </row>
    <row r="366" spans="12:23" ht="13" x14ac:dyDescent="0.3">
      <c r="L366" s="129"/>
      <c r="M366" s="94"/>
      <c r="N366" s="130"/>
      <c r="O366" s="131"/>
      <c r="P366" s="131"/>
      <c r="Q366" s="132"/>
      <c r="R366" s="132"/>
      <c r="S366" s="132"/>
      <c r="T366" s="132"/>
      <c r="U366" s="132"/>
      <c r="V366" s="133"/>
      <c r="W366" s="133"/>
    </row>
    <row r="367" spans="12:23" ht="13" x14ac:dyDescent="0.3">
      <c r="L367" s="129"/>
      <c r="M367" s="94"/>
      <c r="N367" s="130"/>
      <c r="O367" s="131"/>
      <c r="P367" s="131"/>
      <c r="Q367" s="132"/>
      <c r="R367" s="132"/>
      <c r="S367" s="132"/>
      <c r="T367" s="132"/>
      <c r="U367" s="132"/>
      <c r="V367" s="133"/>
      <c r="W367" s="133"/>
    </row>
    <row r="368" spans="12:23" ht="13" x14ac:dyDescent="0.3">
      <c r="L368" s="129"/>
      <c r="M368" s="94"/>
      <c r="N368" s="130"/>
      <c r="O368" s="131"/>
      <c r="P368" s="131"/>
      <c r="Q368" s="132"/>
      <c r="R368" s="132"/>
      <c r="S368" s="132"/>
      <c r="T368" s="132"/>
      <c r="U368" s="132"/>
      <c r="V368" s="133"/>
      <c r="W368" s="133"/>
    </row>
    <row r="369" spans="1:23" ht="13" x14ac:dyDescent="0.3">
      <c r="L369" s="129"/>
      <c r="M369" s="94"/>
      <c r="N369" s="130"/>
      <c r="O369" s="131"/>
      <c r="P369" s="131"/>
      <c r="Q369" s="132"/>
      <c r="R369" s="132"/>
      <c r="S369" s="132"/>
      <c r="T369" s="132"/>
      <c r="U369" s="132"/>
      <c r="V369" s="133"/>
      <c r="W369" s="133"/>
    </row>
    <row r="370" spans="1:23" ht="13" x14ac:dyDescent="0.3">
      <c r="L370" s="129"/>
      <c r="M370" s="94"/>
      <c r="N370" s="130"/>
      <c r="O370" s="131"/>
      <c r="P370" s="131"/>
      <c r="Q370" s="132"/>
      <c r="R370" s="132"/>
      <c r="S370" s="132"/>
      <c r="T370" s="132"/>
      <c r="U370" s="132"/>
      <c r="V370" s="133"/>
      <c r="W370" s="133"/>
    </row>
    <row r="371" spans="1:23" ht="13" x14ac:dyDescent="0.3">
      <c r="L371" s="129"/>
      <c r="M371" s="94"/>
      <c r="N371" s="130"/>
      <c r="O371" s="131"/>
      <c r="P371" s="131"/>
      <c r="Q371" s="132"/>
      <c r="R371" s="132"/>
      <c r="S371" s="132"/>
      <c r="T371" s="132"/>
      <c r="U371" s="132"/>
      <c r="V371" s="133"/>
      <c r="W371" s="133"/>
    </row>
    <row r="372" spans="1:23" ht="13" x14ac:dyDescent="0.3">
      <c r="E372" s="134"/>
      <c r="L372" s="129"/>
      <c r="M372" s="94"/>
      <c r="N372" s="130"/>
      <c r="O372" s="131"/>
      <c r="P372" s="131"/>
      <c r="Q372" s="132"/>
      <c r="R372" s="132"/>
      <c r="S372" s="132"/>
      <c r="T372" s="132"/>
      <c r="U372" s="132"/>
      <c r="V372" s="133"/>
      <c r="W372" s="133"/>
    </row>
    <row r="373" spans="1:23" ht="13" x14ac:dyDescent="0.3">
      <c r="E373" s="134"/>
      <c r="L373" s="129"/>
      <c r="M373" s="94"/>
      <c r="N373" s="130"/>
      <c r="O373" s="131"/>
      <c r="P373" s="131"/>
      <c r="Q373" s="132"/>
      <c r="R373" s="132"/>
      <c r="S373" s="132"/>
      <c r="T373" s="132"/>
      <c r="U373" s="132"/>
      <c r="V373" s="133"/>
      <c r="W373" s="133"/>
    </row>
    <row r="374" spans="1:23" ht="13" x14ac:dyDescent="0.3">
      <c r="M374" s="94"/>
      <c r="N374" s="130"/>
      <c r="O374" s="131"/>
      <c r="P374" s="131"/>
      <c r="Q374" s="132"/>
      <c r="R374" s="132"/>
      <c r="S374" s="132"/>
      <c r="T374" s="132"/>
      <c r="U374" s="132"/>
      <c r="V374" s="133"/>
      <c r="W374" s="133"/>
    </row>
    <row r="375" spans="1:23" ht="13" x14ac:dyDescent="0.3">
      <c r="M375" s="94"/>
      <c r="N375" s="130"/>
      <c r="O375" s="131"/>
      <c r="P375" s="131"/>
      <c r="Q375" s="132"/>
      <c r="R375" s="132"/>
      <c r="S375" s="132"/>
      <c r="T375" s="132"/>
      <c r="U375" s="132"/>
      <c r="V375" s="133"/>
      <c r="W375" s="133"/>
    </row>
    <row r="376" spans="1:23" ht="13" x14ac:dyDescent="0.3">
      <c r="M376" s="94"/>
      <c r="N376" s="130"/>
      <c r="O376" s="131"/>
      <c r="P376" s="131"/>
      <c r="Q376" s="132"/>
      <c r="R376" s="132"/>
      <c r="S376" s="132"/>
      <c r="T376" s="132"/>
      <c r="U376" s="132"/>
      <c r="V376" s="133"/>
      <c r="W376" s="133"/>
    </row>
    <row r="377" spans="1:23" ht="13" x14ac:dyDescent="0.3">
      <c r="M377" s="94"/>
      <c r="N377" s="130"/>
      <c r="O377" s="131"/>
      <c r="P377" s="131"/>
      <c r="Q377" s="132"/>
      <c r="R377" s="132"/>
      <c r="S377" s="132"/>
      <c r="T377" s="132"/>
      <c r="U377" s="132"/>
      <c r="V377" s="133"/>
      <c r="W377" s="133"/>
    </row>
    <row r="378" spans="1:23" ht="13" x14ac:dyDescent="0.3">
      <c r="A378" s="135"/>
      <c r="B378" s="135"/>
      <c r="C378" s="135"/>
      <c r="M378" s="94"/>
      <c r="N378" s="130"/>
      <c r="O378" s="131"/>
      <c r="P378" s="131"/>
      <c r="Q378" s="132"/>
      <c r="R378" s="132"/>
      <c r="S378" s="132"/>
      <c r="T378" s="132"/>
      <c r="U378" s="132"/>
      <c r="V378" s="133"/>
      <c r="W378" s="133"/>
    </row>
    <row r="379" spans="1:23" x14ac:dyDescent="0.25">
      <c r="A379" s="135"/>
      <c r="B379" s="135"/>
      <c r="C379" s="135"/>
      <c r="E379" s="136"/>
      <c r="H379" s="136"/>
      <c r="I379" s="136"/>
      <c r="M379" s="108"/>
      <c r="N379" s="108"/>
      <c r="O379" s="105"/>
      <c r="P379" s="105"/>
      <c r="Q379" s="107"/>
      <c r="R379" s="107"/>
    </row>
    <row r="380" spans="1:23" x14ac:dyDescent="0.25">
      <c r="A380" s="135"/>
      <c r="B380" s="135"/>
      <c r="C380" s="135"/>
      <c r="D380" s="135"/>
      <c r="E380" s="135"/>
      <c r="F380" s="137"/>
      <c r="G380" s="137"/>
      <c r="H380" s="136"/>
      <c r="I380" s="136"/>
      <c r="M380" s="108"/>
      <c r="N380" s="108"/>
      <c r="O380" s="105"/>
      <c r="P380" s="105"/>
      <c r="Q380" s="107"/>
      <c r="R380" s="107"/>
    </row>
    <row r="381" spans="1:23" x14ac:dyDescent="0.25">
      <c r="A381" s="136"/>
      <c r="B381" s="136"/>
      <c r="F381" s="136"/>
      <c r="G381" s="136"/>
      <c r="H381" s="136"/>
      <c r="I381" s="136"/>
      <c r="M381" s="108"/>
      <c r="N381" s="108"/>
      <c r="O381" s="105"/>
      <c r="P381" s="105"/>
      <c r="Q381" s="107"/>
      <c r="R381" s="107"/>
    </row>
    <row r="382" spans="1:23" x14ac:dyDescent="0.25">
      <c r="A382" s="136"/>
      <c r="B382" s="136"/>
      <c r="F382" s="136"/>
      <c r="G382" s="136"/>
      <c r="H382" s="136"/>
      <c r="I382" s="136"/>
      <c r="M382" s="108"/>
      <c r="N382" s="108"/>
      <c r="O382" s="105"/>
      <c r="P382" s="105"/>
      <c r="Q382" s="107"/>
      <c r="R382" s="107"/>
    </row>
    <row r="383" spans="1:23" x14ac:dyDescent="0.25">
      <c r="A383" s="136"/>
      <c r="B383" s="136"/>
      <c r="F383" s="136"/>
      <c r="G383" s="136"/>
      <c r="H383" s="136"/>
      <c r="I383" s="136"/>
      <c r="M383" s="108"/>
      <c r="N383" s="108"/>
      <c r="O383" s="105"/>
      <c r="P383" s="105"/>
      <c r="Q383" s="107"/>
      <c r="R383" s="107"/>
    </row>
    <row r="384" spans="1:23" x14ac:dyDescent="0.25">
      <c r="A384" s="136"/>
      <c r="B384" s="136"/>
      <c r="F384" s="136"/>
      <c r="G384" s="136"/>
      <c r="H384" s="136"/>
      <c r="I384" s="136"/>
      <c r="M384" s="108"/>
      <c r="N384" s="108"/>
      <c r="O384" s="105"/>
      <c r="P384" s="105"/>
      <c r="Q384" s="107"/>
      <c r="R384" s="107"/>
    </row>
    <row r="385" spans="1:18" x14ac:dyDescent="0.25">
      <c r="A385" s="136"/>
      <c r="B385" s="136"/>
      <c r="F385" s="136"/>
      <c r="G385" s="136"/>
      <c r="H385" s="136"/>
      <c r="I385" s="136"/>
      <c r="M385" s="108"/>
      <c r="N385" s="108"/>
      <c r="O385" s="105"/>
      <c r="P385" s="105"/>
      <c r="Q385" s="107"/>
      <c r="R385" s="107"/>
    </row>
    <row r="386" spans="1:18" x14ac:dyDescent="0.25">
      <c r="A386" s="136"/>
      <c r="B386" s="136"/>
      <c r="F386" s="136"/>
      <c r="G386" s="136"/>
      <c r="H386" s="136"/>
      <c r="I386" s="136"/>
      <c r="M386" s="108"/>
      <c r="N386" s="108"/>
      <c r="O386" s="105"/>
      <c r="P386" s="105"/>
      <c r="Q386" s="107"/>
      <c r="R386" s="107"/>
    </row>
    <row r="387" spans="1:18" x14ac:dyDescent="0.25">
      <c r="A387" s="136"/>
      <c r="B387" s="136"/>
      <c r="F387" s="136"/>
      <c r="G387" s="136"/>
      <c r="M387" s="108"/>
      <c r="N387" s="108"/>
      <c r="O387" s="105"/>
      <c r="P387" s="105"/>
      <c r="Q387" s="107"/>
      <c r="R387" s="107"/>
    </row>
    <row r="388" spans="1:18" x14ac:dyDescent="0.25">
      <c r="A388" s="136"/>
      <c r="B388" s="136"/>
      <c r="F388" s="136"/>
      <c r="G388" s="136"/>
      <c r="M388" s="108"/>
      <c r="N388" s="108"/>
      <c r="O388" s="105"/>
      <c r="P388" s="105"/>
      <c r="Q388" s="107"/>
      <c r="R388" s="107"/>
    </row>
    <row r="389" spans="1:18" x14ac:dyDescent="0.25">
      <c r="C389" s="136"/>
      <c r="E389" s="136"/>
      <c r="G389" s="136"/>
      <c r="M389" s="108"/>
      <c r="N389" s="108"/>
      <c r="O389" s="105"/>
      <c r="P389" s="105"/>
      <c r="Q389" s="107"/>
      <c r="R389" s="107"/>
    </row>
    <row r="390" spans="1:18" x14ac:dyDescent="0.25">
      <c r="C390" s="136"/>
      <c r="E390" s="136"/>
      <c r="G390" s="136"/>
      <c r="M390" s="108"/>
      <c r="N390" s="108"/>
      <c r="O390" s="105"/>
      <c r="P390" s="105"/>
      <c r="Q390" s="107"/>
      <c r="R390" s="107"/>
    </row>
    <row r="391" spans="1:18" x14ac:dyDescent="0.25">
      <c r="C391" s="136"/>
      <c r="M391" s="108"/>
      <c r="N391" s="108"/>
      <c r="O391" s="105"/>
      <c r="P391" s="105"/>
      <c r="Q391" s="107"/>
      <c r="R391" s="107"/>
    </row>
    <row r="392" spans="1:18" x14ac:dyDescent="0.25">
      <c r="C392" s="136"/>
      <c r="M392" s="108"/>
      <c r="N392" s="108"/>
      <c r="O392" s="105"/>
      <c r="P392" s="105"/>
      <c r="Q392" s="107"/>
      <c r="R392" s="107"/>
    </row>
    <row r="393" spans="1:18" x14ac:dyDescent="0.25">
      <c r="M393" s="108"/>
      <c r="N393" s="108"/>
      <c r="O393" s="105"/>
      <c r="P393" s="105"/>
      <c r="Q393" s="107"/>
      <c r="R393" s="107"/>
    </row>
    <row r="394" spans="1:18" x14ac:dyDescent="0.25">
      <c r="M394" s="108"/>
      <c r="N394" s="108"/>
      <c r="O394" s="105"/>
      <c r="P394" s="105"/>
      <c r="Q394" s="107"/>
      <c r="R394" s="107"/>
    </row>
    <row r="395" spans="1:18" x14ac:dyDescent="0.25">
      <c r="M395" s="108"/>
      <c r="N395" s="108"/>
      <c r="O395" s="105"/>
      <c r="P395" s="105"/>
      <c r="Q395" s="107"/>
      <c r="R395" s="107"/>
    </row>
    <row r="396" spans="1:18" x14ac:dyDescent="0.25">
      <c r="M396" s="108"/>
      <c r="N396" s="108"/>
      <c r="O396" s="105"/>
      <c r="P396" s="105"/>
      <c r="Q396" s="107"/>
      <c r="R396" s="107"/>
    </row>
    <row r="397" spans="1:18" x14ac:dyDescent="0.25">
      <c r="M397" s="108"/>
      <c r="N397" s="108"/>
      <c r="O397" s="105"/>
      <c r="P397" s="105"/>
      <c r="Q397" s="107"/>
      <c r="R397" s="107"/>
    </row>
    <row r="398" spans="1:18" x14ac:dyDescent="0.25">
      <c r="M398" s="108"/>
      <c r="N398" s="108"/>
      <c r="O398" s="105"/>
      <c r="P398" s="105"/>
      <c r="Q398" s="107"/>
      <c r="R398" s="107"/>
    </row>
    <row r="399" spans="1:18" x14ac:dyDescent="0.25">
      <c r="M399" s="108"/>
      <c r="N399" s="108"/>
      <c r="O399" s="105"/>
      <c r="P399" s="105"/>
      <c r="Q399" s="107"/>
      <c r="R399" s="107"/>
    </row>
    <row r="400" spans="1:18" x14ac:dyDescent="0.25">
      <c r="M400" s="108"/>
      <c r="N400" s="108"/>
      <c r="O400" s="105"/>
      <c r="P400" s="105"/>
      <c r="Q400" s="107"/>
      <c r="R400" s="107"/>
    </row>
    <row r="401" spans="13:18" x14ac:dyDescent="0.25">
      <c r="M401" s="108"/>
      <c r="N401" s="108"/>
      <c r="O401" s="105"/>
      <c r="P401" s="105"/>
      <c r="Q401" s="107"/>
      <c r="R401" s="107"/>
    </row>
    <row r="402" spans="13:18" x14ac:dyDescent="0.25">
      <c r="M402" s="108"/>
      <c r="N402" s="108"/>
      <c r="O402" s="105"/>
      <c r="P402" s="105"/>
      <c r="Q402" s="107"/>
      <c r="R402" s="107"/>
    </row>
    <row r="403" spans="13:18" x14ac:dyDescent="0.25">
      <c r="M403" s="108"/>
      <c r="N403" s="108"/>
      <c r="O403" s="105"/>
      <c r="P403" s="105"/>
      <c r="Q403" s="107"/>
      <c r="R403" s="107"/>
    </row>
    <row r="404" spans="13:18" x14ac:dyDescent="0.25">
      <c r="M404" s="108"/>
      <c r="N404" s="108"/>
      <c r="O404" s="105"/>
      <c r="P404" s="105"/>
      <c r="Q404" s="107"/>
      <c r="R404" s="107"/>
    </row>
    <row r="405" spans="13:18" x14ac:dyDescent="0.25">
      <c r="M405" s="108"/>
      <c r="N405" s="108"/>
      <c r="O405" s="105"/>
      <c r="P405" s="105"/>
      <c r="Q405" s="107"/>
      <c r="R405" s="107"/>
    </row>
    <row r="406" spans="13:18" x14ac:dyDescent="0.25">
      <c r="M406" s="108"/>
      <c r="N406" s="108"/>
      <c r="O406" s="105"/>
      <c r="P406" s="105"/>
      <c r="Q406" s="107"/>
      <c r="R406" s="107"/>
    </row>
    <row r="407" spans="13:18" x14ac:dyDescent="0.25">
      <c r="M407" s="108"/>
      <c r="N407" s="108"/>
      <c r="O407" s="105"/>
      <c r="P407" s="105"/>
      <c r="Q407" s="107"/>
      <c r="R407" s="107"/>
    </row>
    <row r="408" spans="13:18" x14ac:dyDescent="0.25">
      <c r="M408" s="108"/>
      <c r="N408" s="108"/>
      <c r="O408" s="105"/>
      <c r="P408" s="105"/>
      <c r="Q408" s="107"/>
      <c r="R408" s="107"/>
    </row>
    <row r="409" spans="13:18" x14ac:dyDescent="0.25">
      <c r="M409" s="108"/>
      <c r="N409" s="108"/>
      <c r="O409" s="105"/>
      <c r="P409" s="105"/>
      <c r="Q409" s="107"/>
      <c r="R409" s="107"/>
    </row>
    <row r="410" spans="13:18" x14ac:dyDescent="0.25">
      <c r="M410" s="108"/>
      <c r="N410" s="108"/>
      <c r="O410" s="105"/>
      <c r="P410" s="105"/>
      <c r="Q410" s="107"/>
      <c r="R410" s="107"/>
    </row>
    <row r="411" spans="13:18" x14ac:dyDescent="0.25">
      <c r="M411" s="108"/>
      <c r="N411" s="108"/>
      <c r="O411" s="105"/>
      <c r="P411" s="105"/>
      <c r="Q411" s="107"/>
      <c r="R411" s="107"/>
    </row>
    <row r="412" spans="13:18" x14ac:dyDescent="0.25">
      <c r="M412" s="108"/>
      <c r="N412" s="108"/>
      <c r="O412" s="105"/>
      <c r="P412" s="105"/>
      <c r="Q412" s="107"/>
      <c r="R412" s="107"/>
    </row>
    <row r="413" spans="13:18" x14ac:dyDescent="0.25">
      <c r="M413" s="108"/>
      <c r="N413" s="108"/>
      <c r="O413" s="105"/>
      <c r="P413" s="105"/>
      <c r="Q413" s="107"/>
      <c r="R413" s="107"/>
    </row>
    <row r="414" spans="13:18" x14ac:dyDescent="0.25">
      <c r="M414" s="108"/>
      <c r="N414" s="108"/>
      <c r="O414" s="105"/>
      <c r="P414" s="105"/>
      <c r="Q414" s="107"/>
      <c r="R414" s="107"/>
    </row>
    <row r="415" spans="13:18" x14ac:dyDescent="0.25">
      <c r="M415" s="108"/>
      <c r="N415" s="108"/>
      <c r="O415" s="105"/>
      <c r="P415" s="105"/>
      <c r="Q415" s="107"/>
      <c r="R415" s="107"/>
    </row>
    <row r="416" spans="13:18" x14ac:dyDescent="0.25">
      <c r="M416" s="108"/>
      <c r="N416" s="108"/>
      <c r="O416" s="105"/>
      <c r="P416" s="105"/>
      <c r="Q416" s="107"/>
      <c r="R416" s="107"/>
    </row>
    <row r="417" spans="13:18" x14ac:dyDescent="0.25">
      <c r="M417" s="108"/>
      <c r="N417" s="108"/>
      <c r="O417" s="105"/>
      <c r="P417" s="105"/>
      <c r="Q417" s="107"/>
      <c r="R417" s="107"/>
    </row>
    <row r="418" spans="13:18" x14ac:dyDescent="0.25">
      <c r="M418" s="108"/>
      <c r="N418" s="108"/>
      <c r="O418" s="105"/>
      <c r="P418" s="105"/>
      <c r="Q418" s="107"/>
      <c r="R418" s="107"/>
    </row>
    <row r="419" spans="13:18" x14ac:dyDescent="0.25">
      <c r="M419" s="108"/>
      <c r="N419" s="108"/>
      <c r="O419" s="105"/>
      <c r="P419" s="105"/>
      <c r="Q419" s="107"/>
      <c r="R419" s="107"/>
    </row>
    <row r="420" spans="13:18" x14ac:dyDescent="0.25">
      <c r="M420" s="108"/>
      <c r="N420" s="108"/>
      <c r="O420" s="105"/>
      <c r="P420" s="105"/>
      <c r="Q420" s="107"/>
      <c r="R420" s="107"/>
    </row>
    <row r="421" spans="13:18" x14ac:dyDescent="0.25">
      <c r="M421" s="108"/>
      <c r="N421" s="108"/>
      <c r="O421" s="105"/>
      <c r="P421" s="105"/>
      <c r="Q421" s="107"/>
      <c r="R421" s="107"/>
    </row>
    <row r="422" spans="13:18" x14ac:dyDescent="0.25">
      <c r="M422" s="108"/>
      <c r="N422" s="108"/>
      <c r="O422" s="105"/>
      <c r="P422" s="105"/>
      <c r="Q422" s="107"/>
      <c r="R422" s="107"/>
    </row>
    <row r="423" spans="13:18" x14ac:dyDescent="0.25">
      <c r="M423" s="108"/>
      <c r="N423" s="108"/>
      <c r="O423" s="105"/>
      <c r="P423" s="105"/>
      <c r="Q423" s="107"/>
      <c r="R423" s="107"/>
    </row>
    <row r="424" spans="13:18" x14ac:dyDescent="0.25">
      <c r="M424" s="108"/>
      <c r="N424" s="108"/>
      <c r="O424" s="105"/>
      <c r="P424" s="105"/>
      <c r="Q424" s="107"/>
      <c r="R424" s="107"/>
    </row>
    <row r="425" spans="13:18" x14ac:dyDescent="0.25">
      <c r="M425" s="108"/>
      <c r="N425" s="108"/>
      <c r="O425" s="105"/>
      <c r="P425" s="105"/>
      <c r="Q425" s="107"/>
      <c r="R425" s="107"/>
    </row>
    <row r="426" spans="13:18" x14ac:dyDescent="0.25">
      <c r="M426" s="108"/>
      <c r="N426" s="108"/>
      <c r="O426" s="105"/>
      <c r="P426" s="105"/>
      <c r="Q426" s="107"/>
      <c r="R426" s="107"/>
    </row>
    <row r="427" spans="13:18" x14ac:dyDescent="0.25">
      <c r="M427" s="108"/>
      <c r="N427" s="108"/>
      <c r="O427" s="105"/>
      <c r="P427" s="105"/>
      <c r="Q427" s="107"/>
      <c r="R427" s="107"/>
    </row>
    <row r="428" spans="13:18" x14ac:dyDescent="0.25">
      <c r="M428" s="108"/>
      <c r="N428" s="108"/>
      <c r="O428" s="105"/>
      <c r="P428" s="105"/>
      <c r="Q428" s="107"/>
      <c r="R428" s="107"/>
    </row>
    <row r="429" spans="13:18" x14ac:dyDescent="0.25">
      <c r="M429" s="108"/>
      <c r="N429" s="108"/>
      <c r="O429" s="105"/>
      <c r="P429" s="105"/>
      <c r="Q429" s="107"/>
      <c r="R429" s="107"/>
    </row>
    <row r="430" spans="13:18" x14ac:dyDescent="0.25">
      <c r="M430" s="108"/>
      <c r="N430" s="108"/>
      <c r="O430" s="105"/>
      <c r="P430" s="105"/>
      <c r="Q430" s="107"/>
      <c r="R430" s="107"/>
    </row>
    <row r="431" spans="13:18" x14ac:dyDescent="0.25">
      <c r="M431" s="108"/>
      <c r="N431" s="108"/>
      <c r="O431" s="105"/>
      <c r="P431" s="105"/>
      <c r="Q431" s="107"/>
      <c r="R431" s="107"/>
    </row>
    <row r="432" spans="13:18" x14ac:dyDescent="0.25">
      <c r="M432" s="108"/>
      <c r="N432" s="108"/>
      <c r="O432" s="105"/>
      <c r="P432" s="105"/>
      <c r="Q432" s="107"/>
      <c r="R432" s="107"/>
    </row>
    <row r="433" spans="13:18" x14ac:dyDescent="0.25">
      <c r="M433" s="108"/>
      <c r="N433" s="108"/>
      <c r="O433" s="105"/>
      <c r="P433" s="105"/>
      <c r="Q433" s="107"/>
      <c r="R433" s="107"/>
    </row>
    <row r="434" spans="13:18" x14ac:dyDescent="0.25">
      <c r="M434" s="108"/>
      <c r="N434" s="108"/>
      <c r="O434" s="105"/>
      <c r="P434" s="105"/>
      <c r="Q434" s="107"/>
      <c r="R434" s="107"/>
    </row>
    <row r="435" spans="13:18" x14ac:dyDescent="0.25">
      <c r="M435" s="108"/>
      <c r="N435" s="108"/>
      <c r="O435" s="105"/>
      <c r="P435" s="105"/>
      <c r="Q435" s="107"/>
      <c r="R435" s="107"/>
    </row>
    <row r="436" spans="13:18" x14ac:dyDescent="0.25">
      <c r="M436" s="108"/>
      <c r="N436" s="108"/>
      <c r="O436" s="105"/>
      <c r="P436" s="105"/>
      <c r="Q436" s="107"/>
      <c r="R436" s="107"/>
    </row>
    <row r="437" spans="13:18" x14ac:dyDescent="0.25">
      <c r="M437" s="108"/>
      <c r="N437" s="108"/>
      <c r="O437" s="105"/>
      <c r="P437" s="105"/>
      <c r="Q437" s="107"/>
      <c r="R437" s="107"/>
    </row>
    <row r="438" spans="13:18" x14ac:dyDescent="0.25">
      <c r="M438" s="108"/>
      <c r="N438" s="108"/>
      <c r="O438" s="105"/>
      <c r="P438" s="105"/>
      <c r="Q438" s="107"/>
      <c r="R438" s="107"/>
    </row>
    <row r="439" spans="13:18" x14ac:dyDescent="0.25">
      <c r="M439" s="108"/>
      <c r="N439" s="108"/>
      <c r="O439" s="105"/>
      <c r="P439" s="105"/>
      <c r="Q439" s="107"/>
      <c r="R439" s="107"/>
    </row>
    <row r="440" spans="13:18" x14ac:dyDescent="0.25">
      <c r="M440" s="108"/>
      <c r="N440" s="108"/>
      <c r="O440" s="105"/>
      <c r="P440" s="105"/>
      <c r="Q440" s="107"/>
      <c r="R440" s="107"/>
    </row>
    <row r="441" spans="13:18" x14ac:dyDescent="0.25">
      <c r="M441" s="108"/>
      <c r="N441" s="108"/>
      <c r="O441" s="105"/>
      <c r="P441" s="105"/>
      <c r="Q441" s="107"/>
      <c r="R441" s="107"/>
    </row>
    <row r="442" spans="13:18" x14ac:dyDescent="0.25">
      <c r="M442" s="108"/>
      <c r="N442" s="108"/>
      <c r="O442" s="105"/>
      <c r="P442" s="105"/>
      <c r="Q442" s="107"/>
      <c r="R442" s="107"/>
    </row>
    <row r="443" spans="13:18" x14ac:dyDescent="0.25">
      <c r="M443" s="108"/>
      <c r="N443" s="108"/>
      <c r="O443" s="105"/>
      <c r="P443" s="105"/>
      <c r="Q443" s="107"/>
      <c r="R443" s="107"/>
    </row>
    <row r="444" spans="13:18" x14ac:dyDescent="0.25">
      <c r="M444" s="108"/>
      <c r="N444" s="108"/>
      <c r="O444" s="105"/>
      <c r="P444" s="105"/>
      <c r="Q444" s="107"/>
      <c r="R444" s="107"/>
    </row>
    <row r="445" spans="13:18" x14ac:dyDescent="0.25">
      <c r="M445" s="108"/>
      <c r="N445" s="108"/>
      <c r="O445" s="105"/>
      <c r="P445" s="105"/>
      <c r="Q445" s="107"/>
      <c r="R445" s="107"/>
    </row>
    <row r="446" spans="13:18" x14ac:dyDescent="0.25">
      <c r="M446" s="108"/>
      <c r="N446" s="108"/>
      <c r="O446" s="105"/>
      <c r="P446" s="105"/>
      <c r="Q446" s="107"/>
      <c r="R446" s="107"/>
    </row>
    <row r="447" spans="13:18" x14ac:dyDescent="0.25">
      <c r="M447" s="108"/>
      <c r="N447" s="108"/>
      <c r="O447" s="105"/>
      <c r="P447" s="105"/>
      <c r="Q447" s="107"/>
      <c r="R447" s="107"/>
    </row>
    <row r="448" spans="13:18" x14ac:dyDescent="0.25">
      <c r="M448" s="108"/>
      <c r="N448" s="108"/>
      <c r="O448" s="105"/>
      <c r="P448" s="105"/>
      <c r="Q448" s="107"/>
      <c r="R448" s="107"/>
    </row>
    <row r="449" spans="13:18" x14ac:dyDescent="0.25">
      <c r="M449" s="108"/>
      <c r="N449" s="108"/>
      <c r="O449" s="105"/>
      <c r="P449" s="105"/>
      <c r="Q449" s="107"/>
      <c r="R449" s="107"/>
    </row>
    <row r="450" spans="13:18" x14ac:dyDescent="0.25">
      <c r="M450" s="108"/>
      <c r="N450" s="108"/>
      <c r="O450" s="105"/>
      <c r="P450" s="105"/>
      <c r="Q450" s="107"/>
      <c r="R450" s="107"/>
    </row>
    <row r="451" spans="13:18" x14ac:dyDescent="0.25">
      <c r="M451" s="108"/>
      <c r="N451" s="108"/>
      <c r="O451" s="105"/>
      <c r="P451" s="105"/>
      <c r="Q451" s="107"/>
      <c r="R451" s="107"/>
    </row>
    <row r="452" spans="13:18" x14ac:dyDescent="0.25">
      <c r="M452" s="108"/>
      <c r="N452" s="108"/>
      <c r="O452" s="105"/>
      <c r="P452" s="105"/>
      <c r="Q452" s="107"/>
      <c r="R452" s="107"/>
    </row>
    <row r="453" spans="13:18" x14ac:dyDescent="0.25">
      <c r="M453" s="108"/>
      <c r="N453" s="108"/>
      <c r="O453" s="105"/>
      <c r="P453" s="105"/>
      <c r="Q453" s="107"/>
      <c r="R453" s="107"/>
    </row>
    <row r="454" spans="13:18" x14ac:dyDescent="0.25">
      <c r="M454" s="108"/>
      <c r="N454" s="108"/>
      <c r="O454" s="105"/>
      <c r="P454" s="105"/>
      <c r="Q454" s="107"/>
      <c r="R454" s="107"/>
    </row>
    <row r="455" spans="13:18" x14ac:dyDescent="0.25">
      <c r="M455" s="108"/>
      <c r="N455" s="108"/>
      <c r="O455" s="105"/>
      <c r="P455" s="105"/>
      <c r="Q455" s="107"/>
      <c r="R455" s="107"/>
    </row>
    <row r="456" spans="13:18" x14ac:dyDescent="0.25">
      <c r="M456" s="108"/>
      <c r="N456" s="108"/>
      <c r="O456" s="105"/>
      <c r="P456" s="105"/>
      <c r="Q456" s="107"/>
      <c r="R456" s="107"/>
    </row>
    <row r="457" spans="13:18" x14ac:dyDescent="0.25">
      <c r="M457" s="108"/>
      <c r="N457" s="108"/>
      <c r="O457" s="105"/>
      <c r="P457" s="105"/>
      <c r="Q457" s="107"/>
      <c r="R457" s="107"/>
    </row>
    <row r="458" spans="13:18" x14ac:dyDescent="0.25">
      <c r="M458" s="108"/>
      <c r="N458" s="108"/>
      <c r="O458" s="105"/>
      <c r="P458" s="105"/>
      <c r="Q458" s="107"/>
      <c r="R458" s="107"/>
    </row>
    <row r="459" spans="13:18" x14ac:dyDescent="0.25">
      <c r="M459" s="108"/>
      <c r="N459" s="108"/>
      <c r="O459" s="105"/>
      <c r="P459" s="105"/>
      <c r="Q459" s="107"/>
      <c r="R459" s="107"/>
    </row>
    <row r="460" spans="13:18" x14ac:dyDescent="0.25">
      <c r="M460" s="108"/>
      <c r="N460" s="108"/>
      <c r="O460" s="105"/>
      <c r="P460" s="105"/>
      <c r="Q460" s="107"/>
      <c r="R460" s="107"/>
    </row>
    <row r="461" spans="13:18" x14ac:dyDescent="0.25">
      <c r="M461" s="108"/>
      <c r="N461" s="108"/>
      <c r="O461" s="105"/>
      <c r="P461" s="105"/>
      <c r="Q461" s="107"/>
      <c r="R461" s="107"/>
    </row>
    <row r="462" spans="13:18" x14ac:dyDescent="0.25">
      <c r="M462" s="108"/>
      <c r="N462" s="108"/>
      <c r="O462" s="105"/>
      <c r="P462" s="105"/>
      <c r="Q462" s="107"/>
      <c r="R462" s="107"/>
    </row>
    <row r="463" spans="13:18" x14ac:dyDescent="0.25">
      <c r="M463" s="108"/>
      <c r="N463" s="108"/>
      <c r="O463" s="105"/>
      <c r="P463" s="105"/>
      <c r="Q463" s="107"/>
      <c r="R463" s="107"/>
    </row>
    <row r="464" spans="13:18" x14ac:dyDescent="0.25">
      <c r="M464" s="108"/>
      <c r="N464" s="108"/>
      <c r="O464" s="105"/>
      <c r="P464" s="105"/>
      <c r="Q464" s="107"/>
      <c r="R464" s="107"/>
    </row>
    <row r="465" spans="13:18" x14ac:dyDescent="0.25">
      <c r="M465" s="108"/>
      <c r="N465" s="108"/>
      <c r="O465" s="105"/>
      <c r="P465" s="105"/>
      <c r="Q465" s="107"/>
      <c r="R465" s="107"/>
    </row>
    <row r="466" spans="13:18" x14ac:dyDescent="0.25">
      <c r="M466" s="108"/>
      <c r="N466" s="108"/>
      <c r="O466" s="105"/>
      <c r="P466" s="105"/>
      <c r="Q466" s="107"/>
      <c r="R466" s="107"/>
    </row>
    <row r="467" spans="13:18" x14ac:dyDescent="0.25">
      <c r="M467" s="108"/>
      <c r="N467" s="108"/>
      <c r="O467" s="105"/>
      <c r="P467" s="105"/>
      <c r="Q467" s="107"/>
      <c r="R467" s="107"/>
    </row>
    <row r="468" spans="13:18" x14ac:dyDescent="0.25">
      <c r="M468" s="108"/>
      <c r="N468" s="108"/>
      <c r="O468" s="105"/>
      <c r="P468" s="105"/>
      <c r="Q468" s="107"/>
      <c r="R468" s="107"/>
    </row>
    <row r="469" spans="13:18" x14ac:dyDescent="0.25">
      <c r="M469" s="108"/>
      <c r="N469" s="108"/>
      <c r="O469" s="105"/>
      <c r="P469" s="105"/>
      <c r="Q469" s="107"/>
      <c r="R469" s="107"/>
    </row>
    <row r="470" spans="13:18" x14ac:dyDescent="0.25">
      <c r="M470" s="108"/>
      <c r="N470" s="108"/>
      <c r="O470" s="105"/>
      <c r="P470" s="105"/>
      <c r="Q470" s="107"/>
      <c r="R470" s="107"/>
    </row>
    <row r="471" spans="13:18" x14ac:dyDescent="0.25">
      <c r="M471" s="108"/>
      <c r="N471" s="108"/>
      <c r="O471" s="105"/>
      <c r="P471" s="105"/>
      <c r="Q471" s="107"/>
      <c r="R471" s="107"/>
    </row>
    <row r="472" spans="13:18" x14ac:dyDescent="0.25">
      <c r="M472" s="108"/>
      <c r="N472" s="108"/>
      <c r="O472" s="105"/>
      <c r="P472" s="105"/>
      <c r="Q472" s="107"/>
      <c r="R472" s="107"/>
    </row>
    <row r="473" spans="13:18" x14ac:dyDescent="0.25">
      <c r="M473" s="108"/>
      <c r="N473" s="108"/>
      <c r="O473" s="105"/>
      <c r="P473" s="105"/>
      <c r="Q473" s="107"/>
      <c r="R473" s="107"/>
    </row>
    <row r="474" spans="13:18" x14ac:dyDescent="0.25">
      <c r="M474" s="108"/>
      <c r="N474" s="108"/>
      <c r="O474" s="105"/>
      <c r="P474" s="105"/>
      <c r="Q474" s="107"/>
      <c r="R474" s="107"/>
    </row>
    <row r="475" spans="13:18" x14ac:dyDescent="0.25">
      <c r="M475" s="108"/>
      <c r="N475" s="108"/>
      <c r="O475" s="105"/>
      <c r="P475" s="105"/>
      <c r="Q475" s="107"/>
      <c r="R475" s="107"/>
    </row>
    <row r="476" spans="13:18" x14ac:dyDescent="0.25">
      <c r="M476" s="108"/>
      <c r="N476" s="108"/>
      <c r="O476" s="105"/>
      <c r="P476" s="105"/>
      <c r="Q476" s="107"/>
      <c r="R476" s="107"/>
    </row>
    <row r="477" spans="13:18" x14ac:dyDescent="0.25">
      <c r="M477" s="108"/>
      <c r="N477" s="108"/>
      <c r="O477" s="105"/>
      <c r="P477" s="105"/>
      <c r="Q477" s="107"/>
      <c r="R477" s="107"/>
    </row>
    <row r="478" spans="13:18" x14ac:dyDescent="0.25">
      <c r="M478" s="108"/>
      <c r="N478" s="108"/>
      <c r="O478" s="105"/>
      <c r="P478" s="105"/>
      <c r="Q478" s="107"/>
      <c r="R478" s="107"/>
    </row>
    <row r="479" spans="13:18" x14ac:dyDescent="0.25">
      <c r="M479" s="108"/>
      <c r="N479" s="108"/>
      <c r="O479" s="105"/>
      <c r="P479" s="105"/>
      <c r="Q479" s="107"/>
      <c r="R479" s="107"/>
    </row>
    <row r="480" spans="13:18" x14ac:dyDescent="0.25">
      <c r="M480" s="108"/>
      <c r="N480" s="108"/>
      <c r="O480" s="105"/>
      <c r="P480" s="105"/>
      <c r="Q480" s="107"/>
      <c r="R480" s="107"/>
    </row>
    <row r="481" spans="13:18" x14ac:dyDescent="0.25">
      <c r="M481" s="108"/>
      <c r="N481" s="108"/>
      <c r="O481" s="105"/>
      <c r="P481" s="105"/>
      <c r="Q481" s="107"/>
      <c r="R481" s="107"/>
    </row>
    <row r="482" spans="13:18" x14ac:dyDescent="0.25">
      <c r="M482" s="108"/>
      <c r="N482" s="108"/>
      <c r="O482" s="105"/>
      <c r="P482" s="105"/>
      <c r="Q482" s="107"/>
      <c r="R482" s="107"/>
    </row>
    <row r="483" spans="13:18" x14ac:dyDescent="0.25">
      <c r="M483" s="108"/>
      <c r="N483" s="108"/>
      <c r="O483" s="105"/>
      <c r="P483" s="105"/>
      <c r="Q483" s="107"/>
      <c r="R483" s="107"/>
    </row>
    <row r="484" spans="13:18" x14ac:dyDescent="0.25">
      <c r="M484" s="108"/>
      <c r="N484" s="108"/>
      <c r="O484" s="105"/>
      <c r="P484" s="105"/>
      <c r="Q484" s="107"/>
      <c r="R484" s="107"/>
    </row>
    <row r="485" spans="13:18" x14ac:dyDescent="0.25">
      <c r="M485" s="108"/>
      <c r="N485" s="108"/>
      <c r="O485" s="105"/>
      <c r="P485" s="105"/>
      <c r="Q485" s="107"/>
      <c r="R485" s="107"/>
    </row>
    <row r="486" spans="13:18" x14ac:dyDescent="0.25">
      <c r="M486" s="108"/>
      <c r="N486" s="108"/>
      <c r="O486" s="105"/>
      <c r="P486" s="105"/>
      <c r="Q486" s="107"/>
      <c r="R486" s="107"/>
    </row>
    <row r="487" spans="13:18" x14ac:dyDescent="0.25">
      <c r="M487" s="108"/>
      <c r="N487" s="108"/>
      <c r="O487" s="105"/>
      <c r="P487" s="105"/>
      <c r="Q487" s="107"/>
      <c r="R487" s="107"/>
    </row>
    <row r="488" spans="13:18" x14ac:dyDescent="0.25">
      <c r="M488" s="108"/>
      <c r="N488" s="108"/>
      <c r="O488" s="105"/>
      <c r="P488" s="105"/>
      <c r="Q488" s="107"/>
      <c r="R488" s="107"/>
    </row>
    <row r="489" spans="13:18" x14ac:dyDescent="0.25">
      <c r="M489" s="108"/>
      <c r="N489" s="108"/>
      <c r="O489" s="105"/>
      <c r="P489" s="105"/>
      <c r="Q489" s="107"/>
      <c r="R489" s="107"/>
    </row>
    <row r="490" spans="13:18" x14ac:dyDescent="0.25">
      <c r="M490" s="108"/>
      <c r="N490" s="108"/>
      <c r="O490" s="105"/>
      <c r="P490" s="105"/>
      <c r="Q490" s="107"/>
      <c r="R490" s="107"/>
    </row>
    <row r="491" spans="13:18" x14ac:dyDescent="0.25">
      <c r="M491" s="108"/>
      <c r="N491" s="108"/>
      <c r="O491" s="105"/>
      <c r="P491" s="105"/>
      <c r="Q491" s="107"/>
      <c r="R491" s="107"/>
    </row>
    <row r="492" spans="13:18" x14ac:dyDescent="0.25">
      <c r="M492" s="108"/>
      <c r="N492" s="108"/>
      <c r="O492" s="105"/>
      <c r="P492" s="105"/>
      <c r="Q492" s="107"/>
      <c r="R492" s="107"/>
    </row>
    <row r="493" spans="13:18" x14ac:dyDescent="0.25">
      <c r="M493" s="108"/>
      <c r="N493" s="108"/>
      <c r="O493" s="105"/>
      <c r="P493" s="105"/>
      <c r="Q493" s="107"/>
      <c r="R493" s="107"/>
    </row>
    <row r="494" spans="13:18" x14ac:dyDescent="0.25">
      <c r="M494" s="108"/>
      <c r="N494" s="108"/>
      <c r="O494" s="105"/>
      <c r="P494" s="105"/>
      <c r="Q494" s="107"/>
      <c r="R494" s="107"/>
    </row>
    <row r="495" spans="13:18" x14ac:dyDescent="0.25">
      <c r="M495" s="108"/>
      <c r="N495" s="108"/>
      <c r="O495" s="105"/>
      <c r="P495" s="105"/>
      <c r="Q495" s="107"/>
      <c r="R495" s="107"/>
    </row>
    <row r="496" spans="13:18" x14ac:dyDescent="0.25">
      <c r="M496" s="108"/>
      <c r="N496" s="108"/>
      <c r="O496" s="105"/>
      <c r="P496" s="105"/>
      <c r="Q496" s="107"/>
      <c r="R496" s="107"/>
    </row>
    <row r="497" spans="13:18" x14ac:dyDescent="0.25">
      <c r="M497" s="108"/>
      <c r="N497" s="108"/>
      <c r="O497" s="105"/>
      <c r="P497" s="105"/>
      <c r="Q497" s="107"/>
      <c r="R497" s="107"/>
    </row>
    <row r="498" spans="13:18" x14ac:dyDescent="0.25">
      <c r="M498" s="108"/>
      <c r="N498" s="108"/>
      <c r="O498" s="105"/>
      <c r="P498" s="105"/>
      <c r="Q498" s="107"/>
      <c r="R498" s="107"/>
    </row>
    <row r="499" spans="13:18" x14ac:dyDescent="0.25">
      <c r="M499" s="108"/>
      <c r="N499" s="108"/>
      <c r="O499" s="105"/>
      <c r="P499" s="105"/>
      <c r="Q499" s="107"/>
      <c r="R499" s="107"/>
    </row>
    <row r="500" spans="13:18" x14ac:dyDescent="0.25">
      <c r="M500" s="108"/>
      <c r="N500" s="108"/>
      <c r="O500" s="105"/>
      <c r="P500" s="105"/>
      <c r="Q500" s="107"/>
      <c r="R500" s="107"/>
    </row>
    <row r="501" spans="13:18" x14ac:dyDescent="0.25">
      <c r="M501" s="108"/>
      <c r="N501" s="108"/>
      <c r="O501" s="105"/>
      <c r="P501" s="105"/>
      <c r="Q501" s="107"/>
      <c r="R501" s="107"/>
    </row>
    <row r="502" spans="13:18" x14ac:dyDescent="0.25">
      <c r="M502" s="108"/>
      <c r="N502" s="108"/>
      <c r="O502" s="105"/>
      <c r="P502" s="105"/>
      <c r="Q502" s="107"/>
      <c r="R502" s="107"/>
    </row>
    <row r="503" spans="13:18" x14ac:dyDescent="0.25">
      <c r="M503" s="108"/>
      <c r="N503" s="108"/>
      <c r="O503" s="105"/>
      <c r="P503" s="105"/>
      <c r="Q503" s="107"/>
      <c r="R503" s="107"/>
    </row>
    <row r="504" spans="13:18" x14ac:dyDescent="0.25">
      <c r="M504" s="108"/>
      <c r="N504" s="108"/>
      <c r="O504" s="105"/>
      <c r="P504" s="105"/>
      <c r="Q504" s="107"/>
      <c r="R504" s="107"/>
    </row>
    <row r="505" spans="13:18" x14ac:dyDescent="0.25">
      <c r="M505" s="108"/>
      <c r="N505" s="108"/>
      <c r="O505" s="105"/>
      <c r="P505" s="105"/>
      <c r="Q505" s="107"/>
      <c r="R505" s="107"/>
    </row>
    <row r="506" spans="13:18" x14ac:dyDescent="0.25">
      <c r="M506" s="108"/>
      <c r="N506" s="108"/>
      <c r="O506" s="105"/>
      <c r="P506" s="105"/>
      <c r="Q506" s="107"/>
      <c r="R506" s="107"/>
    </row>
    <row r="507" spans="13:18" x14ac:dyDescent="0.25">
      <c r="M507" s="108"/>
      <c r="N507" s="108"/>
      <c r="O507" s="105"/>
      <c r="P507" s="105"/>
      <c r="Q507" s="107"/>
      <c r="R507" s="107"/>
    </row>
    <row r="508" spans="13:18" x14ac:dyDescent="0.25">
      <c r="M508" s="108"/>
      <c r="N508" s="108"/>
      <c r="O508" s="105"/>
      <c r="P508" s="105"/>
      <c r="Q508" s="107"/>
      <c r="R508" s="107"/>
    </row>
    <row r="509" spans="13:18" x14ac:dyDescent="0.25">
      <c r="M509" s="108"/>
      <c r="N509" s="108"/>
      <c r="O509" s="105"/>
      <c r="P509" s="105"/>
      <c r="Q509" s="107"/>
      <c r="R509" s="107"/>
    </row>
    <row r="510" spans="13:18" x14ac:dyDescent="0.25">
      <c r="M510" s="108"/>
      <c r="N510" s="108"/>
      <c r="O510" s="105"/>
      <c r="P510" s="105"/>
      <c r="Q510" s="107"/>
      <c r="R510" s="107"/>
    </row>
    <row r="511" spans="13:18" x14ac:dyDescent="0.25">
      <c r="M511" s="108"/>
      <c r="N511" s="108"/>
      <c r="O511" s="105"/>
      <c r="P511" s="105"/>
      <c r="Q511" s="107"/>
      <c r="R511" s="107"/>
    </row>
    <row r="512" spans="13:18" x14ac:dyDescent="0.25">
      <c r="M512" s="108"/>
      <c r="N512" s="108"/>
      <c r="O512" s="105"/>
      <c r="P512" s="105"/>
      <c r="Q512" s="107"/>
      <c r="R512" s="107"/>
    </row>
    <row r="513" spans="13:18" x14ac:dyDescent="0.25">
      <c r="M513" s="108"/>
      <c r="N513" s="108"/>
      <c r="O513" s="105"/>
      <c r="P513" s="105"/>
      <c r="Q513" s="107"/>
      <c r="R513" s="107"/>
    </row>
    <row r="514" spans="13:18" x14ac:dyDescent="0.25">
      <c r="M514" s="108"/>
      <c r="N514" s="108"/>
      <c r="O514" s="105"/>
      <c r="P514" s="105"/>
      <c r="Q514" s="107"/>
      <c r="R514" s="107"/>
    </row>
    <row r="515" spans="13:18" x14ac:dyDescent="0.25">
      <c r="M515" s="108"/>
      <c r="N515" s="108"/>
      <c r="O515" s="105"/>
      <c r="P515" s="105"/>
      <c r="Q515" s="107"/>
      <c r="R515" s="107"/>
    </row>
    <row r="516" spans="13:18" x14ac:dyDescent="0.25">
      <c r="M516" s="108"/>
      <c r="N516" s="108"/>
      <c r="O516" s="105"/>
      <c r="P516" s="105"/>
      <c r="Q516" s="107"/>
      <c r="R516" s="107"/>
    </row>
    <row r="517" spans="13:18" x14ac:dyDescent="0.25">
      <c r="M517" s="108"/>
      <c r="N517" s="108"/>
      <c r="O517" s="105"/>
      <c r="P517" s="105"/>
      <c r="Q517" s="107"/>
      <c r="R517" s="107"/>
    </row>
    <row r="518" spans="13:18" x14ac:dyDescent="0.25">
      <c r="M518" s="108"/>
      <c r="N518" s="108"/>
      <c r="O518" s="105"/>
      <c r="P518" s="105"/>
      <c r="Q518" s="107"/>
      <c r="R518" s="107"/>
    </row>
    <row r="519" spans="13:18" x14ac:dyDescent="0.25">
      <c r="M519" s="108"/>
      <c r="N519" s="108"/>
      <c r="O519" s="105"/>
      <c r="P519" s="105"/>
      <c r="Q519" s="107"/>
      <c r="R519" s="107"/>
    </row>
    <row r="520" spans="13:18" x14ac:dyDescent="0.25">
      <c r="M520" s="108"/>
      <c r="N520" s="108"/>
      <c r="O520" s="105"/>
      <c r="P520" s="105"/>
      <c r="Q520" s="107"/>
      <c r="R520" s="107"/>
    </row>
    <row r="521" spans="13:18" x14ac:dyDescent="0.25">
      <c r="M521" s="108"/>
      <c r="N521" s="108"/>
      <c r="O521" s="105"/>
      <c r="P521" s="105"/>
      <c r="Q521" s="107"/>
      <c r="R521" s="107"/>
    </row>
    <row r="522" spans="13:18" x14ac:dyDescent="0.25">
      <c r="M522" s="108"/>
      <c r="N522" s="108"/>
      <c r="O522" s="105"/>
      <c r="P522" s="105"/>
      <c r="Q522" s="107"/>
      <c r="R522" s="107"/>
    </row>
    <row r="523" spans="13:18" x14ac:dyDescent="0.25">
      <c r="M523" s="108"/>
      <c r="N523" s="108"/>
      <c r="O523" s="105"/>
      <c r="P523" s="105"/>
      <c r="Q523" s="107"/>
      <c r="R523" s="107"/>
    </row>
    <row r="524" spans="13:18" x14ac:dyDescent="0.25">
      <c r="M524" s="108"/>
      <c r="N524" s="108"/>
      <c r="O524" s="105"/>
      <c r="P524" s="105"/>
      <c r="Q524" s="107"/>
      <c r="R524" s="107"/>
    </row>
    <row r="525" spans="13:18" x14ac:dyDescent="0.25">
      <c r="M525" s="108"/>
      <c r="N525" s="108"/>
      <c r="O525" s="105"/>
      <c r="P525" s="105"/>
      <c r="Q525" s="107"/>
      <c r="R525" s="107"/>
    </row>
    <row r="526" spans="13:18" x14ac:dyDescent="0.25">
      <c r="M526" s="108"/>
      <c r="N526" s="108"/>
      <c r="O526" s="105"/>
      <c r="P526" s="105"/>
      <c r="Q526" s="107"/>
      <c r="R526" s="107"/>
    </row>
    <row r="527" spans="13:18" x14ac:dyDescent="0.25">
      <c r="M527" s="108"/>
      <c r="N527" s="108"/>
      <c r="O527" s="105"/>
      <c r="P527" s="105"/>
      <c r="Q527" s="107"/>
      <c r="R527" s="107"/>
    </row>
    <row r="528" spans="13:18" x14ac:dyDescent="0.25">
      <c r="M528" s="108"/>
      <c r="N528" s="108"/>
      <c r="O528" s="105"/>
      <c r="P528" s="105"/>
      <c r="Q528" s="107"/>
      <c r="R528" s="107"/>
    </row>
    <row r="529" spans="13:18" x14ac:dyDescent="0.25">
      <c r="M529" s="108"/>
      <c r="N529" s="108"/>
      <c r="O529" s="105"/>
      <c r="P529" s="105"/>
      <c r="Q529" s="107"/>
      <c r="R529" s="107"/>
    </row>
    <row r="530" spans="13:18" x14ac:dyDescent="0.25">
      <c r="M530" s="108"/>
      <c r="N530" s="108"/>
      <c r="O530" s="105"/>
      <c r="P530" s="105"/>
      <c r="Q530" s="107"/>
      <c r="R530" s="107"/>
    </row>
    <row r="531" spans="13:18" x14ac:dyDescent="0.25">
      <c r="M531" s="108"/>
      <c r="N531" s="108"/>
      <c r="O531" s="105"/>
      <c r="P531" s="105"/>
      <c r="Q531" s="107"/>
      <c r="R531" s="107"/>
    </row>
    <row r="532" spans="13:18" x14ac:dyDescent="0.25">
      <c r="M532" s="108"/>
      <c r="N532" s="108"/>
      <c r="O532" s="105"/>
      <c r="P532" s="105"/>
      <c r="Q532" s="107"/>
      <c r="R532" s="107"/>
    </row>
    <row r="533" spans="13:18" x14ac:dyDescent="0.25">
      <c r="M533" s="108"/>
      <c r="N533" s="108"/>
      <c r="O533" s="105"/>
      <c r="P533" s="105"/>
      <c r="Q533" s="107"/>
      <c r="R533" s="107"/>
    </row>
    <row r="534" spans="13:18" x14ac:dyDescent="0.25">
      <c r="M534" s="108"/>
      <c r="N534" s="108"/>
      <c r="O534" s="105"/>
      <c r="P534" s="105"/>
      <c r="Q534" s="107"/>
      <c r="R534" s="107"/>
    </row>
    <row r="535" spans="13:18" x14ac:dyDescent="0.25">
      <c r="M535" s="108"/>
      <c r="N535" s="108"/>
      <c r="O535" s="105"/>
      <c r="P535" s="105"/>
      <c r="Q535" s="107"/>
      <c r="R535" s="107"/>
    </row>
    <row r="536" spans="13:18" x14ac:dyDescent="0.25">
      <c r="M536" s="108"/>
      <c r="N536" s="108"/>
      <c r="O536" s="105"/>
      <c r="P536" s="105"/>
      <c r="Q536" s="107"/>
      <c r="R536" s="107"/>
    </row>
    <row r="537" spans="13:18" x14ac:dyDescent="0.25">
      <c r="M537" s="108"/>
      <c r="N537" s="108"/>
      <c r="O537" s="105"/>
      <c r="P537" s="105"/>
      <c r="Q537" s="107"/>
      <c r="R537" s="107"/>
    </row>
    <row r="538" spans="13:18" x14ac:dyDescent="0.25">
      <c r="M538" s="108"/>
      <c r="N538" s="108"/>
      <c r="O538" s="105"/>
      <c r="P538" s="105"/>
      <c r="Q538" s="107"/>
      <c r="R538" s="107"/>
    </row>
    <row r="539" spans="13:18" x14ac:dyDescent="0.25">
      <c r="M539" s="108"/>
      <c r="N539" s="108"/>
      <c r="O539" s="105"/>
      <c r="P539" s="105"/>
      <c r="Q539" s="107"/>
      <c r="R539" s="107"/>
    </row>
    <row r="540" spans="13:18" x14ac:dyDescent="0.25">
      <c r="M540" s="108"/>
      <c r="N540" s="108"/>
      <c r="O540" s="105"/>
      <c r="P540" s="105"/>
      <c r="Q540" s="107"/>
      <c r="R540" s="107"/>
    </row>
    <row r="541" spans="13:18" x14ac:dyDescent="0.25">
      <c r="M541" s="108"/>
      <c r="N541" s="108"/>
      <c r="O541" s="105"/>
      <c r="P541" s="105"/>
      <c r="Q541" s="107"/>
      <c r="R541" s="107"/>
    </row>
    <row r="542" spans="13:18" x14ac:dyDescent="0.25">
      <c r="M542" s="108"/>
      <c r="N542" s="108"/>
      <c r="O542" s="105"/>
      <c r="P542" s="105"/>
      <c r="Q542" s="107"/>
      <c r="R542" s="107"/>
    </row>
    <row r="543" spans="13:18" x14ac:dyDescent="0.25">
      <c r="M543" s="108"/>
      <c r="N543" s="108"/>
      <c r="O543" s="105"/>
      <c r="P543" s="105"/>
      <c r="Q543" s="107"/>
      <c r="R543" s="107"/>
    </row>
    <row r="544" spans="13:18" x14ac:dyDescent="0.25">
      <c r="M544" s="108"/>
      <c r="N544" s="108"/>
      <c r="O544" s="105"/>
      <c r="P544" s="105"/>
      <c r="Q544" s="107"/>
      <c r="R544" s="107"/>
    </row>
    <row r="545" spans="13:18" x14ac:dyDescent="0.25">
      <c r="M545" s="108"/>
      <c r="N545" s="108"/>
      <c r="O545" s="105"/>
      <c r="P545" s="105"/>
      <c r="Q545" s="107"/>
      <c r="R545" s="107"/>
    </row>
    <row r="546" spans="13:18" x14ac:dyDescent="0.25">
      <c r="M546" s="108"/>
      <c r="N546" s="108"/>
      <c r="O546" s="105"/>
      <c r="P546" s="105"/>
      <c r="Q546" s="107"/>
      <c r="R546" s="107"/>
    </row>
    <row r="547" spans="13:18" x14ac:dyDescent="0.25">
      <c r="M547" s="108"/>
      <c r="N547" s="108"/>
      <c r="O547" s="105"/>
      <c r="P547" s="105"/>
      <c r="Q547" s="107"/>
      <c r="R547" s="107"/>
    </row>
    <row r="548" spans="13:18" x14ac:dyDescent="0.25">
      <c r="M548" s="108"/>
      <c r="N548" s="108"/>
      <c r="O548" s="105"/>
      <c r="P548" s="105"/>
      <c r="Q548" s="107"/>
      <c r="R548" s="107"/>
    </row>
    <row r="549" spans="13:18" x14ac:dyDescent="0.25">
      <c r="M549" s="108"/>
      <c r="N549" s="108"/>
      <c r="O549" s="105"/>
      <c r="P549" s="105"/>
      <c r="Q549" s="107"/>
      <c r="R549" s="107"/>
    </row>
    <row r="550" spans="13:18" x14ac:dyDescent="0.25">
      <c r="M550" s="108"/>
      <c r="N550" s="108"/>
      <c r="O550" s="105"/>
      <c r="P550" s="105"/>
      <c r="Q550" s="107"/>
      <c r="R550" s="107"/>
    </row>
    <row r="551" spans="13:18" x14ac:dyDescent="0.25">
      <c r="M551" s="108"/>
      <c r="N551" s="108"/>
      <c r="O551" s="105"/>
      <c r="P551" s="105"/>
      <c r="Q551" s="107"/>
      <c r="R551" s="107"/>
    </row>
    <row r="552" spans="13:18" x14ac:dyDescent="0.25">
      <c r="M552" s="108"/>
      <c r="N552" s="108"/>
      <c r="O552" s="105"/>
      <c r="P552" s="105"/>
      <c r="Q552" s="107"/>
      <c r="R552" s="107"/>
    </row>
    <row r="553" spans="13:18" x14ac:dyDescent="0.25">
      <c r="M553" s="108"/>
      <c r="N553" s="108"/>
      <c r="O553" s="105"/>
      <c r="P553" s="105"/>
      <c r="Q553" s="107"/>
      <c r="R553" s="107"/>
    </row>
    <row r="554" spans="13:18" x14ac:dyDescent="0.25">
      <c r="M554" s="108"/>
      <c r="N554" s="108"/>
      <c r="O554" s="105"/>
      <c r="P554" s="105"/>
      <c r="Q554" s="107"/>
      <c r="R554" s="107"/>
    </row>
    <row r="555" spans="13:18" x14ac:dyDescent="0.25">
      <c r="M555" s="108"/>
      <c r="N555" s="108"/>
      <c r="O555" s="105"/>
      <c r="P555" s="105"/>
      <c r="Q555" s="107"/>
      <c r="R555" s="107"/>
    </row>
    <row r="556" spans="13:18" x14ac:dyDescent="0.25">
      <c r="M556" s="108"/>
      <c r="N556" s="108"/>
      <c r="O556" s="105"/>
      <c r="P556" s="105"/>
      <c r="Q556" s="107"/>
      <c r="R556" s="107"/>
    </row>
    <row r="557" spans="13:18" x14ac:dyDescent="0.25">
      <c r="M557" s="108"/>
      <c r="N557" s="108"/>
      <c r="O557" s="105"/>
      <c r="P557" s="105"/>
      <c r="Q557" s="107"/>
      <c r="R557" s="107"/>
    </row>
    <row r="558" spans="13:18" x14ac:dyDescent="0.25">
      <c r="M558" s="108"/>
      <c r="N558" s="108"/>
      <c r="O558" s="105"/>
      <c r="P558" s="105"/>
      <c r="Q558" s="107"/>
      <c r="R558" s="107"/>
    </row>
    <row r="559" spans="13:18" x14ac:dyDescent="0.25">
      <c r="M559" s="108"/>
      <c r="N559" s="108"/>
      <c r="O559" s="105"/>
      <c r="P559" s="105"/>
      <c r="Q559" s="107"/>
      <c r="R559" s="107"/>
    </row>
    <row r="560" spans="13:18" x14ac:dyDescent="0.25">
      <c r="M560" s="108"/>
      <c r="N560" s="108"/>
      <c r="O560" s="105"/>
      <c r="P560" s="105"/>
      <c r="Q560" s="107"/>
      <c r="R560" s="107"/>
    </row>
    <row r="561" spans="13:18" x14ac:dyDescent="0.25">
      <c r="M561" s="108"/>
      <c r="N561" s="108"/>
      <c r="O561" s="105"/>
      <c r="P561" s="105"/>
      <c r="Q561" s="107"/>
      <c r="R561" s="107"/>
    </row>
    <row r="562" spans="13:18" x14ac:dyDescent="0.25">
      <c r="M562" s="108"/>
      <c r="N562" s="108"/>
      <c r="O562" s="105"/>
      <c r="P562" s="105"/>
      <c r="Q562" s="107"/>
      <c r="R562" s="107"/>
    </row>
    <row r="563" spans="13:18" x14ac:dyDescent="0.25">
      <c r="M563" s="108"/>
      <c r="N563" s="108"/>
      <c r="O563" s="105"/>
      <c r="P563" s="105"/>
      <c r="Q563" s="107"/>
      <c r="R563" s="107"/>
    </row>
    <row r="564" spans="13:18" x14ac:dyDescent="0.25">
      <c r="M564" s="108"/>
      <c r="N564" s="108"/>
      <c r="O564" s="105"/>
      <c r="P564" s="105"/>
      <c r="Q564" s="107"/>
      <c r="R564" s="107"/>
    </row>
    <row r="565" spans="13:18" x14ac:dyDescent="0.25">
      <c r="M565" s="108"/>
      <c r="N565" s="108"/>
      <c r="O565" s="105"/>
      <c r="P565" s="105"/>
      <c r="Q565" s="107"/>
      <c r="R565" s="107"/>
    </row>
    <row r="566" spans="13:18" x14ac:dyDescent="0.25">
      <c r="M566" s="108"/>
      <c r="N566" s="108"/>
      <c r="O566" s="105"/>
      <c r="P566" s="105"/>
      <c r="Q566" s="107"/>
      <c r="R566" s="107"/>
    </row>
    <row r="567" spans="13:18" x14ac:dyDescent="0.25">
      <c r="M567" s="108"/>
      <c r="N567" s="108"/>
      <c r="O567" s="105"/>
      <c r="P567" s="105"/>
      <c r="Q567" s="107"/>
      <c r="R567" s="107"/>
    </row>
    <row r="568" spans="13:18" x14ac:dyDescent="0.25">
      <c r="M568" s="108"/>
      <c r="N568" s="108"/>
      <c r="O568" s="105"/>
      <c r="P568" s="105"/>
      <c r="Q568" s="107"/>
      <c r="R568" s="107"/>
    </row>
    <row r="569" spans="13:18" x14ac:dyDescent="0.25">
      <c r="M569" s="108"/>
      <c r="N569" s="108"/>
      <c r="O569" s="105"/>
      <c r="P569" s="105"/>
      <c r="Q569" s="107"/>
      <c r="R569" s="107"/>
    </row>
    <row r="570" spans="13:18" x14ac:dyDescent="0.25">
      <c r="M570" s="108"/>
      <c r="N570" s="108"/>
      <c r="O570" s="105"/>
      <c r="P570" s="105"/>
      <c r="Q570" s="107"/>
      <c r="R570" s="107"/>
    </row>
    <row r="571" spans="13:18" x14ac:dyDescent="0.25">
      <c r="M571" s="108"/>
      <c r="N571" s="108"/>
      <c r="O571" s="105"/>
      <c r="P571" s="105"/>
      <c r="Q571" s="107"/>
      <c r="R571" s="107"/>
    </row>
    <row r="572" spans="13:18" x14ac:dyDescent="0.25">
      <c r="M572" s="108"/>
      <c r="N572" s="108"/>
      <c r="O572" s="105"/>
      <c r="P572" s="105"/>
      <c r="Q572" s="107"/>
      <c r="R572" s="107"/>
    </row>
    <row r="573" spans="13:18" x14ac:dyDescent="0.25">
      <c r="M573" s="108"/>
      <c r="N573" s="108"/>
      <c r="O573" s="105"/>
      <c r="P573" s="105"/>
      <c r="Q573" s="107"/>
      <c r="R573" s="107"/>
    </row>
    <row r="574" spans="13:18" x14ac:dyDescent="0.25">
      <c r="M574" s="108"/>
      <c r="N574" s="108"/>
      <c r="O574" s="105"/>
      <c r="P574" s="105"/>
      <c r="Q574" s="107"/>
      <c r="R574" s="107"/>
    </row>
    <row r="575" spans="13:18" x14ac:dyDescent="0.25">
      <c r="M575" s="108"/>
      <c r="N575" s="108"/>
      <c r="O575" s="105"/>
      <c r="P575" s="105"/>
      <c r="Q575" s="107"/>
      <c r="R575" s="107"/>
    </row>
    <row r="576" spans="13:18" x14ac:dyDescent="0.25">
      <c r="M576" s="108"/>
      <c r="N576" s="108"/>
      <c r="O576" s="105"/>
      <c r="P576" s="105"/>
      <c r="Q576" s="107"/>
      <c r="R576" s="107"/>
    </row>
    <row r="577" spans="13:18" x14ac:dyDescent="0.25">
      <c r="M577" s="108"/>
      <c r="N577" s="108"/>
      <c r="O577" s="105"/>
      <c r="P577" s="105"/>
      <c r="Q577" s="107"/>
      <c r="R577" s="107"/>
    </row>
    <row r="578" spans="13:18" x14ac:dyDescent="0.25">
      <c r="M578" s="108"/>
      <c r="N578" s="108"/>
      <c r="O578" s="105"/>
      <c r="P578" s="105"/>
      <c r="Q578" s="107"/>
      <c r="R578" s="107"/>
    </row>
    <row r="579" spans="13:18" x14ac:dyDescent="0.25">
      <c r="M579" s="108"/>
      <c r="N579" s="108"/>
      <c r="O579" s="105"/>
      <c r="P579" s="105"/>
      <c r="Q579" s="107"/>
      <c r="R579" s="107"/>
    </row>
    <row r="580" spans="13:18" x14ac:dyDescent="0.25">
      <c r="M580" s="108"/>
      <c r="N580" s="108"/>
      <c r="O580" s="105"/>
      <c r="P580" s="105"/>
      <c r="Q580" s="107"/>
      <c r="R580" s="107"/>
    </row>
    <row r="581" spans="13:18" x14ac:dyDescent="0.25">
      <c r="M581" s="108"/>
      <c r="N581" s="108"/>
      <c r="O581" s="105"/>
      <c r="P581" s="105"/>
      <c r="Q581" s="107"/>
      <c r="R581" s="107"/>
    </row>
    <row r="582" spans="13:18" x14ac:dyDescent="0.25">
      <c r="M582" s="108"/>
      <c r="N582" s="108"/>
      <c r="O582" s="105"/>
      <c r="P582" s="105"/>
      <c r="Q582" s="107"/>
      <c r="R582" s="107"/>
    </row>
    <row r="583" spans="13:18" x14ac:dyDescent="0.25">
      <c r="M583" s="108"/>
      <c r="N583" s="108"/>
      <c r="O583" s="105"/>
      <c r="P583" s="105"/>
      <c r="Q583" s="107"/>
      <c r="R583" s="107"/>
    </row>
    <row r="584" spans="13:18" x14ac:dyDescent="0.25">
      <c r="M584" s="108"/>
      <c r="N584" s="108"/>
      <c r="O584" s="105"/>
      <c r="P584" s="105"/>
      <c r="Q584" s="107"/>
      <c r="R584" s="107"/>
    </row>
    <row r="585" spans="13:18" x14ac:dyDescent="0.25">
      <c r="M585" s="108"/>
      <c r="N585" s="108"/>
      <c r="O585" s="105"/>
      <c r="P585" s="105"/>
      <c r="Q585" s="107"/>
      <c r="R585" s="107"/>
    </row>
    <row r="586" spans="13:18" x14ac:dyDescent="0.25">
      <c r="M586" s="108"/>
      <c r="N586" s="108"/>
      <c r="O586" s="105"/>
      <c r="P586" s="105"/>
      <c r="Q586" s="107"/>
      <c r="R586" s="107"/>
    </row>
    <row r="587" spans="13:18" x14ac:dyDescent="0.25">
      <c r="M587" s="108"/>
      <c r="N587" s="108"/>
      <c r="O587" s="105"/>
      <c r="P587" s="105"/>
      <c r="Q587" s="107"/>
      <c r="R587" s="107"/>
    </row>
    <row r="588" spans="13:18" x14ac:dyDescent="0.25">
      <c r="M588" s="108"/>
      <c r="N588" s="108"/>
      <c r="O588" s="105"/>
      <c r="P588" s="105"/>
      <c r="Q588" s="107"/>
      <c r="R588" s="107"/>
    </row>
    <row r="589" spans="13:18" x14ac:dyDescent="0.25">
      <c r="M589" s="108"/>
      <c r="N589" s="108"/>
      <c r="O589" s="105"/>
      <c r="P589" s="105"/>
      <c r="Q589" s="107"/>
      <c r="R589" s="107"/>
    </row>
    <row r="590" spans="13:18" x14ac:dyDescent="0.25">
      <c r="M590" s="108"/>
      <c r="N590" s="108"/>
      <c r="O590" s="105"/>
      <c r="P590" s="105"/>
      <c r="Q590" s="107"/>
      <c r="R590" s="107"/>
    </row>
    <row r="591" spans="13:18" x14ac:dyDescent="0.25">
      <c r="M591" s="108"/>
      <c r="N591" s="108"/>
      <c r="O591" s="105"/>
      <c r="P591" s="105"/>
      <c r="Q591" s="107"/>
      <c r="R591" s="107"/>
    </row>
    <row r="592" spans="13:18" x14ac:dyDescent="0.25">
      <c r="M592" s="108"/>
      <c r="N592" s="108"/>
      <c r="O592" s="105"/>
      <c r="P592" s="105"/>
      <c r="Q592" s="107"/>
      <c r="R592" s="107"/>
    </row>
    <row r="593" spans="13:18" x14ac:dyDescent="0.25">
      <c r="M593" s="108"/>
      <c r="N593" s="108"/>
      <c r="O593" s="105"/>
      <c r="P593" s="105"/>
      <c r="Q593" s="107"/>
      <c r="R593" s="107"/>
    </row>
    <row r="594" spans="13:18" x14ac:dyDescent="0.25">
      <c r="M594" s="108"/>
      <c r="N594" s="108"/>
      <c r="O594" s="105"/>
      <c r="P594" s="105"/>
      <c r="Q594" s="107"/>
      <c r="R594" s="107"/>
    </row>
    <row r="595" spans="13:18" x14ac:dyDescent="0.25">
      <c r="M595" s="108"/>
      <c r="N595" s="108"/>
      <c r="O595" s="105"/>
      <c r="P595" s="105"/>
      <c r="Q595" s="107"/>
      <c r="R595" s="107"/>
    </row>
    <row r="596" spans="13:18" x14ac:dyDescent="0.25">
      <c r="M596" s="108"/>
      <c r="N596" s="108"/>
      <c r="O596" s="105"/>
      <c r="P596" s="105"/>
      <c r="Q596" s="107"/>
      <c r="R596" s="107"/>
    </row>
    <row r="597" spans="13:18" x14ac:dyDescent="0.25">
      <c r="M597" s="108"/>
      <c r="N597" s="108"/>
      <c r="O597" s="105"/>
      <c r="P597" s="105"/>
      <c r="Q597" s="107"/>
      <c r="R597" s="107"/>
    </row>
    <row r="598" spans="13:18" x14ac:dyDescent="0.25">
      <c r="M598" s="108"/>
      <c r="N598" s="108"/>
      <c r="O598" s="105"/>
      <c r="P598" s="105"/>
      <c r="Q598" s="107"/>
      <c r="R598" s="107"/>
    </row>
    <row r="599" spans="13:18" x14ac:dyDescent="0.25">
      <c r="M599" s="108"/>
      <c r="N599" s="108"/>
      <c r="O599" s="105"/>
      <c r="P599" s="105"/>
      <c r="Q599" s="107"/>
      <c r="R599" s="107"/>
    </row>
    <row r="600" spans="13:18" x14ac:dyDescent="0.25">
      <c r="M600" s="108"/>
      <c r="N600" s="108"/>
      <c r="O600" s="105"/>
      <c r="P600" s="105"/>
      <c r="Q600" s="107"/>
      <c r="R600" s="107"/>
    </row>
    <row r="601" spans="13:18" x14ac:dyDescent="0.25">
      <c r="M601" s="108"/>
      <c r="N601" s="108"/>
      <c r="O601" s="105"/>
      <c r="P601" s="105"/>
      <c r="Q601" s="107"/>
      <c r="R601" s="107"/>
    </row>
    <row r="602" spans="13:18" x14ac:dyDescent="0.25">
      <c r="M602" s="108"/>
      <c r="N602" s="108"/>
      <c r="O602" s="105"/>
      <c r="P602" s="105"/>
      <c r="Q602" s="107"/>
      <c r="R602" s="107"/>
    </row>
    <row r="603" spans="13:18" x14ac:dyDescent="0.25">
      <c r="M603" s="108"/>
      <c r="N603" s="108"/>
      <c r="O603" s="105"/>
      <c r="P603" s="105"/>
      <c r="Q603" s="107"/>
      <c r="R603" s="107"/>
    </row>
    <row r="604" spans="13:18" x14ac:dyDescent="0.25">
      <c r="M604" s="108"/>
      <c r="N604" s="108"/>
      <c r="O604" s="105"/>
      <c r="P604" s="105"/>
      <c r="Q604" s="107"/>
      <c r="R604" s="107"/>
    </row>
    <row r="605" spans="13:18" x14ac:dyDescent="0.25">
      <c r="M605" s="108"/>
      <c r="N605" s="108"/>
      <c r="O605" s="105"/>
      <c r="P605" s="105"/>
      <c r="Q605" s="107"/>
      <c r="R605" s="107"/>
    </row>
    <row r="606" spans="13:18" x14ac:dyDescent="0.25">
      <c r="M606" s="108"/>
      <c r="N606" s="108"/>
      <c r="O606" s="105"/>
      <c r="P606" s="105"/>
      <c r="Q606" s="107"/>
      <c r="R606" s="107"/>
    </row>
    <row r="607" spans="13:18" x14ac:dyDescent="0.25">
      <c r="M607" s="108"/>
      <c r="N607" s="108"/>
      <c r="O607" s="105"/>
      <c r="P607" s="105"/>
      <c r="Q607" s="107"/>
      <c r="R607" s="107"/>
    </row>
    <row r="608" spans="13:18" x14ac:dyDescent="0.25">
      <c r="M608" s="108"/>
      <c r="N608" s="108"/>
      <c r="O608" s="105"/>
      <c r="P608" s="105"/>
      <c r="Q608" s="107"/>
      <c r="R608" s="107"/>
    </row>
    <row r="609" spans="13:18" x14ac:dyDescent="0.25">
      <c r="M609" s="108"/>
      <c r="N609" s="108"/>
      <c r="O609" s="105"/>
      <c r="P609" s="105"/>
      <c r="Q609" s="107"/>
      <c r="R609" s="107"/>
    </row>
    <row r="610" spans="13:18" x14ac:dyDescent="0.25">
      <c r="M610" s="108"/>
      <c r="N610" s="108"/>
      <c r="O610" s="105"/>
      <c r="P610" s="105"/>
      <c r="Q610" s="107"/>
      <c r="R610" s="107"/>
    </row>
    <row r="611" spans="13:18" x14ac:dyDescent="0.25">
      <c r="M611" s="108"/>
      <c r="N611" s="108"/>
      <c r="O611" s="105"/>
      <c r="P611" s="105"/>
      <c r="Q611" s="107"/>
      <c r="R611" s="107"/>
    </row>
    <row r="612" spans="13:18" x14ac:dyDescent="0.25">
      <c r="M612" s="108"/>
      <c r="N612" s="108"/>
      <c r="O612" s="105"/>
      <c r="P612" s="105"/>
      <c r="Q612" s="107"/>
      <c r="R612" s="107"/>
    </row>
    <row r="613" spans="13:18" x14ac:dyDescent="0.25">
      <c r="M613" s="108"/>
      <c r="N613" s="108"/>
      <c r="O613" s="105"/>
      <c r="P613" s="105"/>
      <c r="Q613" s="107"/>
      <c r="R613" s="107"/>
    </row>
    <row r="614" spans="13:18" x14ac:dyDescent="0.25">
      <c r="M614" s="108"/>
      <c r="N614" s="108"/>
      <c r="O614" s="105"/>
      <c r="P614" s="105"/>
      <c r="Q614" s="107"/>
      <c r="R614" s="107"/>
    </row>
    <row r="615" spans="13:18" x14ac:dyDescent="0.25">
      <c r="M615" s="108"/>
      <c r="N615" s="108"/>
      <c r="O615" s="105"/>
      <c r="P615" s="105"/>
      <c r="Q615" s="107"/>
      <c r="R615" s="107"/>
    </row>
    <row r="616" spans="13:18" x14ac:dyDescent="0.25">
      <c r="M616" s="108"/>
      <c r="N616" s="108"/>
      <c r="O616" s="105"/>
      <c r="P616" s="105"/>
      <c r="Q616" s="107"/>
      <c r="R616" s="107"/>
    </row>
    <row r="617" spans="13:18" x14ac:dyDescent="0.25">
      <c r="M617" s="108"/>
      <c r="N617" s="108"/>
      <c r="O617" s="105"/>
      <c r="P617" s="105"/>
      <c r="Q617" s="107"/>
      <c r="R617" s="107"/>
    </row>
    <row r="618" spans="13:18" x14ac:dyDescent="0.25">
      <c r="M618" s="108"/>
      <c r="N618" s="108"/>
      <c r="O618" s="105"/>
      <c r="P618" s="105"/>
      <c r="Q618" s="107"/>
      <c r="R618" s="107"/>
    </row>
    <row r="619" spans="13:18" x14ac:dyDescent="0.25">
      <c r="M619" s="108"/>
      <c r="N619" s="108"/>
      <c r="O619" s="105"/>
      <c r="P619" s="105"/>
      <c r="Q619" s="107"/>
      <c r="R619" s="107"/>
    </row>
    <row r="620" spans="13:18" x14ac:dyDescent="0.25">
      <c r="M620" s="108"/>
      <c r="N620" s="108"/>
      <c r="O620" s="105"/>
      <c r="P620" s="105"/>
      <c r="Q620" s="107"/>
      <c r="R620" s="107"/>
    </row>
    <row r="621" spans="13:18" x14ac:dyDescent="0.25">
      <c r="M621" s="108"/>
      <c r="N621" s="108"/>
      <c r="O621" s="105"/>
      <c r="P621" s="105"/>
      <c r="Q621" s="107"/>
      <c r="R621" s="107"/>
    </row>
    <row r="622" spans="13:18" x14ac:dyDescent="0.25">
      <c r="M622" s="108"/>
      <c r="N622" s="108"/>
      <c r="O622" s="105"/>
      <c r="P622" s="105"/>
      <c r="Q622" s="107"/>
      <c r="R622" s="107"/>
    </row>
    <row r="623" spans="13:18" x14ac:dyDescent="0.25">
      <c r="M623" s="108"/>
      <c r="N623" s="108"/>
      <c r="O623" s="105"/>
      <c r="P623" s="105"/>
      <c r="Q623" s="107"/>
      <c r="R623" s="107"/>
    </row>
    <row r="624" spans="13:18" x14ac:dyDescent="0.25">
      <c r="M624" s="108"/>
      <c r="N624" s="108"/>
      <c r="O624" s="105"/>
      <c r="P624" s="105"/>
      <c r="Q624" s="107"/>
      <c r="R624" s="107"/>
    </row>
    <row r="625" spans="13:18" x14ac:dyDescent="0.25">
      <c r="M625" s="108"/>
      <c r="N625" s="108"/>
      <c r="O625" s="105"/>
      <c r="P625" s="105"/>
      <c r="Q625" s="107"/>
      <c r="R625" s="107"/>
    </row>
    <row r="626" spans="13:18" x14ac:dyDescent="0.25">
      <c r="M626" s="108"/>
      <c r="N626" s="108"/>
      <c r="O626" s="105"/>
      <c r="P626" s="105"/>
      <c r="Q626" s="107"/>
      <c r="R626" s="107"/>
    </row>
    <row r="627" spans="13:18" x14ac:dyDescent="0.25">
      <c r="M627" s="108"/>
      <c r="N627" s="108"/>
      <c r="O627" s="105"/>
      <c r="P627" s="105"/>
      <c r="Q627" s="107"/>
      <c r="R627" s="107"/>
    </row>
    <row r="628" spans="13:18" x14ac:dyDescent="0.25">
      <c r="M628" s="108"/>
      <c r="N628" s="108"/>
      <c r="O628" s="105"/>
      <c r="P628" s="105"/>
      <c r="Q628" s="107"/>
      <c r="R628" s="107"/>
    </row>
    <row r="629" spans="13:18" x14ac:dyDescent="0.25">
      <c r="M629" s="108"/>
      <c r="N629" s="108"/>
      <c r="O629" s="105"/>
      <c r="P629" s="105"/>
      <c r="Q629" s="107"/>
      <c r="R629" s="107"/>
    </row>
    <row r="630" spans="13:18" x14ac:dyDescent="0.25">
      <c r="M630" s="108"/>
      <c r="N630" s="108"/>
      <c r="O630" s="105"/>
      <c r="P630" s="105"/>
      <c r="Q630" s="107"/>
      <c r="R630" s="107"/>
    </row>
    <row r="631" spans="13:18" x14ac:dyDescent="0.25">
      <c r="M631" s="108"/>
      <c r="N631" s="108"/>
      <c r="O631" s="105"/>
      <c r="P631" s="105"/>
      <c r="Q631" s="107"/>
      <c r="R631" s="107"/>
    </row>
    <row r="632" spans="13:18" x14ac:dyDescent="0.25">
      <c r="M632" s="108"/>
      <c r="N632" s="108"/>
      <c r="O632" s="105"/>
      <c r="P632" s="105"/>
      <c r="Q632" s="107"/>
      <c r="R632" s="107"/>
    </row>
    <row r="633" spans="13:18" x14ac:dyDescent="0.25">
      <c r="M633" s="108"/>
      <c r="N633" s="108"/>
      <c r="O633" s="105"/>
      <c r="P633" s="105"/>
      <c r="Q633" s="107"/>
      <c r="R633" s="107"/>
    </row>
    <row r="634" spans="13:18" x14ac:dyDescent="0.25">
      <c r="M634" s="108"/>
      <c r="N634" s="108"/>
      <c r="O634" s="105"/>
      <c r="P634" s="105"/>
      <c r="Q634" s="107"/>
      <c r="R634" s="107"/>
    </row>
    <row r="635" spans="13:18" x14ac:dyDescent="0.25">
      <c r="M635" s="108"/>
      <c r="N635" s="108"/>
      <c r="O635" s="105"/>
      <c r="P635" s="105"/>
      <c r="Q635" s="107"/>
      <c r="R635" s="107"/>
    </row>
    <row r="636" spans="13:18" x14ac:dyDescent="0.25">
      <c r="M636" s="108"/>
      <c r="N636" s="108"/>
      <c r="O636" s="105"/>
      <c r="P636" s="105"/>
      <c r="Q636" s="107"/>
      <c r="R636" s="107"/>
    </row>
    <row r="637" spans="13:18" x14ac:dyDescent="0.25">
      <c r="M637" s="108"/>
      <c r="N637" s="108"/>
      <c r="O637" s="105"/>
      <c r="P637" s="105"/>
      <c r="Q637" s="107"/>
      <c r="R637" s="107"/>
    </row>
    <row r="638" spans="13:18" x14ac:dyDescent="0.25">
      <c r="M638" s="108"/>
      <c r="N638" s="108"/>
      <c r="O638" s="105"/>
      <c r="P638" s="105"/>
      <c r="Q638" s="107"/>
      <c r="R638" s="107"/>
    </row>
    <row r="639" spans="13:18" x14ac:dyDescent="0.25">
      <c r="M639" s="108"/>
      <c r="N639" s="108"/>
      <c r="O639" s="105"/>
      <c r="P639" s="105"/>
      <c r="Q639" s="107"/>
      <c r="R639" s="107"/>
    </row>
    <row r="640" spans="13:18" x14ac:dyDescent="0.25">
      <c r="M640" s="108"/>
      <c r="N640" s="108"/>
      <c r="O640" s="105"/>
      <c r="P640" s="105"/>
      <c r="Q640" s="107"/>
      <c r="R640" s="107"/>
    </row>
    <row r="641" spans="13:18" x14ac:dyDescent="0.25">
      <c r="M641" s="108"/>
      <c r="N641" s="108"/>
      <c r="O641" s="105"/>
      <c r="P641" s="105"/>
      <c r="Q641" s="107"/>
      <c r="R641" s="107"/>
    </row>
    <row r="642" spans="13:18" x14ac:dyDescent="0.25">
      <c r="M642" s="108"/>
      <c r="N642" s="108"/>
      <c r="O642" s="105"/>
      <c r="P642" s="105"/>
      <c r="Q642" s="107"/>
      <c r="R642" s="107"/>
    </row>
    <row r="643" spans="13:18" x14ac:dyDescent="0.25">
      <c r="M643" s="108"/>
      <c r="N643" s="108"/>
      <c r="O643" s="105"/>
      <c r="P643" s="105"/>
      <c r="Q643" s="107"/>
      <c r="R643" s="107"/>
    </row>
    <row r="644" spans="13:18" x14ac:dyDescent="0.25">
      <c r="M644" s="108"/>
      <c r="N644" s="108"/>
      <c r="O644" s="105"/>
      <c r="P644" s="105"/>
      <c r="Q644" s="107"/>
      <c r="R644" s="107"/>
    </row>
    <row r="645" spans="13:18" x14ac:dyDescent="0.25">
      <c r="M645" s="108"/>
      <c r="N645" s="108"/>
      <c r="O645" s="105"/>
      <c r="P645" s="105"/>
      <c r="Q645" s="107"/>
      <c r="R645" s="107"/>
    </row>
    <row r="646" spans="13:18" x14ac:dyDescent="0.25">
      <c r="M646" s="108"/>
      <c r="N646" s="108"/>
      <c r="O646" s="105"/>
      <c r="P646" s="105"/>
      <c r="Q646" s="107"/>
      <c r="R646" s="107"/>
    </row>
    <row r="647" spans="13:18" x14ac:dyDescent="0.25">
      <c r="M647" s="108"/>
      <c r="N647" s="108"/>
      <c r="O647" s="105"/>
      <c r="P647" s="105"/>
      <c r="Q647" s="107"/>
      <c r="R647" s="107"/>
    </row>
    <row r="648" spans="13:18" x14ac:dyDescent="0.25">
      <c r="M648" s="108"/>
      <c r="N648" s="108"/>
      <c r="O648" s="105"/>
      <c r="P648" s="105"/>
      <c r="Q648" s="107"/>
      <c r="R648" s="107"/>
    </row>
    <row r="649" spans="13:18" x14ac:dyDescent="0.25">
      <c r="M649" s="108"/>
      <c r="N649" s="108"/>
      <c r="O649" s="105"/>
      <c r="P649" s="105"/>
      <c r="Q649" s="107"/>
      <c r="R649" s="107"/>
    </row>
    <row r="650" spans="13:18" x14ac:dyDescent="0.25">
      <c r="M650" s="108"/>
      <c r="N650" s="108"/>
      <c r="O650" s="105"/>
      <c r="P650" s="105"/>
      <c r="Q650" s="107"/>
      <c r="R650" s="107"/>
    </row>
    <row r="651" spans="13:18" x14ac:dyDescent="0.25">
      <c r="M651" s="108"/>
      <c r="N651" s="108"/>
      <c r="O651" s="105"/>
      <c r="P651" s="105"/>
      <c r="Q651" s="107"/>
      <c r="R651" s="107"/>
    </row>
    <row r="652" spans="13:18" x14ac:dyDescent="0.25">
      <c r="M652" s="108"/>
      <c r="N652" s="108"/>
      <c r="O652" s="105"/>
      <c r="P652" s="105"/>
      <c r="Q652" s="107"/>
      <c r="R652" s="107"/>
    </row>
    <row r="653" spans="13:18" x14ac:dyDescent="0.25">
      <c r="M653" s="108"/>
      <c r="N653" s="108"/>
      <c r="O653" s="105"/>
      <c r="P653" s="105"/>
      <c r="Q653" s="107"/>
      <c r="R653" s="107"/>
    </row>
    <row r="654" spans="13:18" x14ac:dyDescent="0.25">
      <c r="M654" s="108"/>
      <c r="N654" s="108"/>
      <c r="O654" s="105"/>
      <c r="P654" s="105"/>
      <c r="Q654" s="107"/>
      <c r="R654" s="107"/>
    </row>
    <row r="655" spans="13:18" x14ac:dyDescent="0.25">
      <c r="M655" s="108"/>
      <c r="N655" s="108"/>
      <c r="O655" s="105"/>
      <c r="P655" s="105"/>
      <c r="Q655" s="107"/>
      <c r="R655" s="107"/>
    </row>
    <row r="656" spans="13:18" x14ac:dyDescent="0.25">
      <c r="M656" s="108"/>
      <c r="N656" s="108"/>
      <c r="O656" s="105"/>
      <c r="P656" s="105"/>
      <c r="Q656" s="107"/>
      <c r="R656" s="107"/>
    </row>
    <row r="657" spans="13:18" x14ac:dyDescent="0.25">
      <c r="M657" s="108"/>
      <c r="N657" s="108"/>
      <c r="O657" s="105"/>
      <c r="P657" s="105"/>
      <c r="Q657" s="107"/>
      <c r="R657" s="107"/>
    </row>
    <row r="658" spans="13:18" x14ac:dyDescent="0.25">
      <c r="M658" s="108"/>
      <c r="N658" s="108"/>
      <c r="O658" s="105"/>
      <c r="P658" s="105"/>
      <c r="Q658" s="107"/>
      <c r="R658" s="107"/>
    </row>
    <row r="659" spans="13:18" x14ac:dyDescent="0.25">
      <c r="M659" s="108"/>
      <c r="N659" s="108"/>
      <c r="O659" s="105"/>
      <c r="P659" s="105"/>
      <c r="Q659" s="107"/>
      <c r="R659" s="107"/>
    </row>
    <row r="660" spans="13:18" x14ac:dyDescent="0.25">
      <c r="M660" s="108"/>
      <c r="N660" s="108"/>
      <c r="O660" s="105"/>
      <c r="P660" s="105"/>
      <c r="Q660" s="107"/>
      <c r="R660" s="107"/>
    </row>
    <row r="661" spans="13:18" x14ac:dyDescent="0.25">
      <c r="M661" s="108"/>
      <c r="N661" s="108"/>
      <c r="O661" s="105"/>
      <c r="P661" s="105"/>
      <c r="Q661" s="107"/>
      <c r="R661" s="107"/>
    </row>
    <row r="662" spans="13:18" x14ac:dyDescent="0.25">
      <c r="M662" s="108"/>
      <c r="N662" s="108"/>
      <c r="O662" s="105"/>
      <c r="P662" s="105"/>
      <c r="Q662" s="107"/>
      <c r="R662" s="107"/>
    </row>
    <row r="663" spans="13:18" x14ac:dyDescent="0.25">
      <c r="M663" s="108"/>
      <c r="N663" s="108"/>
      <c r="O663" s="105"/>
      <c r="P663" s="105"/>
      <c r="Q663" s="107"/>
      <c r="R663" s="107"/>
    </row>
    <row r="664" spans="13:18" x14ac:dyDescent="0.25">
      <c r="M664" s="108"/>
      <c r="N664" s="108"/>
      <c r="O664" s="105"/>
      <c r="P664" s="105"/>
      <c r="Q664" s="107"/>
      <c r="R664" s="107"/>
    </row>
    <row r="665" spans="13:18" x14ac:dyDescent="0.25">
      <c r="M665" s="108"/>
      <c r="N665" s="108"/>
      <c r="O665" s="105"/>
      <c r="P665" s="105"/>
      <c r="Q665" s="107"/>
      <c r="R665" s="107"/>
    </row>
    <row r="666" spans="13:18" x14ac:dyDescent="0.25">
      <c r="M666" s="108"/>
      <c r="N666" s="108"/>
      <c r="O666" s="105"/>
      <c r="P666" s="105"/>
      <c r="Q666" s="107"/>
      <c r="R666" s="107"/>
    </row>
    <row r="667" spans="13:18" x14ac:dyDescent="0.25">
      <c r="M667" s="108"/>
      <c r="N667" s="108"/>
      <c r="O667" s="105"/>
      <c r="P667" s="105"/>
      <c r="Q667" s="107"/>
      <c r="R667" s="107"/>
    </row>
    <row r="668" spans="13:18" x14ac:dyDescent="0.25">
      <c r="M668" s="108"/>
      <c r="N668" s="108"/>
      <c r="O668" s="105"/>
      <c r="P668" s="105"/>
      <c r="Q668" s="107"/>
      <c r="R668" s="107"/>
    </row>
    <row r="669" spans="13:18" x14ac:dyDescent="0.25">
      <c r="M669" s="108"/>
      <c r="N669" s="108"/>
      <c r="O669" s="105"/>
      <c r="P669" s="105"/>
      <c r="Q669" s="107"/>
      <c r="R669" s="107"/>
    </row>
    <row r="670" spans="13:18" x14ac:dyDescent="0.25">
      <c r="M670" s="108"/>
      <c r="N670" s="108"/>
      <c r="O670" s="105"/>
      <c r="P670" s="105"/>
      <c r="Q670" s="107"/>
      <c r="R670" s="107"/>
    </row>
    <row r="671" spans="13:18" x14ac:dyDescent="0.25">
      <c r="M671" s="108"/>
      <c r="N671" s="108"/>
      <c r="O671" s="105"/>
      <c r="P671" s="105"/>
      <c r="Q671" s="107"/>
      <c r="R671" s="107"/>
    </row>
    <row r="672" spans="13:18" x14ac:dyDescent="0.25">
      <c r="M672" s="108"/>
      <c r="N672" s="108"/>
      <c r="O672" s="105"/>
      <c r="P672" s="105"/>
      <c r="Q672" s="107"/>
      <c r="R672" s="107"/>
    </row>
    <row r="673" spans="13:18" x14ac:dyDescent="0.25">
      <c r="M673" s="108"/>
      <c r="N673" s="108"/>
      <c r="O673" s="105"/>
      <c r="P673" s="105"/>
      <c r="Q673" s="107"/>
      <c r="R673" s="107"/>
    </row>
    <row r="674" spans="13:18" x14ac:dyDescent="0.25">
      <c r="M674" s="108"/>
      <c r="N674" s="108"/>
      <c r="O674" s="105"/>
      <c r="P674" s="105"/>
      <c r="Q674" s="107"/>
      <c r="R674" s="107"/>
    </row>
    <row r="675" spans="13:18" x14ac:dyDescent="0.25">
      <c r="M675" s="108"/>
      <c r="N675" s="108"/>
      <c r="O675" s="105"/>
      <c r="P675" s="105"/>
      <c r="Q675" s="107"/>
      <c r="R675" s="107"/>
    </row>
    <row r="676" spans="13:18" x14ac:dyDescent="0.25">
      <c r="M676" s="108"/>
      <c r="N676" s="108"/>
      <c r="O676" s="105"/>
      <c r="P676" s="105"/>
      <c r="Q676" s="107"/>
      <c r="R676" s="107"/>
    </row>
    <row r="677" spans="13:18" x14ac:dyDescent="0.25">
      <c r="M677" s="108"/>
      <c r="N677" s="108"/>
      <c r="O677" s="105"/>
      <c r="P677" s="105"/>
      <c r="Q677" s="107"/>
      <c r="R677" s="107"/>
    </row>
    <row r="678" spans="13:18" x14ac:dyDescent="0.25">
      <c r="M678" s="108"/>
      <c r="N678" s="108"/>
      <c r="O678" s="105"/>
      <c r="P678" s="105"/>
      <c r="Q678" s="107"/>
      <c r="R678" s="107"/>
    </row>
    <row r="679" spans="13:18" x14ac:dyDescent="0.25">
      <c r="M679" s="108"/>
      <c r="N679" s="108"/>
      <c r="O679" s="105"/>
      <c r="P679" s="105"/>
      <c r="Q679" s="107"/>
      <c r="R679" s="107"/>
    </row>
    <row r="680" spans="13:18" x14ac:dyDescent="0.25">
      <c r="M680" s="108"/>
      <c r="N680" s="108"/>
      <c r="O680" s="105"/>
      <c r="P680" s="105"/>
      <c r="Q680" s="107"/>
      <c r="R680" s="107"/>
    </row>
    <row r="681" spans="13:18" x14ac:dyDescent="0.25">
      <c r="M681" s="108"/>
      <c r="N681" s="108"/>
      <c r="O681" s="105"/>
      <c r="P681" s="105"/>
      <c r="Q681" s="107"/>
      <c r="R681" s="107"/>
    </row>
    <row r="682" spans="13:18" x14ac:dyDescent="0.25">
      <c r="M682" s="108"/>
      <c r="N682" s="108"/>
      <c r="O682" s="105"/>
      <c r="P682" s="105"/>
      <c r="Q682" s="107"/>
      <c r="R682" s="107"/>
    </row>
    <row r="683" spans="13:18" x14ac:dyDescent="0.25">
      <c r="M683" s="108"/>
      <c r="N683" s="108"/>
      <c r="O683" s="105"/>
      <c r="P683" s="105"/>
      <c r="Q683" s="107"/>
      <c r="R683" s="107"/>
    </row>
    <row r="684" spans="13:18" x14ac:dyDescent="0.25">
      <c r="M684" s="108"/>
      <c r="N684" s="108"/>
      <c r="O684" s="105"/>
      <c r="P684" s="105"/>
      <c r="Q684" s="107"/>
      <c r="R684" s="107"/>
    </row>
    <row r="685" spans="13:18" x14ac:dyDescent="0.25">
      <c r="M685" s="108"/>
      <c r="N685" s="108"/>
      <c r="O685" s="105"/>
      <c r="P685" s="105"/>
      <c r="Q685" s="107"/>
      <c r="R685" s="107"/>
    </row>
    <row r="686" spans="13:18" x14ac:dyDescent="0.25">
      <c r="M686" s="108"/>
      <c r="N686" s="108"/>
      <c r="O686" s="105"/>
      <c r="P686" s="105"/>
      <c r="Q686" s="107"/>
      <c r="R686" s="107"/>
    </row>
    <row r="687" spans="13:18" x14ac:dyDescent="0.25">
      <c r="M687" s="108"/>
      <c r="N687" s="108"/>
      <c r="O687" s="105"/>
      <c r="P687" s="105"/>
      <c r="Q687" s="107"/>
      <c r="R687" s="107"/>
    </row>
    <row r="688" spans="13:18" x14ac:dyDescent="0.25">
      <c r="M688" s="108"/>
      <c r="N688" s="108"/>
      <c r="O688" s="105"/>
      <c r="P688" s="105"/>
      <c r="Q688" s="107"/>
      <c r="R688" s="107"/>
    </row>
    <row r="689" spans="13:18" x14ac:dyDescent="0.25">
      <c r="M689" s="108"/>
      <c r="N689" s="108"/>
      <c r="O689" s="105"/>
      <c r="P689" s="105"/>
      <c r="Q689" s="107"/>
      <c r="R689" s="107"/>
    </row>
    <row r="690" spans="13:18" x14ac:dyDescent="0.25">
      <c r="M690" s="108"/>
      <c r="N690" s="108"/>
      <c r="O690" s="105"/>
      <c r="P690" s="105"/>
      <c r="Q690" s="107"/>
      <c r="R690" s="107"/>
    </row>
    <row r="691" spans="13:18" x14ac:dyDescent="0.25">
      <c r="M691" s="108"/>
      <c r="N691" s="108"/>
      <c r="O691" s="105"/>
      <c r="P691" s="105"/>
      <c r="Q691" s="107"/>
      <c r="R691" s="107"/>
    </row>
    <row r="692" spans="13:18" x14ac:dyDescent="0.25">
      <c r="M692" s="108"/>
      <c r="N692" s="108"/>
      <c r="O692" s="105"/>
      <c r="P692" s="105"/>
      <c r="Q692" s="107"/>
      <c r="R692" s="107"/>
    </row>
    <row r="693" spans="13:18" x14ac:dyDescent="0.25">
      <c r="M693" s="108"/>
      <c r="N693" s="108"/>
      <c r="O693" s="105"/>
      <c r="P693" s="105"/>
      <c r="Q693" s="107"/>
      <c r="R693" s="107"/>
    </row>
    <row r="694" spans="13:18" x14ac:dyDescent="0.25">
      <c r="M694" s="108"/>
      <c r="N694" s="108"/>
      <c r="O694" s="105"/>
      <c r="P694" s="105"/>
      <c r="Q694" s="107"/>
      <c r="R694" s="107"/>
    </row>
    <row r="695" spans="13:18" x14ac:dyDescent="0.25">
      <c r="M695" s="108"/>
      <c r="N695" s="108"/>
      <c r="O695" s="105"/>
      <c r="P695" s="105"/>
      <c r="Q695" s="107"/>
      <c r="R695" s="107"/>
    </row>
    <row r="696" spans="13:18" x14ac:dyDescent="0.25">
      <c r="M696" s="108"/>
      <c r="N696" s="108"/>
      <c r="O696" s="105"/>
      <c r="P696" s="105"/>
      <c r="Q696" s="107"/>
      <c r="R696" s="107"/>
    </row>
    <row r="697" spans="13:18" x14ac:dyDescent="0.25">
      <c r="M697" s="108"/>
      <c r="N697" s="108"/>
      <c r="O697" s="105"/>
      <c r="P697" s="105"/>
      <c r="Q697" s="107"/>
      <c r="R697" s="107"/>
    </row>
    <row r="698" spans="13:18" x14ac:dyDescent="0.25">
      <c r="M698" s="108"/>
      <c r="N698" s="108"/>
      <c r="O698" s="105"/>
      <c r="P698" s="105"/>
      <c r="Q698" s="107"/>
      <c r="R698" s="107"/>
    </row>
    <row r="699" spans="13:18" x14ac:dyDescent="0.25">
      <c r="M699" s="108"/>
      <c r="N699" s="108"/>
      <c r="O699" s="105"/>
      <c r="P699" s="105"/>
      <c r="Q699" s="107"/>
      <c r="R699" s="107"/>
    </row>
    <row r="700" spans="13:18" x14ac:dyDescent="0.25">
      <c r="M700" s="108"/>
      <c r="N700" s="108"/>
      <c r="O700" s="105"/>
      <c r="P700" s="105"/>
      <c r="Q700" s="107"/>
      <c r="R700" s="107"/>
    </row>
    <row r="701" spans="13:18" x14ac:dyDescent="0.25">
      <c r="M701" s="108"/>
      <c r="N701" s="108"/>
      <c r="O701" s="105"/>
      <c r="P701" s="105"/>
      <c r="Q701" s="107"/>
      <c r="R701" s="107"/>
    </row>
    <row r="702" spans="13:18" x14ac:dyDescent="0.25">
      <c r="M702" s="108"/>
      <c r="N702" s="108"/>
      <c r="O702" s="105"/>
      <c r="P702" s="105"/>
      <c r="Q702" s="107"/>
      <c r="R702" s="107"/>
    </row>
    <row r="703" spans="13:18" x14ac:dyDescent="0.25">
      <c r="M703" s="108"/>
      <c r="N703" s="108"/>
      <c r="O703" s="105"/>
      <c r="P703" s="105"/>
      <c r="Q703" s="107"/>
      <c r="R703" s="107"/>
    </row>
    <row r="704" spans="13:18" x14ac:dyDescent="0.25">
      <c r="M704" s="108"/>
      <c r="N704" s="108"/>
      <c r="O704" s="105"/>
      <c r="P704" s="105"/>
      <c r="Q704" s="107"/>
      <c r="R704" s="107"/>
    </row>
    <row r="705" spans="13:18" x14ac:dyDescent="0.25">
      <c r="M705" s="108"/>
      <c r="N705" s="108"/>
      <c r="O705" s="105"/>
      <c r="P705" s="105"/>
      <c r="Q705" s="107"/>
      <c r="R705" s="107"/>
    </row>
    <row r="706" spans="13:18" x14ac:dyDescent="0.25">
      <c r="M706" s="108"/>
      <c r="N706" s="108"/>
      <c r="O706" s="105"/>
      <c r="P706" s="105"/>
      <c r="Q706" s="107"/>
      <c r="R706" s="107"/>
    </row>
    <row r="707" spans="13:18" x14ac:dyDescent="0.25">
      <c r="M707" s="108"/>
      <c r="N707" s="108"/>
      <c r="O707" s="105"/>
      <c r="P707" s="105"/>
      <c r="Q707" s="107"/>
      <c r="R707" s="107"/>
    </row>
    <row r="708" spans="13:18" x14ac:dyDescent="0.25">
      <c r="M708" s="108"/>
      <c r="N708" s="108"/>
      <c r="O708" s="105"/>
      <c r="P708" s="105"/>
      <c r="Q708" s="107"/>
      <c r="R708" s="107"/>
    </row>
    <row r="709" spans="13:18" x14ac:dyDescent="0.25">
      <c r="M709" s="108"/>
      <c r="N709" s="108"/>
      <c r="O709" s="105"/>
      <c r="P709" s="105"/>
      <c r="Q709" s="107"/>
      <c r="R709" s="107"/>
    </row>
    <row r="710" spans="13:18" x14ac:dyDescent="0.25">
      <c r="M710" s="108"/>
      <c r="N710" s="108"/>
      <c r="O710" s="105"/>
      <c r="P710" s="105"/>
      <c r="Q710" s="107"/>
      <c r="R710" s="107"/>
    </row>
    <row r="711" spans="13:18" x14ac:dyDescent="0.25">
      <c r="M711" s="108"/>
      <c r="N711" s="108"/>
      <c r="O711" s="105"/>
      <c r="P711" s="105"/>
      <c r="Q711" s="107"/>
      <c r="R711" s="107"/>
    </row>
    <row r="712" spans="13:18" x14ac:dyDescent="0.25">
      <c r="M712" s="108"/>
      <c r="N712" s="108"/>
      <c r="O712" s="105"/>
      <c r="P712" s="105"/>
      <c r="Q712" s="107"/>
      <c r="R712" s="107"/>
    </row>
    <row r="713" spans="13:18" x14ac:dyDescent="0.25">
      <c r="M713" s="108"/>
      <c r="N713" s="108"/>
      <c r="O713" s="105"/>
      <c r="P713" s="105"/>
      <c r="Q713" s="107"/>
      <c r="R713" s="107"/>
    </row>
    <row r="714" spans="13:18" x14ac:dyDescent="0.25">
      <c r="M714" s="108"/>
      <c r="N714" s="108"/>
      <c r="O714" s="105"/>
      <c r="P714" s="105"/>
      <c r="Q714" s="107"/>
      <c r="R714" s="107"/>
    </row>
    <row r="715" spans="13:18" x14ac:dyDescent="0.25">
      <c r="M715" s="108"/>
      <c r="N715" s="108"/>
      <c r="O715" s="105"/>
      <c r="P715" s="105"/>
      <c r="Q715" s="107"/>
      <c r="R715" s="107"/>
    </row>
    <row r="716" spans="13:18" x14ac:dyDescent="0.25">
      <c r="M716" s="108"/>
      <c r="N716" s="108"/>
      <c r="O716" s="105"/>
      <c r="P716" s="105"/>
      <c r="Q716" s="107"/>
      <c r="R716" s="107"/>
    </row>
    <row r="717" spans="13:18" x14ac:dyDescent="0.25">
      <c r="M717" s="108"/>
      <c r="N717" s="108"/>
      <c r="O717" s="105"/>
      <c r="P717" s="105"/>
      <c r="Q717" s="107"/>
      <c r="R717" s="107"/>
    </row>
    <row r="718" spans="13:18" x14ac:dyDescent="0.25">
      <c r="M718" s="108"/>
      <c r="N718" s="108"/>
      <c r="O718" s="105"/>
      <c r="P718" s="105"/>
      <c r="Q718" s="107"/>
      <c r="R718" s="107"/>
    </row>
    <row r="719" spans="13:18" x14ac:dyDescent="0.25">
      <c r="M719" s="108"/>
      <c r="N719" s="108"/>
      <c r="O719" s="105"/>
      <c r="P719" s="105"/>
      <c r="Q719" s="107"/>
      <c r="R719" s="107"/>
    </row>
    <row r="720" spans="13:18" x14ac:dyDescent="0.25">
      <c r="M720" s="108"/>
      <c r="N720" s="108"/>
      <c r="O720" s="105"/>
      <c r="P720" s="105"/>
      <c r="Q720" s="107"/>
      <c r="R720" s="107"/>
    </row>
    <row r="721" spans="13:18" x14ac:dyDescent="0.25">
      <c r="M721" s="108"/>
      <c r="N721" s="108"/>
      <c r="O721" s="105"/>
      <c r="P721" s="105"/>
      <c r="Q721" s="107"/>
      <c r="R721" s="107"/>
    </row>
    <row r="722" spans="13:18" x14ac:dyDescent="0.25">
      <c r="M722" s="108"/>
      <c r="N722" s="108"/>
      <c r="O722" s="105"/>
      <c r="P722" s="105"/>
      <c r="Q722" s="107"/>
      <c r="R722" s="107"/>
    </row>
    <row r="723" spans="13:18" x14ac:dyDescent="0.25">
      <c r="M723" s="108"/>
      <c r="N723" s="108"/>
      <c r="O723" s="105"/>
      <c r="P723" s="105"/>
      <c r="Q723" s="107"/>
      <c r="R723" s="107"/>
    </row>
    <row r="724" spans="13:18" x14ac:dyDescent="0.25">
      <c r="M724" s="108"/>
      <c r="N724" s="108"/>
      <c r="O724" s="105"/>
      <c r="P724" s="105"/>
      <c r="Q724" s="107"/>
      <c r="R724" s="107"/>
    </row>
    <row r="725" spans="13:18" x14ac:dyDescent="0.25">
      <c r="M725" s="108"/>
      <c r="N725" s="108"/>
      <c r="O725" s="105"/>
      <c r="P725" s="105"/>
      <c r="Q725" s="107"/>
      <c r="R725" s="107"/>
    </row>
    <row r="726" spans="13:18" x14ac:dyDescent="0.25">
      <c r="M726" s="108"/>
      <c r="N726" s="108"/>
      <c r="O726" s="105"/>
      <c r="P726" s="105"/>
      <c r="Q726" s="107"/>
      <c r="R726" s="107"/>
    </row>
    <row r="727" spans="13:18" x14ac:dyDescent="0.25">
      <c r="M727" s="108"/>
      <c r="N727" s="108"/>
      <c r="O727" s="105"/>
      <c r="P727" s="105"/>
      <c r="Q727" s="107"/>
      <c r="R727" s="107"/>
    </row>
    <row r="728" spans="13:18" x14ac:dyDescent="0.25">
      <c r="M728" s="108"/>
      <c r="N728" s="108"/>
      <c r="O728" s="105"/>
      <c r="P728" s="105"/>
      <c r="Q728" s="107"/>
      <c r="R728" s="107"/>
    </row>
    <row r="729" spans="13:18" x14ac:dyDescent="0.25">
      <c r="M729" s="108"/>
      <c r="N729" s="108"/>
      <c r="O729" s="105"/>
      <c r="P729" s="105"/>
      <c r="Q729" s="107"/>
      <c r="R729" s="107"/>
    </row>
    <row r="730" spans="13:18" x14ac:dyDescent="0.25">
      <c r="M730" s="108"/>
      <c r="N730" s="108"/>
      <c r="O730" s="105"/>
      <c r="P730" s="105"/>
      <c r="Q730" s="107"/>
      <c r="R730" s="107"/>
    </row>
    <row r="731" spans="13:18" x14ac:dyDescent="0.25">
      <c r="M731" s="108"/>
      <c r="N731" s="108"/>
      <c r="O731" s="105"/>
      <c r="P731" s="105"/>
      <c r="Q731" s="107"/>
      <c r="R731" s="107"/>
    </row>
    <row r="732" spans="13:18" x14ac:dyDescent="0.25">
      <c r="M732" s="108"/>
      <c r="N732" s="108"/>
      <c r="O732" s="105"/>
      <c r="P732" s="105"/>
      <c r="Q732" s="107"/>
      <c r="R732" s="107"/>
    </row>
    <row r="733" spans="13:18" x14ac:dyDescent="0.25">
      <c r="M733" s="108"/>
      <c r="N733" s="108"/>
      <c r="O733" s="105"/>
      <c r="P733" s="105"/>
      <c r="Q733" s="107"/>
      <c r="R733" s="107"/>
    </row>
    <row r="734" spans="13:18" x14ac:dyDescent="0.25">
      <c r="M734" s="108"/>
      <c r="N734" s="108"/>
      <c r="O734" s="105"/>
      <c r="P734" s="105"/>
      <c r="Q734" s="107"/>
      <c r="R734" s="107"/>
    </row>
    <row r="735" spans="13:18" x14ac:dyDescent="0.25">
      <c r="M735" s="108"/>
      <c r="N735" s="108"/>
      <c r="O735" s="105"/>
      <c r="P735" s="105"/>
      <c r="Q735" s="107"/>
      <c r="R735" s="107"/>
    </row>
    <row r="736" spans="13:18" x14ac:dyDescent="0.25">
      <c r="M736" s="108"/>
      <c r="N736" s="108"/>
      <c r="O736" s="105"/>
      <c r="P736" s="105"/>
      <c r="Q736" s="107"/>
      <c r="R736" s="107"/>
    </row>
    <row r="737" spans="13:18" x14ac:dyDescent="0.25">
      <c r="M737" s="108"/>
      <c r="N737" s="108"/>
      <c r="O737" s="105"/>
      <c r="P737" s="105"/>
      <c r="Q737" s="107"/>
      <c r="R737" s="107"/>
    </row>
    <row r="738" spans="13:18" x14ac:dyDescent="0.25">
      <c r="M738" s="108"/>
      <c r="N738" s="108"/>
      <c r="O738" s="105"/>
      <c r="P738" s="105"/>
      <c r="Q738" s="107"/>
      <c r="R738" s="107"/>
    </row>
    <row r="739" spans="13:18" x14ac:dyDescent="0.25">
      <c r="M739" s="108"/>
      <c r="N739" s="108"/>
      <c r="O739" s="105"/>
      <c r="P739" s="105"/>
      <c r="Q739" s="107"/>
      <c r="R739" s="107"/>
    </row>
    <row r="740" spans="13:18" x14ac:dyDescent="0.25">
      <c r="M740" s="108"/>
      <c r="N740" s="108"/>
      <c r="O740" s="105"/>
      <c r="P740" s="105"/>
      <c r="Q740" s="107"/>
      <c r="R740" s="107"/>
    </row>
    <row r="741" spans="13:18" x14ac:dyDescent="0.25">
      <c r="M741" s="108"/>
      <c r="N741" s="108"/>
      <c r="O741" s="105"/>
      <c r="P741" s="105"/>
      <c r="Q741" s="107"/>
      <c r="R741" s="107"/>
    </row>
    <row r="742" spans="13:18" x14ac:dyDescent="0.25">
      <c r="M742" s="108"/>
      <c r="N742" s="108"/>
      <c r="O742" s="105"/>
      <c r="P742" s="105"/>
      <c r="Q742" s="107"/>
      <c r="R742" s="107"/>
    </row>
    <row r="743" spans="13:18" x14ac:dyDescent="0.25">
      <c r="M743" s="108"/>
      <c r="N743" s="108"/>
      <c r="O743" s="105"/>
      <c r="P743" s="105"/>
      <c r="Q743" s="107"/>
      <c r="R743" s="107"/>
    </row>
    <row r="744" spans="13:18" x14ac:dyDescent="0.25">
      <c r="M744" s="108"/>
      <c r="N744" s="108"/>
      <c r="O744" s="105"/>
      <c r="P744" s="105"/>
      <c r="Q744" s="107"/>
      <c r="R744" s="107"/>
    </row>
    <row r="745" spans="13:18" x14ac:dyDescent="0.25">
      <c r="M745" s="108"/>
      <c r="N745" s="108"/>
      <c r="O745" s="105"/>
      <c r="P745" s="105"/>
      <c r="Q745" s="107"/>
      <c r="R745" s="107"/>
    </row>
    <row r="746" spans="13:18" x14ac:dyDescent="0.25">
      <c r="M746" s="108"/>
      <c r="N746" s="108"/>
      <c r="O746" s="105"/>
      <c r="P746" s="105"/>
      <c r="Q746" s="107"/>
      <c r="R746" s="107"/>
    </row>
    <row r="747" spans="13:18" x14ac:dyDescent="0.25">
      <c r="M747" s="108"/>
      <c r="N747" s="108"/>
      <c r="O747" s="105"/>
      <c r="P747" s="105"/>
      <c r="Q747" s="107"/>
      <c r="R747" s="107"/>
    </row>
    <row r="748" spans="13:18" x14ac:dyDescent="0.25">
      <c r="M748" s="108"/>
      <c r="N748" s="108"/>
      <c r="O748" s="105"/>
      <c r="P748" s="105"/>
      <c r="Q748" s="107"/>
      <c r="R748" s="107"/>
    </row>
    <row r="749" spans="13:18" x14ac:dyDescent="0.25">
      <c r="M749" s="108"/>
      <c r="N749" s="108"/>
      <c r="O749" s="105"/>
      <c r="P749" s="105"/>
      <c r="Q749" s="107"/>
      <c r="R749" s="107"/>
    </row>
    <row r="750" spans="13:18" x14ac:dyDescent="0.25">
      <c r="M750" s="108"/>
      <c r="N750" s="108"/>
      <c r="O750" s="105"/>
      <c r="P750" s="105"/>
      <c r="Q750" s="107"/>
      <c r="R750" s="107"/>
    </row>
    <row r="751" spans="13:18" x14ac:dyDescent="0.25">
      <c r="M751" s="108"/>
      <c r="N751" s="108"/>
      <c r="O751" s="105"/>
      <c r="P751" s="105"/>
      <c r="Q751" s="107"/>
      <c r="R751" s="107"/>
    </row>
    <row r="752" spans="13:18" x14ac:dyDescent="0.25">
      <c r="M752" s="108"/>
      <c r="N752" s="108"/>
      <c r="O752" s="105"/>
      <c r="P752" s="105"/>
      <c r="Q752" s="107"/>
      <c r="R752" s="107"/>
    </row>
    <row r="753" spans="13:18" x14ac:dyDescent="0.25">
      <c r="M753" s="108"/>
      <c r="N753" s="108"/>
      <c r="O753" s="105"/>
      <c r="P753" s="105"/>
      <c r="Q753" s="107"/>
      <c r="R753" s="107"/>
    </row>
    <row r="754" spans="13:18" x14ac:dyDescent="0.25">
      <c r="M754" s="108"/>
      <c r="N754" s="108"/>
      <c r="O754" s="105"/>
      <c r="P754" s="105"/>
      <c r="Q754" s="107"/>
      <c r="R754" s="107"/>
    </row>
    <row r="755" spans="13:18" x14ac:dyDescent="0.25">
      <c r="M755" s="108"/>
      <c r="N755" s="108"/>
      <c r="O755" s="105"/>
      <c r="P755" s="105"/>
      <c r="Q755" s="107"/>
      <c r="R755" s="107"/>
    </row>
    <row r="756" spans="13:18" x14ac:dyDescent="0.25">
      <c r="M756" s="108"/>
      <c r="N756" s="108"/>
      <c r="O756" s="105"/>
      <c r="P756" s="105"/>
      <c r="Q756" s="107"/>
      <c r="R756" s="107"/>
    </row>
    <row r="757" spans="13:18" x14ac:dyDescent="0.25">
      <c r="M757" s="108"/>
      <c r="N757" s="108"/>
      <c r="O757" s="105"/>
      <c r="P757" s="105"/>
      <c r="Q757" s="107"/>
      <c r="R757" s="107"/>
    </row>
    <row r="758" spans="13:18" x14ac:dyDescent="0.25">
      <c r="M758" s="108"/>
      <c r="N758" s="108"/>
      <c r="O758" s="105"/>
      <c r="P758" s="105"/>
      <c r="Q758" s="107"/>
      <c r="R758" s="107"/>
    </row>
    <row r="759" spans="13:18" x14ac:dyDescent="0.25">
      <c r="M759" s="108"/>
      <c r="N759" s="108"/>
      <c r="O759" s="105"/>
      <c r="P759" s="105"/>
      <c r="Q759" s="107"/>
      <c r="R759" s="107"/>
    </row>
    <row r="760" spans="13:18" x14ac:dyDescent="0.25">
      <c r="M760" s="108"/>
      <c r="N760" s="108"/>
      <c r="O760" s="105"/>
      <c r="P760" s="105"/>
      <c r="Q760" s="107"/>
      <c r="R760" s="107"/>
    </row>
    <row r="761" spans="13:18" x14ac:dyDescent="0.25">
      <c r="M761" s="108"/>
      <c r="N761" s="108"/>
      <c r="O761" s="105"/>
      <c r="P761" s="105"/>
      <c r="Q761" s="107"/>
      <c r="R761" s="107"/>
    </row>
    <row r="762" spans="13:18" x14ac:dyDescent="0.25">
      <c r="M762" s="108"/>
      <c r="N762" s="108"/>
      <c r="O762" s="105"/>
      <c r="P762" s="105"/>
      <c r="Q762" s="107"/>
      <c r="R762" s="107"/>
    </row>
    <row r="763" spans="13:18" x14ac:dyDescent="0.25">
      <c r="M763" s="108"/>
      <c r="N763" s="108"/>
      <c r="O763" s="105"/>
      <c r="P763" s="105"/>
      <c r="Q763" s="107"/>
      <c r="R763" s="107"/>
    </row>
    <row r="764" spans="13:18" x14ac:dyDescent="0.25">
      <c r="M764" s="108"/>
      <c r="N764" s="108"/>
      <c r="O764" s="105"/>
      <c r="P764" s="105"/>
      <c r="Q764" s="107"/>
      <c r="R764" s="107"/>
    </row>
    <row r="765" spans="13:18" x14ac:dyDescent="0.25">
      <c r="M765" s="108"/>
      <c r="N765" s="108"/>
      <c r="O765" s="105"/>
      <c r="P765" s="105"/>
      <c r="Q765" s="107"/>
      <c r="R765" s="107"/>
    </row>
    <row r="766" spans="13:18" x14ac:dyDescent="0.25">
      <c r="M766" s="108"/>
      <c r="N766" s="108"/>
      <c r="O766" s="105"/>
      <c r="P766" s="105"/>
      <c r="Q766" s="107"/>
      <c r="R766" s="107"/>
    </row>
    <row r="767" spans="13:18" x14ac:dyDescent="0.25">
      <c r="M767" s="108"/>
      <c r="N767" s="108"/>
      <c r="O767" s="105"/>
      <c r="P767" s="105"/>
      <c r="Q767" s="107"/>
      <c r="R767" s="107"/>
    </row>
    <row r="768" spans="13:18" x14ac:dyDescent="0.25">
      <c r="M768" s="108"/>
      <c r="N768" s="108"/>
      <c r="O768" s="105"/>
      <c r="P768" s="105"/>
      <c r="Q768" s="107"/>
      <c r="R768" s="107"/>
    </row>
    <row r="769" spans="13:18" x14ac:dyDescent="0.25">
      <c r="M769" s="108"/>
      <c r="N769" s="108"/>
      <c r="O769" s="105"/>
      <c r="P769" s="105"/>
      <c r="Q769" s="107"/>
      <c r="R769" s="107"/>
    </row>
    <row r="770" spans="13:18" x14ac:dyDescent="0.25">
      <c r="M770" s="108"/>
      <c r="N770" s="108"/>
      <c r="O770" s="105"/>
      <c r="P770" s="105"/>
      <c r="Q770" s="107"/>
      <c r="R770" s="107"/>
    </row>
    <row r="771" spans="13:18" x14ac:dyDescent="0.25">
      <c r="M771" s="108"/>
      <c r="N771" s="108"/>
      <c r="O771" s="105"/>
      <c r="P771" s="105"/>
      <c r="Q771" s="107"/>
      <c r="R771" s="107"/>
    </row>
    <row r="772" spans="13:18" x14ac:dyDescent="0.25">
      <c r="M772" s="108"/>
      <c r="N772" s="108"/>
      <c r="O772" s="105"/>
      <c r="P772" s="105"/>
      <c r="Q772" s="107"/>
      <c r="R772" s="107"/>
    </row>
    <row r="773" spans="13:18" x14ac:dyDescent="0.25">
      <c r="M773" s="108"/>
      <c r="N773" s="108"/>
      <c r="O773" s="105"/>
      <c r="P773" s="105"/>
      <c r="Q773" s="107"/>
      <c r="R773" s="107"/>
    </row>
    <row r="774" spans="13:18" x14ac:dyDescent="0.25">
      <c r="M774" s="108"/>
      <c r="N774" s="108"/>
      <c r="O774" s="105"/>
      <c r="P774" s="105"/>
      <c r="Q774" s="107"/>
      <c r="R774" s="107"/>
    </row>
    <row r="775" spans="13:18" x14ac:dyDescent="0.25">
      <c r="M775" s="108"/>
      <c r="N775" s="108"/>
      <c r="O775" s="105"/>
      <c r="P775" s="105"/>
      <c r="Q775" s="107"/>
      <c r="R775" s="107"/>
    </row>
    <row r="776" spans="13:18" x14ac:dyDescent="0.25">
      <c r="M776" s="108"/>
      <c r="N776" s="108"/>
      <c r="O776" s="105"/>
      <c r="P776" s="105"/>
      <c r="Q776" s="107"/>
      <c r="R776" s="107"/>
    </row>
    <row r="777" spans="13:18" x14ac:dyDescent="0.25">
      <c r="M777" s="108"/>
      <c r="N777" s="108"/>
      <c r="O777" s="105"/>
      <c r="P777" s="105"/>
      <c r="Q777" s="107"/>
      <c r="R777" s="107"/>
    </row>
    <row r="778" spans="13:18" x14ac:dyDescent="0.25">
      <c r="M778" s="108"/>
      <c r="N778" s="108"/>
      <c r="O778" s="105"/>
      <c r="P778" s="105"/>
      <c r="Q778" s="107"/>
      <c r="R778" s="107"/>
    </row>
    <row r="779" spans="13:18" x14ac:dyDescent="0.25">
      <c r="M779" s="108"/>
      <c r="N779" s="108"/>
      <c r="O779" s="105"/>
      <c r="P779" s="105"/>
      <c r="Q779" s="107"/>
      <c r="R779" s="107"/>
    </row>
    <row r="780" spans="13:18" x14ac:dyDescent="0.25">
      <c r="M780" s="108"/>
      <c r="N780" s="108"/>
      <c r="O780" s="105"/>
      <c r="P780" s="105"/>
      <c r="Q780" s="107"/>
      <c r="R780" s="107"/>
    </row>
    <row r="781" spans="13:18" x14ac:dyDescent="0.25">
      <c r="M781" s="108"/>
      <c r="N781" s="108"/>
      <c r="O781" s="105"/>
      <c r="P781" s="105"/>
      <c r="Q781" s="107"/>
      <c r="R781" s="107"/>
    </row>
    <row r="782" spans="13:18" x14ac:dyDescent="0.25">
      <c r="M782" s="108"/>
      <c r="N782" s="108"/>
      <c r="O782" s="105"/>
      <c r="P782" s="105"/>
      <c r="Q782" s="107"/>
      <c r="R782" s="107"/>
    </row>
    <row r="783" spans="13:18" x14ac:dyDescent="0.25">
      <c r="M783" s="108"/>
      <c r="N783" s="108"/>
      <c r="O783" s="105"/>
      <c r="P783" s="105"/>
      <c r="Q783" s="107"/>
      <c r="R783" s="107"/>
    </row>
    <row r="784" spans="13:18" x14ac:dyDescent="0.25">
      <c r="M784" s="108"/>
      <c r="N784" s="108"/>
      <c r="O784" s="105"/>
      <c r="P784" s="105"/>
      <c r="Q784" s="107"/>
      <c r="R784" s="107"/>
    </row>
    <row r="785" spans="13:18" x14ac:dyDescent="0.25">
      <c r="M785" s="108"/>
      <c r="N785" s="108"/>
      <c r="O785" s="105"/>
      <c r="P785" s="105"/>
      <c r="Q785" s="107"/>
      <c r="R785" s="107"/>
    </row>
    <row r="786" spans="13:18" x14ac:dyDescent="0.25">
      <c r="M786" s="108"/>
      <c r="N786" s="108"/>
      <c r="O786" s="105"/>
      <c r="P786" s="105"/>
      <c r="Q786" s="107"/>
      <c r="R786" s="107"/>
    </row>
    <row r="787" spans="13:18" x14ac:dyDescent="0.25">
      <c r="M787" s="108"/>
      <c r="N787" s="108"/>
      <c r="O787" s="105"/>
      <c r="P787" s="105"/>
      <c r="Q787" s="107"/>
      <c r="R787" s="107"/>
    </row>
    <row r="788" spans="13:18" x14ac:dyDescent="0.25">
      <c r="M788" s="108"/>
      <c r="N788" s="108"/>
      <c r="O788" s="105"/>
      <c r="P788" s="105"/>
      <c r="Q788" s="107"/>
      <c r="R788" s="107"/>
    </row>
    <row r="789" spans="13:18" x14ac:dyDescent="0.25">
      <c r="M789" s="108"/>
      <c r="N789" s="108"/>
      <c r="O789" s="105"/>
      <c r="P789" s="105"/>
      <c r="Q789" s="107"/>
      <c r="R789" s="107"/>
    </row>
    <row r="790" spans="13:18" x14ac:dyDescent="0.25">
      <c r="M790" s="108"/>
      <c r="N790" s="108"/>
      <c r="O790" s="105"/>
      <c r="P790" s="105"/>
      <c r="Q790" s="107"/>
      <c r="R790" s="107"/>
    </row>
    <row r="791" spans="13:18" x14ac:dyDescent="0.25">
      <c r="M791" s="108"/>
      <c r="N791" s="108"/>
      <c r="O791" s="105"/>
      <c r="P791" s="105"/>
      <c r="Q791" s="107"/>
      <c r="R791" s="107"/>
    </row>
    <row r="792" spans="13:18" x14ac:dyDescent="0.25">
      <c r="M792" s="108"/>
      <c r="N792" s="108"/>
      <c r="O792" s="105"/>
      <c r="P792" s="105"/>
      <c r="Q792" s="107"/>
      <c r="R792" s="107"/>
    </row>
    <row r="793" spans="13:18" x14ac:dyDescent="0.25">
      <c r="M793" s="108"/>
      <c r="N793" s="108"/>
      <c r="O793" s="105"/>
      <c r="P793" s="105"/>
      <c r="Q793" s="107"/>
      <c r="R793" s="107"/>
    </row>
    <row r="794" spans="13:18" x14ac:dyDescent="0.25">
      <c r="M794" s="108"/>
      <c r="N794" s="108"/>
      <c r="O794" s="105"/>
      <c r="P794" s="105"/>
      <c r="Q794" s="107"/>
      <c r="R794" s="107"/>
    </row>
    <row r="795" spans="13:18" x14ac:dyDescent="0.25">
      <c r="M795" s="108"/>
      <c r="N795" s="108"/>
      <c r="O795" s="105"/>
      <c r="P795" s="105"/>
      <c r="Q795" s="107"/>
      <c r="R795" s="107"/>
    </row>
    <row r="796" spans="13:18" x14ac:dyDescent="0.25">
      <c r="M796" s="108"/>
      <c r="N796" s="108"/>
      <c r="O796" s="105"/>
      <c r="P796" s="105"/>
      <c r="Q796" s="107"/>
      <c r="R796" s="107"/>
    </row>
    <row r="797" spans="13:18" x14ac:dyDescent="0.25">
      <c r="M797" s="108"/>
      <c r="N797" s="108"/>
      <c r="O797" s="105"/>
      <c r="P797" s="105"/>
      <c r="Q797" s="107"/>
      <c r="R797" s="107"/>
    </row>
    <row r="798" spans="13:18" x14ac:dyDescent="0.25">
      <c r="M798" s="108"/>
      <c r="N798" s="108"/>
      <c r="O798" s="105"/>
      <c r="P798" s="105"/>
      <c r="Q798" s="107"/>
      <c r="R798" s="107"/>
    </row>
    <row r="799" spans="13:18" x14ac:dyDescent="0.25">
      <c r="M799" s="108"/>
      <c r="N799" s="108"/>
      <c r="O799" s="105"/>
      <c r="P799" s="105"/>
      <c r="Q799" s="107"/>
      <c r="R799" s="107"/>
    </row>
    <row r="800" spans="13:18" x14ac:dyDescent="0.25">
      <c r="M800" s="108"/>
      <c r="N800" s="108"/>
      <c r="O800" s="105"/>
      <c r="P800" s="105"/>
      <c r="Q800" s="107"/>
      <c r="R800" s="107"/>
    </row>
    <row r="801" spans="13:18" x14ac:dyDescent="0.25">
      <c r="M801" s="108"/>
      <c r="N801" s="108"/>
      <c r="O801" s="105"/>
      <c r="P801" s="105"/>
      <c r="Q801" s="107"/>
      <c r="R801" s="107"/>
    </row>
    <row r="802" spans="13:18" x14ac:dyDescent="0.25">
      <c r="M802" s="108"/>
      <c r="N802" s="108"/>
      <c r="O802" s="105"/>
      <c r="P802" s="105"/>
      <c r="Q802" s="107"/>
      <c r="R802" s="107"/>
    </row>
    <row r="803" spans="13:18" x14ac:dyDescent="0.25">
      <c r="M803" s="108"/>
      <c r="N803" s="108"/>
      <c r="O803" s="105"/>
      <c r="P803" s="105"/>
      <c r="Q803" s="107"/>
      <c r="R803" s="107"/>
    </row>
    <row r="804" spans="13:18" x14ac:dyDescent="0.25">
      <c r="M804" s="108"/>
      <c r="N804" s="108"/>
      <c r="O804" s="105"/>
      <c r="P804" s="105"/>
      <c r="Q804" s="107"/>
      <c r="R804" s="107"/>
    </row>
    <row r="805" spans="13:18" x14ac:dyDescent="0.25">
      <c r="M805" s="108"/>
      <c r="N805" s="108"/>
      <c r="O805" s="105"/>
      <c r="P805" s="105"/>
      <c r="Q805" s="107"/>
      <c r="R805" s="107"/>
    </row>
    <row r="806" spans="13:18" x14ac:dyDescent="0.25">
      <c r="M806" s="108"/>
      <c r="N806" s="108"/>
      <c r="O806" s="105"/>
      <c r="P806" s="105"/>
      <c r="Q806" s="107"/>
      <c r="R806" s="107"/>
    </row>
    <row r="807" spans="13:18" x14ac:dyDescent="0.25">
      <c r="M807" s="108"/>
      <c r="N807" s="108"/>
      <c r="O807" s="105"/>
      <c r="P807" s="105"/>
      <c r="Q807" s="107"/>
      <c r="R807" s="107"/>
    </row>
    <row r="808" spans="13:18" x14ac:dyDescent="0.25">
      <c r="M808" s="108"/>
      <c r="N808" s="108"/>
      <c r="O808" s="105"/>
      <c r="P808" s="105"/>
      <c r="Q808" s="107"/>
      <c r="R808" s="107"/>
    </row>
    <row r="809" spans="13:18" x14ac:dyDescent="0.25">
      <c r="M809" s="108"/>
      <c r="N809" s="108"/>
      <c r="O809" s="105"/>
      <c r="P809" s="105"/>
      <c r="Q809" s="107"/>
      <c r="R809" s="107"/>
    </row>
    <row r="810" spans="13:18" x14ac:dyDescent="0.25">
      <c r="M810" s="108"/>
      <c r="N810" s="108"/>
      <c r="O810" s="105"/>
      <c r="P810" s="105"/>
      <c r="Q810" s="107"/>
      <c r="R810" s="107"/>
    </row>
    <row r="811" spans="13:18" x14ac:dyDescent="0.25">
      <c r="M811" s="108"/>
      <c r="N811" s="108"/>
      <c r="O811" s="105"/>
      <c r="P811" s="105"/>
      <c r="Q811" s="107"/>
      <c r="R811" s="107"/>
    </row>
    <row r="812" spans="13:18" x14ac:dyDescent="0.25">
      <c r="M812" s="108"/>
      <c r="N812" s="108"/>
      <c r="O812" s="105"/>
      <c r="P812" s="105"/>
      <c r="Q812" s="107"/>
      <c r="R812" s="107"/>
    </row>
    <row r="813" spans="13:18" x14ac:dyDescent="0.25">
      <c r="M813" s="108"/>
      <c r="N813" s="108"/>
      <c r="O813" s="105"/>
      <c r="P813" s="105"/>
      <c r="Q813" s="107"/>
      <c r="R813" s="107"/>
    </row>
    <row r="814" spans="13:18" x14ac:dyDescent="0.25">
      <c r="M814" s="108"/>
      <c r="N814" s="108"/>
      <c r="O814" s="105"/>
      <c r="P814" s="105"/>
      <c r="Q814" s="107"/>
      <c r="R814" s="107"/>
    </row>
    <row r="815" spans="13:18" x14ac:dyDescent="0.25">
      <c r="M815" s="108"/>
      <c r="N815" s="108"/>
      <c r="O815" s="105"/>
      <c r="P815" s="105"/>
      <c r="Q815" s="107"/>
      <c r="R815" s="107"/>
    </row>
    <row r="816" spans="13:18" x14ac:dyDescent="0.25">
      <c r="M816" s="108"/>
      <c r="N816" s="108"/>
      <c r="O816" s="105"/>
      <c r="P816" s="105"/>
      <c r="Q816" s="107"/>
      <c r="R816" s="107"/>
    </row>
    <row r="817" spans="13:18" x14ac:dyDescent="0.25">
      <c r="M817" s="108"/>
      <c r="N817" s="108"/>
      <c r="O817" s="105"/>
      <c r="P817" s="105"/>
      <c r="Q817" s="107"/>
      <c r="R817" s="107"/>
    </row>
    <row r="818" spans="13:18" x14ac:dyDescent="0.25">
      <c r="M818" s="108"/>
      <c r="N818" s="108"/>
      <c r="O818" s="105"/>
      <c r="P818" s="105"/>
      <c r="Q818" s="107"/>
      <c r="R818" s="107"/>
    </row>
    <row r="819" spans="13:18" x14ac:dyDescent="0.25">
      <c r="M819" s="108"/>
      <c r="N819" s="108"/>
      <c r="O819" s="105"/>
      <c r="P819" s="105"/>
      <c r="Q819" s="107"/>
      <c r="R819" s="107"/>
    </row>
    <row r="820" spans="13:18" x14ac:dyDescent="0.25">
      <c r="M820" s="108"/>
      <c r="N820" s="108"/>
      <c r="O820" s="105"/>
      <c r="P820" s="105"/>
      <c r="Q820" s="107"/>
      <c r="R820" s="107"/>
    </row>
    <row r="821" spans="13:18" x14ac:dyDescent="0.25">
      <c r="M821" s="108"/>
      <c r="N821" s="108"/>
      <c r="O821" s="105"/>
      <c r="P821" s="105"/>
      <c r="Q821" s="107"/>
      <c r="R821" s="107"/>
    </row>
    <row r="822" spans="13:18" x14ac:dyDescent="0.25">
      <c r="M822" s="108"/>
      <c r="N822" s="108"/>
      <c r="O822" s="105"/>
      <c r="P822" s="105"/>
      <c r="Q822" s="107"/>
      <c r="R822" s="107"/>
    </row>
    <row r="823" spans="13:18" x14ac:dyDescent="0.25">
      <c r="M823" s="108"/>
      <c r="N823" s="108"/>
      <c r="O823" s="105"/>
      <c r="P823" s="105"/>
      <c r="Q823" s="107"/>
      <c r="R823" s="107"/>
    </row>
    <row r="824" spans="13:18" x14ac:dyDescent="0.25">
      <c r="M824" s="108"/>
      <c r="N824" s="108"/>
      <c r="O824" s="105"/>
      <c r="P824" s="105"/>
      <c r="Q824" s="107"/>
      <c r="R824" s="107"/>
    </row>
    <row r="825" spans="13:18" x14ac:dyDescent="0.25">
      <c r="M825" s="108"/>
      <c r="N825" s="108"/>
      <c r="O825" s="105"/>
      <c r="P825" s="105"/>
      <c r="Q825" s="107"/>
      <c r="R825" s="107"/>
    </row>
    <row r="826" spans="13:18" x14ac:dyDescent="0.25">
      <c r="M826" s="108"/>
      <c r="N826" s="108"/>
      <c r="O826" s="105"/>
      <c r="P826" s="105"/>
      <c r="Q826" s="107"/>
      <c r="R826" s="107"/>
    </row>
    <row r="827" spans="13:18" x14ac:dyDescent="0.25">
      <c r="M827" s="108"/>
      <c r="N827" s="108"/>
      <c r="O827" s="105"/>
      <c r="P827" s="105"/>
      <c r="Q827" s="107"/>
      <c r="R827" s="107"/>
    </row>
    <row r="828" spans="13:18" x14ac:dyDescent="0.25">
      <c r="M828" s="108"/>
      <c r="N828" s="108"/>
      <c r="O828" s="105"/>
      <c r="P828" s="105"/>
      <c r="Q828" s="107"/>
      <c r="R828" s="107"/>
    </row>
    <row r="829" spans="13:18" x14ac:dyDescent="0.25">
      <c r="M829" s="108"/>
      <c r="N829" s="108"/>
      <c r="O829" s="105"/>
      <c r="P829" s="105"/>
      <c r="Q829" s="107"/>
      <c r="R829" s="107"/>
    </row>
    <row r="830" spans="13:18" x14ac:dyDescent="0.25">
      <c r="M830" s="108"/>
      <c r="N830" s="108"/>
      <c r="O830" s="105"/>
      <c r="P830" s="105"/>
      <c r="Q830" s="107"/>
      <c r="R830" s="107"/>
    </row>
    <row r="831" spans="13:18" x14ac:dyDescent="0.25">
      <c r="M831" s="108"/>
      <c r="N831" s="108"/>
      <c r="O831" s="105"/>
      <c r="P831" s="105"/>
      <c r="Q831" s="107"/>
      <c r="R831" s="107"/>
    </row>
    <row r="832" spans="13:18" x14ac:dyDescent="0.25">
      <c r="M832" s="108"/>
      <c r="N832" s="108"/>
      <c r="O832" s="105"/>
      <c r="P832" s="105"/>
      <c r="Q832" s="107"/>
      <c r="R832" s="107"/>
    </row>
    <row r="833" spans="13:18" x14ac:dyDescent="0.25">
      <c r="M833" s="108"/>
      <c r="N833" s="108"/>
      <c r="O833" s="105"/>
      <c r="P833" s="105"/>
      <c r="Q833" s="107"/>
      <c r="R833" s="107"/>
    </row>
    <row r="834" spans="13:18" x14ac:dyDescent="0.25">
      <c r="M834" s="108"/>
      <c r="N834" s="108"/>
      <c r="O834" s="105"/>
      <c r="P834" s="105"/>
      <c r="Q834" s="107"/>
      <c r="R834" s="107"/>
    </row>
    <row r="835" spans="13:18" x14ac:dyDescent="0.25">
      <c r="M835" s="108"/>
      <c r="N835" s="108"/>
      <c r="O835" s="105"/>
      <c r="P835" s="105"/>
      <c r="Q835" s="107"/>
      <c r="R835" s="107"/>
    </row>
    <row r="836" spans="13:18" x14ac:dyDescent="0.25">
      <c r="M836" s="108"/>
      <c r="N836" s="108"/>
      <c r="O836" s="105"/>
      <c r="P836" s="105"/>
      <c r="Q836" s="107"/>
      <c r="R836" s="107"/>
    </row>
    <row r="837" spans="13:18" x14ac:dyDescent="0.25">
      <c r="M837" s="108"/>
      <c r="N837" s="108"/>
      <c r="O837" s="105"/>
      <c r="P837" s="105"/>
      <c r="Q837" s="107"/>
      <c r="R837" s="107"/>
    </row>
    <row r="838" spans="13:18" x14ac:dyDescent="0.25">
      <c r="M838" s="108"/>
      <c r="N838" s="108"/>
      <c r="O838" s="105"/>
      <c r="P838" s="105"/>
      <c r="Q838" s="107"/>
      <c r="R838" s="107"/>
    </row>
    <row r="839" spans="13:18" x14ac:dyDescent="0.25">
      <c r="M839" s="108"/>
      <c r="N839" s="108"/>
      <c r="O839" s="105"/>
      <c r="P839" s="105"/>
      <c r="Q839" s="107"/>
      <c r="R839" s="107"/>
    </row>
    <row r="840" spans="13:18" x14ac:dyDescent="0.25">
      <c r="M840" s="108"/>
      <c r="N840" s="108"/>
      <c r="O840" s="105"/>
      <c r="P840" s="105"/>
      <c r="Q840" s="107"/>
      <c r="R840" s="107"/>
    </row>
    <row r="841" spans="13:18" x14ac:dyDescent="0.25">
      <c r="M841" s="108"/>
      <c r="N841" s="108"/>
      <c r="O841" s="105"/>
      <c r="P841" s="105"/>
      <c r="Q841" s="107"/>
      <c r="R841" s="107"/>
    </row>
    <row r="842" spans="13:18" x14ac:dyDescent="0.25">
      <c r="M842" s="108"/>
      <c r="N842" s="108"/>
      <c r="O842" s="105"/>
      <c r="P842" s="105"/>
      <c r="Q842" s="107"/>
      <c r="R842" s="107"/>
    </row>
    <row r="843" spans="13:18" x14ac:dyDescent="0.25">
      <c r="M843" s="108"/>
      <c r="N843" s="108"/>
      <c r="O843" s="105"/>
      <c r="P843" s="105"/>
      <c r="Q843" s="107"/>
      <c r="R843" s="107"/>
    </row>
    <row r="844" spans="13:18" x14ac:dyDescent="0.25">
      <c r="M844" s="108"/>
      <c r="N844" s="108"/>
      <c r="O844" s="105"/>
      <c r="P844" s="105"/>
      <c r="Q844" s="107"/>
      <c r="R844" s="107"/>
    </row>
    <row r="845" spans="13:18" x14ac:dyDescent="0.25">
      <c r="M845" s="108"/>
      <c r="N845" s="108"/>
      <c r="O845" s="105"/>
      <c r="P845" s="105"/>
      <c r="Q845" s="107"/>
      <c r="R845" s="107"/>
    </row>
    <row r="846" spans="13:18" x14ac:dyDescent="0.25">
      <c r="M846" s="108"/>
      <c r="N846" s="108"/>
      <c r="O846" s="105"/>
      <c r="P846" s="105"/>
      <c r="Q846" s="107"/>
      <c r="R846" s="107"/>
    </row>
    <row r="847" spans="13:18" x14ac:dyDescent="0.25">
      <c r="M847" s="108"/>
      <c r="N847" s="108"/>
      <c r="O847" s="105"/>
      <c r="P847" s="105"/>
      <c r="Q847" s="107"/>
      <c r="R847" s="107"/>
    </row>
    <row r="848" spans="13:18" x14ac:dyDescent="0.25">
      <c r="M848" s="108"/>
      <c r="N848" s="108"/>
      <c r="O848" s="105"/>
      <c r="P848" s="105"/>
      <c r="Q848" s="107"/>
      <c r="R848" s="107"/>
    </row>
    <row r="849" spans="13:18" x14ac:dyDescent="0.25">
      <c r="M849" s="108"/>
      <c r="N849" s="108"/>
      <c r="O849" s="105"/>
      <c r="P849" s="105"/>
      <c r="Q849" s="107"/>
      <c r="R849" s="107"/>
    </row>
    <row r="850" spans="13:18" x14ac:dyDescent="0.25">
      <c r="M850" s="108"/>
      <c r="N850" s="108"/>
      <c r="O850" s="105"/>
      <c r="P850" s="105"/>
      <c r="Q850" s="107"/>
      <c r="R850" s="107"/>
    </row>
    <row r="851" spans="13:18" x14ac:dyDescent="0.25">
      <c r="M851" s="108"/>
      <c r="N851" s="108"/>
      <c r="O851" s="105"/>
      <c r="P851" s="105"/>
      <c r="Q851" s="107"/>
      <c r="R851" s="107"/>
    </row>
    <row r="852" spans="13:18" x14ac:dyDescent="0.25">
      <c r="M852" s="108"/>
      <c r="N852" s="108"/>
      <c r="O852" s="105"/>
      <c r="P852" s="105"/>
      <c r="Q852" s="107"/>
      <c r="R852" s="107"/>
    </row>
    <row r="853" spans="13:18" x14ac:dyDescent="0.25">
      <c r="M853" s="108"/>
      <c r="N853" s="108"/>
      <c r="O853" s="105"/>
      <c r="P853" s="105"/>
      <c r="Q853" s="107"/>
      <c r="R853" s="107"/>
    </row>
    <row r="854" spans="13:18" x14ac:dyDescent="0.25">
      <c r="M854" s="108"/>
      <c r="N854" s="108"/>
      <c r="O854" s="105"/>
      <c r="P854" s="105"/>
      <c r="Q854" s="107"/>
      <c r="R854" s="107"/>
    </row>
    <row r="855" spans="13:18" x14ac:dyDescent="0.25">
      <c r="M855" s="108"/>
      <c r="N855" s="108"/>
      <c r="O855" s="105"/>
      <c r="P855" s="105"/>
      <c r="Q855" s="107"/>
      <c r="R855" s="107"/>
    </row>
    <row r="856" spans="13:18" x14ac:dyDescent="0.25">
      <c r="M856" s="108"/>
      <c r="N856" s="108"/>
      <c r="O856" s="105"/>
      <c r="P856" s="105"/>
      <c r="Q856" s="107"/>
      <c r="R856" s="107"/>
    </row>
    <row r="857" spans="13:18" x14ac:dyDescent="0.25">
      <c r="M857" s="108"/>
      <c r="N857" s="108"/>
      <c r="O857" s="105"/>
      <c r="P857" s="105"/>
      <c r="Q857" s="107"/>
      <c r="R857" s="107"/>
    </row>
    <row r="858" spans="13:18" x14ac:dyDescent="0.25">
      <c r="M858" s="108"/>
      <c r="N858" s="108"/>
      <c r="O858" s="105"/>
      <c r="P858" s="105"/>
      <c r="Q858" s="107"/>
      <c r="R858" s="107"/>
    </row>
    <row r="859" spans="13:18" x14ac:dyDescent="0.25">
      <c r="M859" s="108"/>
      <c r="N859" s="108"/>
      <c r="O859" s="105"/>
      <c r="P859" s="105"/>
      <c r="Q859" s="107"/>
      <c r="R859" s="107"/>
    </row>
    <row r="860" spans="13:18" x14ac:dyDescent="0.25">
      <c r="M860" s="108"/>
      <c r="N860" s="108"/>
      <c r="O860" s="105"/>
      <c r="P860" s="105"/>
      <c r="Q860" s="107"/>
      <c r="R860" s="107"/>
    </row>
    <row r="861" spans="13:18" x14ac:dyDescent="0.25">
      <c r="M861" s="108"/>
      <c r="N861" s="108"/>
      <c r="O861" s="105"/>
      <c r="P861" s="105"/>
      <c r="Q861" s="107"/>
      <c r="R861" s="107"/>
    </row>
    <row r="862" spans="13:18" x14ac:dyDescent="0.25">
      <c r="M862" s="108"/>
      <c r="N862" s="108"/>
      <c r="O862" s="105"/>
      <c r="P862" s="105"/>
      <c r="Q862" s="107"/>
      <c r="R862" s="107"/>
    </row>
    <row r="863" spans="13:18" x14ac:dyDescent="0.25">
      <c r="M863" s="108"/>
      <c r="N863" s="108"/>
      <c r="O863" s="105"/>
      <c r="P863" s="105"/>
      <c r="Q863" s="107"/>
      <c r="R863" s="107"/>
    </row>
    <row r="864" spans="13:18" x14ac:dyDescent="0.25">
      <c r="M864" s="108"/>
      <c r="N864" s="108"/>
      <c r="O864" s="105"/>
      <c r="P864" s="105"/>
      <c r="Q864" s="107"/>
      <c r="R864" s="107"/>
    </row>
    <row r="865" spans="13:18" x14ac:dyDescent="0.25">
      <c r="M865" s="108"/>
      <c r="N865" s="108"/>
      <c r="O865" s="105"/>
      <c r="P865" s="105"/>
      <c r="Q865" s="107"/>
      <c r="R865" s="107"/>
    </row>
    <row r="866" spans="13:18" x14ac:dyDescent="0.25">
      <c r="M866" s="108"/>
      <c r="N866" s="108"/>
      <c r="O866" s="105"/>
      <c r="P866" s="105"/>
      <c r="Q866" s="107"/>
      <c r="R866" s="107"/>
    </row>
    <row r="867" spans="13:18" x14ac:dyDescent="0.25">
      <c r="M867" s="108"/>
      <c r="N867" s="108"/>
      <c r="O867" s="105"/>
      <c r="P867" s="105"/>
      <c r="Q867" s="107"/>
      <c r="R867" s="107"/>
    </row>
    <row r="868" spans="13:18" x14ac:dyDescent="0.25">
      <c r="M868" s="108"/>
      <c r="N868" s="108"/>
      <c r="O868" s="105"/>
      <c r="P868" s="105"/>
      <c r="Q868" s="107"/>
      <c r="R868" s="107"/>
    </row>
    <row r="869" spans="13:18" x14ac:dyDescent="0.25">
      <c r="M869" s="108"/>
      <c r="N869" s="108"/>
      <c r="O869" s="105"/>
      <c r="P869" s="105"/>
      <c r="Q869" s="107"/>
      <c r="R869" s="107"/>
    </row>
    <row r="870" spans="13:18" x14ac:dyDescent="0.25">
      <c r="M870" s="108"/>
      <c r="N870" s="108"/>
      <c r="O870" s="105"/>
      <c r="P870" s="105"/>
      <c r="Q870" s="107"/>
      <c r="R870" s="107"/>
    </row>
    <row r="871" spans="13:18" x14ac:dyDescent="0.25">
      <c r="M871" s="108"/>
      <c r="N871" s="108"/>
      <c r="O871" s="105"/>
      <c r="P871" s="105"/>
      <c r="Q871" s="107"/>
      <c r="R871" s="107"/>
    </row>
    <row r="872" spans="13:18" x14ac:dyDescent="0.25">
      <c r="M872" s="108"/>
      <c r="N872" s="108"/>
      <c r="O872" s="105"/>
      <c r="P872" s="105"/>
      <c r="Q872" s="107"/>
      <c r="R872" s="107"/>
    </row>
    <row r="873" spans="13:18" x14ac:dyDescent="0.25">
      <c r="M873" s="108"/>
      <c r="N873" s="108"/>
      <c r="O873" s="105"/>
      <c r="P873" s="105"/>
      <c r="Q873" s="107"/>
      <c r="R873" s="107"/>
    </row>
    <row r="874" spans="13:18" x14ac:dyDescent="0.25">
      <c r="M874" s="108"/>
      <c r="N874" s="108"/>
      <c r="O874" s="105"/>
      <c r="P874" s="105"/>
      <c r="Q874" s="107"/>
      <c r="R874" s="107"/>
    </row>
    <row r="875" spans="13:18" x14ac:dyDescent="0.25">
      <c r="M875" s="108"/>
      <c r="N875" s="108"/>
      <c r="O875" s="105"/>
      <c r="P875" s="105"/>
      <c r="Q875" s="107"/>
      <c r="R875" s="107"/>
    </row>
    <row r="876" spans="13:18" x14ac:dyDescent="0.25">
      <c r="M876" s="108"/>
      <c r="N876" s="108"/>
      <c r="O876" s="105"/>
      <c r="P876" s="105"/>
      <c r="Q876" s="107"/>
      <c r="R876" s="107"/>
    </row>
    <row r="877" spans="13:18" x14ac:dyDescent="0.25">
      <c r="M877" s="108"/>
      <c r="N877" s="108"/>
      <c r="O877" s="105"/>
      <c r="P877" s="105"/>
      <c r="Q877" s="107"/>
      <c r="R877" s="107"/>
    </row>
    <row r="878" spans="13:18" x14ac:dyDescent="0.25">
      <c r="M878" s="108"/>
      <c r="N878" s="108"/>
      <c r="O878" s="105"/>
      <c r="P878" s="105"/>
      <c r="Q878" s="107"/>
      <c r="R878" s="107"/>
    </row>
    <row r="879" spans="13:18" x14ac:dyDescent="0.25">
      <c r="M879" s="108"/>
      <c r="N879" s="108"/>
      <c r="O879" s="105"/>
      <c r="P879" s="105"/>
      <c r="Q879" s="107"/>
      <c r="R879" s="107"/>
    </row>
    <row r="880" spans="13:18" x14ac:dyDescent="0.25">
      <c r="M880" s="108"/>
      <c r="N880" s="108"/>
      <c r="O880" s="105"/>
      <c r="P880" s="105"/>
      <c r="Q880" s="107"/>
      <c r="R880" s="107"/>
    </row>
    <row r="881" spans="13:18" x14ac:dyDescent="0.25">
      <c r="M881" s="108"/>
      <c r="N881" s="108"/>
      <c r="O881" s="105"/>
      <c r="P881" s="105"/>
      <c r="Q881" s="107"/>
      <c r="R881" s="107"/>
    </row>
    <row r="882" spans="13:18" x14ac:dyDescent="0.25">
      <c r="M882" s="108"/>
      <c r="N882" s="108"/>
      <c r="O882" s="105"/>
      <c r="P882" s="105"/>
      <c r="Q882" s="107"/>
      <c r="R882" s="107"/>
    </row>
    <row r="883" spans="13:18" x14ac:dyDescent="0.25">
      <c r="M883" s="108"/>
      <c r="N883" s="108"/>
      <c r="O883" s="105"/>
      <c r="P883" s="105"/>
      <c r="Q883" s="107"/>
      <c r="R883" s="107"/>
    </row>
    <row r="884" spans="13:18" x14ac:dyDescent="0.25">
      <c r="M884" s="108"/>
      <c r="N884" s="108"/>
      <c r="O884" s="105"/>
      <c r="P884" s="105"/>
      <c r="Q884" s="107"/>
      <c r="R884" s="107"/>
    </row>
    <row r="885" spans="13:18" x14ac:dyDescent="0.25">
      <c r="M885" s="108"/>
      <c r="N885" s="108"/>
      <c r="O885" s="105"/>
      <c r="P885" s="105"/>
      <c r="Q885" s="107"/>
      <c r="R885" s="107"/>
    </row>
    <row r="886" spans="13:18" x14ac:dyDescent="0.25">
      <c r="M886" s="108"/>
      <c r="N886" s="108"/>
      <c r="O886" s="105"/>
      <c r="P886" s="105"/>
      <c r="Q886" s="107"/>
      <c r="R886" s="107"/>
    </row>
    <row r="887" spans="13:18" x14ac:dyDescent="0.25">
      <c r="M887" s="108"/>
      <c r="N887" s="108"/>
      <c r="O887" s="105"/>
      <c r="P887" s="105"/>
      <c r="Q887" s="107"/>
      <c r="R887" s="107"/>
    </row>
    <row r="888" spans="13:18" x14ac:dyDescent="0.25">
      <c r="M888" s="108"/>
      <c r="N888" s="108"/>
      <c r="O888" s="105"/>
      <c r="P888" s="105"/>
      <c r="Q888" s="107"/>
      <c r="R888" s="107"/>
    </row>
    <row r="889" spans="13:18" x14ac:dyDescent="0.25">
      <c r="M889" s="108"/>
      <c r="N889" s="108"/>
      <c r="O889" s="105"/>
      <c r="P889" s="105"/>
      <c r="Q889" s="107"/>
      <c r="R889" s="107"/>
    </row>
    <row r="890" spans="13:18" x14ac:dyDescent="0.25">
      <c r="M890" s="108"/>
      <c r="N890" s="108"/>
      <c r="O890" s="105"/>
      <c r="P890" s="105"/>
      <c r="Q890" s="107"/>
      <c r="R890" s="107"/>
    </row>
    <row r="891" spans="13:18" x14ac:dyDescent="0.25">
      <c r="M891" s="108"/>
      <c r="N891" s="108"/>
      <c r="O891" s="105"/>
      <c r="P891" s="105"/>
      <c r="Q891" s="107"/>
      <c r="R891" s="107"/>
    </row>
    <row r="892" spans="13:18" x14ac:dyDescent="0.25">
      <c r="M892" s="108"/>
      <c r="N892" s="108"/>
      <c r="O892" s="105"/>
      <c r="P892" s="105"/>
      <c r="Q892" s="107"/>
      <c r="R892" s="107"/>
    </row>
    <row r="893" spans="13:18" x14ac:dyDescent="0.25">
      <c r="M893" s="108"/>
      <c r="N893" s="108"/>
      <c r="O893" s="105"/>
      <c r="P893" s="105"/>
      <c r="Q893" s="107"/>
      <c r="R893" s="107"/>
    </row>
    <row r="894" spans="13:18" x14ac:dyDescent="0.25">
      <c r="M894" s="108"/>
      <c r="N894" s="108"/>
      <c r="O894" s="105"/>
      <c r="P894" s="105"/>
      <c r="Q894" s="107"/>
      <c r="R894" s="107"/>
    </row>
    <row r="895" spans="13:18" x14ac:dyDescent="0.25">
      <c r="M895" s="108"/>
      <c r="N895" s="108"/>
      <c r="O895" s="105"/>
      <c r="P895" s="105"/>
      <c r="Q895" s="107"/>
      <c r="R895" s="107"/>
    </row>
    <row r="896" spans="13:18" x14ac:dyDescent="0.25">
      <c r="M896" s="108"/>
      <c r="N896" s="108"/>
      <c r="O896" s="105"/>
      <c r="P896" s="105"/>
      <c r="Q896" s="107"/>
      <c r="R896" s="107"/>
    </row>
    <row r="897" spans="13:18" x14ac:dyDescent="0.25">
      <c r="M897" s="108"/>
      <c r="N897" s="108"/>
      <c r="O897" s="105"/>
      <c r="P897" s="105"/>
      <c r="Q897" s="107"/>
      <c r="R897" s="107"/>
    </row>
    <row r="898" spans="13:18" x14ac:dyDescent="0.25">
      <c r="M898" s="108"/>
      <c r="N898" s="108"/>
      <c r="O898" s="105"/>
      <c r="P898" s="105"/>
      <c r="Q898" s="107"/>
      <c r="R898" s="107"/>
    </row>
    <row r="899" spans="13:18" x14ac:dyDescent="0.25">
      <c r="M899" s="108"/>
      <c r="N899" s="108"/>
      <c r="O899" s="105"/>
      <c r="P899" s="105"/>
      <c r="Q899" s="107"/>
      <c r="R899" s="107"/>
    </row>
    <row r="900" spans="13:18" x14ac:dyDescent="0.25">
      <c r="M900" s="108"/>
      <c r="N900" s="108"/>
      <c r="O900" s="105"/>
      <c r="P900" s="105"/>
      <c r="Q900" s="107"/>
      <c r="R900" s="107"/>
    </row>
    <row r="901" spans="13:18" x14ac:dyDescent="0.25">
      <c r="M901" s="108"/>
      <c r="N901" s="108"/>
      <c r="O901" s="105"/>
      <c r="P901" s="105"/>
      <c r="Q901" s="107"/>
      <c r="R901" s="107"/>
    </row>
    <row r="902" spans="13:18" x14ac:dyDescent="0.25">
      <c r="M902" s="108"/>
      <c r="N902" s="108"/>
      <c r="O902" s="105"/>
      <c r="P902" s="105"/>
      <c r="Q902" s="107"/>
      <c r="R902" s="107"/>
    </row>
    <row r="903" spans="13:18" x14ac:dyDescent="0.25">
      <c r="M903" s="108"/>
      <c r="N903" s="108"/>
      <c r="O903" s="105"/>
      <c r="P903" s="105"/>
      <c r="Q903" s="107"/>
      <c r="R903" s="107"/>
    </row>
    <row r="904" spans="13:18" x14ac:dyDescent="0.25">
      <c r="M904" s="108"/>
      <c r="N904" s="108"/>
      <c r="O904" s="105"/>
      <c r="P904" s="105"/>
      <c r="Q904" s="107"/>
      <c r="R904" s="107"/>
    </row>
    <row r="905" spans="13:18" x14ac:dyDescent="0.25">
      <c r="M905" s="108"/>
      <c r="N905" s="108"/>
      <c r="O905" s="105"/>
      <c r="P905" s="105"/>
      <c r="Q905" s="107"/>
      <c r="R905" s="107"/>
    </row>
    <row r="906" spans="13:18" x14ac:dyDescent="0.25">
      <c r="M906" s="108"/>
      <c r="N906" s="108"/>
      <c r="O906" s="105"/>
      <c r="P906" s="105"/>
      <c r="Q906" s="107"/>
      <c r="R906" s="107"/>
    </row>
    <row r="907" spans="13:18" x14ac:dyDescent="0.25">
      <c r="M907" s="108"/>
      <c r="N907" s="108"/>
      <c r="O907" s="105"/>
      <c r="P907" s="105"/>
      <c r="Q907" s="107"/>
      <c r="R907" s="107"/>
    </row>
    <row r="908" spans="13:18" x14ac:dyDescent="0.25">
      <c r="M908" s="108"/>
      <c r="N908" s="108"/>
      <c r="O908" s="105"/>
      <c r="P908" s="105"/>
      <c r="Q908" s="107"/>
      <c r="R908" s="107"/>
    </row>
    <row r="909" spans="13:18" x14ac:dyDescent="0.25">
      <c r="M909" s="108"/>
      <c r="N909" s="108"/>
      <c r="O909" s="105"/>
      <c r="P909" s="105"/>
      <c r="Q909" s="107"/>
      <c r="R909" s="107"/>
    </row>
    <row r="910" spans="13:18" x14ac:dyDescent="0.25">
      <c r="M910" s="108"/>
      <c r="N910" s="108"/>
      <c r="O910" s="105"/>
      <c r="P910" s="105"/>
      <c r="Q910" s="107"/>
      <c r="R910" s="107"/>
    </row>
    <row r="911" spans="13:18" x14ac:dyDescent="0.25">
      <c r="M911" s="108"/>
      <c r="N911" s="108"/>
      <c r="O911" s="105"/>
      <c r="P911" s="105"/>
      <c r="Q911" s="107"/>
      <c r="R911" s="107"/>
    </row>
    <row r="912" spans="13:18" x14ac:dyDescent="0.25">
      <c r="M912" s="108"/>
      <c r="N912" s="108"/>
      <c r="O912" s="105"/>
      <c r="P912" s="105"/>
      <c r="Q912" s="107"/>
      <c r="R912" s="107"/>
    </row>
    <row r="913" spans="13:18" x14ac:dyDescent="0.25">
      <c r="M913" s="108"/>
      <c r="N913" s="108"/>
      <c r="O913" s="105"/>
      <c r="P913" s="105"/>
      <c r="Q913" s="107"/>
      <c r="R913" s="107"/>
    </row>
    <row r="914" spans="13:18" x14ac:dyDescent="0.25">
      <c r="M914" s="108"/>
      <c r="N914" s="108"/>
      <c r="O914" s="105"/>
      <c r="P914" s="105"/>
      <c r="Q914" s="107"/>
      <c r="R914" s="107"/>
    </row>
    <row r="915" spans="13:18" x14ac:dyDescent="0.25">
      <c r="M915" s="108"/>
      <c r="N915" s="108"/>
      <c r="O915" s="105"/>
      <c r="P915" s="105"/>
      <c r="Q915" s="107"/>
      <c r="R915" s="107"/>
    </row>
    <row r="916" spans="13:18" x14ac:dyDescent="0.25">
      <c r="M916" s="108"/>
      <c r="N916" s="108"/>
      <c r="O916" s="105"/>
      <c r="P916" s="105"/>
      <c r="Q916" s="107"/>
      <c r="R916" s="107"/>
    </row>
    <row r="917" spans="13:18" x14ac:dyDescent="0.25">
      <c r="M917" s="108"/>
      <c r="N917" s="108"/>
      <c r="O917" s="105"/>
      <c r="P917" s="105"/>
      <c r="Q917" s="107"/>
      <c r="R917" s="107"/>
    </row>
    <row r="918" spans="13:18" x14ac:dyDescent="0.25">
      <c r="M918" s="108"/>
      <c r="N918" s="108"/>
      <c r="O918" s="105"/>
      <c r="P918" s="105"/>
      <c r="Q918" s="107"/>
      <c r="R918" s="107"/>
    </row>
    <row r="919" spans="13:18" x14ac:dyDescent="0.25">
      <c r="M919" s="108"/>
      <c r="N919" s="108"/>
      <c r="O919" s="105"/>
      <c r="P919" s="105"/>
      <c r="Q919" s="107"/>
      <c r="R919" s="107"/>
    </row>
    <row r="920" spans="13:18" x14ac:dyDescent="0.25">
      <c r="M920" s="108"/>
      <c r="N920" s="108"/>
      <c r="O920" s="105"/>
      <c r="P920" s="105"/>
      <c r="Q920" s="107"/>
      <c r="R920" s="107"/>
    </row>
    <row r="921" spans="13:18" x14ac:dyDescent="0.25">
      <c r="M921" s="108"/>
      <c r="N921" s="108"/>
      <c r="O921" s="105"/>
      <c r="P921" s="105"/>
      <c r="Q921" s="107"/>
      <c r="R921" s="107"/>
    </row>
    <row r="922" spans="13:18" x14ac:dyDescent="0.25">
      <c r="M922" s="108"/>
      <c r="N922" s="108"/>
      <c r="O922" s="105"/>
      <c r="P922" s="105"/>
      <c r="Q922" s="107"/>
      <c r="R922" s="107"/>
    </row>
    <row r="923" spans="13:18" x14ac:dyDescent="0.25">
      <c r="M923" s="108"/>
      <c r="N923" s="108"/>
      <c r="O923" s="105"/>
      <c r="P923" s="105"/>
      <c r="Q923" s="107"/>
      <c r="R923" s="107"/>
    </row>
    <row r="924" spans="13:18" x14ac:dyDescent="0.25">
      <c r="M924" s="108"/>
      <c r="N924" s="108"/>
      <c r="O924" s="105"/>
      <c r="P924" s="105"/>
      <c r="Q924" s="107"/>
      <c r="R924" s="107"/>
    </row>
    <row r="925" spans="13:18" x14ac:dyDescent="0.25">
      <c r="M925" s="108"/>
      <c r="N925" s="108"/>
      <c r="O925" s="105"/>
      <c r="P925" s="105"/>
      <c r="Q925" s="107"/>
      <c r="R925" s="107"/>
    </row>
    <row r="926" spans="13:18" x14ac:dyDescent="0.25">
      <c r="M926" s="108"/>
      <c r="N926" s="108"/>
      <c r="O926" s="105"/>
      <c r="P926" s="105"/>
      <c r="Q926" s="107"/>
      <c r="R926" s="107"/>
    </row>
    <row r="927" spans="13:18" x14ac:dyDescent="0.25">
      <c r="M927" s="108"/>
      <c r="N927" s="108"/>
      <c r="O927" s="105"/>
      <c r="P927" s="105"/>
      <c r="Q927" s="107"/>
      <c r="R927" s="107"/>
    </row>
    <row r="928" spans="13:18" x14ac:dyDescent="0.25">
      <c r="M928" s="108"/>
      <c r="N928" s="108"/>
      <c r="O928" s="105"/>
      <c r="P928" s="105"/>
      <c r="Q928" s="107"/>
      <c r="R928" s="107"/>
    </row>
    <row r="929" spans="13:18" x14ac:dyDescent="0.25">
      <c r="M929" s="108"/>
      <c r="N929" s="108"/>
      <c r="O929" s="105"/>
      <c r="P929" s="105"/>
      <c r="Q929" s="107"/>
      <c r="R929" s="107"/>
    </row>
    <row r="930" spans="13:18" x14ac:dyDescent="0.25">
      <c r="M930" s="108"/>
      <c r="N930" s="108"/>
      <c r="O930" s="105"/>
      <c r="P930" s="105"/>
      <c r="Q930" s="107"/>
      <c r="R930" s="107"/>
    </row>
    <row r="931" spans="13:18" x14ac:dyDescent="0.25">
      <c r="M931" s="108"/>
      <c r="N931" s="108"/>
      <c r="O931" s="105"/>
      <c r="P931" s="105"/>
      <c r="Q931" s="107"/>
      <c r="R931" s="107"/>
    </row>
    <row r="932" spans="13:18" x14ac:dyDescent="0.25">
      <c r="M932" s="108"/>
      <c r="N932" s="108"/>
      <c r="O932" s="105"/>
      <c r="P932" s="105"/>
      <c r="Q932" s="107"/>
      <c r="R932" s="107"/>
    </row>
    <row r="933" spans="13:18" x14ac:dyDescent="0.25">
      <c r="M933" s="108"/>
      <c r="N933" s="108"/>
      <c r="O933" s="105"/>
      <c r="P933" s="105"/>
      <c r="Q933" s="107"/>
      <c r="R933" s="107"/>
    </row>
    <row r="934" spans="13:18" x14ac:dyDescent="0.25">
      <c r="M934" s="108"/>
      <c r="N934" s="108"/>
      <c r="O934" s="105"/>
      <c r="P934" s="105"/>
      <c r="Q934" s="107"/>
      <c r="R934" s="107"/>
    </row>
    <row r="935" spans="13:18" x14ac:dyDescent="0.25">
      <c r="M935" s="108"/>
      <c r="N935" s="108"/>
      <c r="O935" s="105"/>
      <c r="P935" s="105"/>
      <c r="Q935" s="107"/>
      <c r="R935" s="107"/>
    </row>
    <row r="936" spans="13:18" x14ac:dyDescent="0.25">
      <c r="M936" s="108"/>
      <c r="N936" s="108"/>
      <c r="O936" s="105"/>
      <c r="P936" s="105"/>
      <c r="Q936" s="107"/>
      <c r="R936" s="107"/>
    </row>
    <row r="937" spans="13:18" x14ac:dyDescent="0.25">
      <c r="M937" s="108"/>
      <c r="N937" s="108"/>
      <c r="O937" s="105"/>
      <c r="P937" s="105"/>
      <c r="Q937" s="107"/>
      <c r="R937" s="107"/>
    </row>
    <row r="938" spans="13:18" x14ac:dyDescent="0.25">
      <c r="M938" s="108"/>
      <c r="N938" s="108"/>
      <c r="O938" s="105"/>
      <c r="P938" s="105"/>
      <c r="Q938" s="107"/>
      <c r="R938" s="107"/>
    </row>
    <row r="939" spans="13:18" x14ac:dyDescent="0.25">
      <c r="M939" s="108"/>
      <c r="N939" s="108"/>
      <c r="O939" s="105"/>
      <c r="P939" s="105"/>
      <c r="Q939" s="107"/>
      <c r="R939" s="107"/>
    </row>
    <row r="940" spans="13:18" x14ac:dyDescent="0.25">
      <c r="M940" s="108"/>
      <c r="N940" s="108"/>
      <c r="O940" s="105"/>
      <c r="P940" s="105"/>
      <c r="Q940" s="107"/>
      <c r="R940" s="107"/>
    </row>
    <row r="941" spans="13:18" x14ac:dyDescent="0.25">
      <c r="M941" s="108"/>
      <c r="N941" s="108"/>
      <c r="O941" s="105"/>
      <c r="P941" s="105"/>
      <c r="Q941" s="107"/>
      <c r="R941" s="107"/>
    </row>
    <row r="942" spans="13:18" x14ac:dyDescent="0.25">
      <c r="M942" s="108"/>
      <c r="N942" s="108"/>
      <c r="O942" s="105"/>
      <c r="P942" s="105"/>
      <c r="Q942" s="107"/>
      <c r="R942" s="107"/>
    </row>
    <row r="943" spans="13:18" x14ac:dyDescent="0.25">
      <c r="M943" s="108"/>
      <c r="N943" s="108"/>
      <c r="O943" s="105"/>
      <c r="P943" s="105"/>
      <c r="Q943" s="107"/>
      <c r="R943" s="107"/>
    </row>
    <row r="944" spans="13:18" x14ac:dyDescent="0.25">
      <c r="M944" s="108"/>
      <c r="N944" s="108"/>
      <c r="O944" s="105"/>
      <c r="P944" s="105"/>
      <c r="Q944" s="107"/>
      <c r="R944" s="107"/>
    </row>
    <row r="945" spans="13:18" x14ac:dyDescent="0.25">
      <c r="M945" s="108"/>
      <c r="N945" s="108"/>
      <c r="O945" s="105"/>
      <c r="P945" s="105"/>
      <c r="Q945" s="107"/>
      <c r="R945" s="107"/>
    </row>
    <row r="946" spans="13:18" x14ac:dyDescent="0.25">
      <c r="M946" s="108"/>
      <c r="N946" s="108"/>
      <c r="O946" s="105"/>
      <c r="P946" s="105"/>
      <c r="Q946" s="107"/>
      <c r="R946" s="107"/>
    </row>
    <row r="947" spans="13:18" x14ac:dyDescent="0.25">
      <c r="M947" s="108"/>
      <c r="N947" s="108"/>
      <c r="O947" s="105"/>
      <c r="P947" s="105"/>
      <c r="Q947" s="107"/>
      <c r="R947" s="107"/>
    </row>
    <row r="948" spans="13:18" x14ac:dyDescent="0.25">
      <c r="M948" s="108"/>
      <c r="N948" s="108"/>
      <c r="O948" s="105"/>
      <c r="P948" s="105"/>
      <c r="Q948" s="107"/>
      <c r="R948" s="107"/>
    </row>
    <row r="949" spans="13:18" x14ac:dyDescent="0.25">
      <c r="M949" s="108"/>
      <c r="N949" s="108"/>
      <c r="O949" s="105"/>
      <c r="P949" s="105"/>
      <c r="Q949" s="107"/>
      <c r="R949" s="107"/>
    </row>
    <row r="950" spans="13:18" x14ac:dyDescent="0.25">
      <c r="M950" s="108"/>
      <c r="N950" s="108"/>
      <c r="O950" s="105"/>
      <c r="P950" s="105"/>
      <c r="Q950" s="107"/>
      <c r="R950" s="107"/>
    </row>
    <row r="951" spans="13:18" x14ac:dyDescent="0.25">
      <c r="M951" s="108"/>
      <c r="N951" s="108"/>
      <c r="O951" s="105"/>
      <c r="P951" s="105"/>
      <c r="Q951" s="107"/>
      <c r="R951" s="107"/>
    </row>
    <row r="952" spans="13:18" x14ac:dyDescent="0.25">
      <c r="M952" s="108"/>
      <c r="N952" s="108"/>
      <c r="O952" s="105"/>
      <c r="P952" s="105"/>
      <c r="Q952" s="107"/>
      <c r="R952" s="107"/>
    </row>
    <row r="953" spans="13:18" x14ac:dyDescent="0.25">
      <c r="M953" s="108"/>
      <c r="N953" s="108"/>
      <c r="O953" s="105"/>
      <c r="P953" s="105"/>
      <c r="Q953" s="107"/>
      <c r="R953" s="107"/>
    </row>
    <row r="954" spans="13:18" x14ac:dyDescent="0.25">
      <c r="M954" s="108"/>
      <c r="N954" s="108"/>
      <c r="O954" s="105"/>
      <c r="P954" s="105"/>
      <c r="Q954" s="107"/>
      <c r="R954" s="107"/>
    </row>
    <row r="955" spans="13:18" x14ac:dyDescent="0.25">
      <c r="M955" s="108"/>
      <c r="N955" s="108"/>
      <c r="O955" s="105"/>
      <c r="P955" s="105"/>
      <c r="Q955" s="107"/>
      <c r="R955" s="107"/>
    </row>
    <row r="956" spans="13:18" x14ac:dyDescent="0.25">
      <c r="M956" s="108"/>
      <c r="N956" s="108"/>
      <c r="O956" s="105"/>
      <c r="P956" s="105"/>
      <c r="Q956" s="107"/>
      <c r="R956" s="107"/>
    </row>
    <row r="957" spans="13:18" x14ac:dyDescent="0.25">
      <c r="M957" s="108"/>
      <c r="N957" s="108"/>
      <c r="O957" s="105"/>
      <c r="P957" s="105"/>
      <c r="Q957" s="107"/>
      <c r="R957" s="107"/>
    </row>
    <row r="958" spans="13:18" x14ac:dyDescent="0.25">
      <c r="M958" s="108"/>
      <c r="N958" s="108"/>
      <c r="O958" s="105"/>
      <c r="P958" s="105"/>
      <c r="Q958" s="107"/>
      <c r="R958" s="107"/>
    </row>
    <row r="959" spans="13:18" x14ac:dyDescent="0.25">
      <c r="M959" s="108"/>
      <c r="N959" s="108"/>
      <c r="O959" s="105"/>
      <c r="P959" s="105"/>
      <c r="Q959" s="107"/>
      <c r="R959" s="107"/>
    </row>
    <row r="960" spans="13:18" x14ac:dyDescent="0.25">
      <c r="M960" s="108"/>
      <c r="N960" s="108"/>
      <c r="O960" s="105"/>
      <c r="P960" s="105"/>
      <c r="Q960" s="107"/>
      <c r="R960" s="107"/>
    </row>
    <row r="961" spans="13:18" x14ac:dyDescent="0.25">
      <c r="M961" s="108"/>
      <c r="N961" s="108"/>
      <c r="O961" s="105"/>
      <c r="P961" s="105"/>
      <c r="Q961" s="107"/>
      <c r="R961" s="107"/>
    </row>
    <row r="962" spans="13:18" x14ac:dyDescent="0.25">
      <c r="M962" s="108"/>
      <c r="N962" s="108"/>
      <c r="O962" s="105"/>
      <c r="P962" s="105"/>
      <c r="Q962" s="107"/>
      <c r="R962" s="107"/>
    </row>
    <row r="963" spans="13:18" x14ac:dyDescent="0.25">
      <c r="M963" s="108"/>
      <c r="N963" s="108"/>
      <c r="O963" s="105"/>
      <c r="P963" s="105"/>
      <c r="Q963" s="107"/>
      <c r="R963" s="107"/>
    </row>
    <row r="964" spans="13:18" x14ac:dyDescent="0.25">
      <c r="M964" s="108"/>
      <c r="N964" s="108"/>
      <c r="O964" s="105"/>
      <c r="P964" s="105"/>
      <c r="Q964" s="107"/>
      <c r="R964" s="107"/>
    </row>
    <row r="965" spans="13:18" x14ac:dyDescent="0.25">
      <c r="M965" s="108"/>
      <c r="N965" s="108"/>
      <c r="O965" s="105"/>
      <c r="P965" s="105"/>
      <c r="Q965" s="107"/>
      <c r="R965" s="107"/>
    </row>
    <row r="966" spans="13:18" x14ac:dyDescent="0.25">
      <c r="M966" s="108"/>
      <c r="N966" s="108"/>
      <c r="O966" s="105"/>
      <c r="P966" s="105"/>
      <c r="Q966" s="107"/>
      <c r="R966" s="107"/>
    </row>
    <row r="967" spans="13:18" x14ac:dyDescent="0.25">
      <c r="M967" s="108"/>
      <c r="N967" s="108"/>
      <c r="O967" s="105"/>
      <c r="P967" s="105"/>
      <c r="Q967" s="107"/>
      <c r="R967" s="107"/>
    </row>
    <row r="968" spans="13:18" x14ac:dyDescent="0.25">
      <c r="M968" s="108"/>
      <c r="N968" s="108"/>
      <c r="O968" s="105"/>
      <c r="P968" s="105"/>
      <c r="Q968" s="107"/>
      <c r="R968" s="107"/>
    </row>
    <row r="969" spans="13:18" x14ac:dyDescent="0.25">
      <c r="M969" s="108"/>
      <c r="N969" s="108"/>
      <c r="O969" s="105"/>
      <c r="P969" s="105"/>
      <c r="Q969" s="107"/>
      <c r="R969" s="107"/>
    </row>
    <row r="970" spans="13:18" x14ac:dyDescent="0.25">
      <c r="M970" s="108"/>
      <c r="N970" s="108"/>
      <c r="O970" s="105"/>
      <c r="P970" s="105"/>
      <c r="Q970" s="107"/>
      <c r="R970" s="107"/>
    </row>
    <row r="971" spans="13:18" x14ac:dyDescent="0.25">
      <c r="M971" s="108"/>
      <c r="N971" s="108"/>
      <c r="O971" s="105"/>
      <c r="P971" s="105"/>
      <c r="Q971" s="107"/>
      <c r="R971" s="107"/>
    </row>
    <row r="972" spans="13:18" x14ac:dyDescent="0.25">
      <c r="M972" s="108"/>
      <c r="N972" s="108"/>
      <c r="O972" s="105"/>
      <c r="P972" s="105"/>
      <c r="Q972" s="107"/>
      <c r="R972" s="107"/>
    </row>
    <row r="973" spans="13:18" x14ac:dyDescent="0.25">
      <c r="M973" s="108"/>
      <c r="N973" s="108"/>
      <c r="O973" s="105"/>
      <c r="P973" s="105"/>
      <c r="Q973" s="107"/>
      <c r="R973" s="107"/>
    </row>
    <row r="974" spans="13:18" x14ac:dyDescent="0.25">
      <c r="M974" s="108"/>
      <c r="N974" s="108"/>
      <c r="O974" s="105"/>
      <c r="P974" s="105"/>
      <c r="Q974" s="107"/>
      <c r="R974" s="107"/>
    </row>
    <row r="975" spans="13:18" x14ac:dyDescent="0.25">
      <c r="M975" s="108"/>
      <c r="N975" s="108"/>
      <c r="O975" s="105"/>
      <c r="P975" s="105"/>
      <c r="Q975" s="107"/>
      <c r="R975" s="107"/>
    </row>
    <row r="976" spans="13:18" x14ac:dyDescent="0.25">
      <c r="M976" s="108"/>
      <c r="N976" s="108"/>
      <c r="O976" s="105"/>
      <c r="P976" s="105"/>
      <c r="Q976" s="107"/>
      <c r="R976" s="107"/>
    </row>
    <row r="977" spans="13:18" x14ac:dyDescent="0.25">
      <c r="M977" s="108"/>
      <c r="N977" s="108"/>
      <c r="O977" s="105"/>
      <c r="P977" s="105"/>
      <c r="Q977" s="107"/>
      <c r="R977" s="107"/>
    </row>
    <row r="978" spans="13:18" x14ac:dyDescent="0.25">
      <c r="M978" s="108"/>
      <c r="N978" s="108"/>
      <c r="O978" s="105"/>
      <c r="P978" s="105"/>
      <c r="Q978" s="107"/>
      <c r="R978" s="107"/>
    </row>
    <row r="979" spans="13:18" x14ac:dyDescent="0.25">
      <c r="M979" s="108"/>
      <c r="N979" s="108"/>
      <c r="O979" s="105"/>
      <c r="P979" s="105"/>
      <c r="Q979" s="107"/>
      <c r="R979" s="107"/>
    </row>
    <row r="980" spans="13:18" x14ac:dyDescent="0.25">
      <c r="M980" s="108"/>
      <c r="N980" s="108"/>
      <c r="O980" s="105"/>
      <c r="P980" s="105"/>
      <c r="Q980" s="107"/>
      <c r="R980" s="107"/>
    </row>
    <row r="981" spans="13:18" x14ac:dyDescent="0.25">
      <c r="M981" s="108"/>
      <c r="N981" s="108"/>
      <c r="O981" s="105"/>
      <c r="P981" s="105"/>
      <c r="Q981" s="107"/>
      <c r="R981" s="107"/>
    </row>
    <row r="982" spans="13:18" x14ac:dyDescent="0.25">
      <c r="M982" s="108"/>
      <c r="N982" s="108"/>
      <c r="O982" s="105"/>
      <c r="P982" s="105"/>
      <c r="Q982" s="107"/>
      <c r="R982" s="107"/>
    </row>
    <row r="983" spans="13:18" x14ac:dyDescent="0.25">
      <c r="M983" s="108"/>
      <c r="N983" s="108"/>
      <c r="O983" s="105"/>
      <c r="P983" s="105"/>
      <c r="Q983" s="107"/>
      <c r="R983" s="107"/>
    </row>
    <row r="984" spans="13:18" x14ac:dyDescent="0.25">
      <c r="M984" s="108"/>
      <c r="N984" s="108"/>
      <c r="O984" s="105"/>
      <c r="P984" s="105"/>
      <c r="Q984" s="107"/>
      <c r="R984" s="107"/>
    </row>
    <row r="985" spans="13:18" x14ac:dyDescent="0.25">
      <c r="M985" s="108"/>
      <c r="N985" s="108"/>
      <c r="O985" s="105"/>
      <c r="P985" s="105"/>
      <c r="Q985" s="107"/>
      <c r="R985" s="107"/>
    </row>
    <row r="986" spans="13:18" x14ac:dyDescent="0.25">
      <c r="M986" s="108"/>
      <c r="N986" s="108"/>
      <c r="O986" s="105"/>
      <c r="P986" s="105"/>
      <c r="Q986" s="107"/>
      <c r="R986" s="107"/>
    </row>
    <row r="987" spans="13:18" x14ac:dyDescent="0.25">
      <c r="M987" s="108"/>
      <c r="N987" s="108"/>
      <c r="O987" s="105"/>
      <c r="P987" s="105"/>
      <c r="Q987" s="107"/>
      <c r="R987" s="107"/>
    </row>
    <row r="988" spans="13:18" x14ac:dyDescent="0.25">
      <c r="M988" s="108"/>
      <c r="N988" s="108"/>
      <c r="O988" s="105"/>
      <c r="P988" s="105"/>
      <c r="Q988" s="107"/>
      <c r="R988" s="107"/>
    </row>
    <row r="989" spans="13:18" x14ac:dyDescent="0.25">
      <c r="M989" s="108"/>
      <c r="N989" s="108"/>
      <c r="O989" s="105"/>
      <c r="P989" s="105"/>
      <c r="Q989" s="107"/>
      <c r="R989" s="107"/>
    </row>
    <row r="990" spans="13:18" x14ac:dyDescent="0.25">
      <c r="M990" s="108"/>
      <c r="N990" s="108"/>
      <c r="O990" s="105"/>
      <c r="P990" s="105"/>
      <c r="Q990" s="107"/>
      <c r="R990" s="107"/>
    </row>
    <row r="991" spans="13:18" x14ac:dyDescent="0.25">
      <c r="M991" s="108"/>
      <c r="N991" s="108"/>
      <c r="O991" s="105"/>
      <c r="P991" s="105"/>
      <c r="Q991" s="107"/>
      <c r="R991" s="107"/>
    </row>
    <row r="992" spans="13:18" x14ac:dyDescent="0.25">
      <c r="M992" s="108"/>
      <c r="N992" s="108"/>
      <c r="O992" s="105"/>
      <c r="P992" s="105"/>
      <c r="Q992" s="107"/>
      <c r="R992" s="107"/>
    </row>
    <row r="993" spans="13:18" x14ac:dyDescent="0.25">
      <c r="M993" s="108"/>
      <c r="N993" s="108"/>
      <c r="O993" s="105"/>
      <c r="P993" s="105"/>
      <c r="Q993" s="107"/>
      <c r="R993" s="107"/>
    </row>
    <row r="994" spans="13:18" x14ac:dyDescent="0.25">
      <c r="M994" s="108"/>
      <c r="N994" s="108"/>
      <c r="O994" s="105"/>
      <c r="P994" s="105"/>
      <c r="Q994" s="107"/>
      <c r="R994" s="107"/>
    </row>
    <row r="995" spans="13:18" x14ac:dyDescent="0.25">
      <c r="M995" s="108"/>
      <c r="N995" s="108"/>
      <c r="O995" s="105"/>
      <c r="P995" s="105"/>
      <c r="Q995" s="107"/>
      <c r="R995" s="107"/>
    </row>
    <row r="996" spans="13:18" x14ac:dyDescent="0.25">
      <c r="M996" s="108"/>
      <c r="N996" s="108"/>
      <c r="O996" s="105"/>
      <c r="P996" s="105"/>
      <c r="Q996" s="107"/>
      <c r="R996" s="107"/>
    </row>
    <row r="997" spans="13:18" x14ac:dyDescent="0.25">
      <c r="M997" s="108"/>
      <c r="N997" s="108"/>
      <c r="O997" s="105"/>
      <c r="P997" s="105"/>
      <c r="Q997" s="107"/>
      <c r="R997" s="107"/>
    </row>
    <row r="998" spans="13:18" x14ac:dyDescent="0.25">
      <c r="M998" s="108"/>
      <c r="N998" s="108"/>
      <c r="O998" s="105"/>
      <c r="P998" s="105"/>
      <c r="Q998" s="107"/>
      <c r="R998" s="107"/>
    </row>
    <row r="999" spans="13:18" x14ac:dyDescent="0.25">
      <c r="M999" s="108"/>
      <c r="N999" s="108"/>
      <c r="O999" s="105"/>
      <c r="P999" s="105"/>
      <c r="Q999" s="107"/>
      <c r="R999" s="107"/>
    </row>
    <row r="1000" spans="13:18" x14ac:dyDescent="0.25">
      <c r="M1000" s="108"/>
      <c r="N1000" s="108"/>
      <c r="O1000" s="105"/>
      <c r="P1000" s="105"/>
      <c r="Q1000" s="107"/>
      <c r="R1000" s="107"/>
    </row>
    <row r="1001" spans="13:18" x14ac:dyDescent="0.25">
      <c r="M1001" s="108"/>
      <c r="N1001" s="108"/>
      <c r="O1001" s="105"/>
      <c r="P1001" s="105"/>
      <c r="Q1001" s="107"/>
      <c r="R1001" s="107"/>
    </row>
    <row r="1002" spans="13:18" x14ac:dyDescent="0.25">
      <c r="M1002" s="108"/>
      <c r="N1002" s="108"/>
      <c r="O1002" s="105"/>
      <c r="P1002" s="105"/>
      <c r="Q1002" s="107"/>
      <c r="R1002" s="107"/>
    </row>
    <row r="1003" spans="13:18" x14ac:dyDescent="0.25">
      <c r="M1003" s="108"/>
      <c r="N1003" s="108"/>
      <c r="O1003" s="105"/>
      <c r="P1003" s="105"/>
      <c r="Q1003" s="107"/>
      <c r="R1003" s="107"/>
    </row>
    <row r="1004" spans="13:18" x14ac:dyDescent="0.25">
      <c r="M1004" s="108"/>
      <c r="N1004" s="108"/>
      <c r="O1004" s="105"/>
      <c r="P1004" s="105"/>
      <c r="Q1004" s="107"/>
      <c r="R1004" s="107"/>
    </row>
    <row r="1005" spans="13:18" x14ac:dyDescent="0.25">
      <c r="M1005" s="108"/>
      <c r="N1005" s="108"/>
      <c r="O1005" s="105"/>
      <c r="P1005" s="105"/>
      <c r="Q1005" s="107"/>
      <c r="R1005" s="107"/>
    </row>
    <row r="1006" spans="13:18" x14ac:dyDescent="0.25">
      <c r="M1006" s="108"/>
      <c r="N1006" s="108"/>
      <c r="O1006" s="105"/>
      <c r="P1006" s="105"/>
      <c r="Q1006" s="107"/>
      <c r="R1006" s="107"/>
    </row>
    <row r="1007" spans="13:18" x14ac:dyDescent="0.25">
      <c r="M1007" s="108"/>
      <c r="N1007" s="108"/>
      <c r="O1007" s="105"/>
      <c r="P1007" s="105"/>
      <c r="Q1007" s="107"/>
      <c r="R1007" s="107"/>
    </row>
    <row r="1008" spans="13:18" x14ac:dyDescent="0.25">
      <c r="M1008" s="108"/>
      <c r="N1008" s="108"/>
      <c r="O1008" s="105"/>
      <c r="P1008" s="105"/>
      <c r="Q1008" s="107"/>
      <c r="R1008" s="107"/>
    </row>
    <row r="1009" spans="13:18" x14ac:dyDescent="0.25">
      <c r="M1009" s="108"/>
      <c r="N1009" s="108"/>
      <c r="O1009" s="105"/>
      <c r="P1009" s="105"/>
      <c r="Q1009" s="107"/>
      <c r="R1009" s="107"/>
    </row>
    <row r="1010" spans="13:18" x14ac:dyDescent="0.25">
      <c r="M1010" s="108"/>
      <c r="N1010" s="108"/>
      <c r="O1010" s="105"/>
      <c r="P1010" s="105"/>
      <c r="Q1010" s="107"/>
      <c r="R1010" s="107"/>
    </row>
    <row r="1011" spans="13:18" x14ac:dyDescent="0.25">
      <c r="M1011" s="108"/>
      <c r="N1011" s="108"/>
      <c r="O1011" s="105"/>
      <c r="P1011" s="105"/>
      <c r="Q1011" s="107"/>
      <c r="R1011" s="107"/>
    </row>
    <row r="1012" spans="13:18" x14ac:dyDescent="0.25">
      <c r="M1012" s="108"/>
      <c r="N1012" s="108"/>
      <c r="O1012" s="105"/>
      <c r="P1012" s="105"/>
      <c r="Q1012" s="107"/>
      <c r="R1012" s="107"/>
    </row>
    <row r="1013" spans="13:18" x14ac:dyDescent="0.25">
      <c r="M1013" s="108"/>
      <c r="N1013" s="108"/>
      <c r="O1013" s="105"/>
      <c r="P1013" s="105"/>
      <c r="Q1013" s="107"/>
      <c r="R1013" s="107"/>
    </row>
    <row r="1014" spans="13:18" x14ac:dyDescent="0.25">
      <c r="M1014" s="108"/>
      <c r="N1014" s="108"/>
      <c r="O1014" s="105"/>
      <c r="P1014" s="105"/>
      <c r="Q1014" s="107"/>
      <c r="R1014" s="107"/>
    </row>
    <row r="1015" spans="13:18" x14ac:dyDescent="0.25">
      <c r="M1015" s="108"/>
      <c r="N1015" s="108"/>
      <c r="O1015" s="105"/>
      <c r="P1015" s="105"/>
      <c r="Q1015" s="107"/>
      <c r="R1015" s="107"/>
    </row>
    <row r="1016" spans="13:18" x14ac:dyDescent="0.25">
      <c r="M1016" s="108"/>
      <c r="N1016" s="108"/>
      <c r="O1016" s="105"/>
      <c r="P1016" s="105"/>
      <c r="Q1016" s="107"/>
      <c r="R1016" s="107"/>
    </row>
    <row r="1017" spans="13:18" x14ac:dyDescent="0.25">
      <c r="M1017" s="108"/>
      <c r="N1017" s="108"/>
      <c r="O1017" s="105"/>
      <c r="P1017" s="105"/>
      <c r="Q1017" s="107"/>
      <c r="R1017" s="107"/>
    </row>
    <row r="1018" spans="13:18" x14ac:dyDescent="0.25">
      <c r="M1018" s="108"/>
      <c r="N1018" s="108"/>
      <c r="O1018" s="105"/>
      <c r="P1018" s="105"/>
      <c r="Q1018" s="107"/>
      <c r="R1018" s="107"/>
    </row>
    <row r="1019" spans="13:18" x14ac:dyDescent="0.25">
      <c r="M1019" s="108"/>
      <c r="N1019" s="108"/>
      <c r="O1019" s="105"/>
      <c r="P1019" s="105"/>
      <c r="Q1019" s="107"/>
      <c r="R1019" s="107"/>
    </row>
    <row r="1020" spans="13:18" x14ac:dyDescent="0.25">
      <c r="M1020" s="108"/>
      <c r="N1020" s="108"/>
      <c r="O1020" s="105"/>
      <c r="P1020" s="105"/>
      <c r="Q1020" s="107"/>
      <c r="R1020" s="107"/>
    </row>
    <row r="1021" spans="13:18" x14ac:dyDescent="0.25">
      <c r="M1021" s="108"/>
      <c r="N1021" s="108"/>
      <c r="O1021" s="105"/>
      <c r="P1021" s="105"/>
      <c r="Q1021" s="107"/>
      <c r="R1021" s="107"/>
    </row>
    <row r="1022" spans="13:18" x14ac:dyDescent="0.25">
      <c r="M1022" s="108"/>
      <c r="N1022" s="108"/>
      <c r="O1022" s="105"/>
      <c r="P1022" s="105"/>
      <c r="Q1022" s="107"/>
      <c r="R1022" s="107"/>
    </row>
    <row r="1023" spans="13:18" x14ac:dyDescent="0.25">
      <c r="M1023" s="108"/>
      <c r="N1023" s="108"/>
      <c r="O1023" s="105"/>
      <c r="P1023" s="105"/>
      <c r="Q1023" s="107"/>
      <c r="R1023" s="107"/>
    </row>
    <row r="1024" spans="13:18" x14ac:dyDescent="0.25">
      <c r="M1024" s="108"/>
      <c r="N1024" s="108"/>
      <c r="O1024" s="105"/>
      <c r="P1024" s="105"/>
      <c r="Q1024" s="107"/>
      <c r="R1024" s="107"/>
    </row>
    <row r="1025" spans="13:18" x14ac:dyDescent="0.25">
      <c r="M1025" s="108"/>
      <c r="N1025" s="108"/>
      <c r="O1025" s="105"/>
      <c r="P1025" s="105"/>
      <c r="Q1025" s="107"/>
      <c r="R1025" s="107"/>
    </row>
    <row r="1026" spans="13:18" x14ac:dyDescent="0.25">
      <c r="M1026" s="108"/>
      <c r="N1026" s="108"/>
      <c r="O1026" s="105"/>
      <c r="P1026" s="105"/>
      <c r="Q1026" s="107"/>
      <c r="R1026" s="107"/>
    </row>
    <row r="1027" spans="13:18" x14ac:dyDescent="0.25">
      <c r="M1027" s="108"/>
      <c r="N1027" s="108"/>
      <c r="O1027" s="105"/>
      <c r="P1027" s="105"/>
      <c r="Q1027" s="107"/>
      <c r="R1027" s="107"/>
    </row>
    <row r="1028" spans="13:18" x14ac:dyDescent="0.25">
      <c r="M1028" s="108"/>
      <c r="N1028" s="108"/>
      <c r="O1028" s="105"/>
      <c r="P1028" s="105"/>
      <c r="Q1028" s="107"/>
      <c r="R1028" s="107"/>
    </row>
    <row r="1029" spans="13:18" x14ac:dyDescent="0.25">
      <c r="M1029" s="108"/>
      <c r="N1029" s="108"/>
      <c r="O1029" s="105"/>
      <c r="P1029" s="105"/>
      <c r="Q1029" s="107"/>
      <c r="R1029" s="107"/>
    </row>
    <row r="1030" spans="13:18" x14ac:dyDescent="0.25">
      <c r="M1030" s="108"/>
      <c r="N1030" s="108"/>
      <c r="O1030" s="105"/>
      <c r="P1030" s="105"/>
      <c r="Q1030" s="107"/>
      <c r="R1030" s="107"/>
    </row>
    <row r="1031" spans="13:18" x14ac:dyDescent="0.25">
      <c r="M1031" s="108"/>
      <c r="N1031" s="108"/>
      <c r="O1031" s="105"/>
      <c r="P1031" s="105"/>
      <c r="Q1031" s="107"/>
      <c r="R1031" s="107"/>
    </row>
    <row r="1032" spans="13:18" x14ac:dyDescent="0.25">
      <c r="M1032" s="108"/>
      <c r="N1032" s="108"/>
      <c r="O1032" s="105"/>
      <c r="P1032" s="105"/>
      <c r="Q1032" s="107"/>
      <c r="R1032" s="107"/>
    </row>
    <row r="1033" spans="13:18" x14ac:dyDescent="0.25">
      <c r="M1033" s="108"/>
      <c r="N1033" s="108"/>
      <c r="O1033" s="105"/>
      <c r="P1033" s="105"/>
      <c r="Q1033" s="107"/>
      <c r="R1033" s="107"/>
    </row>
    <row r="1034" spans="13:18" x14ac:dyDescent="0.25">
      <c r="M1034" s="108"/>
      <c r="N1034" s="108"/>
      <c r="O1034" s="105"/>
      <c r="P1034" s="105"/>
      <c r="Q1034" s="107"/>
      <c r="R1034" s="107"/>
    </row>
    <row r="1035" spans="13:18" x14ac:dyDescent="0.25">
      <c r="M1035" s="108"/>
      <c r="N1035" s="108"/>
      <c r="O1035" s="105"/>
      <c r="P1035" s="105"/>
      <c r="Q1035" s="107"/>
      <c r="R1035" s="107"/>
    </row>
    <row r="1036" spans="13:18" x14ac:dyDescent="0.25">
      <c r="M1036" s="108"/>
      <c r="N1036" s="108"/>
      <c r="O1036" s="105"/>
      <c r="P1036" s="105"/>
      <c r="Q1036" s="107"/>
      <c r="R1036" s="107"/>
    </row>
    <row r="1037" spans="13:18" x14ac:dyDescent="0.25">
      <c r="M1037" s="108"/>
      <c r="N1037" s="108"/>
      <c r="O1037" s="105"/>
      <c r="P1037" s="105"/>
      <c r="Q1037" s="107"/>
      <c r="R1037" s="107"/>
    </row>
    <row r="1038" spans="13:18" x14ac:dyDescent="0.25">
      <c r="M1038" s="108"/>
      <c r="N1038" s="108"/>
      <c r="O1038" s="105"/>
      <c r="P1038" s="105"/>
      <c r="Q1038" s="107"/>
      <c r="R1038" s="107"/>
    </row>
    <row r="1039" spans="13:18" x14ac:dyDescent="0.25">
      <c r="M1039" s="108"/>
      <c r="N1039" s="108"/>
      <c r="O1039" s="105"/>
      <c r="P1039" s="105"/>
      <c r="Q1039" s="107"/>
      <c r="R1039" s="107"/>
    </row>
    <row r="1040" spans="13:18" x14ac:dyDescent="0.25">
      <c r="M1040" s="108"/>
      <c r="N1040" s="108"/>
      <c r="O1040" s="105"/>
      <c r="P1040" s="105"/>
      <c r="Q1040" s="107"/>
      <c r="R1040" s="107"/>
    </row>
    <row r="1041" spans="13:18" x14ac:dyDescent="0.25">
      <c r="M1041" s="108"/>
      <c r="N1041" s="108"/>
      <c r="O1041" s="105"/>
      <c r="P1041" s="105"/>
      <c r="Q1041" s="107"/>
      <c r="R1041" s="107"/>
    </row>
    <row r="1042" spans="13:18" x14ac:dyDescent="0.25">
      <c r="M1042" s="108"/>
      <c r="N1042" s="108"/>
      <c r="O1042" s="105"/>
      <c r="P1042" s="105"/>
      <c r="Q1042" s="107"/>
      <c r="R1042" s="107"/>
    </row>
    <row r="1043" spans="13:18" x14ac:dyDescent="0.25">
      <c r="M1043" s="108"/>
      <c r="N1043" s="108"/>
      <c r="O1043" s="105"/>
      <c r="P1043" s="105"/>
      <c r="Q1043" s="107"/>
      <c r="R1043" s="107"/>
    </row>
    <row r="1044" spans="13:18" x14ac:dyDescent="0.25">
      <c r="M1044" s="108"/>
      <c r="N1044" s="108"/>
      <c r="O1044" s="105"/>
      <c r="P1044" s="105"/>
      <c r="Q1044" s="107"/>
      <c r="R1044" s="107"/>
    </row>
    <row r="1045" spans="13:18" x14ac:dyDescent="0.25">
      <c r="M1045" s="108"/>
      <c r="N1045" s="108"/>
      <c r="O1045" s="105"/>
      <c r="P1045" s="105"/>
      <c r="Q1045" s="107"/>
      <c r="R1045" s="107"/>
    </row>
    <row r="1046" spans="13:18" x14ac:dyDescent="0.25">
      <c r="M1046" s="108"/>
      <c r="N1046" s="108"/>
      <c r="O1046" s="105"/>
      <c r="P1046" s="105"/>
      <c r="Q1046" s="107"/>
      <c r="R1046" s="107"/>
    </row>
    <row r="1047" spans="13:18" x14ac:dyDescent="0.25">
      <c r="M1047" s="108"/>
      <c r="N1047" s="108"/>
      <c r="O1047" s="105"/>
      <c r="P1047" s="105"/>
      <c r="Q1047" s="107"/>
      <c r="R1047" s="107"/>
    </row>
    <row r="1048" spans="13:18" x14ac:dyDescent="0.25">
      <c r="M1048" s="108"/>
      <c r="N1048" s="108"/>
      <c r="O1048" s="105"/>
      <c r="P1048" s="105"/>
      <c r="Q1048" s="107"/>
      <c r="R1048" s="107"/>
    </row>
    <row r="1049" spans="13:18" x14ac:dyDescent="0.25">
      <c r="M1049" s="108"/>
      <c r="N1049" s="108"/>
      <c r="O1049" s="105"/>
      <c r="P1049" s="105"/>
      <c r="Q1049" s="107"/>
      <c r="R1049" s="107"/>
    </row>
    <row r="1050" spans="13:18" x14ac:dyDescent="0.25">
      <c r="M1050" s="108"/>
      <c r="N1050" s="108"/>
      <c r="O1050" s="105"/>
      <c r="P1050" s="105"/>
      <c r="Q1050" s="107"/>
      <c r="R1050" s="107"/>
    </row>
    <row r="1051" spans="13:18" x14ac:dyDescent="0.25">
      <c r="M1051" s="108"/>
      <c r="N1051" s="108"/>
      <c r="O1051" s="105"/>
      <c r="P1051" s="105"/>
      <c r="Q1051" s="107"/>
      <c r="R1051" s="107"/>
    </row>
    <row r="1052" spans="13:18" x14ac:dyDescent="0.25">
      <c r="M1052" s="108"/>
      <c r="N1052" s="108"/>
      <c r="O1052" s="105"/>
      <c r="P1052" s="105"/>
      <c r="Q1052" s="107"/>
      <c r="R1052" s="107"/>
    </row>
    <row r="1053" spans="13:18" x14ac:dyDescent="0.25">
      <c r="M1053" s="108"/>
      <c r="N1053" s="108"/>
      <c r="O1053" s="105"/>
      <c r="P1053" s="105"/>
      <c r="Q1053" s="107"/>
      <c r="R1053" s="107"/>
    </row>
    <row r="1054" spans="13:18" x14ac:dyDescent="0.25">
      <c r="M1054" s="108"/>
      <c r="N1054" s="108"/>
      <c r="O1054" s="105"/>
      <c r="P1054" s="105"/>
      <c r="Q1054" s="107"/>
      <c r="R1054" s="107"/>
    </row>
    <row r="1055" spans="13:18" x14ac:dyDescent="0.25">
      <c r="M1055" s="108"/>
      <c r="N1055" s="108"/>
      <c r="O1055" s="105"/>
      <c r="P1055" s="105"/>
      <c r="Q1055" s="107"/>
      <c r="R1055" s="107"/>
    </row>
    <row r="1056" spans="13:18" x14ac:dyDescent="0.25">
      <c r="M1056" s="108"/>
      <c r="N1056" s="108"/>
      <c r="O1056" s="105"/>
      <c r="P1056" s="105"/>
      <c r="Q1056" s="107"/>
      <c r="R1056" s="107"/>
    </row>
    <row r="1057" spans="13:18" x14ac:dyDescent="0.25">
      <c r="M1057" s="108"/>
      <c r="N1057" s="108"/>
      <c r="O1057" s="105"/>
      <c r="P1057" s="105"/>
      <c r="Q1057" s="107"/>
      <c r="R1057" s="107"/>
    </row>
    <row r="1058" spans="13:18" x14ac:dyDescent="0.25">
      <c r="M1058" s="108"/>
      <c r="N1058" s="108"/>
      <c r="O1058" s="105"/>
      <c r="P1058" s="105"/>
      <c r="Q1058" s="107"/>
      <c r="R1058" s="107"/>
    </row>
    <row r="1059" spans="13:18" x14ac:dyDescent="0.25">
      <c r="M1059" s="108"/>
      <c r="N1059" s="108"/>
      <c r="O1059" s="105"/>
      <c r="P1059" s="105"/>
      <c r="Q1059" s="107"/>
      <c r="R1059" s="107"/>
    </row>
    <row r="1060" spans="13:18" x14ac:dyDescent="0.25">
      <c r="M1060" s="108"/>
      <c r="N1060" s="108"/>
      <c r="O1060" s="105"/>
      <c r="P1060" s="105"/>
      <c r="Q1060" s="107"/>
      <c r="R1060" s="107"/>
    </row>
    <row r="1061" spans="13:18" x14ac:dyDescent="0.25">
      <c r="M1061" s="108"/>
      <c r="N1061" s="108"/>
      <c r="O1061" s="105"/>
      <c r="P1061" s="105"/>
      <c r="Q1061" s="107"/>
      <c r="R1061" s="107"/>
    </row>
    <row r="1062" spans="13:18" x14ac:dyDescent="0.25">
      <c r="M1062" s="108"/>
      <c r="N1062" s="108"/>
      <c r="O1062" s="105"/>
      <c r="P1062" s="105"/>
      <c r="Q1062" s="107"/>
      <c r="R1062" s="107"/>
    </row>
    <row r="1063" spans="13:18" x14ac:dyDescent="0.25">
      <c r="M1063" s="108"/>
      <c r="N1063" s="108"/>
      <c r="O1063" s="105"/>
      <c r="P1063" s="105"/>
      <c r="Q1063" s="107"/>
      <c r="R1063" s="107"/>
    </row>
    <row r="1064" spans="13:18" x14ac:dyDescent="0.25">
      <c r="M1064" s="108"/>
      <c r="N1064" s="108"/>
      <c r="O1064" s="105"/>
      <c r="P1064" s="105"/>
      <c r="Q1064" s="107"/>
      <c r="R1064" s="107"/>
    </row>
    <row r="1065" spans="13:18" x14ac:dyDescent="0.25">
      <c r="M1065" s="108"/>
      <c r="N1065" s="108"/>
      <c r="O1065" s="105"/>
      <c r="P1065" s="105"/>
      <c r="Q1065" s="107"/>
      <c r="R1065" s="107"/>
    </row>
    <row r="1066" spans="13:18" x14ac:dyDescent="0.25">
      <c r="M1066" s="108"/>
      <c r="N1066" s="108"/>
      <c r="O1066" s="105"/>
      <c r="P1066" s="105"/>
      <c r="Q1066" s="107"/>
      <c r="R1066" s="107"/>
    </row>
    <row r="1067" spans="13:18" x14ac:dyDescent="0.25">
      <c r="M1067" s="108"/>
      <c r="N1067" s="108"/>
      <c r="O1067" s="105"/>
      <c r="P1067" s="105"/>
      <c r="Q1067" s="107"/>
      <c r="R1067" s="107"/>
    </row>
    <row r="1068" spans="13:18" x14ac:dyDescent="0.25">
      <c r="M1068" s="108"/>
      <c r="N1068" s="108"/>
      <c r="O1068" s="105"/>
      <c r="P1068" s="105"/>
      <c r="Q1068" s="107"/>
      <c r="R1068" s="107"/>
    </row>
    <row r="1069" spans="13:18" x14ac:dyDescent="0.25">
      <c r="M1069" s="108"/>
      <c r="N1069" s="108"/>
      <c r="O1069" s="105"/>
      <c r="P1069" s="105"/>
      <c r="Q1069" s="107"/>
      <c r="R1069" s="107"/>
    </row>
    <row r="1070" spans="13:18" x14ac:dyDescent="0.25">
      <c r="M1070" s="108"/>
      <c r="N1070" s="108"/>
      <c r="O1070" s="105"/>
      <c r="P1070" s="105"/>
      <c r="Q1070" s="107"/>
      <c r="R1070" s="107"/>
    </row>
    <row r="1071" spans="13:18" x14ac:dyDescent="0.25">
      <c r="M1071" s="108"/>
      <c r="N1071" s="108"/>
      <c r="O1071" s="105"/>
      <c r="P1071" s="105"/>
      <c r="Q1071" s="107"/>
      <c r="R1071" s="107"/>
    </row>
    <row r="1072" spans="13:18" x14ac:dyDescent="0.25">
      <c r="M1072" s="108"/>
      <c r="N1072" s="108"/>
      <c r="O1072" s="105"/>
      <c r="P1072" s="105"/>
      <c r="Q1072" s="107"/>
      <c r="R1072" s="107"/>
    </row>
    <row r="1073" spans="13:18" x14ac:dyDescent="0.25">
      <c r="M1073" s="108"/>
      <c r="N1073" s="108"/>
      <c r="O1073" s="105"/>
      <c r="P1073" s="105"/>
      <c r="Q1073" s="107"/>
      <c r="R1073" s="107"/>
    </row>
    <row r="1074" spans="13:18" x14ac:dyDescent="0.25">
      <c r="M1074" s="108"/>
      <c r="N1074" s="108"/>
      <c r="O1074" s="105"/>
      <c r="P1074" s="105"/>
      <c r="Q1074" s="107"/>
      <c r="R1074" s="107"/>
    </row>
    <row r="1075" spans="13:18" x14ac:dyDescent="0.25">
      <c r="M1075" s="108"/>
      <c r="N1075" s="108"/>
      <c r="O1075" s="105"/>
      <c r="P1075" s="105"/>
      <c r="Q1075" s="107"/>
      <c r="R1075" s="107"/>
    </row>
    <row r="1076" spans="13:18" x14ac:dyDescent="0.25">
      <c r="M1076" s="108"/>
      <c r="N1076" s="108"/>
      <c r="O1076" s="105"/>
      <c r="P1076" s="105"/>
      <c r="Q1076" s="107"/>
      <c r="R1076" s="107"/>
    </row>
    <row r="1077" spans="13:18" x14ac:dyDescent="0.25">
      <c r="M1077" s="108"/>
      <c r="N1077" s="108"/>
      <c r="O1077" s="105"/>
      <c r="P1077" s="105"/>
      <c r="Q1077" s="107"/>
      <c r="R1077" s="107"/>
    </row>
    <row r="1078" spans="13:18" x14ac:dyDescent="0.25">
      <c r="M1078" s="108"/>
      <c r="N1078" s="108"/>
      <c r="O1078" s="105"/>
      <c r="P1078" s="105"/>
      <c r="Q1078" s="107"/>
      <c r="R1078" s="107"/>
    </row>
    <row r="1079" spans="13:18" x14ac:dyDescent="0.25">
      <c r="M1079" s="108"/>
      <c r="N1079" s="108"/>
      <c r="O1079" s="105"/>
      <c r="P1079" s="105"/>
      <c r="Q1079" s="107"/>
      <c r="R1079" s="107"/>
    </row>
    <row r="1080" spans="13:18" x14ac:dyDescent="0.25">
      <c r="M1080" s="108"/>
      <c r="N1080" s="108"/>
      <c r="O1080" s="105"/>
      <c r="P1080" s="105"/>
      <c r="Q1080" s="107"/>
      <c r="R1080" s="107"/>
    </row>
    <row r="1081" spans="13:18" x14ac:dyDescent="0.25">
      <c r="M1081" s="108"/>
      <c r="N1081" s="108"/>
      <c r="O1081" s="105"/>
      <c r="P1081" s="105"/>
      <c r="Q1081" s="107"/>
      <c r="R1081" s="107"/>
    </row>
    <row r="1082" spans="13:18" x14ac:dyDescent="0.25">
      <c r="M1082" s="108"/>
      <c r="N1082" s="108"/>
      <c r="O1082" s="105"/>
      <c r="P1082" s="105"/>
      <c r="Q1082" s="107"/>
      <c r="R1082" s="107"/>
    </row>
    <row r="1083" spans="13:18" x14ac:dyDescent="0.25">
      <c r="M1083" s="108"/>
      <c r="N1083" s="108"/>
      <c r="O1083" s="105"/>
      <c r="P1083" s="105"/>
      <c r="Q1083" s="107"/>
      <c r="R1083" s="107"/>
    </row>
    <row r="1084" spans="13:18" x14ac:dyDescent="0.25">
      <c r="M1084" s="108"/>
      <c r="N1084" s="108"/>
      <c r="O1084" s="105"/>
      <c r="P1084" s="105"/>
      <c r="Q1084" s="107"/>
      <c r="R1084" s="107"/>
    </row>
    <row r="1085" spans="13:18" x14ac:dyDescent="0.25">
      <c r="M1085" s="108"/>
      <c r="N1085" s="108"/>
      <c r="O1085" s="105"/>
      <c r="P1085" s="105"/>
      <c r="Q1085" s="107"/>
      <c r="R1085" s="107"/>
    </row>
    <row r="1086" spans="13:18" x14ac:dyDescent="0.25">
      <c r="M1086" s="108"/>
      <c r="N1086" s="108"/>
      <c r="O1086" s="105"/>
      <c r="P1086" s="105"/>
      <c r="Q1086" s="107"/>
      <c r="R1086" s="107"/>
    </row>
    <row r="1087" spans="13:18" x14ac:dyDescent="0.25">
      <c r="M1087" s="108"/>
      <c r="N1087" s="108"/>
      <c r="O1087" s="105"/>
      <c r="P1087" s="105"/>
      <c r="Q1087" s="107"/>
      <c r="R1087" s="107"/>
    </row>
    <row r="1088" spans="13:18" x14ac:dyDescent="0.25">
      <c r="M1088" s="108"/>
      <c r="N1088" s="108"/>
      <c r="O1088" s="105"/>
      <c r="P1088" s="105"/>
      <c r="Q1088" s="107"/>
      <c r="R1088" s="107"/>
    </row>
    <row r="1089" spans="13:18" x14ac:dyDescent="0.25">
      <c r="M1089" s="108"/>
      <c r="N1089" s="108"/>
      <c r="O1089" s="105"/>
      <c r="P1089" s="105"/>
      <c r="Q1089" s="107"/>
      <c r="R1089" s="107"/>
    </row>
    <row r="1090" spans="13:18" x14ac:dyDescent="0.25">
      <c r="M1090" s="108"/>
      <c r="N1090" s="108"/>
      <c r="O1090" s="105"/>
      <c r="P1090" s="105"/>
      <c r="Q1090" s="107"/>
      <c r="R1090" s="107"/>
    </row>
    <row r="1091" spans="13:18" x14ac:dyDescent="0.25">
      <c r="M1091" s="108"/>
      <c r="N1091" s="108"/>
      <c r="O1091" s="105"/>
      <c r="P1091" s="105"/>
      <c r="Q1091" s="107"/>
      <c r="R1091" s="107"/>
    </row>
    <row r="1092" spans="13:18" x14ac:dyDescent="0.25">
      <c r="M1092" s="108"/>
      <c r="N1092" s="108"/>
      <c r="O1092" s="105"/>
      <c r="P1092" s="105"/>
      <c r="Q1092" s="107"/>
      <c r="R1092" s="107"/>
    </row>
    <row r="1093" spans="13:18" x14ac:dyDescent="0.25">
      <c r="M1093" s="108"/>
      <c r="N1093" s="108"/>
      <c r="O1093" s="105"/>
      <c r="P1093" s="105"/>
      <c r="Q1093" s="107"/>
      <c r="R1093" s="107"/>
    </row>
    <row r="1094" spans="13:18" x14ac:dyDescent="0.25">
      <c r="M1094" s="108"/>
      <c r="N1094" s="108"/>
      <c r="O1094" s="105"/>
      <c r="P1094" s="105"/>
      <c r="Q1094" s="107"/>
      <c r="R1094" s="107"/>
    </row>
    <row r="1095" spans="13:18" x14ac:dyDescent="0.25">
      <c r="M1095" s="108"/>
      <c r="N1095" s="108"/>
      <c r="O1095" s="105"/>
      <c r="P1095" s="105"/>
      <c r="Q1095" s="107"/>
      <c r="R1095" s="107"/>
    </row>
    <row r="1096" spans="13:18" x14ac:dyDescent="0.25">
      <c r="M1096" s="108"/>
      <c r="N1096" s="108"/>
      <c r="O1096" s="105"/>
      <c r="P1096" s="105"/>
      <c r="Q1096" s="107"/>
      <c r="R1096" s="107"/>
    </row>
    <row r="1097" spans="13:18" x14ac:dyDescent="0.25">
      <c r="M1097" s="108"/>
      <c r="N1097" s="108"/>
      <c r="O1097" s="105"/>
      <c r="P1097" s="105"/>
      <c r="Q1097" s="107"/>
      <c r="R1097" s="107"/>
    </row>
    <row r="1098" spans="13:18" x14ac:dyDescent="0.25">
      <c r="M1098" s="108"/>
      <c r="N1098" s="108"/>
      <c r="O1098" s="105"/>
      <c r="P1098" s="105"/>
      <c r="Q1098" s="107"/>
      <c r="R1098" s="107"/>
    </row>
    <row r="1099" spans="13:18" x14ac:dyDescent="0.25">
      <c r="M1099" s="108"/>
      <c r="N1099" s="108"/>
      <c r="O1099" s="105"/>
      <c r="P1099" s="105"/>
      <c r="Q1099" s="107"/>
      <c r="R1099" s="107"/>
    </row>
    <row r="1100" spans="13:18" x14ac:dyDescent="0.25">
      <c r="M1100" s="108"/>
      <c r="N1100" s="108"/>
      <c r="O1100" s="105"/>
      <c r="P1100" s="105"/>
      <c r="Q1100" s="107"/>
      <c r="R1100" s="107"/>
    </row>
    <row r="1101" spans="13:18" x14ac:dyDescent="0.25">
      <c r="M1101" s="108"/>
      <c r="N1101" s="108"/>
      <c r="O1101" s="105"/>
      <c r="P1101" s="105"/>
      <c r="Q1101" s="107"/>
      <c r="R1101" s="107"/>
    </row>
    <row r="1102" spans="13:18" x14ac:dyDescent="0.25">
      <c r="M1102" s="108"/>
      <c r="N1102" s="108"/>
      <c r="O1102" s="105"/>
      <c r="P1102" s="105"/>
      <c r="Q1102" s="107"/>
      <c r="R1102" s="107"/>
    </row>
    <row r="1103" spans="13:18" x14ac:dyDescent="0.25">
      <c r="M1103" s="108"/>
      <c r="N1103" s="108"/>
      <c r="O1103" s="105"/>
      <c r="P1103" s="105"/>
      <c r="Q1103" s="107"/>
      <c r="R1103" s="107"/>
    </row>
    <row r="1104" spans="13:18" x14ac:dyDescent="0.25">
      <c r="M1104" s="108"/>
      <c r="N1104" s="108"/>
      <c r="O1104" s="105"/>
      <c r="P1104" s="105"/>
      <c r="Q1104" s="107"/>
      <c r="R1104" s="107"/>
    </row>
    <row r="1105" spans="13:18" x14ac:dyDescent="0.25">
      <c r="M1105" s="108"/>
      <c r="N1105" s="108"/>
      <c r="O1105" s="105"/>
      <c r="P1105" s="105"/>
      <c r="Q1105" s="107"/>
      <c r="R1105" s="107"/>
    </row>
    <row r="1106" spans="13:18" x14ac:dyDescent="0.25">
      <c r="M1106" s="108"/>
      <c r="N1106" s="108"/>
      <c r="O1106" s="105"/>
      <c r="P1106" s="105"/>
      <c r="Q1106" s="107"/>
      <c r="R1106" s="107"/>
    </row>
    <row r="1107" spans="13:18" x14ac:dyDescent="0.25">
      <c r="M1107" s="108"/>
      <c r="N1107" s="108"/>
      <c r="O1107" s="105"/>
      <c r="P1107" s="105"/>
      <c r="Q1107" s="107"/>
      <c r="R1107" s="107"/>
    </row>
    <row r="1108" spans="13:18" x14ac:dyDescent="0.25">
      <c r="M1108" s="108"/>
      <c r="N1108" s="108"/>
      <c r="O1108" s="105"/>
      <c r="P1108" s="105"/>
      <c r="Q1108" s="107"/>
      <c r="R1108" s="107"/>
    </row>
    <row r="1109" spans="13:18" x14ac:dyDescent="0.25">
      <c r="M1109" s="108"/>
      <c r="N1109" s="108"/>
      <c r="O1109" s="105"/>
      <c r="P1109" s="105"/>
      <c r="Q1109" s="107"/>
      <c r="R1109" s="107"/>
    </row>
    <row r="1110" spans="13:18" x14ac:dyDescent="0.25">
      <c r="M1110" s="108"/>
      <c r="N1110" s="108"/>
      <c r="O1110" s="105"/>
      <c r="P1110" s="105"/>
      <c r="Q1110" s="107"/>
      <c r="R1110" s="107"/>
    </row>
    <row r="1111" spans="13:18" x14ac:dyDescent="0.25">
      <c r="M1111" s="108"/>
      <c r="N1111" s="108"/>
      <c r="O1111" s="105"/>
      <c r="P1111" s="105"/>
      <c r="Q1111" s="107"/>
      <c r="R1111" s="107"/>
    </row>
    <row r="1112" spans="13:18" x14ac:dyDescent="0.25">
      <c r="M1112" s="108"/>
      <c r="N1112" s="108"/>
      <c r="O1112" s="105"/>
      <c r="P1112" s="105"/>
      <c r="Q1112" s="107"/>
      <c r="R1112" s="107"/>
    </row>
    <row r="1113" spans="13:18" x14ac:dyDescent="0.25">
      <c r="M1113" s="108"/>
      <c r="N1113" s="108"/>
      <c r="O1113" s="105"/>
      <c r="P1113" s="105"/>
      <c r="Q1113" s="107"/>
      <c r="R1113" s="107"/>
    </row>
    <row r="1114" spans="13:18" x14ac:dyDescent="0.25">
      <c r="M1114" s="108"/>
      <c r="N1114" s="108"/>
      <c r="O1114" s="105"/>
      <c r="P1114" s="105"/>
      <c r="Q1114" s="107"/>
      <c r="R1114" s="107"/>
    </row>
    <row r="1115" spans="13:18" x14ac:dyDescent="0.25">
      <c r="M1115" s="108"/>
      <c r="N1115" s="108"/>
      <c r="O1115" s="105"/>
      <c r="P1115" s="105"/>
      <c r="Q1115" s="107"/>
      <c r="R1115" s="107"/>
    </row>
    <row r="1116" spans="13:18" x14ac:dyDescent="0.25">
      <c r="M1116" s="108"/>
      <c r="N1116" s="108"/>
      <c r="O1116" s="105"/>
      <c r="P1116" s="105"/>
      <c r="Q1116" s="107"/>
      <c r="R1116" s="107"/>
    </row>
    <row r="1117" spans="13:18" x14ac:dyDescent="0.25">
      <c r="M1117" s="108"/>
      <c r="N1117" s="108"/>
      <c r="O1117" s="105"/>
      <c r="P1117" s="105"/>
      <c r="Q1117" s="107"/>
      <c r="R1117" s="107"/>
    </row>
    <row r="1118" spans="13:18" x14ac:dyDescent="0.25">
      <c r="M1118" s="108"/>
      <c r="N1118" s="108"/>
      <c r="O1118" s="105"/>
      <c r="P1118" s="105"/>
      <c r="Q1118" s="107"/>
      <c r="R1118" s="107"/>
    </row>
    <row r="1119" spans="13:18" x14ac:dyDescent="0.25">
      <c r="M1119" s="108"/>
      <c r="N1119" s="108"/>
      <c r="O1119" s="105"/>
      <c r="P1119" s="105"/>
      <c r="Q1119" s="107"/>
      <c r="R1119" s="107"/>
    </row>
    <row r="1120" spans="13:18" x14ac:dyDescent="0.25">
      <c r="M1120" s="108"/>
      <c r="N1120" s="108"/>
      <c r="O1120" s="105"/>
      <c r="P1120" s="105"/>
      <c r="Q1120" s="107"/>
      <c r="R1120" s="107"/>
    </row>
    <row r="1121" spans="13:18" x14ac:dyDescent="0.25">
      <c r="M1121" s="108"/>
      <c r="N1121" s="108"/>
      <c r="O1121" s="105"/>
      <c r="P1121" s="105"/>
      <c r="Q1121" s="107"/>
      <c r="R1121" s="107"/>
    </row>
    <row r="1122" spans="13:18" x14ac:dyDescent="0.25">
      <c r="M1122" s="108"/>
      <c r="N1122" s="108"/>
      <c r="O1122" s="105"/>
      <c r="P1122" s="105"/>
      <c r="Q1122" s="107"/>
      <c r="R1122" s="107"/>
    </row>
    <row r="1123" spans="13:18" x14ac:dyDescent="0.25">
      <c r="M1123" s="108"/>
      <c r="N1123" s="108"/>
      <c r="O1123" s="105"/>
      <c r="P1123" s="105"/>
      <c r="Q1123" s="107"/>
      <c r="R1123" s="107"/>
    </row>
    <row r="1124" spans="13:18" x14ac:dyDescent="0.25">
      <c r="M1124" s="108"/>
      <c r="N1124" s="108"/>
      <c r="O1124" s="105"/>
      <c r="P1124" s="105"/>
      <c r="Q1124" s="107"/>
      <c r="R1124" s="107"/>
    </row>
    <row r="1125" spans="13:18" x14ac:dyDescent="0.25">
      <c r="M1125" s="108"/>
      <c r="N1125" s="108"/>
      <c r="O1125" s="105"/>
      <c r="P1125" s="105"/>
      <c r="Q1125" s="107"/>
      <c r="R1125" s="107"/>
    </row>
    <row r="1126" spans="13:18" x14ac:dyDescent="0.25">
      <c r="M1126" s="108"/>
      <c r="N1126" s="108"/>
      <c r="O1126" s="105"/>
      <c r="P1126" s="105"/>
      <c r="Q1126" s="107"/>
      <c r="R1126" s="107"/>
    </row>
    <row r="1127" spans="13:18" x14ac:dyDescent="0.25">
      <c r="M1127" s="108"/>
      <c r="N1127" s="108"/>
      <c r="O1127" s="105"/>
      <c r="P1127" s="105"/>
      <c r="Q1127" s="107"/>
      <c r="R1127" s="107"/>
    </row>
    <row r="1128" spans="13:18" x14ac:dyDescent="0.25">
      <c r="M1128" s="108"/>
      <c r="N1128" s="108"/>
      <c r="O1128" s="105"/>
      <c r="P1128" s="105"/>
      <c r="Q1128" s="107"/>
      <c r="R1128" s="107"/>
    </row>
    <row r="1129" spans="13:18" x14ac:dyDescent="0.25">
      <c r="M1129" s="108"/>
      <c r="N1129" s="108"/>
      <c r="O1129" s="105"/>
      <c r="P1129" s="105"/>
      <c r="Q1129" s="107"/>
      <c r="R1129" s="107"/>
    </row>
    <row r="1130" spans="13:18" x14ac:dyDescent="0.25">
      <c r="M1130" s="108"/>
      <c r="N1130" s="108"/>
      <c r="O1130" s="105"/>
      <c r="P1130" s="105"/>
      <c r="Q1130" s="107"/>
      <c r="R1130" s="107"/>
    </row>
    <row r="1131" spans="13:18" x14ac:dyDescent="0.25">
      <c r="M1131" s="108"/>
      <c r="N1131" s="108"/>
      <c r="O1131" s="105"/>
      <c r="P1131" s="105"/>
      <c r="Q1131" s="107"/>
      <c r="R1131" s="107"/>
    </row>
    <row r="1132" spans="13:18" x14ac:dyDescent="0.25">
      <c r="M1132" s="108"/>
      <c r="N1132" s="108"/>
      <c r="O1132" s="105"/>
      <c r="P1132" s="105"/>
      <c r="Q1132" s="107"/>
      <c r="R1132" s="107"/>
    </row>
    <row r="1133" spans="13:18" x14ac:dyDescent="0.25">
      <c r="M1133" s="108"/>
      <c r="N1133" s="108"/>
      <c r="O1133" s="105"/>
      <c r="P1133" s="105"/>
      <c r="Q1133" s="107"/>
      <c r="R1133" s="107"/>
    </row>
    <row r="1134" spans="13:18" x14ac:dyDescent="0.25">
      <c r="M1134" s="108"/>
      <c r="N1134" s="108"/>
      <c r="O1134" s="105"/>
      <c r="P1134" s="105"/>
      <c r="Q1134" s="107"/>
      <c r="R1134" s="107"/>
    </row>
    <row r="1135" spans="13:18" x14ac:dyDescent="0.25">
      <c r="M1135" s="108"/>
      <c r="N1135" s="108"/>
      <c r="O1135" s="105"/>
      <c r="P1135" s="105"/>
      <c r="Q1135" s="107"/>
      <c r="R1135" s="107"/>
    </row>
    <row r="1136" spans="13:18" x14ac:dyDescent="0.25">
      <c r="M1136" s="108"/>
      <c r="N1136" s="108"/>
      <c r="O1136" s="105"/>
      <c r="P1136" s="105"/>
      <c r="Q1136" s="107"/>
      <c r="R1136" s="107"/>
    </row>
    <row r="1137" spans="13:18" x14ac:dyDescent="0.25">
      <c r="M1137" s="108"/>
      <c r="N1137" s="108"/>
      <c r="O1137" s="105"/>
      <c r="P1137" s="105"/>
      <c r="Q1137" s="107"/>
      <c r="R1137" s="107"/>
    </row>
    <row r="1138" spans="13:18" x14ac:dyDescent="0.25">
      <c r="M1138" s="108"/>
      <c r="N1138" s="108"/>
      <c r="O1138" s="105"/>
      <c r="P1138" s="105"/>
      <c r="Q1138" s="107"/>
      <c r="R1138" s="107"/>
    </row>
    <row r="1139" spans="13:18" x14ac:dyDescent="0.25">
      <c r="M1139" s="108"/>
      <c r="N1139" s="108"/>
      <c r="O1139" s="105"/>
      <c r="P1139" s="105"/>
      <c r="Q1139" s="107"/>
      <c r="R1139" s="107"/>
    </row>
    <row r="1140" spans="13:18" x14ac:dyDescent="0.25">
      <c r="M1140" s="108"/>
      <c r="N1140" s="108"/>
      <c r="O1140" s="105"/>
      <c r="P1140" s="105"/>
      <c r="Q1140" s="107"/>
      <c r="R1140" s="107"/>
    </row>
    <row r="1141" spans="13:18" x14ac:dyDescent="0.25">
      <c r="M1141" s="108"/>
      <c r="N1141" s="108"/>
      <c r="O1141" s="105"/>
      <c r="P1141" s="105"/>
      <c r="Q1141" s="107"/>
      <c r="R1141" s="107"/>
    </row>
    <row r="1142" spans="13:18" x14ac:dyDescent="0.25">
      <c r="M1142" s="108"/>
      <c r="N1142" s="108"/>
      <c r="O1142" s="105"/>
      <c r="P1142" s="105"/>
      <c r="Q1142" s="107"/>
      <c r="R1142" s="107"/>
    </row>
    <row r="1143" spans="13:18" x14ac:dyDescent="0.25">
      <c r="M1143" s="108"/>
      <c r="N1143" s="108"/>
      <c r="O1143" s="105"/>
      <c r="P1143" s="105"/>
      <c r="Q1143" s="107"/>
      <c r="R1143" s="107"/>
    </row>
    <row r="1144" spans="13:18" x14ac:dyDescent="0.25">
      <c r="M1144" s="108"/>
      <c r="N1144" s="108"/>
      <c r="O1144" s="105"/>
      <c r="P1144" s="105"/>
      <c r="Q1144" s="107"/>
      <c r="R1144" s="107"/>
    </row>
    <row r="1145" spans="13:18" x14ac:dyDescent="0.25">
      <c r="M1145" s="108"/>
      <c r="N1145" s="108"/>
      <c r="O1145" s="105"/>
      <c r="P1145" s="105"/>
      <c r="Q1145" s="107"/>
      <c r="R1145" s="107"/>
    </row>
    <row r="1146" spans="13:18" x14ac:dyDescent="0.25">
      <c r="M1146" s="108"/>
      <c r="N1146" s="108"/>
      <c r="O1146" s="105"/>
      <c r="P1146" s="105"/>
      <c r="Q1146" s="107"/>
      <c r="R1146" s="107"/>
    </row>
    <row r="1147" spans="13:18" x14ac:dyDescent="0.25">
      <c r="M1147" s="108"/>
      <c r="N1147" s="108"/>
      <c r="O1147" s="105"/>
      <c r="P1147" s="105"/>
      <c r="Q1147" s="107"/>
      <c r="R1147" s="107"/>
    </row>
    <row r="1148" spans="13:18" x14ac:dyDescent="0.25">
      <c r="M1148" s="108"/>
      <c r="N1148" s="108"/>
      <c r="O1148" s="105"/>
      <c r="P1148" s="105"/>
      <c r="Q1148" s="107"/>
      <c r="R1148" s="107"/>
    </row>
    <row r="1149" spans="13:18" x14ac:dyDescent="0.25">
      <c r="M1149" s="108"/>
      <c r="N1149" s="108"/>
      <c r="O1149" s="105"/>
      <c r="P1149" s="105"/>
      <c r="Q1149" s="107"/>
      <c r="R1149" s="107"/>
    </row>
    <row r="1150" spans="13:18" x14ac:dyDescent="0.25">
      <c r="M1150" s="108"/>
      <c r="N1150" s="108"/>
      <c r="O1150" s="105"/>
      <c r="P1150" s="105"/>
      <c r="Q1150" s="107"/>
      <c r="R1150" s="107"/>
    </row>
    <row r="1151" spans="13:18" x14ac:dyDescent="0.25">
      <c r="M1151" s="108"/>
      <c r="N1151" s="108"/>
      <c r="O1151" s="105"/>
      <c r="P1151" s="105"/>
      <c r="Q1151" s="107"/>
      <c r="R1151" s="107"/>
    </row>
    <row r="1152" spans="13:18" x14ac:dyDescent="0.25">
      <c r="M1152" s="108"/>
      <c r="N1152" s="108"/>
      <c r="O1152" s="105"/>
      <c r="P1152" s="105"/>
      <c r="Q1152" s="107"/>
      <c r="R1152" s="107"/>
    </row>
    <row r="1153" spans="13:18" x14ac:dyDescent="0.25">
      <c r="M1153" s="108"/>
      <c r="N1153" s="108"/>
      <c r="O1153" s="105"/>
      <c r="P1153" s="105"/>
      <c r="Q1153" s="107"/>
      <c r="R1153" s="107"/>
    </row>
    <row r="1154" spans="13:18" x14ac:dyDescent="0.25">
      <c r="M1154" s="108"/>
      <c r="N1154" s="108"/>
      <c r="O1154" s="105"/>
      <c r="P1154" s="105"/>
      <c r="Q1154" s="107"/>
      <c r="R1154" s="107"/>
    </row>
    <row r="1155" spans="13:18" x14ac:dyDescent="0.25">
      <c r="M1155" s="108"/>
      <c r="N1155" s="108"/>
      <c r="O1155" s="105"/>
      <c r="P1155" s="105"/>
      <c r="Q1155" s="107"/>
      <c r="R1155" s="107"/>
    </row>
    <row r="1156" spans="13:18" x14ac:dyDescent="0.25">
      <c r="M1156" s="108"/>
      <c r="N1156" s="108"/>
      <c r="O1156" s="105"/>
      <c r="P1156" s="105"/>
      <c r="Q1156" s="107"/>
      <c r="R1156" s="107"/>
    </row>
    <row r="1157" spans="13:18" x14ac:dyDescent="0.25">
      <c r="M1157" s="108"/>
      <c r="N1157" s="108"/>
      <c r="O1157" s="105"/>
      <c r="P1157" s="105"/>
      <c r="Q1157" s="107"/>
      <c r="R1157" s="107"/>
    </row>
    <row r="1158" spans="13:18" x14ac:dyDescent="0.25">
      <c r="M1158" s="108"/>
      <c r="N1158" s="108"/>
      <c r="O1158" s="105"/>
      <c r="P1158" s="105"/>
      <c r="Q1158" s="107"/>
      <c r="R1158" s="107"/>
    </row>
    <row r="1159" spans="13:18" x14ac:dyDescent="0.25">
      <c r="M1159" s="108"/>
      <c r="N1159" s="108"/>
      <c r="O1159" s="105"/>
      <c r="P1159" s="105"/>
      <c r="Q1159" s="107"/>
      <c r="R1159" s="107"/>
    </row>
    <row r="1160" spans="13:18" x14ac:dyDescent="0.25">
      <c r="M1160" s="108"/>
      <c r="N1160" s="108"/>
      <c r="O1160" s="105"/>
      <c r="P1160" s="105"/>
      <c r="Q1160" s="107"/>
      <c r="R1160" s="107"/>
    </row>
    <row r="1161" spans="13:18" x14ac:dyDescent="0.25">
      <c r="M1161" s="108"/>
      <c r="N1161" s="108"/>
      <c r="O1161" s="105"/>
      <c r="P1161" s="105"/>
      <c r="Q1161" s="107"/>
      <c r="R1161" s="107"/>
    </row>
    <row r="1162" spans="13:18" x14ac:dyDescent="0.25">
      <c r="M1162" s="108"/>
      <c r="N1162" s="108"/>
      <c r="O1162" s="105"/>
      <c r="P1162" s="105"/>
      <c r="Q1162" s="107"/>
      <c r="R1162" s="107"/>
    </row>
    <row r="1163" spans="13:18" x14ac:dyDescent="0.25">
      <c r="M1163" s="108"/>
      <c r="N1163" s="108"/>
      <c r="O1163" s="105"/>
      <c r="P1163" s="105"/>
      <c r="Q1163" s="107"/>
      <c r="R1163" s="107"/>
    </row>
    <row r="1164" spans="13:18" x14ac:dyDescent="0.25">
      <c r="M1164" s="108"/>
      <c r="N1164" s="108"/>
      <c r="O1164" s="105"/>
      <c r="P1164" s="105"/>
      <c r="Q1164" s="107"/>
      <c r="R1164" s="107"/>
    </row>
    <row r="1165" spans="13:18" x14ac:dyDescent="0.25">
      <c r="M1165" s="108"/>
      <c r="N1165" s="108"/>
      <c r="O1165" s="105"/>
      <c r="P1165" s="105"/>
      <c r="Q1165" s="107"/>
      <c r="R1165" s="107"/>
    </row>
    <row r="1166" spans="13:18" x14ac:dyDescent="0.25">
      <c r="M1166" s="108"/>
      <c r="N1166" s="108"/>
      <c r="O1166" s="105"/>
      <c r="P1166" s="105"/>
      <c r="Q1166" s="107"/>
      <c r="R1166" s="107"/>
    </row>
    <row r="1167" spans="13:18" x14ac:dyDescent="0.25">
      <c r="M1167" s="108"/>
      <c r="N1167" s="108"/>
      <c r="O1167" s="105"/>
      <c r="P1167" s="105"/>
      <c r="Q1167" s="107"/>
      <c r="R1167" s="107"/>
    </row>
    <row r="1168" spans="13:18" x14ac:dyDescent="0.25">
      <c r="M1168" s="108"/>
      <c r="N1168" s="108"/>
      <c r="O1168" s="105"/>
      <c r="P1168" s="105"/>
      <c r="Q1168" s="107"/>
      <c r="R1168" s="107"/>
    </row>
    <row r="1169" spans="13:18" x14ac:dyDescent="0.25">
      <c r="M1169" s="108"/>
      <c r="N1169" s="108"/>
      <c r="O1169" s="105"/>
      <c r="P1169" s="105"/>
      <c r="Q1169" s="107"/>
      <c r="R1169" s="107"/>
    </row>
    <row r="1170" spans="13:18" x14ac:dyDescent="0.25">
      <c r="M1170" s="108"/>
      <c r="N1170" s="108"/>
      <c r="O1170" s="105"/>
      <c r="P1170" s="105"/>
      <c r="Q1170" s="107"/>
      <c r="R1170" s="107"/>
    </row>
    <row r="1171" spans="13:18" x14ac:dyDescent="0.25">
      <c r="M1171" s="108"/>
      <c r="N1171" s="108"/>
      <c r="O1171" s="105"/>
      <c r="P1171" s="105"/>
      <c r="Q1171" s="107"/>
      <c r="R1171" s="107"/>
    </row>
    <row r="1172" spans="13:18" x14ac:dyDescent="0.25">
      <c r="M1172" s="108"/>
      <c r="N1172" s="108"/>
      <c r="O1172" s="105"/>
      <c r="P1172" s="105"/>
      <c r="Q1172" s="107"/>
      <c r="R1172" s="107"/>
    </row>
    <row r="1173" spans="13:18" x14ac:dyDescent="0.25">
      <c r="M1173" s="108"/>
      <c r="N1173" s="108"/>
      <c r="O1173" s="105"/>
      <c r="P1173" s="105"/>
      <c r="Q1173" s="107"/>
      <c r="R1173" s="107"/>
    </row>
    <row r="1174" spans="13:18" x14ac:dyDescent="0.25">
      <c r="M1174" s="108"/>
      <c r="N1174" s="108"/>
      <c r="O1174" s="105"/>
      <c r="P1174" s="105"/>
      <c r="Q1174" s="107"/>
      <c r="R1174" s="107"/>
    </row>
    <row r="1175" spans="13:18" x14ac:dyDescent="0.25">
      <c r="M1175" s="108"/>
      <c r="N1175" s="108"/>
      <c r="O1175" s="105"/>
      <c r="P1175" s="105"/>
      <c r="Q1175" s="107"/>
      <c r="R1175" s="107"/>
    </row>
    <row r="1176" spans="13:18" x14ac:dyDescent="0.25">
      <c r="M1176" s="108"/>
      <c r="N1176" s="108"/>
      <c r="O1176" s="105"/>
      <c r="P1176" s="105"/>
      <c r="Q1176" s="107"/>
      <c r="R1176" s="107"/>
    </row>
    <row r="1177" spans="13:18" x14ac:dyDescent="0.25">
      <c r="M1177" s="108"/>
      <c r="N1177" s="108"/>
      <c r="O1177" s="105"/>
      <c r="P1177" s="105"/>
      <c r="Q1177" s="107"/>
      <c r="R1177" s="107"/>
    </row>
    <row r="1178" spans="13:18" x14ac:dyDescent="0.25">
      <c r="M1178" s="108"/>
      <c r="N1178" s="108"/>
      <c r="O1178" s="105"/>
      <c r="P1178" s="105"/>
      <c r="Q1178" s="107"/>
      <c r="R1178" s="107"/>
    </row>
    <row r="1179" spans="13:18" x14ac:dyDescent="0.25">
      <c r="M1179" s="108"/>
      <c r="N1179" s="108"/>
      <c r="O1179" s="105"/>
      <c r="P1179" s="105"/>
      <c r="Q1179" s="107"/>
      <c r="R1179" s="107"/>
    </row>
    <row r="1180" spans="13:18" x14ac:dyDescent="0.25">
      <c r="M1180" s="108"/>
      <c r="N1180" s="108"/>
      <c r="O1180" s="105"/>
      <c r="P1180" s="105"/>
      <c r="Q1180" s="107"/>
      <c r="R1180" s="107"/>
    </row>
    <row r="1181" spans="13:18" x14ac:dyDescent="0.25">
      <c r="M1181" s="108"/>
      <c r="N1181" s="108"/>
      <c r="O1181" s="105"/>
      <c r="P1181" s="105"/>
      <c r="Q1181" s="107"/>
      <c r="R1181" s="107"/>
    </row>
    <row r="1182" spans="13:18" x14ac:dyDescent="0.25">
      <c r="M1182" s="108"/>
      <c r="N1182" s="108"/>
      <c r="O1182" s="105"/>
      <c r="P1182" s="105"/>
      <c r="Q1182" s="107"/>
      <c r="R1182" s="107"/>
    </row>
    <row r="1183" spans="13:18" x14ac:dyDescent="0.25">
      <c r="M1183" s="108"/>
      <c r="N1183" s="108"/>
      <c r="O1183" s="105"/>
      <c r="P1183" s="105"/>
      <c r="Q1183" s="107"/>
      <c r="R1183" s="107"/>
    </row>
    <row r="1184" spans="13:18" x14ac:dyDescent="0.25">
      <c r="M1184" s="108"/>
      <c r="N1184" s="108"/>
      <c r="O1184" s="105"/>
      <c r="P1184" s="105"/>
      <c r="Q1184" s="107"/>
      <c r="R1184" s="107"/>
    </row>
    <row r="1185" spans="13:18" x14ac:dyDescent="0.25">
      <c r="M1185" s="108"/>
      <c r="N1185" s="108"/>
      <c r="O1185" s="105"/>
      <c r="P1185" s="105"/>
      <c r="Q1185" s="107"/>
      <c r="R1185" s="107"/>
    </row>
    <row r="1186" spans="13:18" x14ac:dyDescent="0.25">
      <c r="M1186" s="108"/>
      <c r="N1186" s="108"/>
      <c r="O1186" s="105"/>
      <c r="P1186" s="105"/>
      <c r="Q1186" s="107"/>
      <c r="R1186" s="107"/>
    </row>
    <row r="1187" spans="13:18" x14ac:dyDescent="0.25">
      <c r="M1187" s="108"/>
      <c r="N1187" s="108"/>
      <c r="O1187" s="105"/>
      <c r="P1187" s="105"/>
      <c r="Q1187" s="107"/>
      <c r="R1187" s="107"/>
    </row>
    <row r="1188" spans="13:18" x14ac:dyDescent="0.25">
      <c r="M1188" s="108"/>
      <c r="N1188" s="108"/>
      <c r="O1188" s="105"/>
      <c r="P1188" s="105"/>
      <c r="Q1188" s="107"/>
      <c r="R1188" s="107"/>
    </row>
    <row r="1189" spans="13:18" x14ac:dyDescent="0.25">
      <c r="M1189" s="108"/>
      <c r="N1189" s="108"/>
      <c r="O1189" s="105"/>
      <c r="P1189" s="105"/>
      <c r="Q1189" s="107"/>
      <c r="R1189" s="107"/>
    </row>
    <row r="1190" spans="13:18" x14ac:dyDescent="0.25">
      <c r="M1190" s="108"/>
      <c r="N1190" s="108"/>
      <c r="O1190" s="105"/>
      <c r="P1190" s="105"/>
      <c r="Q1190" s="107"/>
      <c r="R1190" s="107"/>
    </row>
    <row r="1191" spans="13:18" x14ac:dyDescent="0.25">
      <c r="M1191" s="108"/>
      <c r="N1191" s="108"/>
      <c r="O1191" s="105"/>
      <c r="P1191" s="105"/>
      <c r="Q1191" s="107"/>
      <c r="R1191" s="107"/>
    </row>
    <row r="1192" spans="13:18" x14ac:dyDescent="0.25">
      <c r="M1192" s="108"/>
      <c r="N1192" s="108"/>
      <c r="O1192" s="105"/>
      <c r="P1192" s="105"/>
      <c r="Q1192" s="107"/>
      <c r="R1192" s="107"/>
    </row>
    <row r="1193" spans="13:18" x14ac:dyDescent="0.25">
      <c r="M1193" s="108"/>
      <c r="N1193" s="108"/>
      <c r="O1193" s="105"/>
      <c r="P1193" s="105"/>
      <c r="Q1193" s="107"/>
      <c r="R1193" s="107"/>
    </row>
    <row r="1194" spans="13:18" x14ac:dyDescent="0.25">
      <c r="M1194" s="108"/>
      <c r="N1194" s="108"/>
      <c r="O1194" s="105"/>
      <c r="P1194" s="105"/>
      <c r="Q1194" s="107"/>
      <c r="R1194" s="107"/>
    </row>
    <row r="1195" spans="13:18" x14ac:dyDescent="0.25">
      <c r="M1195" s="108"/>
      <c r="N1195" s="108"/>
      <c r="O1195" s="105"/>
      <c r="P1195" s="105"/>
      <c r="Q1195" s="107"/>
      <c r="R1195" s="107"/>
    </row>
    <row r="1196" spans="13:18" x14ac:dyDescent="0.25">
      <c r="M1196" s="108"/>
      <c r="N1196" s="108"/>
      <c r="O1196" s="105"/>
      <c r="P1196" s="105"/>
      <c r="Q1196" s="107"/>
      <c r="R1196" s="107"/>
    </row>
    <row r="1197" spans="13:18" x14ac:dyDescent="0.25">
      <c r="M1197" s="108"/>
      <c r="N1197" s="108"/>
      <c r="O1197" s="105"/>
      <c r="P1197" s="105"/>
      <c r="Q1197" s="107"/>
      <c r="R1197" s="107"/>
    </row>
    <row r="1198" spans="13:18" x14ac:dyDescent="0.25">
      <c r="M1198" s="108"/>
      <c r="N1198" s="108"/>
      <c r="O1198" s="105"/>
      <c r="P1198" s="105"/>
      <c r="Q1198" s="107"/>
      <c r="R1198" s="107"/>
    </row>
    <row r="1199" spans="13:18" x14ac:dyDescent="0.25">
      <c r="M1199" s="108"/>
      <c r="N1199" s="108"/>
      <c r="O1199" s="105"/>
      <c r="P1199" s="105"/>
      <c r="Q1199" s="107"/>
      <c r="R1199" s="107"/>
    </row>
    <row r="1200" spans="13:18" x14ac:dyDescent="0.25">
      <c r="M1200" s="108"/>
      <c r="N1200" s="108"/>
      <c r="O1200" s="105"/>
      <c r="P1200" s="105"/>
      <c r="Q1200" s="107"/>
      <c r="R1200" s="107"/>
    </row>
    <row r="1201" spans="13:18" x14ac:dyDescent="0.25">
      <c r="M1201" s="108"/>
      <c r="N1201" s="108"/>
      <c r="O1201" s="105"/>
      <c r="P1201" s="105"/>
      <c r="Q1201" s="107"/>
      <c r="R1201" s="107"/>
    </row>
    <row r="1202" spans="13:18" x14ac:dyDescent="0.25">
      <c r="M1202" s="108"/>
      <c r="N1202" s="108"/>
      <c r="O1202" s="105"/>
      <c r="P1202" s="105"/>
      <c r="Q1202" s="107"/>
      <c r="R1202" s="107"/>
    </row>
    <row r="1203" spans="13:18" x14ac:dyDescent="0.25">
      <c r="M1203" s="108"/>
      <c r="N1203" s="108"/>
      <c r="O1203" s="105"/>
      <c r="P1203" s="105"/>
      <c r="Q1203" s="107"/>
      <c r="R1203" s="107"/>
    </row>
    <row r="1204" spans="13:18" x14ac:dyDescent="0.25">
      <c r="M1204" s="108"/>
      <c r="N1204" s="108"/>
      <c r="O1204" s="105"/>
      <c r="P1204" s="105"/>
      <c r="Q1204" s="107"/>
      <c r="R1204" s="107"/>
    </row>
    <row r="1205" spans="13:18" x14ac:dyDescent="0.25">
      <c r="M1205" s="108"/>
      <c r="N1205" s="108"/>
      <c r="O1205" s="105"/>
      <c r="P1205" s="105"/>
      <c r="Q1205" s="107"/>
      <c r="R1205" s="107"/>
    </row>
    <row r="1206" spans="13:18" x14ac:dyDescent="0.25">
      <c r="M1206" s="108"/>
      <c r="N1206" s="108"/>
      <c r="O1206" s="105"/>
      <c r="P1206" s="105"/>
      <c r="Q1206" s="107"/>
      <c r="R1206" s="107"/>
    </row>
    <row r="1207" spans="13:18" x14ac:dyDescent="0.25">
      <c r="M1207" s="108"/>
      <c r="N1207" s="108"/>
      <c r="O1207" s="105"/>
      <c r="P1207" s="105"/>
      <c r="Q1207" s="107"/>
      <c r="R1207" s="107"/>
    </row>
    <row r="1208" spans="13:18" x14ac:dyDescent="0.25">
      <c r="M1208" s="108"/>
      <c r="N1208" s="108"/>
      <c r="O1208" s="105"/>
      <c r="P1208" s="105"/>
      <c r="Q1208" s="107"/>
      <c r="R1208" s="107"/>
    </row>
    <row r="1209" spans="13:18" x14ac:dyDescent="0.25">
      <c r="M1209" s="108"/>
      <c r="N1209" s="108"/>
      <c r="O1209" s="105"/>
      <c r="P1209" s="105"/>
      <c r="Q1209" s="107"/>
      <c r="R1209" s="107"/>
    </row>
    <row r="1210" spans="13:18" x14ac:dyDescent="0.25">
      <c r="M1210" s="108"/>
      <c r="N1210" s="108"/>
      <c r="O1210" s="105"/>
      <c r="P1210" s="105"/>
      <c r="Q1210" s="107"/>
      <c r="R1210" s="107"/>
    </row>
    <row r="1211" spans="13:18" x14ac:dyDescent="0.25">
      <c r="M1211" s="108"/>
      <c r="N1211" s="108"/>
      <c r="O1211" s="105"/>
      <c r="P1211" s="105"/>
      <c r="Q1211" s="107"/>
      <c r="R1211" s="107"/>
    </row>
    <row r="1212" spans="13:18" x14ac:dyDescent="0.25">
      <c r="M1212" s="108"/>
      <c r="N1212" s="108"/>
      <c r="O1212" s="105"/>
      <c r="P1212" s="105"/>
      <c r="Q1212" s="107"/>
      <c r="R1212" s="107"/>
    </row>
    <row r="1213" spans="13:18" x14ac:dyDescent="0.25">
      <c r="M1213" s="108"/>
      <c r="N1213" s="108"/>
      <c r="O1213" s="105"/>
      <c r="P1213" s="105"/>
      <c r="Q1213" s="107"/>
      <c r="R1213" s="107"/>
    </row>
    <row r="1214" spans="13:18" x14ac:dyDescent="0.25">
      <c r="M1214" s="108"/>
      <c r="N1214" s="108"/>
      <c r="O1214" s="105"/>
      <c r="P1214" s="105"/>
      <c r="Q1214" s="107"/>
      <c r="R1214" s="107"/>
    </row>
    <row r="1215" spans="13:18" x14ac:dyDescent="0.25">
      <c r="M1215" s="108"/>
      <c r="N1215" s="108"/>
      <c r="O1215" s="105"/>
      <c r="P1215" s="105"/>
      <c r="Q1215" s="107"/>
      <c r="R1215" s="107"/>
    </row>
    <row r="1216" spans="13:18" x14ac:dyDescent="0.25">
      <c r="M1216" s="108"/>
      <c r="N1216" s="108"/>
      <c r="O1216" s="105"/>
      <c r="P1216" s="105"/>
      <c r="Q1216" s="107"/>
      <c r="R1216" s="107"/>
    </row>
    <row r="1217" spans="13:18" x14ac:dyDescent="0.25">
      <c r="M1217" s="108"/>
      <c r="N1217" s="108"/>
      <c r="O1217" s="105"/>
      <c r="P1217" s="105"/>
      <c r="Q1217" s="107"/>
      <c r="R1217" s="107"/>
    </row>
    <row r="1218" spans="13:18" x14ac:dyDescent="0.25">
      <c r="M1218" s="108"/>
      <c r="N1218" s="108"/>
      <c r="O1218" s="105"/>
      <c r="P1218" s="105"/>
      <c r="Q1218" s="107"/>
      <c r="R1218" s="107"/>
    </row>
    <row r="1219" spans="13:18" x14ac:dyDescent="0.25">
      <c r="M1219" s="108"/>
      <c r="N1219" s="108"/>
      <c r="O1219" s="105"/>
      <c r="P1219" s="105"/>
      <c r="Q1219" s="107"/>
      <c r="R1219" s="107"/>
    </row>
    <row r="1220" spans="13:18" x14ac:dyDescent="0.25">
      <c r="M1220" s="108"/>
      <c r="N1220" s="108"/>
      <c r="O1220" s="105"/>
      <c r="P1220" s="105"/>
      <c r="Q1220" s="107"/>
      <c r="R1220" s="107"/>
    </row>
    <row r="1221" spans="13:18" x14ac:dyDescent="0.25">
      <c r="M1221" s="108"/>
      <c r="N1221" s="108"/>
      <c r="O1221" s="105"/>
      <c r="P1221" s="105"/>
      <c r="Q1221" s="107"/>
      <c r="R1221" s="107"/>
    </row>
    <row r="1222" spans="13:18" x14ac:dyDescent="0.25">
      <c r="M1222" s="108"/>
      <c r="N1222" s="108"/>
      <c r="O1222" s="105"/>
      <c r="P1222" s="105"/>
      <c r="Q1222" s="107"/>
      <c r="R1222" s="107"/>
    </row>
    <row r="1223" spans="13:18" x14ac:dyDescent="0.25">
      <c r="M1223" s="108"/>
      <c r="N1223" s="108"/>
      <c r="O1223" s="105"/>
      <c r="P1223" s="105"/>
      <c r="Q1223" s="107"/>
      <c r="R1223" s="107"/>
    </row>
    <row r="1224" spans="13:18" x14ac:dyDescent="0.25">
      <c r="M1224" s="108"/>
      <c r="N1224" s="108"/>
      <c r="O1224" s="105"/>
      <c r="P1224" s="105"/>
      <c r="Q1224" s="107"/>
      <c r="R1224" s="107"/>
    </row>
    <row r="1225" spans="13:18" x14ac:dyDescent="0.25">
      <c r="M1225" s="108"/>
      <c r="N1225" s="108"/>
      <c r="O1225" s="105"/>
      <c r="P1225" s="105"/>
      <c r="Q1225" s="107"/>
      <c r="R1225" s="107"/>
    </row>
    <row r="1226" spans="13:18" x14ac:dyDescent="0.25">
      <c r="M1226" s="108"/>
      <c r="N1226" s="108"/>
      <c r="O1226" s="105"/>
      <c r="P1226" s="105"/>
      <c r="Q1226" s="107"/>
      <c r="R1226" s="107"/>
    </row>
    <row r="1227" spans="13:18" x14ac:dyDescent="0.25">
      <c r="M1227" s="108"/>
      <c r="N1227" s="108"/>
      <c r="O1227" s="105"/>
      <c r="P1227" s="105"/>
      <c r="Q1227" s="107"/>
      <c r="R1227" s="107"/>
    </row>
    <row r="1228" spans="13:18" x14ac:dyDescent="0.25">
      <c r="M1228" s="108"/>
      <c r="N1228" s="108"/>
      <c r="O1228" s="105"/>
      <c r="P1228" s="105"/>
      <c r="Q1228" s="107"/>
      <c r="R1228" s="107"/>
    </row>
    <row r="1229" spans="13:18" x14ac:dyDescent="0.25">
      <c r="M1229" s="108"/>
      <c r="N1229" s="108"/>
      <c r="O1229" s="105"/>
      <c r="P1229" s="105"/>
      <c r="Q1229" s="107"/>
      <c r="R1229" s="107"/>
    </row>
    <row r="1230" spans="13:18" x14ac:dyDescent="0.25">
      <c r="M1230" s="108"/>
      <c r="N1230" s="108"/>
      <c r="O1230" s="105"/>
      <c r="P1230" s="105"/>
      <c r="Q1230" s="107"/>
      <c r="R1230" s="107"/>
    </row>
    <row r="1231" spans="13:18" x14ac:dyDescent="0.25">
      <c r="M1231" s="108"/>
      <c r="N1231" s="108"/>
      <c r="O1231" s="105"/>
      <c r="P1231" s="105"/>
      <c r="Q1231" s="107"/>
      <c r="R1231" s="107"/>
    </row>
    <row r="1232" spans="13:18" x14ac:dyDescent="0.25">
      <c r="M1232" s="108"/>
      <c r="N1232" s="108"/>
      <c r="O1232" s="105"/>
      <c r="P1232" s="105"/>
      <c r="Q1232" s="107"/>
      <c r="R1232" s="107"/>
    </row>
    <row r="1233" spans="13:18" x14ac:dyDescent="0.25">
      <c r="M1233" s="108"/>
      <c r="N1233" s="108"/>
      <c r="O1233" s="105"/>
      <c r="P1233" s="105"/>
      <c r="Q1233" s="107"/>
      <c r="R1233" s="107"/>
    </row>
    <row r="1234" spans="13:18" x14ac:dyDescent="0.25">
      <c r="M1234" s="108"/>
      <c r="N1234" s="108"/>
      <c r="O1234" s="105"/>
      <c r="P1234" s="105"/>
      <c r="Q1234" s="107"/>
      <c r="R1234" s="107"/>
    </row>
    <row r="1235" spans="13:18" x14ac:dyDescent="0.25">
      <c r="M1235" s="108"/>
      <c r="N1235" s="108"/>
      <c r="O1235" s="105"/>
      <c r="P1235" s="105"/>
      <c r="Q1235" s="107"/>
      <c r="R1235" s="107"/>
    </row>
    <row r="1236" spans="13:18" x14ac:dyDescent="0.25">
      <c r="M1236" s="108"/>
      <c r="N1236" s="108"/>
      <c r="O1236" s="105"/>
      <c r="P1236" s="105"/>
      <c r="Q1236" s="107"/>
      <c r="R1236" s="107"/>
    </row>
    <row r="1237" spans="13:18" x14ac:dyDescent="0.25">
      <c r="M1237" s="108"/>
      <c r="N1237" s="108"/>
      <c r="O1237" s="105"/>
      <c r="P1237" s="105"/>
      <c r="Q1237" s="107"/>
      <c r="R1237" s="107"/>
    </row>
    <row r="1238" spans="13:18" x14ac:dyDescent="0.25">
      <c r="M1238" s="108"/>
      <c r="N1238" s="108"/>
      <c r="O1238" s="105"/>
      <c r="P1238" s="105"/>
      <c r="Q1238" s="107"/>
      <c r="R1238" s="107"/>
    </row>
    <row r="1239" spans="13:18" x14ac:dyDescent="0.25">
      <c r="M1239" s="108"/>
      <c r="N1239" s="108"/>
      <c r="O1239" s="105"/>
      <c r="P1239" s="105"/>
      <c r="Q1239" s="107"/>
      <c r="R1239" s="107"/>
    </row>
    <row r="1240" spans="13:18" x14ac:dyDescent="0.25">
      <c r="M1240" s="108"/>
      <c r="N1240" s="108"/>
      <c r="O1240" s="105"/>
      <c r="P1240" s="105"/>
      <c r="Q1240" s="107"/>
      <c r="R1240" s="107"/>
    </row>
    <row r="1241" spans="13:18" x14ac:dyDescent="0.25">
      <c r="M1241" s="108"/>
      <c r="N1241" s="108"/>
      <c r="O1241" s="105"/>
      <c r="P1241" s="105"/>
      <c r="Q1241" s="107"/>
      <c r="R1241" s="107"/>
    </row>
    <row r="1242" spans="13:18" x14ac:dyDescent="0.25">
      <c r="M1242" s="108"/>
      <c r="N1242" s="108"/>
      <c r="O1242" s="105"/>
      <c r="P1242" s="105"/>
      <c r="Q1242" s="107"/>
      <c r="R1242" s="107"/>
    </row>
    <row r="1243" spans="13:18" x14ac:dyDescent="0.25">
      <c r="M1243" s="108"/>
      <c r="N1243" s="108"/>
      <c r="O1243" s="105"/>
      <c r="P1243" s="105"/>
      <c r="Q1243" s="107"/>
      <c r="R1243" s="107"/>
    </row>
    <row r="1244" spans="13:18" x14ac:dyDescent="0.25">
      <c r="M1244" s="108"/>
      <c r="N1244" s="108"/>
      <c r="O1244" s="105"/>
      <c r="P1244" s="105"/>
      <c r="Q1244" s="107"/>
      <c r="R1244" s="107"/>
    </row>
    <row r="1245" spans="13:18" x14ac:dyDescent="0.25">
      <c r="M1245" s="108"/>
      <c r="N1245" s="108"/>
      <c r="O1245" s="105"/>
      <c r="P1245" s="105"/>
      <c r="Q1245" s="107"/>
      <c r="R1245" s="107"/>
    </row>
    <row r="1246" spans="13:18" x14ac:dyDescent="0.25">
      <c r="M1246" s="108"/>
      <c r="N1246" s="108"/>
      <c r="O1246" s="105"/>
      <c r="P1246" s="105"/>
      <c r="Q1246" s="107"/>
      <c r="R1246" s="107"/>
    </row>
    <row r="1247" spans="13:18" x14ac:dyDescent="0.25">
      <c r="M1247" s="108"/>
      <c r="N1247" s="108"/>
      <c r="O1247" s="105"/>
      <c r="P1247" s="105"/>
      <c r="Q1247" s="107"/>
      <c r="R1247" s="107"/>
    </row>
    <row r="1248" spans="13:18" x14ac:dyDescent="0.25">
      <c r="M1248" s="108"/>
      <c r="N1248" s="108"/>
      <c r="O1248" s="105"/>
      <c r="P1248" s="105"/>
      <c r="Q1248" s="107"/>
      <c r="R1248" s="107"/>
    </row>
    <row r="1249" spans="13:18" x14ac:dyDescent="0.25">
      <c r="M1249" s="108"/>
      <c r="N1249" s="108"/>
      <c r="O1249" s="105"/>
      <c r="P1249" s="105"/>
      <c r="Q1249" s="107"/>
      <c r="R1249" s="107"/>
    </row>
    <row r="1250" spans="13:18" x14ac:dyDescent="0.25">
      <c r="M1250" s="108"/>
      <c r="N1250" s="108"/>
      <c r="O1250" s="105"/>
      <c r="P1250" s="105"/>
      <c r="Q1250" s="107"/>
      <c r="R1250" s="107"/>
    </row>
    <row r="1251" spans="13:18" x14ac:dyDescent="0.25">
      <c r="M1251" s="108"/>
      <c r="N1251" s="108"/>
      <c r="O1251" s="105"/>
      <c r="P1251" s="105"/>
      <c r="Q1251" s="107"/>
      <c r="R1251" s="107"/>
    </row>
    <row r="1252" spans="13:18" x14ac:dyDescent="0.25">
      <c r="M1252" s="108"/>
      <c r="N1252" s="108"/>
      <c r="O1252" s="105"/>
      <c r="P1252" s="105"/>
      <c r="Q1252" s="107"/>
      <c r="R1252" s="107"/>
    </row>
    <row r="1253" spans="13:18" x14ac:dyDescent="0.25">
      <c r="M1253" s="108"/>
      <c r="N1253" s="108"/>
      <c r="O1253" s="105"/>
      <c r="P1253" s="105"/>
      <c r="Q1253" s="107"/>
      <c r="R1253" s="107"/>
    </row>
    <row r="1254" spans="13:18" x14ac:dyDescent="0.25">
      <c r="M1254" s="108"/>
      <c r="N1254" s="108"/>
      <c r="O1254" s="105"/>
      <c r="P1254" s="105"/>
      <c r="Q1254" s="107"/>
      <c r="R1254" s="107"/>
    </row>
    <row r="1255" spans="13:18" x14ac:dyDescent="0.25">
      <c r="M1255" s="108"/>
      <c r="N1255" s="108"/>
      <c r="O1255" s="105"/>
      <c r="P1255" s="105"/>
      <c r="Q1255" s="107"/>
      <c r="R1255" s="107"/>
    </row>
    <row r="1256" spans="13:18" x14ac:dyDescent="0.25">
      <c r="M1256" s="108"/>
      <c r="N1256" s="108"/>
      <c r="O1256" s="105"/>
      <c r="P1256" s="105"/>
      <c r="Q1256" s="107"/>
      <c r="R1256" s="107"/>
    </row>
    <row r="1257" spans="13:18" x14ac:dyDescent="0.25">
      <c r="M1257" s="108"/>
      <c r="N1257" s="108"/>
      <c r="O1257" s="105"/>
      <c r="P1257" s="105"/>
      <c r="Q1257" s="107"/>
      <c r="R1257" s="107"/>
    </row>
    <row r="1258" spans="13:18" x14ac:dyDescent="0.25">
      <c r="M1258" s="108"/>
      <c r="N1258" s="108"/>
      <c r="O1258" s="105"/>
      <c r="P1258" s="105"/>
      <c r="Q1258" s="107"/>
      <c r="R1258" s="107"/>
    </row>
    <row r="1259" spans="13:18" x14ac:dyDescent="0.25">
      <c r="M1259" s="108"/>
      <c r="N1259" s="108"/>
      <c r="O1259" s="105"/>
      <c r="P1259" s="105"/>
      <c r="Q1259" s="107"/>
      <c r="R1259" s="107"/>
    </row>
    <row r="1260" spans="13:18" x14ac:dyDescent="0.25">
      <c r="M1260" s="108"/>
      <c r="N1260" s="108"/>
      <c r="O1260" s="105"/>
      <c r="P1260" s="105"/>
      <c r="Q1260" s="107"/>
      <c r="R1260" s="107"/>
    </row>
    <row r="1261" spans="13:18" x14ac:dyDescent="0.25">
      <c r="M1261" s="108"/>
      <c r="N1261" s="108"/>
      <c r="O1261" s="105"/>
      <c r="P1261" s="105"/>
      <c r="Q1261" s="107"/>
      <c r="R1261" s="107"/>
    </row>
    <row r="1262" spans="13:18" x14ac:dyDescent="0.25">
      <c r="M1262" s="108"/>
      <c r="N1262" s="108"/>
      <c r="O1262" s="105"/>
      <c r="P1262" s="105"/>
      <c r="Q1262" s="107"/>
      <c r="R1262" s="107"/>
    </row>
    <row r="1263" spans="13:18" x14ac:dyDescent="0.25">
      <c r="M1263" s="108"/>
      <c r="N1263" s="108"/>
      <c r="O1263" s="105"/>
      <c r="P1263" s="105"/>
      <c r="Q1263" s="107"/>
      <c r="R1263" s="107"/>
    </row>
    <row r="1264" spans="13:18" x14ac:dyDescent="0.25">
      <c r="M1264" s="108"/>
      <c r="N1264" s="108"/>
      <c r="O1264" s="105"/>
      <c r="P1264" s="105"/>
      <c r="Q1264" s="107"/>
      <c r="R1264" s="107"/>
    </row>
    <row r="1265" spans="13:18" x14ac:dyDescent="0.25">
      <c r="M1265" s="108"/>
      <c r="N1265" s="108"/>
      <c r="O1265" s="105"/>
      <c r="P1265" s="105"/>
      <c r="Q1265" s="107"/>
      <c r="R1265" s="107"/>
    </row>
    <row r="1266" spans="13:18" x14ac:dyDescent="0.25">
      <c r="M1266" s="108"/>
      <c r="N1266" s="108"/>
      <c r="O1266" s="105"/>
      <c r="P1266" s="105"/>
      <c r="Q1266" s="107"/>
      <c r="R1266" s="107"/>
    </row>
    <row r="1267" spans="13:18" x14ac:dyDescent="0.25">
      <c r="M1267" s="108"/>
      <c r="N1267" s="108"/>
      <c r="O1267" s="105"/>
      <c r="P1267" s="105"/>
      <c r="Q1267" s="107"/>
      <c r="R1267" s="107"/>
    </row>
    <row r="1268" spans="13:18" x14ac:dyDescent="0.25">
      <c r="M1268" s="108"/>
      <c r="N1268" s="108"/>
      <c r="O1268" s="105"/>
      <c r="P1268" s="105"/>
      <c r="Q1268" s="107"/>
      <c r="R1268" s="107"/>
    </row>
    <row r="1269" spans="13:18" x14ac:dyDescent="0.25">
      <c r="M1269" s="108"/>
      <c r="N1269" s="108"/>
      <c r="O1269" s="105"/>
      <c r="P1269" s="105"/>
      <c r="Q1269" s="107"/>
      <c r="R1269" s="107"/>
    </row>
    <row r="1270" spans="13:18" x14ac:dyDescent="0.25">
      <c r="M1270" s="108"/>
      <c r="N1270" s="108"/>
      <c r="O1270" s="105"/>
      <c r="P1270" s="105"/>
      <c r="Q1270" s="107"/>
      <c r="R1270" s="107"/>
    </row>
    <row r="1271" spans="13:18" x14ac:dyDescent="0.25">
      <c r="M1271" s="108"/>
      <c r="N1271" s="108"/>
      <c r="O1271" s="105"/>
      <c r="P1271" s="105"/>
      <c r="Q1271" s="107"/>
      <c r="R1271" s="107"/>
    </row>
    <row r="1272" spans="13:18" x14ac:dyDescent="0.25">
      <c r="M1272" s="108"/>
      <c r="N1272" s="108"/>
      <c r="O1272" s="105"/>
      <c r="P1272" s="105"/>
      <c r="Q1272" s="107"/>
      <c r="R1272" s="107"/>
    </row>
    <row r="1273" spans="13:18" x14ac:dyDescent="0.25">
      <c r="M1273" s="108"/>
      <c r="N1273" s="108"/>
      <c r="O1273" s="105"/>
      <c r="P1273" s="105"/>
      <c r="Q1273" s="107"/>
      <c r="R1273" s="107"/>
    </row>
    <row r="1274" spans="13:18" x14ac:dyDescent="0.25">
      <c r="M1274" s="108"/>
      <c r="N1274" s="108"/>
      <c r="O1274" s="105"/>
      <c r="P1274" s="105"/>
      <c r="Q1274" s="107"/>
      <c r="R1274" s="107"/>
    </row>
    <row r="1275" spans="13:18" x14ac:dyDescent="0.25">
      <c r="M1275" s="108"/>
      <c r="N1275" s="108"/>
      <c r="O1275" s="105"/>
      <c r="P1275" s="105"/>
      <c r="Q1275" s="107"/>
      <c r="R1275" s="107"/>
    </row>
    <row r="1276" spans="13:18" x14ac:dyDescent="0.25">
      <c r="M1276" s="108"/>
      <c r="N1276" s="108"/>
      <c r="O1276" s="105"/>
      <c r="P1276" s="105"/>
      <c r="Q1276" s="107"/>
      <c r="R1276" s="107"/>
    </row>
    <row r="1277" spans="13:18" x14ac:dyDescent="0.25">
      <c r="M1277" s="108"/>
      <c r="N1277" s="108"/>
      <c r="O1277" s="105"/>
      <c r="P1277" s="105"/>
      <c r="Q1277" s="107"/>
      <c r="R1277" s="107"/>
    </row>
    <row r="1278" spans="13:18" x14ac:dyDescent="0.25">
      <c r="M1278" s="108"/>
      <c r="N1278" s="108"/>
      <c r="O1278" s="105"/>
      <c r="P1278" s="105"/>
      <c r="Q1278" s="107"/>
      <c r="R1278" s="107"/>
    </row>
    <row r="1279" spans="13:18" x14ac:dyDescent="0.25">
      <c r="M1279" s="108"/>
      <c r="N1279" s="108"/>
      <c r="O1279" s="105"/>
      <c r="P1279" s="105"/>
      <c r="Q1279" s="107"/>
      <c r="R1279" s="107"/>
    </row>
    <row r="1280" spans="13:18" x14ac:dyDescent="0.25">
      <c r="M1280" s="108"/>
      <c r="N1280" s="108"/>
      <c r="O1280" s="105"/>
      <c r="P1280" s="105"/>
      <c r="Q1280" s="107"/>
      <c r="R1280" s="107"/>
    </row>
    <row r="1281" spans="13:18" x14ac:dyDescent="0.25">
      <c r="M1281" s="108"/>
      <c r="N1281" s="108"/>
      <c r="O1281" s="105"/>
      <c r="P1281" s="105"/>
      <c r="Q1281" s="107"/>
      <c r="R1281" s="107"/>
    </row>
    <row r="1282" spans="13:18" x14ac:dyDescent="0.25">
      <c r="M1282" s="108"/>
      <c r="N1282" s="108"/>
      <c r="O1282" s="105"/>
      <c r="P1282" s="105"/>
      <c r="Q1282" s="107"/>
      <c r="R1282" s="107"/>
    </row>
    <row r="1283" spans="13:18" x14ac:dyDescent="0.25">
      <c r="M1283" s="108"/>
      <c r="N1283" s="108"/>
      <c r="O1283" s="105"/>
      <c r="P1283" s="105"/>
      <c r="Q1283" s="107"/>
      <c r="R1283" s="107"/>
    </row>
    <row r="1284" spans="13:18" x14ac:dyDescent="0.25">
      <c r="M1284" s="108"/>
      <c r="N1284" s="108"/>
      <c r="O1284" s="105"/>
      <c r="P1284" s="105"/>
      <c r="Q1284" s="107"/>
      <c r="R1284" s="107"/>
    </row>
    <row r="1285" spans="13:18" x14ac:dyDescent="0.25">
      <c r="M1285" s="108"/>
      <c r="N1285" s="108"/>
      <c r="O1285" s="105"/>
      <c r="P1285" s="105"/>
      <c r="Q1285" s="107"/>
      <c r="R1285" s="107"/>
    </row>
    <row r="1286" spans="13:18" x14ac:dyDescent="0.25">
      <c r="M1286" s="108"/>
      <c r="N1286" s="108"/>
      <c r="O1286" s="105"/>
      <c r="P1286" s="105"/>
      <c r="Q1286" s="107"/>
      <c r="R1286" s="107"/>
    </row>
    <row r="1287" spans="13:18" x14ac:dyDescent="0.25">
      <c r="M1287" s="108"/>
      <c r="N1287" s="108"/>
      <c r="O1287" s="105"/>
      <c r="P1287" s="105"/>
      <c r="Q1287" s="107"/>
      <c r="R1287" s="107"/>
    </row>
    <row r="1288" spans="13:18" x14ac:dyDescent="0.25">
      <c r="M1288" s="108"/>
      <c r="N1288" s="108"/>
      <c r="O1288" s="105"/>
      <c r="P1288" s="105"/>
      <c r="Q1288" s="107"/>
      <c r="R1288" s="107"/>
    </row>
    <row r="1289" spans="13:18" x14ac:dyDescent="0.25">
      <c r="M1289" s="108"/>
      <c r="N1289" s="108"/>
      <c r="O1289" s="105"/>
      <c r="P1289" s="105"/>
      <c r="Q1289" s="107"/>
      <c r="R1289" s="107"/>
    </row>
    <row r="1290" spans="13:18" x14ac:dyDescent="0.25">
      <c r="M1290" s="108"/>
      <c r="N1290" s="108"/>
      <c r="O1290" s="105"/>
      <c r="P1290" s="105"/>
      <c r="Q1290" s="107"/>
      <c r="R1290" s="107"/>
    </row>
    <row r="1291" spans="13:18" x14ac:dyDescent="0.25">
      <c r="M1291" s="108"/>
      <c r="N1291" s="108"/>
      <c r="O1291" s="105"/>
      <c r="P1291" s="105"/>
      <c r="Q1291" s="107"/>
      <c r="R1291" s="107"/>
    </row>
    <row r="1292" spans="13:18" x14ac:dyDescent="0.25">
      <c r="M1292" s="108"/>
      <c r="N1292" s="108"/>
      <c r="O1292" s="105"/>
      <c r="P1292" s="105"/>
      <c r="Q1292" s="107"/>
      <c r="R1292" s="107"/>
    </row>
    <row r="1293" spans="13:18" x14ac:dyDescent="0.25">
      <c r="M1293" s="108"/>
      <c r="N1293" s="108"/>
      <c r="O1293" s="105"/>
      <c r="P1293" s="105"/>
      <c r="Q1293" s="107"/>
      <c r="R1293" s="107"/>
    </row>
    <row r="1294" spans="13:18" x14ac:dyDescent="0.25">
      <c r="M1294" s="108"/>
      <c r="N1294" s="108"/>
      <c r="O1294" s="105"/>
      <c r="P1294" s="105"/>
      <c r="Q1294" s="107"/>
      <c r="R1294" s="107"/>
    </row>
    <row r="1295" spans="13:18" x14ac:dyDescent="0.25">
      <c r="M1295" s="108"/>
      <c r="N1295" s="108"/>
      <c r="O1295" s="105"/>
      <c r="P1295" s="105"/>
      <c r="Q1295" s="107"/>
      <c r="R1295" s="107"/>
    </row>
    <row r="1296" spans="13:18" x14ac:dyDescent="0.25">
      <c r="M1296" s="108"/>
      <c r="N1296" s="108"/>
      <c r="O1296" s="105"/>
      <c r="P1296" s="105"/>
      <c r="Q1296" s="107"/>
      <c r="R1296" s="107"/>
    </row>
    <row r="1297" spans="13:18" x14ac:dyDescent="0.25">
      <c r="M1297" s="108"/>
      <c r="N1297" s="108"/>
      <c r="O1297" s="105"/>
      <c r="P1297" s="105"/>
      <c r="Q1297" s="107"/>
      <c r="R1297" s="107"/>
    </row>
    <row r="1298" spans="13:18" x14ac:dyDescent="0.25">
      <c r="M1298" s="108"/>
      <c r="N1298" s="108"/>
      <c r="O1298" s="105"/>
      <c r="P1298" s="105"/>
      <c r="Q1298" s="107"/>
      <c r="R1298" s="107"/>
    </row>
    <row r="1299" spans="13:18" x14ac:dyDescent="0.25">
      <c r="M1299" s="108"/>
      <c r="N1299" s="108"/>
      <c r="O1299" s="105"/>
      <c r="P1299" s="105"/>
      <c r="Q1299" s="107"/>
      <c r="R1299" s="107"/>
    </row>
    <row r="1300" spans="13:18" x14ac:dyDescent="0.25">
      <c r="M1300" s="108"/>
      <c r="N1300" s="108"/>
      <c r="O1300" s="105"/>
      <c r="P1300" s="105"/>
      <c r="Q1300" s="107"/>
      <c r="R1300" s="107"/>
    </row>
    <row r="1301" spans="13:18" x14ac:dyDescent="0.25">
      <c r="M1301" s="108"/>
      <c r="N1301" s="108"/>
      <c r="O1301" s="105"/>
      <c r="P1301" s="105"/>
      <c r="Q1301" s="107"/>
      <c r="R1301" s="107"/>
    </row>
    <row r="1302" spans="13:18" x14ac:dyDescent="0.25">
      <c r="M1302" s="108"/>
      <c r="N1302" s="108"/>
      <c r="O1302" s="105"/>
      <c r="P1302" s="105"/>
      <c r="Q1302" s="107"/>
      <c r="R1302" s="107"/>
    </row>
    <row r="1303" spans="13:18" x14ac:dyDescent="0.25">
      <c r="M1303" s="108"/>
      <c r="N1303" s="108"/>
      <c r="O1303" s="105"/>
      <c r="P1303" s="105"/>
      <c r="Q1303" s="107"/>
      <c r="R1303" s="107"/>
    </row>
    <row r="1304" spans="13:18" x14ac:dyDescent="0.25">
      <c r="M1304" s="108"/>
      <c r="N1304" s="108"/>
      <c r="O1304" s="105"/>
      <c r="P1304" s="105"/>
      <c r="Q1304" s="107"/>
      <c r="R1304" s="107"/>
    </row>
    <row r="1305" spans="13:18" x14ac:dyDescent="0.25">
      <c r="M1305" s="108"/>
      <c r="N1305" s="108"/>
      <c r="O1305" s="105"/>
      <c r="P1305" s="105"/>
      <c r="Q1305" s="107"/>
      <c r="R1305" s="107"/>
    </row>
    <row r="1306" spans="13:18" x14ac:dyDescent="0.25">
      <c r="M1306" s="108"/>
      <c r="N1306" s="108"/>
      <c r="O1306" s="105"/>
      <c r="P1306" s="105"/>
      <c r="Q1306" s="107"/>
      <c r="R1306" s="107"/>
    </row>
    <row r="1307" spans="13:18" x14ac:dyDescent="0.25">
      <c r="M1307" s="108"/>
      <c r="N1307" s="108"/>
      <c r="O1307" s="105"/>
      <c r="P1307" s="105"/>
      <c r="Q1307" s="107"/>
      <c r="R1307" s="107"/>
    </row>
    <row r="1308" spans="13:18" x14ac:dyDescent="0.25">
      <c r="M1308" s="108"/>
      <c r="N1308" s="108"/>
      <c r="O1308" s="105"/>
      <c r="P1308" s="105"/>
      <c r="Q1308" s="107"/>
      <c r="R1308" s="107"/>
    </row>
    <row r="1309" spans="13:18" x14ac:dyDescent="0.25">
      <c r="M1309" s="108"/>
      <c r="N1309" s="108"/>
      <c r="O1309" s="105"/>
      <c r="P1309" s="105"/>
      <c r="Q1309" s="107"/>
      <c r="R1309" s="107"/>
    </row>
    <row r="1310" spans="13:18" x14ac:dyDescent="0.25">
      <c r="M1310" s="108"/>
      <c r="N1310" s="108"/>
      <c r="O1310" s="105"/>
      <c r="P1310" s="105"/>
      <c r="Q1310" s="107"/>
      <c r="R1310" s="107"/>
    </row>
    <row r="1311" spans="13:18" x14ac:dyDescent="0.25">
      <c r="M1311" s="108"/>
      <c r="N1311" s="108"/>
      <c r="O1311" s="105"/>
      <c r="P1311" s="105"/>
      <c r="Q1311" s="107"/>
      <c r="R1311" s="107"/>
    </row>
    <row r="1312" spans="13:18" x14ac:dyDescent="0.25">
      <c r="M1312" s="108"/>
      <c r="N1312" s="108"/>
      <c r="O1312" s="105"/>
      <c r="P1312" s="105"/>
      <c r="Q1312" s="107"/>
      <c r="R1312" s="107"/>
    </row>
    <row r="1313" spans="13:18" x14ac:dyDescent="0.25">
      <c r="M1313" s="108"/>
      <c r="N1313" s="108"/>
      <c r="O1313" s="105"/>
      <c r="P1313" s="105"/>
      <c r="Q1313" s="107"/>
      <c r="R1313" s="107"/>
    </row>
    <row r="1314" spans="13:18" x14ac:dyDescent="0.25">
      <c r="M1314" s="108"/>
      <c r="N1314" s="108"/>
      <c r="O1314" s="105"/>
      <c r="P1314" s="105"/>
      <c r="Q1314" s="107"/>
      <c r="R1314" s="107"/>
    </row>
    <row r="1315" spans="13:18" x14ac:dyDescent="0.25">
      <c r="M1315" s="108"/>
      <c r="N1315" s="108"/>
      <c r="O1315" s="105"/>
      <c r="P1315" s="105"/>
      <c r="Q1315" s="107"/>
      <c r="R1315" s="107"/>
    </row>
    <row r="1316" spans="13:18" x14ac:dyDescent="0.25">
      <c r="M1316" s="108"/>
      <c r="N1316" s="108"/>
      <c r="O1316" s="105"/>
      <c r="P1316" s="105"/>
      <c r="Q1316" s="107"/>
      <c r="R1316" s="107"/>
    </row>
    <row r="1317" spans="13:18" x14ac:dyDescent="0.25">
      <c r="M1317" s="108"/>
      <c r="N1317" s="108"/>
      <c r="O1317" s="105"/>
      <c r="P1317" s="105"/>
      <c r="Q1317" s="107"/>
      <c r="R1317" s="107"/>
    </row>
    <row r="1318" spans="13:18" x14ac:dyDescent="0.25">
      <c r="M1318" s="108"/>
      <c r="N1318" s="108"/>
      <c r="O1318" s="105"/>
      <c r="P1318" s="105"/>
      <c r="Q1318" s="107"/>
      <c r="R1318" s="107"/>
    </row>
    <row r="1319" spans="13:18" x14ac:dyDescent="0.25">
      <c r="M1319" s="108"/>
      <c r="N1319" s="108"/>
      <c r="O1319" s="105"/>
      <c r="P1319" s="105"/>
      <c r="Q1319" s="107"/>
      <c r="R1319" s="107"/>
    </row>
    <row r="1320" spans="13:18" x14ac:dyDescent="0.25">
      <c r="M1320" s="108"/>
      <c r="N1320" s="108"/>
      <c r="O1320" s="105"/>
      <c r="P1320" s="105"/>
      <c r="Q1320" s="107"/>
      <c r="R1320" s="107"/>
    </row>
    <row r="1321" spans="13:18" x14ac:dyDescent="0.25">
      <c r="M1321" s="108"/>
      <c r="N1321" s="108"/>
      <c r="O1321" s="105"/>
      <c r="P1321" s="105"/>
      <c r="Q1321" s="107"/>
      <c r="R1321" s="107"/>
    </row>
    <row r="1322" spans="13:18" x14ac:dyDescent="0.25">
      <c r="M1322" s="108"/>
      <c r="N1322" s="108"/>
      <c r="O1322" s="105"/>
      <c r="P1322" s="105"/>
      <c r="Q1322" s="107"/>
      <c r="R1322" s="107"/>
    </row>
    <row r="1323" spans="13:18" x14ac:dyDescent="0.25">
      <c r="M1323" s="108"/>
      <c r="N1323" s="108"/>
      <c r="O1323" s="105"/>
      <c r="P1323" s="105"/>
      <c r="Q1323" s="107"/>
      <c r="R1323" s="107"/>
    </row>
    <row r="1324" spans="13:18" x14ac:dyDescent="0.25">
      <c r="M1324" s="108"/>
      <c r="N1324" s="108"/>
      <c r="O1324" s="105"/>
      <c r="P1324" s="105"/>
      <c r="Q1324" s="107"/>
      <c r="R1324" s="107"/>
    </row>
    <row r="1325" spans="13:18" x14ac:dyDescent="0.25">
      <c r="M1325" s="108"/>
      <c r="N1325" s="108"/>
      <c r="O1325" s="105"/>
      <c r="P1325" s="105"/>
      <c r="Q1325" s="107"/>
      <c r="R1325" s="107"/>
    </row>
    <row r="1326" spans="13:18" x14ac:dyDescent="0.25">
      <c r="M1326" s="108"/>
      <c r="N1326" s="108"/>
      <c r="O1326" s="105"/>
      <c r="P1326" s="105"/>
      <c r="Q1326" s="107"/>
      <c r="R1326" s="107"/>
    </row>
    <row r="1327" spans="13:18" x14ac:dyDescent="0.25">
      <c r="M1327" s="108"/>
      <c r="N1327" s="108"/>
      <c r="O1327" s="105"/>
      <c r="P1327" s="105"/>
      <c r="Q1327" s="107"/>
      <c r="R1327" s="107"/>
    </row>
    <row r="1328" spans="13:18" x14ac:dyDescent="0.25">
      <c r="M1328" s="108"/>
      <c r="N1328" s="108"/>
      <c r="O1328" s="105"/>
      <c r="P1328" s="105"/>
      <c r="Q1328" s="107"/>
      <c r="R1328" s="107"/>
    </row>
    <row r="1329" spans="13:18" x14ac:dyDescent="0.25">
      <c r="M1329" s="108"/>
      <c r="N1329" s="108"/>
      <c r="O1329" s="105"/>
      <c r="P1329" s="105"/>
      <c r="Q1329" s="107"/>
      <c r="R1329" s="107"/>
    </row>
    <row r="1330" spans="13:18" x14ac:dyDescent="0.25">
      <c r="M1330" s="108"/>
      <c r="N1330" s="108"/>
      <c r="O1330" s="105"/>
      <c r="P1330" s="105"/>
      <c r="Q1330" s="107"/>
      <c r="R1330" s="107"/>
    </row>
    <row r="1331" spans="13:18" x14ac:dyDescent="0.25">
      <c r="M1331" s="108"/>
      <c r="N1331" s="108"/>
      <c r="O1331" s="105"/>
      <c r="P1331" s="105"/>
      <c r="Q1331" s="107"/>
      <c r="R1331" s="107"/>
    </row>
    <row r="1332" spans="13:18" x14ac:dyDescent="0.25">
      <c r="M1332" s="108"/>
      <c r="N1332" s="108"/>
      <c r="O1332" s="105"/>
      <c r="P1332" s="105"/>
      <c r="Q1332" s="107"/>
      <c r="R1332" s="107"/>
    </row>
    <row r="1333" spans="13:18" x14ac:dyDescent="0.25">
      <c r="M1333" s="108"/>
      <c r="N1333" s="108"/>
      <c r="O1333" s="105"/>
      <c r="P1333" s="105"/>
      <c r="Q1333" s="107"/>
      <c r="R1333" s="107"/>
    </row>
    <row r="1334" spans="13:18" x14ac:dyDescent="0.25">
      <c r="M1334" s="108"/>
      <c r="N1334" s="108"/>
      <c r="O1334" s="105"/>
      <c r="P1334" s="105"/>
      <c r="Q1334" s="107"/>
      <c r="R1334" s="107"/>
    </row>
    <row r="1335" spans="13:18" x14ac:dyDescent="0.25">
      <c r="M1335" s="108"/>
      <c r="N1335" s="108"/>
      <c r="O1335" s="105"/>
      <c r="P1335" s="105"/>
      <c r="Q1335" s="107"/>
      <c r="R1335" s="107"/>
    </row>
    <row r="1336" spans="13:18" x14ac:dyDescent="0.25">
      <c r="M1336" s="108"/>
      <c r="N1336" s="108"/>
      <c r="O1336" s="105"/>
      <c r="P1336" s="105"/>
      <c r="Q1336" s="107"/>
      <c r="R1336" s="107"/>
    </row>
    <row r="1337" spans="13:18" x14ac:dyDescent="0.25">
      <c r="M1337" s="108"/>
      <c r="N1337" s="108"/>
      <c r="O1337" s="105"/>
      <c r="P1337" s="105"/>
      <c r="Q1337" s="107"/>
      <c r="R1337" s="107"/>
    </row>
    <row r="1338" spans="13:18" x14ac:dyDescent="0.25">
      <c r="M1338" s="108"/>
      <c r="N1338" s="108"/>
      <c r="O1338" s="105"/>
      <c r="P1338" s="105"/>
      <c r="Q1338" s="107"/>
      <c r="R1338" s="107"/>
    </row>
    <row r="1339" spans="13:18" x14ac:dyDescent="0.25">
      <c r="M1339" s="108"/>
      <c r="N1339" s="108"/>
      <c r="O1339" s="105"/>
      <c r="P1339" s="105"/>
      <c r="Q1339" s="107"/>
      <c r="R1339" s="107"/>
    </row>
    <row r="1340" spans="13:18" x14ac:dyDescent="0.25">
      <c r="M1340" s="108"/>
      <c r="N1340" s="108"/>
      <c r="O1340" s="105"/>
      <c r="P1340" s="105"/>
      <c r="Q1340" s="107"/>
      <c r="R1340" s="107"/>
    </row>
    <row r="1341" spans="13:18" x14ac:dyDescent="0.25">
      <c r="M1341" s="108"/>
      <c r="N1341" s="108"/>
      <c r="O1341" s="105"/>
      <c r="P1341" s="105"/>
      <c r="Q1341" s="107"/>
      <c r="R1341" s="107"/>
    </row>
    <row r="1342" spans="13:18" x14ac:dyDescent="0.25">
      <c r="M1342" s="108"/>
      <c r="N1342" s="108"/>
      <c r="O1342" s="105"/>
      <c r="P1342" s="105"/>
      <c r="Q1342" s="107"/>
      <c r="R1342" s="107"/>
    </row>
    <row r="1343" spans="13:18" x14ac:dyDescent="0.25">
      <c r="M1343" s="108"/>
      <c r="N1343" s="108"/>
      <c r="O1343" s="105"/>
      <c r="P1343" s="105"/>
      <c r="Q1343" s="107"/>
      <c r="R1343" s="107"/>
    </row>
    <row r="1344" spans="13:18" x14ac:dyDescent="0.25">
      <c r="M1344" s="108"/>
      <c r="N1344" s="108"/>
      <c r="O1344" s="105"/>
      <c r="P1344" s="105"/>
      <c r="Q1344" s="107"/>
      <c r="R1344" s="107"/>
    </row>
    <row r="1345" spans="13:18" x14ac:dyDescent="0.25">
      <c r="M1345" s="108"/>
      <c r="N1345" s="108"/>
      <c r="O1345" s="105"/>
      <c r="P1345" s="105"/>
      <c r="Q1345" s="107"/>
      <c r="R1345" s="107"/>
    </row>
    <row r="1346" spans="13:18" x14ac:dyDescent="0.25">
      <c r="M1346" s="108"/>
      <c r="N1346" s="108"/>
      <c r="O1346" s="105"/>
      <c r="P1346" s="105"/>
      <c r="Q1346" s="107"/>
      <c r="R1346" s="107"/>
    </row>
    <row r="1347" spans="13:18" x14ac:dyDescent="0.25">
      <c r="M1347" s="108"/>
      <c r="N1347" s="108"/>
      <c r="O1347" s="105"/>
      <c r="P1347" s="105"/>
      <c r="Q1347" s="107"/>
      <c r="R1347" s="107"/>
    </row>
    <row r="1348" spans="13:18" x14ac:dyDescent="0.25">
      <c r="M1348" s="108"/>
      <c r="N1348" s="108"/>
      <c r="O1348" s="105"/>
      <c r="P1348" s="105"/>
      <c r="Q1348" s="107"/>
      <c r="R1348" s="107"/>
    </row>
    <row r="1349" spans="13:18" x14ac:dyDescent="0.25">
      <c r="M1349" s="108"/>
      <c r="N1349" s="108"/>
      <c r="O1349" s="105"/>
      <c r="P1349" s="105"/>
      <c r="Q1349" s="107"/>
      <c r="R1349" s="107"/>
    </row>
    <row r="1350" spans="13:18" x14ac:dyDescent="0.25">
      <c r="M1350" s="108"/>
      <c r="N1350" s="108"/>
      <c r="O1350" s="105"/>
      <c r="P1350" s="105"/>
      <c r="Q1350" s="107"/>
      <c r="R1350" s="107"/>
    </row>
    <row r="1351" spans="13:18" x14ac:dyDescent="0.25">
      <c r="M1351" s="108"/>
      <c r="N1351" s="108"/>
      <c r="O1351" s="105"/>
      <c r="P1351" s="105"/>
      <c r="Q1351" s="107"/>
      <c r="R1351" s="107"/>
    </row>
    <row r="1352" spans="13:18" x14ac:dyDescent="0.25">
      <c r="M1352" s="108"/>
      <c r="N1352" s="108"/>
      <c r="O1352" s="105"/>
      <c r="P1352" s="105"/>
      <c r="Q1352" s="107"/>
      <c r="R1352" s="107"/>
    </row>
    <row r="1353" spans="13:18" x14ac:dyDescent="0.25">
      <c r="M1353" s="108"/>
      <c r="N1353" s="108"/>
      <c r="O1353" s="105"/>
      <c r="P1353" s="105"/>
      <c r="Q1353" s="107"/>
      <c r="R1353" s="107"/>
    </row>
    <row r="1354" spans="13:18" x14ac:dyDescent="0.25">
      <c r="M1354" s="108"/>
      <c r="N1354" s="108"/>
      <c r="O1354" s="105"/>
      <c r="P1354" s="105"/>
      <c r="Q1354" s="107"/>
      <c r="R1354" s="107"/>
    </row>
    <row r="1355" spans="13:18" x14ac:dyDescent="0.25">
      <c r="M1355" s="108"/>
      <c r="N1355" s="108"/>
      <c r="O1355" s="105"/>
      <c r="P1355" s="105"/>
      <c r="Q1355" s="107"/>
      <c r="R1355" s="107"/>
    </row>
    <row r="1356" spans="13:18" x14ac:dyDescent="0.25">
      <c r="M1356" s="108"/>
      <c r="N1356" s="108"/>
      <c r="O1356" s="105"/>
      <c r="P1356" s="105"/>
      <c r="Q1356" s="107"/>
      <c r="R1356" s="107"/>
    </row>
    <row r="1357" spans="13:18" x14ac:dyDescent="0.25">
      <c r="M1357" s="108"/>
      <c r="N1357" s="108"/>
      <c r="O1357" s="105"/>
      <c r="P1357" s="105"/>
      <c r="Q1357" s="107"/>
      <c r="R1357" s="107"/>
    </row>
    <row r="1358" spans="13:18" x14ac:dyDescent="0.25">
      <c r="M1358" s="108"/>
      <c r="N1358" s="108"/>
      <c r="O1358" s="105"/>
      <c r="P1358" s="105"/>
      <c r="Q1358" s="107"/>
      <c r="R1358" s="107"/>
    </row>
    <row r="1359" spans="13:18" x14ac:dyDescent="0.25">
      <c r="M1359" s="108"/>
      <c r="N1359" s="108"/>
      <c r="O1359" s="105"/>
      <c r="P1359" s="105"/>
      <c r="Q1359" s="107"/>
      <c r="R1359" s="107"/>
    </row>
    <row r="1360" spans="13:18" x14ac:dyDescent="0.25">
      <c r="M1360" s="108"/>
      <c r="N1360" s="108"/>
      <c r="O1360" s="105"/>
      <c r="P1360" s="105"/>
      <c r="Q1360" s="107"/>
      <c r="R1360" s="107"/>
    </row>
    <row r="1361" spans="13:18" x14ac:dyDescent="0.25">
      <c r="M1361" s="108"/>
      <c r="N1361" s="108"/>
      <c r="O1361" s="105"/>
      <c r="P1361" s="105"/>
      <c r="Q1361" s="107"/>
      <c r="R1361" s="107"/>
    </row>
    <row r="1362" spans="13:18" x14ac:dyDescent="0.25">
      <c r="M1362" s="108"/>
      <c r="N1362" s="108"/>
      <c r="O1362" s="105"/>
      <c r="P1362" s="105"/>
      <c r="Q1362" s="107"/>
      <c r="R1362" s="107"/>
    </row>
    <row r="1363" spans="13:18" x14ac:dyDescent="0.25">
      <c r="M1363" s="108"/>
      <c r="N1363" s="108"/>
      <c r="O1363" s="105"/>
      <c r="P1363" s="105"/>
      <c r="Q1363" s="107"/>
      <c r="R1363" s="107"/>
    </row>
    <row r="1364" spans="13:18" x14ac:dyDescent="0.25">
      <c r="M1364" s="108"/>
      <c r="N1364" s="108"/>
      <c r="O1364" s="105"/>
      <c r="P1364" s="105"/>
      <c r="Q1364" s="107"/>
      <c r="R1364" s="107"/>
    </row>
    <row r="1365" spans="13:18" x14ac:dyDescent="0.25">
      <c r="M1365" s="108"/>
      <c r="N1365" s="108"/>
      <c r="O1365" s="105"/>
      <c r="P1365" s="105"/>
      <c r="Q1365" s="107"/>
      <c r="R1365" s="107"/>
    </row>
    <row r="1366" spans="13:18" x14ac:dyDescent="0.25">
      <c r="M1366" s="108"/>
      <c r="N1366" s="108"/>
      <c r="O1366" s="105"/>
      <c r="P1366" s="105"/>
      <c r="Q1366" s="107"/>
      <c r="R1366" s="107"/>
    </row>
    <row r="1367" spans="13:18" x14ac:dyDescent="0.25">
      <c r="M1367" s="108"/>
      <c r="N1367" s="108"/>
      <c r="O1367" s="105"/>
      <c r="P1367" s="105"/>
      <c r="Q1367" s="107"/>
      <c r="R1367" s="107"/>
    </row>
    <row r="1368" spans="13:18" x14ac:dyDescent="0.25">
      <c r="M1368" s="108"/>
      <c r="N1368" s="108"/>
      <c r="O1368" s="105"/>
      <c r="P1368" s="105"/>
      <c r="Q1368" s="107"/>
      <c r="R1368" s="107"/>
    </row>
    <row r="1369" spans="13:18" x14ac:dyDescent="0.25">
      <c r="M1369" s="108"/>
      <c r="N1369" s="108"/>
      <c r="O1369" s="105"/>
      <c r="P1369" s="105"/>
      <c r="Q1369" s="107"/>
      <c r="R1369" s="107"/>
    </row>
    <row r="1370" spans="13:18" x14ac:dyDescent="0.25">
      <c r="M1370" s="108"/>
      <c r="N1370" s="108"/>
      <c r="O1370" s="105"/>
      <c r="P1370" s="105"/>
      <c r="Q1370" s="107"/>
      <c r="R1370" s="107"/>
    </row>
    <row r="1371" spans="13:18" x14ac:dyDescent="0.25">
      <c r="M1371" s="108"/>
      <c r="N1371" s="108"/>
      <c r="O1371" s="105"/>
      <c r="P1371" s="105"/>
      <c r="Q1371" s="107"/>
      <c r="R1371" s="107"/>
    </row>
    <row r="1372" spans="13:18" x14ac:dyDescent="0.25">
      <c r="M1372" s="108"/>
      <c r="N1372" s="108"/>
      <c r="O1372" s="105"/>
      <c r="P1372" s="105"/>
      <c r="Q1372" s="107"/>
      <c r="R1372" s="107"/>
    </row>
    <row r="1373" spans="13:18" x14ac:dyDescent="0.25">
      <c r="M1373" s="108"/>
      <c r="N1373" s="108"/>
      <c r="O1373" s="105"/>
      <c r="P1373" s="105"/>
      <c r="Q1373" s="107"/>
      <c r="R1373" s="107"/>
    </row>
    <row r="1374" spans="13:18" x14ac:dyDescent="0.25">
      <c r="M1374" s="108"/>
      <c r="N1374" s="108"/>
      <c r="O1374" s="105"/>
      <c r="P1374" s="105"/>
      <c r="Q1374" s="107"/>
      <c r="R1374" s="107"/>
    </row>
    <row r="1375" spans="13:18" x14ac:dyDescent="0.25">
      <c r="M1375" s="108"/>
      <c r="N1375" s="108"/>
      <c r="O1375" s="105"/>
      <c r="P1375" s="105"/>
      <c r="Q1375" s="107"/>
      <c r="R1375" s="107"/>
    </row>
    <row r="1376" spans="13:18" x14ac:dyDescent="0.25">
      <c r="M1376" s="108"/>
      <c r="N1376" s="108"/>
      <c r="O1376" s="105"/>
      <c r="P1376" s="105"/>
      <c r="Q1376" s="107"/>
      <c r="R1376" s="107"/>
    </row>
    <row r="1377" spans="13:18" x14ac:dyDescent="0.25">
      <c r="M1377" s="108"/>
      <c r="N1377" s="108"/>
      <c r="O1377" s="105"/>
      <c r="P1377" s="105"/>
      <c r="Q1377" s="107"/>
      <c r="R1377" s="107"/>
    </row>
    <row r="1378" spans="13:18" x14ac:dyDescent="0.25">
      <c r="M1378" s="108"/>
      <c r="N1378" s="108"/>
      <c r="O1378" s="105"/>
      <c r="P1378" s="105"/>
      <c r="Q1378" s="107"/>
      <c r="R1378" s="107"/>
    </row>
    <row r="1379" spans="13:18" x14ac:dyDescent="0.25">
      <c r="M1379" s="108"/>
      <c r="N1379" s="108"/>
      <c r="O1379" s="105"/>
      <c r="P1379" s="105"/>
      <c r="Q1379" s="107"/>
      <c r="R1379" s="107"/>
    </row>
    <row r="1380" spans="13:18" x14ac:dyDescent="0.25">
      <c r="M1380" s="108"/>
      <c r="N1380" s="108"/>
      <c r="O1380" s="105"/>
      <c r="P1380" s="105"/>
      <c r="Q1380" s="107"/>
      <c r="R1380" s="107"/>
    </row>
    <row r="1381" spans="13:18" x14ac:dyDescent="0.25">
      <c r="M1381" s="108"/>
      <c r="N1381" s="108"/>
      <c r="O1381" s="105"/>
      <c r="P1381" s="105"/>
      <c r="Q1381" s="107"/>
      <c r="R1381" s="107"/>
    </row>
    <row r="1382" spans="13:18" x14ac:dyDescent="0.25">
      <c r="M1382" s="108"/>
      <c r="N1382" s="108"/>
      <c r="O1382" s="105"/>
      <c r="P1382" s="105"/>
      <c r="Q1382" s="107"/>
      <c r="R1382" s="107"/>
    </row>
    <row r="1383" spans="13:18" x14ac:dyDescent="0.25">
      <c r="M1383" s="108"/>
      <c r="N1383" s="108"/>
      <c r="O1383" s="105"/>
      <c r="P1383" s="105"/>
      <c r="Q1383" s="107"/>
      <c r="R1383" s="107"/>
    </row>
    <row r="1384" spans="13:18" x14ac:dyDescent="0.25">
      <c r="M1384" s="108"/>
      <c r="N1384" s="108"/>
      <c r="O1384" s="105"/>
      <c r="P1384" s="105"/>
      <c r="Q1384" s="107"/>
      <c r="R1384" s="107"/>
    </row>
    <row r="1385" spans="13:18" x14ac:dyDescent="0.25">
      <c r="M1385" s="108"/>
      <c r="N1385" s="108"/>
      <c r="O1385" s="105"/>
      <c r="P1385" s="105"/>
      <c r="Q1385" s="107"/>
      <c r="R1385" s="107"/>
    </row>
    <row r="1386" spans="13:18" x14ac:dyDescent="0.25">
      <c r="M1386" s="108"/>
      <c r="N1386" s="108"/>
      <c r="O1386" s="105"/>
      <c r="P1386" s="105"/>
      <c r="Q1386" s="107"/>
      <c r="R1386" s="107"/>
    </row>
    <row r="1387" spans="13:18" x14ac:dyDescent="0.25">
      <c r="M1387" s="108"/>
      <c r="N1387" s="108"/>
      <c r="O1387" s="105"/>
      <c r="P1387" s="105"/>
      <c r="Q1387" s="107"/>
      <c r="R1387" s="107"/>
    </row>
    <row r="1388" spans="13:18" x14ac:dyDescent="0.25">
      <c r="M1388" s="108"/>
      <c r="N1388" s="108"/>
      <c r="O1388" s="105"/>
      <c r="P1388" s="105"/>
      <c r="Q1388" s="107"/>
      <c r="R1388" s="107"/>
    </row>
    <row r="1389" spans="13:18" x14ac:dyDescent="0.25">
      <c r="M1389" s="108"/>
      <c r="N1389" s="108"/>
      <c r="O1389" s="105"/>
      <c r="P1389" s="105"/>
      <c r="Q1389" s="107"/>
      <c r="R1389" s="107"/>
    </row>
    <row r="1390" spans="13:18" x14ac:dyDescent="0.25">
      <c r="M1390" s="108"/>
      <c r="N1390" s="108"/>
      <c r="O1390" s="105"/>
      <c r="P1390" s="105"/>
      <c r="Q1390" s="107"/>
      <c r="R1390" s="107"/>
    </row>
    <row r="1391" spans="13:18" x14ac:dyDescent="0.25">
      <c r="M1391" s="108"/>
      <c r="N1391" s="108"/>
      <c r="O1391" s="105"/>
      <c r="P1391" s="105"/>
      <c r="Q1391" s="107"/>
      <c r="R1391" s="107"/>
    </row>
    <row r="1392" spans="13:18" x14ac:dyDescent="0.25">
      <c r="M1392" s="108"/>
      <c r="N1392" s="108"/>
      <c r="O1392" s="105"/>
      <c r="P1392" s="105"/>
      <c r="Q1392" s="107"/>
      <c r="R1392" s="107"/>
    </row>
    <row r="1393" spans="13:18" x14ac:dyDescent="0.25">
      <c r="M1393" s="108"/>
      <c r="N1393" s="108"/>
      <c r="O1393" s="105"/>
      <c r="P1393" s="105"/>
      <c r="Q1393" s="107"/>
      <c r="R1393" s="107"/>
    </row>
    <row r="1394" spans="13:18" x14ac:dyDescent="0.25">
      <c r="M1394" s="108"/>
      <c r="N1394" s="108"/>
      <c r="O1394" s="105"/>
      <c r="P1394" s="105"/>
      <c r="Q1394" s="107"/>
      <c r="R1394" s="107"/>
    </row>
    <row r="1395" spans="13:18" x14ac:dyDescent="0.25">
      <c r="M1395" s="108"/>
      <c r="N1395" s="108"/>
      <c r="O1395" s="105"/>
      <c r="P1395" s="105"/>
      <c r="Q1395" s="107"/>
      <c r="R1395" s="107"/>
    </row>
    <row r="1396" spans="13:18" x14ac:dyDescent="0.25">
      <c r="M1396" s="108"/>
      <c r="N1396" s="108"/>
      <c r="O1396" s="105"/>
      <c r="P1396" s="105"/>
      <c r="Q1396" s="107"/>
      <c r="R1396" s="107"/>
    </row>
    <row r="1397" spans="13:18" x14ac:dyDescent="0.25">
      <c r="M1397" s="108"/>
      <c r="N1397" s="108"/>
      <c r="O1397" s="105"/>
      <c r="P1397" s="105"/>
      <c r="Q1397" s="107"/>
      <c r="R1397" s="107"/>
    </row>
    <row r="1398" spans="13:18" x14ac:dyDescent="0.25">
      <c r="M1398" s="108"/>
      <c r="N1398" s="108"/>
      <c r="O1398" s="105"/>
      <c r="P1398" s="105"/>
      <c r="Q1398" s="107"/>
      <c r="R1398" s="107"/>
    </row>
    <row r="1399" spans="13:18" x14ac:dyDescent="0.25">
      <c r="M1399" s="108"/>
      <c r="N1399" s="108"/>
      <c r="O1399" s="105"/>
      <c r="P1399" s="105"/>
      <c r="Q1399" s="107"/>
      <c r="R1399" s="107"/>
    </row>
    <row r="1400" spans="13:18" x14ac:dyDescent="0.25">
      <c r="M1400" s="108"/>
      <c r="N1400" s="108"/>
      <c r="O1400" s="105"/>
      <c r="P1400" s="105"/>
      <c r="Q1400" s="107"/>
      <c r="R1400" s="107"/>
    </row>
    <row r="1401" spans="13:18" x14ac:dyDescent="0.25">
      <c r="M1401" s="108"/>
      <c r="N1401" s="108"/>
      <c r="O1401" s="105"/>
      <c r="P1401" s="105"/>
      <c r="Q1401" s="107"/>
      <c r="R1401" s="107"/>
    </row>
    <row r="1402" spans="13:18" x14ac:dyDescent="0.25">
      <c r="M1402" s="108"/>
      <c r="N1402" s="108"/>
      <c r="O1402" s="105"/>
      <c r="P1402" s="105"/>
      <c r="Q1402" s="107"/>
      <c r="R1402" s="107"/>
    </row>
    <row r="1403" spans="13:18" x14ac:dyDescent="0.25">
      <c r="M1403" s="108"/>
      <c r="N1403" s="108"/>
      <c r="O1403" s="105"/>
      <c r="P1403" s="105"/>
      <c r="Q1403" s="107"/>
      <c r="R1403" s="107"/>
    </row>
    <row r="1404" spans="13:18" x14ac:dyDescent="0.25">
      <c r="M1404" s="108"/>
      <c r="N1404" s="108"/>
      <c r="O1404" s="105"/>
      <c r="P1404" s="105"/>
      <c r="Q1404" s="107"/>
      <c r="R1404" s="107"/>
    </row>
    <row r="1405" spans="13:18" x14ac:dyDescent="0.25">
      <c r="M1405" s="108"/>
      <c r="N1405" s="108"/>
      <c r="O1405" s="105"/>
      <c r="P1405" s="105"/>
      <c r="Q1405" s="107"/>
      <c r="R1405" s="107"/>
    </row>
    <row r="1406" spans="13:18" x14ac:dyDescent="0.25">
      <c r="M1406" s="108"/>
      <c r="N1406" s="108"/>
      <c r="O1406" s="105"/>
      <c r="P1406" s="105"/>
      <c r="Q1406" s="107"/>
      <c r="R1406" s="107"/>
    </row>
    <row r="1407" spans="13:18" x14ac:dyDescent="0.25">
      <c r="M1407" s="108"/>
      <c r="N1407" s="108"/>
      <c r="O1407" s="105"/>
      <c r="P1407" s="105"/>
      <c r="Q1407" s="107"/>
      <c r="R1407" s="107"/>
    </row>
    <row r="1408" spans="13:18" x14ac:dyDescent="0.25">
      <c r="M1408" s="108"/>
      <c r="N1408" s="108"/>
      <c r="O1408" s="105"/>
      <c r="P1408" s="105"/>
      <c r="Q1408" s="107"/>
      <c r="R1408" s="107"/>
    </row>
    <row r="1409" spans="13:18" x14ac:dyDescent="0.25">
      <c r="M1409" s="108"/>
      <c r="N1409" s="108"/>
      <c r="O1409" s="105"/>
      <c r="P1409" s="105"/>
      <c r="Q1409" s="107"/>
      <c r="R1409" s="107"/>
    </row>
    <row r="1410" spans="13:18" x14ac:dyDescent="0.25">
      <c r="M1410" s="108"/>
      <c r="N1410" s="108"/>
      <c r="O1410" s="105"/>
      <c r="P1410" s="105"/>
      <c r="Q1410" s="107"/>
      <c r="R1410" s="107"/>
    </row>
    <row r="1411" spans="13:18" x14ac:dyDescent="0.25">
      <c r="M1411" s="108"/>
      <c r="N1411" s="108"/>
      <c r="O1411" s="105"/>
      <c r="P1411" s="105"/>
      <c r="Q1411" s="107"/>
      <c r="R1411" s="107"/>
    </row>
    <row r="1412" spans="13:18" x14ac:dyDescent="0.25">
      <c r="M1412" s="108"/>
      <c r="N1412" s="108"/>
      <c r="O1412" s="105"/>
      <c r="P1412" s="105"/>
      <c r="Q1412" s="107"/>
      <c r="R1412" s="107"/>
    </row>
    <row r="1413" spans="13:18" x14ac:dyDescent="0.25">
      <c r="M1413" s="108"/>
      <c r="N1413" s="108"/>
      <c r="O1413" s="105"/>
      <c r="P1413" s="105"/>
      <c r="Q1413" s="107"/>
      <c r="R1413" s="107"/>
    </row>
    <row r="1414" spans="13:18" x14ac:dyDescent="0.25">
      <c r="M1414" s="108"/>
      <c r="N1414" s="108"/>
      <c r="O1414" s="105"/>
      <c r="P1414" s="105"/>
      <c r="Q1414" s="107"/>
      <c r="R1414" s="107"/>
    </row>
    <row r="1415" spans="13:18" x14ac:dyDescent="0.25">
      <c r="M1415" s="108"/>
      <c r="N1415" s="108"/>
      <c r="O1415" s="105"/>
      <c r="P1415" s="105"/>
      <c r="Q1415" s="107"/>
      <c r="R1415" s="107"/>
    </row>
    <row r="1416" spans="13:18" x14ac:dyDescent="0.25">
      <c r="M1416" s="108"/>
      <c r="N1416" s="108"/>
      <c r="O1416" s="105"/>
      <c r="P1416" s="105"/>
      <c r="Q1416" s="107"/>
      <c r="R1416" s="107"/>
    </row>
    <row r="1417" spans="13:18" x14ac:dyDescent="0.25">
      <c r="M1417" s="108"/>
      <c r="N1417" s="108"/>
      <c r="O1417" s="105"/>
      <c r="P1417" s="105"/>
      <c r="Q1417" s="107"/>
      <c r="R1417" s="107"/>
    </row>
    <row r="1418" spans="13:18" x14ac:dyDescent="0.25">
      <c r="M1418" s="108"/>
      <c r="N1418" s="108"/>
      <c r="O1418" s="105"/>
      <c r="P1418" s="105"/>
      <c r="Q1418" s="107"/>
      <c r="R1418" s="107"/>
    </row>
    <row r="1419" spans="13:18" x14ac:dyDescent="0.25">
      <c r="M1419" s="108"/>
      <c r="N1419" s="108"/>
      <c r="O1419" s="105"/>
      <c r="P1419" s="105"/>
      <c r="Q1419" s="107"/>
      <c r="R1419" s="107"/>
    </row>
    <row r="1420" spans="13:18" x14ac:dyDescent="0.25">
      <c r="M1420" s="108"/>
      <c r="N1420" s="108"/>
      <c r="O1420" s="105"/>
      <c r="P1420" s="105"/>
      <c r="Q1420" s="107"/>
      <c r="R1420" s="107"/>
    </row>
    <row r="1421" spans="13:18" x14ac:dyDescent="0.25">
      <c r="M1421" s="108"/>
      <c r="N1421" s="108"/>
      <c r="O1421" s="105"/>
      <c r="P1421" s="105"/>
      <c r="Q1421" s="107"/>
      <c r="R1421" s="107"/>
    </row>
    <row r="1422" spans="13:18" x14ac:dyDescent="0.25">
      <c r="M1422" s="108"/>
      <c r="N1422" s="108"/>
      <c r="O1422" s="105"/>
      <c r="P1422" s="105"/>
      <c r="Q1422" s="107"/>
      <c r="R1422" s="107"/>
    </row>
    <row r="1423" spans="13:18" x14ac:dyDescent="0.25">
      <c r="M1423" s="108"/>
      <c r="N1423" s="108"/>
      <c r="O1423" s="105"/>
      <c r="P1423" s="105"/>
      <c r="Q1423" s="107"/>
      <c r="R1423" s="107"/>
    </row>
    <row r="1424" spans="13:18" x14ac:dyDescent="0.25">
      <c r="M1424" s="108"/>
      <c r="N1424" s="108"/>
      <c r="O1424" s="105"/>
      <c r="P1424" s="105"/>
      <c r="Q1424" s="107"/>
      <c r="R1424" s="107"/>
    </row>
    <row r="1425" spans="13:18" x14ac:dyDescent="0.25">
      <c r="M1425" s="108"/>
      <c r="N1425" s="108"/>
      <c r="O1425" s="105"/>
      <c r="P1425" s="105"/>
      <c r="Q1425" s="107"/>
      <c r="R1425" s="107"/>
    </row>
    <row r="1426" spans="13:18" x14ac:dyDescent="0.25">
      <c r="M1426" s="108"/>
      <c r="N1426" s="108"/>
      <c r="O1426" s="105"/>
      <c r="P1426" s="105"/>
      <c r="Q1426" s="107"/>
      <c r="R1426" s="107"/>
    </row>
    <row r="1427" spans="13:18" x14ac:dyDescent="0.25">
      <c r="M1427" s="108"/>
      <c r="N1427" s="108"/>
      <c r="O1427" s="105"/>
      <c r="P1427" s="105"/>
      <c r="Q1427" s="107"/>
      <c r="R1427" s="107"/>
    </row>
    <row r="1428" spans="13:18" x14ac:dyDescent="0.25">
      <c r="M1428" s="108"/>
      <c r="N1428" s="108"/>
      <c r="O1428" s="105"/>
      <c r="P1428" s="105"/>
      <c r="Q1428" s="107"/>
      <c r="R1428" s="107"/>
    </row>
    <row r="1429" spans="13:18" x14ac:dyDescent="0.25">
      <c r="M1429" s="108"/>
      <c r="N1429" s="108"/>
      <c r="O1429" s="105"/>
      <c r="P1429" s="105"/>
      <c r="Q1429" s="107"/>
      <c r="R1429" s="107"/>
    </row>
    <row r="1430" spans="13:18" x14ac:dyDescent="0.25">
      <c r="M1430" s="108"/>
      <c r="N1430" s="108"/>
      <c r="O1430" s="105"/>
      <c r="P1430" s="105"/>
      <c r="Q1430" s="107"/>
      <c r="R1430" s="107"/>
    </row>
    <row r="1431" spans="13:18" x14ac:dyDescent="0.25">
      <c r="M1431" s="108"/>
      <c r="N1431" s="108"/>
      <c r="O1431" s="105"/>
      <c r="P1431" s="105"/>
      <c r="Q1431" s="107"/>
      <c r="R1431" s="107"/>
    </row>
    <row r="1432" spans="13:18" x14ac:dyDescent="0.25">
      <c r="M1432" s="108"/>
      <c r="N1432" s="108"/>
      <c r="O1432" s="105"/>
      <c r="P1432" s="105"/>
      <c r="Q1432" s="107"/>
      <c r="R1432" s="107"/>
    </row>
    <row r="1433" spans="13:18" x14ac:dyDescent="0.25">
      <c r="M1433" s="108"/>
      <c r="N1433" s="108"/>
      <c r="O1433" s="105"/>
      <c r="P1433" s="105"/>
      <c r="Q1433" s="107"/>
      <c r="R1433" s="107"/>
    </row>
    <row r="1434" spans="13:18" x14ac:dyDescent="0.25">
      <c r="M1434" s="108"/>
      <c r="N1434" s="108"/>
      <c r="O1434" s="105"/>
      <c r="P1434" s="105"/>
      <c r="Q1434" s="107"/>
      <c r="R1434" s="107"/>
    </row>
    <row r="1435" spans="13:18" x14ac:dyDescent="0.25">
      <c r="M1435" s="108"/>
      <c r="N1435" s="108"/>
      <c r="O1435" s="105"/>
      <c r="P1435" s="105"/>
      <c r="Q1435" s="107"/>
      <c r="R1435" s="107"/>
    </row>
    <row r="1436" spans="13:18" x14ac:dyDescent="0.25">
      <c r="M1436" s="108"/>
      <c r="N1436" s="108"/>
      <c r="O1436" s="105"/>
      <c r="P1436" s="105"/>
      <c r="Q1436" s="107"/>
      <c r="R1436" s="107"/>
    </row>
    <row r="1437" spans="13:18" x14ac:dyDescent="0.25">
      <c r="M1437" s="108"/>
      <c r="N1437" s="108"/>
      <c r="O1437" s="105"/>
      <c r="P1437" s="105"/>
      <c r="Q1437" s="107"/>
      <c r="R1437" s="107"/>
    </row>
    <row r="1438" spans="13:18" x14ac:dyDescent="0.25">
      <c r="M1438" s="108"/>
      <c r="N1438" s="108"/>
      <c r="O1438" s="105"/>
      <c r="P1438" s="105"/>
      <c r="Q1438" s="107"/>
      <c r="R1438" s="107"/>
    </row>
    <row r="1439" spans="13:18" x14ac:dyDescent="0.25">
      <c r="M1439" s="108"/>
      <c r="N1439" s="108"/>
      <c r="O1439" s="105"/>
      <c r="P1439" s="105"/>
      <c r="Q1439" s="107"/>
      <c r="R1439" s="107"/>
    </row>
    <row r="1440" spans="13:18" x14ac:dyDescent="0.25">
      <c r="M1440" s="108"/>
      <c r="N1440" s="108"/>
      <c r="O1440" s="105"/>
      <c r="P1440" s="105"/>
      <c r="Q1440" s="107"/>
      <c r="R1440" s="107"/>
    </row>
    <row r="1441" spans="13:18" x14ac:dyDescent="0.25">
      <c r="M1441" s="108"/>
      <c r="N1441" s="108"/>
      <c r="O1441" s="105"/>
      <c r="P1441" s="105"/>
      <c r="Q1441" s="107"/>
      <c r="R1441" s="107"/>
    </row>
    <row r="1442" spans="13:18" x14ac:dyDescent="0.25">
      <c r="M1442" s="108"/>
      <c r="N1442" s="108"/>
      <c r="O1442" s="105"/>
      <c r="P1442" s="105"/>
      <c r="Q1442" s="107"/>
      <c r="R1442" s="107"/>
    </row>
    <row r="1443" spans="13:18" x14ac:dyDescent="0.25">
      <c r="M1443" s="108"/>
      <c r="N1443" s="108"/>
      <c r="O1443" s="105"/>
      <c r="P1443" s="105"/>
      <c r="Q1443" s="107"/>
      <c r="R1443" s="107"/>
    </row>
    <row r="1444" spans="13:18" x14ac:dyDescent="0.25">
      <c r="M1444" s="108"/>
      <c r="N1444" s="108"/>
      <c r="O1444" s="105"/>
      <c r="P1444" s="105"/>
      <c r="Q1444" s="107"/>
      <c r="R1444" s="107"/>
    </row>
    <row r="1445" spans="13:18" x14ac:dyDescent="0.25">
      <c r="M1445" s="108"/>
      <c r="N1445" s="108"/>
      <c r="O1445" s="105"/>
      <c r="P1445" s="105"/>
      <c r="Q1445" s="107"/>
      <c r="R1445" s="107"/>
    </row>
    <row r="1446" spans="13:18" x14ac:dyDescent="0.25">
      <c r="M1446" s="108"/>
      <c r="N1446" s="108"/>
      <c r="O1446" s="105"/>
      <c r="P1446" s="105"/>
      <c r="Q1446" s="107"/>
      <c r="R1446" s="107"/>
    </row>
    <row r="1447" spans="13:18" x14ac:dyDescent="0.25">
      <c r="M1447" s="108"/>
      <c r="N1447" s="108"/>
      <c r="O1447" s="105"/>
      <c r="P1447" s="105"/>
      <c r="Q1447" s="107"/>
      <c r="R1447" s="107"/>
    </row>
    <row r="1448" spans="13:18" x14ac:dyDescent="0.25">
      <c r="M1448" s="108"/>
      <c r="N1448" s="108"/>
      <c r="O1448" s="105"/>
      <c r="P1448" s="105"/>
      <c r="Q1448" s="107"/>
      <c r="R1448" s="107"/>
    </row>
    <row r="1449" spans="13:18" x14ac:dyDescent="0.25">
      <c r="M1449" s="108"/>
      <c r="N1449" s="108"/>
      <c r="O1449" s="105"/>
      <c r="P1449" s="105"/>
      <c r="Q1449" s="107"/>
      <c r="R1449" s="107"/>
    </row>
    <row r="1450" spans="13:18" x14ac:dyDescent="0.25">
      <c r="M1450" s="108"/>
      <c r="N1450" s="108"/>
      <c r="O1450" s="105"/>
      <c r="P1450" s="105"/>
      <c r="Q1450" s="107"/>
      <c r="R1450" s="107"/>
    </row>
    <row r="1451" spans="13:18" x14ac:dyDescent="0.25">
      <c r="M1451" s="108"/>
      <c r="N1451" s="108"/>
      <c r="O1451" s="105"/>
      <c r="P1451" s="105"/>
      <c r="Q1451" s="107"/>
      <c r="R1451" s="107"/>
    </row>
    <row r="1452" spans="13:18" x14ac:dyDescent="0.25">
      <c r="M1452" s="108"/>
      <c r="N1452" s="108"/>
      <c r="O1452" s="105"/>
      <c r="P1452" s="105"/>
      <c r="Q1452" s="107"/>
      <c r="R1452" s="107"/>
    </row>
    <row r="1453" spans="13:18" x14ac:dyDescent="0.25">
      <c r="M1453" s="108"/>
      <c r="N1453" s="108"/>
      <c r="O1453" s="105"/>
      <c r="P1453" s="105"/>
      <c r="Q1453" s="107"/>
      <c r="R1453" s="107"/>
    </row>
    <row r="1454" spans="13:18" x14ac:dyDescent="0.25">
      <c r="M1454" s="108"/>
      <c r="N1454" s="108"/>
      <c r="O1454" s="105"/>
      <c r="P1454" s="105"/>
      <c r="Q1454" s="107"/>
      <c r="R1454" s="107"/>
    </row>
    <row r="1455" spans="13:18" x14ac:dyDescent="0.25">
      <c r="M1455" s="108"/>
      <c r="N1455" s="108"/>
      <c r="O1455" s="105"/>
      <c r="P1455" s="105"/>
      <c r="Q1455" s="107"/>
      <c r="R1455" s="107"/>
    </row>
    <row r="1456" spans="13:18" x14ac:dyDescent="0.25">
      <c r="M1456" s="108"/>
      <c r="N1456" s="108"/>
      <c r="O1456" s="105"/>
      <c r="P1456" s="105"/>
      <c r="Q1456" s="107"/>
      <c r="R1456" s="107"/>
    </row>
    <row r="1457" spans="13:18" x14ac:dyDescent="0.25">
      <c r="M1457" s="108"/>
      <c r="N1457" s="108"/>
      <c r="O1457" s="105"/>
      <c r="P1457" s="105"/>
      <c r="Q1457" s="107"/>
      <c r="R1457" s="107"/>
    </row>
    <row r="1458" spans="13:18" x14ac:dyDescent="0.25">
      <c r="M1458" s="108"/>
      <c r="N1458" s="108"/>
      <c r="O1458" s="105"/>
      <c r="P1458" s="105"/>
      <c r="Q1458" s="107"/>
      <c r="R1458" s="107"/>
    </row>
    <row r="1459" spans="13:18" x14ac:dyDescent="0.25">
      <c r="M1459" s="108"/>
      <c r="N1459" s="108"/>
      <c r="O1459" s="105"/>
      <c r="P1459" s="105"/>
      <c r="Q1459" s="107"/>
      <c r="R1459" s="107"/>
    </row>
    <row r="1460" spans="13:18" x14ac:dyDescent="0.25">
      <c r="M1460" s="108"/>
      <c r="N1460" s="108"/>
      <c r="O1460" s="105"/>
      <c r="P1460" s="105"/>
      <c r="Q1460" s="107"/>
      <c r="R1460" s="107"/>
    </row>
    <row r="1461" spans="13:18" x14ac:dyDescent="0.25">
      <c r="M1461" s="108"/>
      <c r="N1461" s="108"/>
      <c r="O1461" s="105"/>
      <c r="P1461" s="105"/>
      <c r="Q1461" s="107"/>
      <c r="R1461" s="107"/>
    </row>
    <row r="1462" spans="13:18" x14ac:dyDescent="0.25">
      <c r="M1462" s="108"/>
      <c r="N1462" s="108"/>
      <c r="O1462" s="105"/>
      <c r="P1462" s="105"/>
      <c r="Q1462" s="107"/>
      <c r="R1462" s="107"/>
    </row>
    <row r="1463" spans="13:18" x14ac:dyDescent="0.25">
      <c r="M1463" s="108"/>
      <c r="N1463" s="108"/>
      <c r="O1463" s="105"/>
      <c r="P1463" s="105"/>
      <c r="Q1463" s="107"/>
      <c r="R1463" s="107"/>
    </row>
    <row r="1464" spans="13:18" x14ac:dyDescent="0.25">
      <c r="M1464" s="108"/>
      <c r="N1464" s="108"/>
      <c r="O1464" s="105"/>
      <c r="P1464" s="105"/>
      <c r="Q1464" s="107"/>
      <c r="R1464" s="107"/>
    </row>
    <row r="1465" spans="13:18" x14ac:dyDescent="0.25">
      <c r="M1465" s="108"/>
      <c r="N1465" s="108"/>
      <c r="O1465" s="105"/>
      <c r="P1465" s="105"/>
      <c r="Q1465" s="107"/>
      <c r="R1465" s="107"/>
    </row>
    <row r="1466" spans="13:18" x14ac:dyDescent="0.25">
      <c r="M1466" s="108"/>
      <c r="N1466" s="108"/>
      <c r="O1466" s="105"/>
      <c r="P1466" s="105"/>
      <c r="Q1466" s="107"/>
      <c r="R1466" s="107"/>
    </row>
    <row r="1467" spans="13:18" x14ac:dyDescent="0.25">
      <c r="M1467" s="108"/>
      <c r="N1467" s="108"/>
      <c r="O1467" s="105"/>
      <c r="P1467" s="105"/>
      <c r="Q1467" s="107"/>
      <c r="R1467" s="107"/>
    </row>
    <row r="1468" spans="13:18" x14ac:dyDescent="0.25">
      <c r="M1468" s="108"/>
      <c r="N1468" s="108"/>
      <c r="O1468" s="105"/>
      <c r="P1468" s="105"/>
      <c r="Q1468" s="107"/>
      <c r="R1468" s="107"/>
    </row>
    <row r="1469" spans="13:18" x14ac:dyDescent="0.25">
      <c r="M1469" s="108"/>
      <c r="N1469" s="108"/>
      <c r="O1469" s="105"/>
      <c r="P1469" s="105"/>
      <c r="Q1469" s="107"/>
      <c r="R1469" s="107"/>
    </row>
    <row r="1470" spans="13:18" x14ac:dyDescent="0.25">
      <c r="M1470" s="108"/>
      <c r="N1470" s="108"/>
      <c r="O1470" s="105"/>
      <c r="P1470" s="105"/>
      <c r="Q1470" s="107"/>
      <c r="R1470" s="107"/>
    </row>
    <row r="1471" spans="13:18" x14ac:dyDescent="0.25">
      <c r="M1471" s="108"/>
      <c r="N1471" s="108"/>
      <c r="O1471" s="105"/>
      <c r="P1471" s="105"/>
      <c r="Q1471" s="107"/>
      <c r="R1471" s="107"/>
    </row>
    <row r="1472" spans="13:18" x14ac:dyDescent="0.25">
      <c r="M1472" s="108"/>
      <c r="N1472" s="108"/>
      <c r="O1472" s="105"/>
      <c r="P1472" s="105"/>
      <c r="Q1472" s="107"/>
      <c r="R1472" s="107"/>
    </row>
    <row r="1473" spans="13:18" x14ac:dyDescent="0.25">
      <c r="M1473" s="108"/>
      <c r="N1473" s="108"/>
      <c r="O1473" s="105"/>
      <c r="P1473" s="105"/>
      <c r="Q1473" s="107"/>
      <c r="R1473" s="107"/>
    </row>
    <row r="1474" spans="13:18" x14ac:dyDescent="0.25">
      <c r="M1474" s="108"/>
      <c r="N1474" s="108"/>
      <c r="O1474" s="105"/>
      <c r="P1474" s="105"/>
      <c r="Q1474" s="107"/>
      <c r="R1474" s="107"/>
    </row>
    <row r="1475" spans="13:18" x14ac:dyDescent="0.25">
      <c r="M1475" s="108"/>
      <c r="N1475" s="108"/>
      <c r="O1475" s="105"/>
      <c r="P1475" s="105"/>
      <c r="Q1475" s="107"/>
      <c r="R1475" s="107"/>
    </row>
    <row r="1476" spans="13:18" x14ac:dyDescent="0.25">
      <c r="M1476" s="108"/>
      <c r="N1476" s="108"/>
      <c r="O1476" s="105"/>
      <c r="P1476" s="105"/>
      <c r="Q1476" s="107"/>
      <c r="R1476" s="107"/>
    </row>
    <row r="1477" spans="13:18" x14ac:dyDescent="0.25">
      <c r="M1477" s="108"/>
      <c r="N1477" s="108"/>
      <c r="O1477" s="105"/>
      <c r="P1477" s="105"/>
      <c r="Q1477" s="107"/>
      <c r="R1477" s="107"/>
    </row>
    <row r="1478" spans="13:18" x14ac:dyDescent="0.25">
      <c r="M1478" s="108"/>
      <c r="N1478" s="108"/>
      <c r="O1478" s="105"/>
      <c r="P1478" s="105"/>
      <c r="Q1478" s="107"/>
      <c r="R1478" s="107"/>
    </row>
    <row r="1479" spans="13:18" x14ac:dyDescent="0.25">
      <c r="M1479" s="108"/>
      <c r="N1479" s="108"/>
      <c r="O1479" s="105"/>
      <c r="P1479" s="105"/>
      <c r="Q1479" s="107"/>
      <c r="R1479" s="107"/>
    </row>
    <row r="1480" spans="13:18" x14ac:dyDescent="0.25">
      <c r="M1480" s="108"/>
      <c r="N1480" s="108"/>
      <c r="O1480" s="105"/>
      <c r="P1480" s="105"/>
      <c r="Q1480" s="107"/>
      <c r="R1480" s="107"/>
    </row>
    <row r="1481" spans="13:18" x14ac:dyDescent="0.25">
      <c r="M1481" s="108"/>
      <c r="N1481" s="108"/>
      <c r="O1481" s="105"/>
      <c r="P1481" s="105"/>
      <c r="Q1481" s="107"/>
      <c r="R1481" s="107"/>
    </row>
    <row r="1482" spans="13:18" x14ac:dyDescent="0.25">
      <c r="M1482" s="108"/>
      <c r="N1482" s="108"/>
      <c r="O1482" s="105"/>
      <c r="P1482" s="105"/>
      <c r="Q1482" s="107"/>
      <c r="R1482" s="107"/>
    </row>
    <row r="1483" spans="13:18" x14ac:dyDescent="0.25">
      <c r="M1483" s="108"/>
      <c r="N1483" s="108"/>
      <c r="O1483" s="105"/>
      <c r="P1483" s="105"/>
      <c r="Q1483" s="107"/>
      <c r="R1483" s="107"/>
    </row>
    <row r="1484" spans="13:18" x14ac:dyDescent="0.25">
      <c r="M1484" s="108"/>
      <c r="N1484" s="108"/>
      <c r="O1484" s="105"/>
      <c r="P1484" s="105"/>
      <c r="Q1484" s="107"/>
      <c r="R1484" s="107"/>
    </row>
    <row r="1485" spans="13:18" x14ac:dyDescent="0.25">
      <c r="M1485" s="108"/>
      <c r="N1485" s="108"/>
      <c r="O1485" s="105"/>
      <c r="P1485" s="105"/>
      <c r="Q1485" s="107"/>
      <c r="R1485" s="107"/>
    </row>
    <row r="1486" spans="13:18" x14ac:dyDescent="0.25">
      <c r="M1486" s="108"/>
      <c r="N1486" s="108"/>
      <c r="O1486" s="105"/>
      <c r="P1486" s="105"/>
      <c r="Q1486" s="107"/>
      <c r="R1486" s="107"/>
    </row>
    <row r="1487" spans="13:18" x14ac:dyDescent="0.25">
      <c r="M1487" s="108"/>
      <c r="N1487" s="108"/>
      <c r="O1487" s="105"/>
      <c r="P1487" s="105"/>
      <c r="Q1487" s="107"/>
      <c r="R1487" s="107"/>
    </row>
    <row r="1488" spans="13:18" x14ac:dyDescent="0.25">
      <c r="M1488" s="108"/>
      <c r="N1488" s="108"/>
      <c r="O1488" s="105"/>
      <c r="P1488" s="105"/>
      <c r="Q1488" s="107"/>
      <c r="R1488" s="107"/>
    </row>
    <row r="1489" spans="13:18" x14ac:dyDescent="0.25">
      <c r="M1489" s="108"/>
      <c r="N1489" s="108"/>
      <c r="O1489" s="105"/>
      <c r="P1489" s="105"/>
      <c r="Q1489" s="107"/>
      <c r="R1489" s="107"/>
    </row>
    <row r="1490" spans="13:18" x14ac:dyDescent="0.25">
      <c r="M1490" s="108"/>
      <c r="N1490" s="108"/>
      <c r="O1490" s="105"/>
      <c r="P1490" s="105"/>
      <c r="Q1490" s="107"/>
      <c r="R1490" s="107"/>
    </row>
    <row r="1491" spans="13:18" x14ac:dyDescent="0.25">
      <c r="M1491" s="108"/>
      <c r="N1491" s="108"/>
      <c r="O1491" s="105"/>
      <c r="P1491" s="105"/>
      <c r="Q1491" s="107"/>
      <c r="R1491" s="107"/>
    </row>
    <row r="1492" spans="13:18" x14ac:dyDescent="0.25">
      <c r="M1492" s="108"/>
      <c r="N1492" s="108"/>
      <c r="O1492" s="105"/>
      <c r="P1492" s="105"/>
      <c r="Q1492" s="107"/>
      <c r="R1492" s="107"/>
    </row>
    <row r="1493" spans="13:18" x14ac:dyDescent="0.25">
      <c r="M1493" s="108"/>
      <c r="N1493" s="108"/>
      <c r="O1493" s="105"/>
      <c r="P1493" s="105"/>
      <c r="Q1493" s="107"/>
      <c r="R1493" s="107"/>
    </row>
    <row r="1494" spans="13:18" x14ac:dyDescent="0.25">
      <c r="M1494" s="108"/>
      <c r="N1494" s="108"/>
      <c r="O1494" s="105"/>
      <c r="P1494" s="105"/>
      <c r="Q1494" s="107"/>
      <c r="R1494" s="107"/>
    </row>
    <row r="1495" spans="13:18" x14ac:dyDescent="0.25">
      <c r="M1495" s="108"/>
      <c r="N1495" s="108"/>
      <c r="O1495" s="105"/>
      <c r="P1495" s="105"/>
      <c r="Q1495" s="107"/>
      <c r="R1495" s="107"/>
    </row>
    <row r="1496" spans="13:18" x14ac:dyDescent="0.25">
      <c r="M1496" s="108"/>
      <c r="N1496" s="108"/>
      <c r="O1496" s="105"/>
      <c r="P1496" s="105"/>
      <c r="Q1496" s="107"/>
      <c r="R1496" s="107"/>
    </row>
    <row r="1497" spans="13:18" x14ac:dyDescent="0.25">
      <c r="M1497" s="108"/>
      <c r="N1497" s="108"/>
      <c r="O1497" s="105"/>
      <c r="P1497" s="105"/>
      <c r="Q1497" s="107"/>
      <c r="R1497" s="107"/>
    </row>
    <row r="1498" spans="13:18" x14ac:dyDescent="0.25">
      <c r="M1498" s="108"/>
      <c r="N1498" s="108"/>
      <c r="O1498" s="105"/>
      <c r="P1498" s="105"/>
      <c r="Q1498" s="107"/>
      <c r="R1498" s="107"/>
    </row>
    <row r="1499" spans="13:18" x14ac:dyDescent="0.25">
      <c r="M1499" s="108"/>
      <c r="N1499" s="108"/>
      <c r="O1499" s="105"/>
      <c r="P1499" s="105"/>
      <c r="Q1499" s="107"/>
      <c r="R1499" s="107"/>
    </row>
    <row r="1500" spans="13:18" x14ac:dyDescent="0.25">
      <c r="M1500" s="108"/>
      <c r="N1500" s="108"/>
      <c r="O1500" s="105"/>
      <c r="P1500" s="105"/>
      <c r="Q1500" s="107"/>
      <c r="R1500" s="107"/>
    </row>
    <row r="1501" spans="13:18" x14ac:dyDescent="0.25">
      <c r="M1501" s="108"/>
      <c r="N1501" s="108"/>
      <c r="O1501" s="105"/>
      <c r="P1501" s="105"/>
      <c r="Q1501" s="107"/>
      <c r="R1501" s="107"/>
    </row>
    <row r="1502" spans="13:18" x14ac:dyDescent="0.25">
      <c r="M1502" s="108"/>
      <c r="N1502" s="108"/>
      <c r="O1502" s="105"/>
      <c r="P1502" s="105"/>
      <c r="Q1502" s="107"/>
      <c r="R1502" s="107"/>
    </row>
    <row r="1503" spans="13:18" x14ac:dyDescent="0.25">
      <c r="M1503" s="108"/>
      <c r="N1503" s="108"/>
      <c r="O1503" s="105"/>
      <c r="P1503" s="105"/>
      <c r="Q1503" s="107"/>
      <c r="R1503" s="107"/>
    </row>
    <row r="1504" spans="13:18" x14ac:dyDescent="0.25">
      <c r="M1504" s="108"/>
      <c r="N1504" s="108"/>
      <c r="O1504" s="105"/>
      <c r="P1504" s="105"/>
      <c r="Q1504" s="107"/>
      <c r="R1504" s="107"/>
    </row>
    <row r="1505" spans="13:18" x14ac:dyDescent="0.25">
      <c r="M1505" s="108"/>
      <c r="N1505" s="108"/>
      <c r="O1505" s="105"/>
      <c r="P1505" s="105"/>
      <c r="Q1505" s="107"/>
      <c r="R1505" s="107"/>
    </row>
    <row r="1506" spans="13:18" x14ac:dyDescent="0.25">
      <c r="M1506" s="108"/>
      <c r="N1506" s="108"/>
      <c r="O1506" s="105"/>
      <c r="P1506" s="105"/>
      <c r="Q1506" s="107"/>
      <c r="R1506" s="107"/>
    </row>
    <row r="1507" spans="13:18" x14ac:dyDescent="0.25">
      <c r="M1507" s="108"/>
      <c r="N1507" s="108"/>
      <c r="O1507" s="105"/>
      <c r="P1507" s="105"/>
      <c r="Q1507" s="107"/>
      <c r="R1507" s="107"/>
    </row>
    <row r="1508" spans="13:18" x14ac:dyDescent="0.25">
      <c r="M1508" s="108"/>
      <c r="N1508" s="108"/>
      <c r="O1508" s="105"/>
      <c r="P1508" s="105"/>
      <c r="Q1508" s="107"/>
      <c r="R1508" s="107"/>
    </row>
    <row r="1509" spans="13:18" x14ac:dyDescent="0.25">
      <c r="M1509" s="108"/>
      <c r="N1509" s="108"/>
      <c r="O1509" s="105"/>
      <c r="P1509" s="105"/>
      <c r="Q1509" s="107"/>
      <c r="R1509" s="107"/>
    </row>
    <row r="1510" spans="13:18" x14ac:dyDescent="0.25">
      <c r="M1510" s="108"/>
      <c r="N1510" s="108"/>
      <c r="O1510" s="105"/>
      <c r="P1510" s="105"/>
      <c r="Q1510" s="107"/>
      <c r="R1510" s="107"/>
    </row>
    <row r="1511" spans="13:18" x14ac:dyDescent="0.25">
      <c r="M1511" s="108"/>
      <c r="N1511" s="108"/>
      <c r="O1511" s="105"/>
      <c r="P1511" s="105"/>
      <c r="Q1511" s="107"/>
      <c r="R1511" s="107"/>
    </row>
    <row r="1512" spans="13:18" x14ac:dyDescent="0.25">
      <c r="M1512" s="108"/>
      <c r="N1512" s="108"/>
      <c r="O1512" s="105"/>
      <c r="P1512" s="105"/>
      <c r="Q1512" s="107"/>
      <c r="R1512" s="107"/>
    </row>
    <row r="1513" spans="13:18" x14ac:dyDescent="0.25">
      <c r="M1513" s="108"/>
      <c r="N1513" s="108"/>
      <c r="O1513" s="105"/>
      <c r="P1513" s="105"/>
      <c r="Q1513" s="107"/>
      <c r="R1513" s="107"/>
    </row>
    <row r="1514" spans="13:18" x14ac:dyDescent="0.25">
      <c r="M1514" s="108"/>
      <c r="N1514" s="108"/>
      <c r="O1514" s="105"/>
      <c r="P1514" s="105"/>
      <c r="Q1514" s="107"/>
      <c r="R1514" s="107"/>
    </row>
    <row r="1515" spans="13:18" x14ac:dyDescent="0.25">
      <c r="M1515" s="108"/>
      <c r="N1515" s="108"/>
      <c r="O1515" s="105"/>
      <c r="P1515" s="105"/>
      <c r="Q1515" s="107"/>
      <c r="R1515" s="107"/>
    </row>
    <row r="1516" spans="13:18" x14ac:dyDescent="0.25">
      <c r="M1516" s="108"/>
      <c r="N1516" s="108"/>
      <c r="O1516" s="105"/>
      <c r="P1516" s="105"/>
      <c r="Q1516" s="107"/>
      <c r="R1516" s="107"/>
    </row>
    <row r="1517" spans="13:18" x14ac:dyDescent="0.25">
      <c r="M1517" s="108"/>
      <c r="N1517" s="108"/>
      <c r="O1517" s="105"/>
      <c r="P1517" s="105"/>
      <c r="Q1517" s="107"/>
      <c r="R1517" s="107"/>
    </row>
    <row r="1518" spans="13:18" x14ac:dyDescent="0.25">
      <c r="M1518" s="108"/>
      <c r="N1518" s="108"/>
      <c r="O1518" s="105"/>
      <c r="P1518" s="105"/>
      <c r="Q1518" s="107"/>
      <c r="R1518" s="107"/>
    </row>
    <row r="1519" spans="13:18" x14ac:dyDescent="0.25">
      <c r="M1519" s="108"/>
      <c r="N1519" s="108"/>
      <c r="O1519" s="105"/>
      <c r="P1519" s="105"/>
      <c r="Q1519" s="107"/>
      <c r="R1519" s="107"/>
    </row>
    <row r="1520" spans="13:18" x14ac:dyDescent="0.25">
      <c r="M1520" s="108"/>
      <c r="N1520" s="108"/>
      <c r="O1520" s="105"/>
      <c r="P1520" s="105"/>
      <c r="Q1520" s="107"/>
      <c r="R1520" s="107"/>
    </row>
    <row r="1521" spans="13:18" x14ac:dyDescent="0.25">
      <c r="M1521" s="108"/>
      <c r="N1521" s="108"/>
      <c r="O1521" s="105"/>
      <c r="P1521" s="105"/>
      <c r="Q1521" s="107"/>
      <c r="R1521" s="107"/>
    </row>
    <row r="1522" spans="13:18" x14ac:dyDescent="0.25">
      <c r="M1522" s="108"/>
      <c r="N1522" s="108"/>
      <c r="O1522" s="105"/>
      <c r="P1522" s="105"/>
      <c r="Q1522" s="107"/>
      <c r="R1522" s="107"/>
    </row>
    <row r="1523" spans="13:18" x14ac:dyDescent="0.25">
      <c r="M1523" s="108"/>
      <c r="N1523" s="108"/>
      <c r="O1523" s="105"/>
      <c r="P1523" s="105"/>
      <c r="Q1523" s="107"/>
      <c r="R1523" s="107"/>
    </row>
    <row r="1524" spans="13:18" x14ac:dyDescent="0.25">
      <c r="M1524" s="108"/>
      <c r="N1524" s="108"/>
      <c r="O1524" s="105"/>
      <c r="P1524" s="105"/>
      <c r="Q1524" s="107"/>
      <c r="R1524" s="107"/>
    </row>
    <row r="1525" spans="13:18" x14ac:dyDescent="0.25">
      <c r="M1525" s="108"/>
      <c r="N1525" s="108"/>
      <c r="O1525" s="105"/>
      <c r="P1525" s="105"/>
      <c r="Q1525" s="107"/>
      <c r="R1525" s="107"/>
    </row>
    <row r="1526" spans="13:18" x14ac:dyDescent="0.25">
      <c r="M1526" s="108"/>
      <c r="N1526" s="108"/>
      <c r="O1526" s="105"/>
      <c r="P1526" s="105"/>
      <c r="Q1526" s="107"/>
      <c r="R1526" s="107"/>
    </row>
    <row r="1527" spans="13:18" x14ac:dyDescent="0.25">
      <c r="M1527" s="108"/>
      <c r="N1527" s="108"/>
      <c r="O1527" s="105"/>
      <c r="P1527" s="105"/>
      <c r="Q1527" s="107"/>
      <c r="R1527" s="107"/>
    </row>
    <row r="1528" spans="13:18" x14ac:dyDescent="0.25">
      <c r="M1528" s="108"/>
      <c r="N1528" s="108"/>
      <c r="O1528" s="105"/>
      <c r="P1528" s="105"/>
      <c r="Q1528" s="107"/>
      <c r="R1528" s="107"/>
    </row>
    <row r="1529" spans="13:18" x14ac:dyDescent="0.25">
      <c r="M1529" s="108"/>
      <c r="N1529" s="108"/>
      <c r="O1529" s="105"/>
      <c r="P1529" s="105"/>
      <c r="Q1529" s="107"/>
      <c r="R1529" s="107"/>
    </row>
    <row r="1530" spans="13:18" x14ac:dyDescent="0.25">
      <c r="M1530" s="108"/>
      <c r="N1530" s="108"/>
      <c r="O1530" s="105"/>
      <c r="P1530" s="105"/>
      <c r="Q1530" s="107"/>
      <c r="R1530" s="107"/>
    </row>
    <row r="1531" spans="13:18" x14ac:dyDescent="0.25">
      <c r="M1531" s="108"/>
      <c r="N1531" s="108"/>
      <c r="O1531" s="105"/>
      <c r="P1531" s="105"/>
      <c r="Q1531" s="107"/>
      <c r="R1531" s="107"/>
    </row>
    <row r="1532" spans="13:18" x14ac:dyDescent="0.25">
      <c r="M1532" s="108"/>
      <c r="N1532" s="108"/>
      <c r="O1532" s="105"/>
      <c r="P1532" s="105"/>
      <c r="Q1532" s="107"/>
      <c r="R1532" s="107"/>
    </row>
    <row r="1533" spans="13:18" x14ac:dyDescent="0.25">
      <c r="M1533" s="108"/>
      <c r="N1533" s="108"/>
      <c r="O1533" s="105"/>
      <c r="P1533" s="105"/>
      <c r="Q1533" s="107"/>
      <c r="R1533" s="107"/>
    </row>
    <row r="1534" spans="13:18" x14ac:dyDescent="0.25">
      <c r="M1534" s="108"/>
      <c r="N1534" s="108"/>
      <c r="O1534" s="105"/>
      <c r="P1534" s="105"/>
      <c r="Q1534" s="107"/>
      <c r="R1534" s="107"/>
    </row>
    <row r="1535" spans="13:18" x14ac:dyDescent="0.25">
      <c r="M1535" s="108"/>
      <c r="N1535" s="108"/>
      <c r="O1535" s="105"/>
      <c r="P1535" s="105"/>
      <c r="Q1535" s="107"/>
      <c r="R1535" s="107"/>
    </row>
    <row r="1536" spans="13:18" x14ac:dyDescent="0.25">
      <c r="M1536" s="108"/>
      <c r="N1536" s="108"/>
      <c r="O1536" s="105"/>
      <c r="P1536" s="105"/>
      <c r="Q1536" s="107"/>
      <c r="R1536" s="107"/>
    </row>
    <row r="1537" spans="13:18" x14ac:dyDescent="0.25">
      <c r="M1537" s="108"/>
      <c r="N1537" s="108"/>
      <c r="O1537" s="105"/>
      <c r="P1537" s="105"/>
      <c r="Q1537" s="107"/>
      <c r="R1537" s="107"/>
    </row>
    <row r="1538" spans="13:18" x14ac:dyDescent="0.25">
      <c r="M1538" s="108"/>
      <c r="N1538" s="108"/>
      <c r="O1538" s="105"/>
      <c r="P1538" s="105"/>
      <c r="Q1538" s="107"/>
      <c r="R1538" s="107"/>
    </row>
    <row r="1539" spans="13:18" x14ac:dyDescent="0.25">
      <c r="M1539" s="108"/>
      <c r="N1539" s="108"/>
      <c r="O1539" s="105"/>
      <c r="P1539" s="105"/>
      <c r="Q1539" s="107"/>
      <c r="R1539" s="107"/>
    </row>
    <row r="1540" spans="13:18" x14ac:dyDescent="0.25">
      <c r="M1540" s="108"/>
      <c r="N1540" s="108"/>
      <c r="O1540" s="105"/>
      <c r="P1540" s="105"/>
      <c r="Q1540" s="107"/>
      <c r="R1540" s="107"/>
    </row>
    <row r="1541" spans="13:18" x14ac:dyDescent="0.25">
      <c r="M1541" s="108"/>
      <c r="N1541" s="108"/>
      <c r="O1541" s="105"/>
      <c r="P1541" s="105"/>
      <c r="Q1541" s="107"/>
      <c r="R1541" s="107"/>
    </row>
    <row r="1542" spans="13:18" x14ac:dyDescent="0.25">
      <c r="M1542" s="108"/>
      <c r="N1542" s="108"/>
      <c r="O1542" s="105"/>
      <c r="P1542" s="105"/>
      <c r="Q1542" s="107"/>
      <c r="R1542" s="107"/>
    </row>
    <row r="1543" spans="13:18" x14ac:dyDescent="0.25">
      <c r="M1543" s="108"/>
      <c r="N1543" s="108"/>
      <c r="O1543" s="105"/>
      <c r="P1543" s="105"/>
      <c r="Q1543" s="107"/>
      <c r="R1543" s="107"/>
    </row>
    <row r="1544" spans="13:18" x14ac:dyDescent="0.25">
      <c r="M1544" s="108"/>
      <c r="N1544" s="108"/>
      <c r="O1544" s="105"/>
      <c r="P1544" s="105"/>
      <c r="Q1544" s="107"/>
      <c r="R1544" s="107"/>
    </row>
    <row r="1545" spans="13:18" x14ac:dyDescent="0.25">
      <c r="M1545" s="108"/>
      <c r="N1545" s="108"/>
      <c r="O1545" s="105"/>
      <c r="P1545" s="105"/>
      <c r="Q1545" s="107"/>
      <c r="R1545" s="107"/>
    </row>
    <row r="1546" spans="13:18" x14ac:dyDescent="0.25">
      <c r="M1546" s="108"/>
      <c r="N1546" s="108"/>
      <c r="O1546" s="105"/>
      <c r="P1546" s="105"/>
      <c r="Q1546" s="107"/>
      <c r="R1546" s="107"/>
    </row>
    <row r="1547" spans="13:18" x14ac:dyDescent="0.25">
      <c r="M1547" s="108"/>
      <c r="N1547" s="108"/>
      <c r="O1547" s="105"/>
      <c r="P1547" s="105"/>
      <c r="Q1547" s="107"/>
      <c r="R1547" s="107"/>
    </row>
    <row r="1548" spans="13:18" x14ac:dyDescent="0.25">
      <c r="M1548" s="108"/>
      <c r="N1548" s="108"/>
      <c r="O1548" s="105"/>
      <c r="P1548" s="105"/>
      <c r="Q1548" s="107"/>
      <c r="R1548" s="107"/>
    </row>
    <row r="1549" spans="13:18" x14ac:dyDescent="0.25">
      <c r="M1549" s="108"/>
      <c r="N1549" s="108"/>
      <c r="O1549" s="105"/>
      <c r="P1549" s="105"/>
      <c r="Q1549" s="107"/>
      <c r="R1549" s="107"/>
    </row>
    <row r="1550" spans="13:18" x14ac:dyDescent="0.25">
      <c r="M1550" s="108"/>
      <c r="N1550" s="108"/>
      <c r="O1550" s="105"/>
      <c r="P1550" s="105"/>
      <c r="Q1550" s="107"/>
      <c r="R1550" s="107"/>
    </row>
    <row r="1551" spans="13:18" x14ac:dyDescent="0.25">
      <c r="M1551" s="108"/>
      <c r="N1551" s="108"/>
      <c r="O1551" s="105"/>
      <c r="P1551" s="105"/>
      <c r="Q1551" s="107"/>
      <c r="R1551" s="107"/>
    </row>
    <row r="1552" spans="13:18" x14ac:dyDescent="0.25">
      <c r="M1552" s="108"/>
      <c r="N1552" s="108"/>
      <c r="O1552" s="105"/>
      <c r="P1552" s="105"/>
      <c r="Q1552" s="107"/>
      <c r="R1552" s="107"/>
    </row>
    <row r="1553" spans="13:18" x14ac:dyDescent="0.25">
      <c r="M1553" s="108"/>
      <c r="N1553" s="108"/>
      <c r="O1553" s="105"/>
      <c r="P1553" s="105"/>
      <c r="Q1553" s="107"/>
      <c r="R1553" s="107"/>
    </row>
    <row r="1554" spans="13:18" x14ac:dyDescent="0.25">
      <c r="M1554" s="108"/>
      <c r="N1554" s="108"/>
      <c r="O1554" s="105"/>
      <c r="P1554" s="105"/>
      <c r="Q1554" s="107"/>
      <c r="R1554" s="107"/>
    </row>
    <row r="1555" spans="13:18" x14ac:dyDescent="0.25">
      <c r="M1555" s="108"/>
      <c r="N1555" s="108"/>
      <c r="O1555" s="105"/>
      <c r="P1555" s="105"/>
      <c r="Q1555" s="107"/>
      <c r="R1555" s="107"/>
    </row>
    <row r="1556" spans="13:18" x14ac:dyDescent="0.25">
      <c r="M1556" s="108"/>
      <c r="N1556" s="108"/>
      <c r="O1556" s="105"/>
      <c r="P1556" s="105"/>
      <c r="Q1556" s="107"/>
      <c r="R1556" s="107"/>
    </row>
    <row r="1557" spans="13:18" x14ac:dyDescent="0.25">
      <c r="M1557" s="108"/>
      <c r="N1557" s="108"/>
      <c r="O1557" s="105"/>
      <c r="P1557" s="105"/>
      <c r="Q1557" s="107"/>
      <c r="R1557" s="107"/>
    </row>
    <row r="1558" spans="13:18" x14ac:dyDescent="0.25">
      <c r="M1558" s="108"/>
      <c r="N1558" s="108"/>
      <c r="O1558" s="105"/>
      <c r="P1558" s="105"/>
      <c r="Q1558" s="107"/>
      <c r="R1558" s="107"/>
    </row>
    <row r="1559" spans="13:18" x14ac:dyDescent="0.25">
      <c r="M1559" s="108"/>
      <c r="N1559" s="108"/>
      <c r="O1559" s="105"/>
      <c r="P1559" s="105"/>
      <c r="Q1559" s="107"/>
      <c r="R1559" s="107"/>
    </row>
    <row r="1560" spans="13:18" x14ac:dyDescent="0.25">
      <c r="M1560" s="108"/>
      <c r="N1560" s="108"/>
      <c r="O1560" s="105"/>
      <c r="P1560" s="105"/>
      <c r="Q1560" s="107"/>
      <c r="R1560" s="107"/>
    </row>
    <row r="1561" spans="13:18" x14ac:dyDescent="0.25">
      <c r="M1561" s="108"/>
      <c r="N1561" s="108"/>
      <c r="O1561" s="105"/>
      <c r="P1561" s="105"/>
      <c r="Q1561" s="107"/>
      <c r="R1561" s="107"/>
    </row>
    <row r="1562" spans="13:18" x14ac:dyDescent="0.25">
      <c r="M1562" s="108"/>
      <c r="N1562" s="108"/>
      <c r="O1562" s="105"/>
      <c r="P1562" s="105"/>
      <c r="Q1562" s="107"/>
      <c r="R1562" s="107"/>
    </row>
    <row r="1563" spans="13:18" x14ac:dyDescent="0.25">
      <c r="M1563" s="108"/>
      <c r="N1563" s="108"/>
      <c r="O1563" s="105"/>
      <c r="P1563" s="105"/>
      <c r="Q1563" s="107"/>
      <c r="R1563" s="107"/>
    </row>
    <row r="1564" spans="13:18" x14ac:dyDescent="0.25">
      <c r="M1564" s="108"/>
      <c r="N1564" s="108"/>
      <c r="O1564" s="105"/>
      <c r="P1564" s="105"/>
      <c r="Q1564" s="107"/>
      <c r="R1564" s="107"/>
    </row>
    <row r="1565" spans="13:18" x14ac:dyDescent="0.25">
      <c r="M1565" s="108"/>
      <c r="N1565" s="108"/>
      <c r="O1565" s="105"/>
      <c r="P1565" s="105"/>
      <c r="Q1565" s="107"/>
      <c r="R1565" s="107"/>
    </row>
    <row r="1566" spans="13:18" x14ac:dyDescent="0.25">
      <c r="M1566" s="108"/>
      <c r="N1566" s="108"/>
      <c r="O1566" s="105"/>
      <c r="P1566" s="105"/>
      <c r="Q1566" s="107"/>
      <c r="R1566" s="107"/>
    </row>
    <row r="1567" spans="13:18" x14ac:dyDescent="0.25">
      <c r="M1567" s="108"/>
      <c r="N1567" s="108"/>
      <c r="O1567" s="105"/>
      <c r="P1567" s="105"/>
      <c r="Q1567" s="107"/>
      <c r="R1567" s="107"/>
    </row>
    <row r="1568" spans="13:18" x14ac:dyDescent="0.25">
      <c r="M1568" s="108"/>
      <c r="N1568" s="108"/>
      <c r="O1568" s="105"/>
      <c r="P1568" s="105"/>
      <c r="Q1568" s="107"/>
      <c r="R1568" s="107"/>
    </row>
    <row r="1569" spans="13:18" x14ac:dyDescent="0.25">
      <c r="M1569" s="108"/>
      <c r="N1569" s="108"/>
      <c r="O1569" s="105"/>
      <c r="P1569" s="105"/>
      <c r="Q1569" s="107"/>
      <c r="R1569" s="107"/>
    </row>
    <row r="1570" spans="13:18" x14ac:dyDescent="0.25">
      <c r="M1570" s="108"/>
      <c r="N1570" s="108"/>
      <c r="O1570" s="105"/>
      <c r="P1570" s="105"/>
      <c r="Q1570" s="107"/>
      <c r="R1570" s="107"/>
    </row>
    <row r="1571" spans="13:18" x14ac:dyDescent="0.25">
      <c r="M1571" s="108"/>
      <c r="N1571" s="108"/>
      <c r="O1571" s="105"/>
      <c r="P1571" s="105"/>
      <c r="Q1571" s="107"/>
      <c r="R1571" s="107"/>
    </row>
    <row r="1572" spans="13:18" x14ac:dyDescent="0.25">
      <c r="M1572" s="108"/>
      <c r="N1572" s="108"/>
      <c r="O1572" s="105"/>
      <c r="P1572" s="105"/>
      <c r="Q1572" s="107"/>
      <c r="R1572" s="107"/>
    </row>
    <row r="1573" spans="13:18" x14ac:dyDescent="0.25">
      <c r="M1573" s="108"/>
      <c r="N1573" s="108"/>
      <c r="O1573" s="105"/>
      <c r="P1573" s="105"/>
      <c r="Q1573" s="107"/>
      <c r="R1573" s="107"/>
    </row>
    <row r="1574" spans="13:18" x14ac:dyDescent="0.25">
      <c r="M1574" s="108"/>
      <c r="N1574" s="108"/>
      <c r="O1574" s="105"/>
      <c r="P1574" s="105"/>
      <c r="Q1574" s="107"/>
      <c r="R1574" s="107"/>
    </row>
    <row r="1575" spans="13:18" x14ac:dyDescent="0.25">
      <c r="M1575" s="108"/>
      <c r="N1575" s="108"/>
      <c r="O1575" s="105"/>
      <c r="P1575" s="105"/>
      <c r="Q1575" s="107"/>
      <c r="R1575" s="107"/>
    </row>
    <row r="1576" spans="13:18" x14ac:dyDescent="0.25">
      <c r="M1576" s="108"/>
      <c r="N1576" s="108"/>
      <c r="O1576" s="105"/>
      <c r="P1576" s="105"/>
      <c r="Q1576" s="107"/>
      <c r="R1576" s="107"/>
    </row>
    <row r="1577" spans="13:18" x14ac:dyDescent="0.25">
      <c r="M1577" s="108"/>
      <c r="N1577" s="108"/>
      <c r="O1577" s="105"/>
      <c r="P1577" s="105"/>
      <c r="Q1577" s="107"/>
      <c r="R1577" s="107"/>
    </row>
    <row r="1578" spans="13:18" x14ac:dyDescent="0.25">
      <c r="M1578" s="108"/>
      <c r="N1578" s="108"/>
      <c r="O1578" s="105"/>
      <c r="P1578" s="105"/>
      <c r="Q1578" s="107"/>
      <c r="R1578" s="107"/>
    </row>
    <row r="1579" spans="13:18" x14ac:dyDescent="0.25">
      <c r="M1579" s="108"/>
      <c r="N1579" s="108"/>
      <c r="O1579" s="105"/>
      <c r="P1579" s="105"/>
      <c r="Q1579" s="107"/>
      <c r="R1579" s="107"/>
    </row>
    <row r="1580" spans="13:18" x14ac:dyDescent="0.25">
      <c r="M1580" s="108"/>
      <c r="N1580" s="108"/>
      <c r="O1580" s="105"/>
      <c r="P1580" s="105"/>
      <c r="Q1580" s="107"/>
      <c r="R1580" s="107"/>
    </row>
    <row r="1581" spans="13:18" x14ac:dyDescent="0.25">
      <c r="M1581" s="108"/>
      <c r="N1581" s="108"/>
      <c r="O1581" s="105"/>
      <c r="P1581" s="105"/>
      <c r="Q1581" s="107"/>
      <c r="R1581" s="107"/>
    </row>
    <row r="1582" spans="13:18" x14ac:dyDescent="0.25">
      <c r="M1582" s="108"/>
      <c r="N1582" s="108"/>
      <c r="O1582" s="105"/>
      <c r="P1582" s="105"/>
      <c r="Q1582" s="107"/>
      <c r="R1582" s="107"/>
    </row>
    <row r="1583" spans="13:18" x14ac:dyDescent="0.25">
      <c r="M1583" s="108"/>
      <c r="N1583" s="108"/>
      <c r="O1583" s="105"/>
      <c r="P1583" s="105"/>
      <c r="Q1583" s="107"/>
      <c r="R1583" s="107"/>
    </row>
    <row r="1584" spans="13:18" x14ac:dyDescent="0.25">
      <c r="M1584" s="108"/>
      <c r="N1584" s="108"/>
      <c r="O1584" s="105"/>
      <c r="P1584" s="105"/>
      <c r="Q1584" s="107"/>
      <c r="R1584" s="107"/>
    </row>
    <row r="1585" spans="13:18" x14ac:dyDescent="0.25">
      <c r="M1585" s="108"/>
      <c r="N1585" s="108"/>
      <c r="O1585" s="105"/>
      <c r="P1585" s="105"/>
      <c r="Q1585" s="107"/>
      <c r="R1585" s="107"/>
    </row>
    <row r="1586" spans="13:18" x14ac:dyDescent="0.25">
      <c r="M1586" s="108"/>
      <c r="N1586" s="108"/>
      <c r="O1586" s="105"/>
      <c r="P1586" s="105"/>
      <c r="Q1586" s="107"/>
      <c r="R1586" s="107"/>
    </row>
    <row r="1587" spans="13:18" x14ac:dyDescent="0.25">
      <c r="M1587" s="108"/>
      <c r="N1587" s="108"/>
      <c r="O1587" s="105"/>
      <c r="P1587" s="105"/>
      <c r="Q1587" s="107"/>
      <c r="R1587" s="107"/>
    </row>
    <row r="1588" spans="13:18" x14ac:dyDescent="0.25">
      <c r="M1588" s="108"/>
      <c r="N1588" s="108"/>
      <c r="O1588" s="105"/>
      <c r="P1588" s="105"/>
      <c r="Q1588" s="107"/>
      <c r="R1588" s="107"/>
    </row>
    <row r="1589" spans="13:18" x14ac:dyDescent="0.25">
      <c r="M1589" s="108"/>
      <c r="N1589" s="108"/>
      <c r="O1589" s="105"/>
      <c r="P1589" s="105"/>
      <c r="Q1589" s="107"/>
      <c r="R1589" s="107"/>
    </row>
    <row r="1590" spans="13:18" x14ac:dyDescent="0.25">
      <c r="M1590" s="108"/>
      <c r="N1590" s="108"/>
      <c r="O1590" s="105"/>
      <c r="P1590" s="105"/>
      <c r="Q1590" s="107"/>
      <c r="R1590" s="107"/>
    </row>
    <row r="1591" spans="13:18" x14ac:dyDescent="0.25">
      <c r="M1591" s="108"/>
      <c r="N1591" s="108"/>
      <c r="O1591" s="105"/>
      <c r="P1591" s="105"/>
      <c r="Q1591" s="107"/>
      <c r="R1591" s="107"/>
    </row>
    <row r="1592" spans="13:18" x14ac:dyDescent="0.25">
      <c r="M1592" s="108"/>
      <c r="N1592" s="108"/>
      <c r="O1592" s="105"/>
      <c r="P1592" s="105"/>
      <c r="Q1592" s="107"/>
      <c r="R1592" s="107"/>
    </row>
    <row r="1593" spans="13:18" x14ac:dyDescent="0.25">
      <c r="M1593" s="108"/>
      <c r="N1593" s="108"/>
      <c r="O1593" s="105"/>
      <c r="P1593" s="105"/>
      <c r="Q1593" s="107"/>
      <c r="R1593" s="107"/>
    </row>
    <row r="1594" spans="13:18" x14ac:dyDescent="0.25">
      <c r="M1594" s="108"/>
      <c r="N1594" s="108"/>
      <c r="O1594" s="105"/>
      <c r="P1594" s="105"/>
      <c r="Q1594" s="107"/>
      <c r="R1594" s="107"/>
    </row>
    <row r="1595" spans="13:18" x14ac:dyDescent="0.25">
      <c r="M1595" s="108"/>
      <c r="N1595" s="108"/>
      <c r="O1595" s="105"/>
      <c r="P1595" s="105"/>
      <c r="Q1595" s="107"/>
      <c r="R1595" s="107"/>
    </row>
    <row r="1596" spans="13:18" x14ac:dyDescent="0.25">
      <c r="M1596" s="108"/>
      <c r="N1596" s="108"/>
      <c r="O1596" s="105"/>
      <c r="P1596" s="105"/>
      <c r="Q1596" s="107"/>
      <c r="R1596" s="107"/>
    </row>
    <row r="1597" spans="13:18" x14ac:dyDescent="0.25">
      <c r="M1597" s="108"/>
      <c r="N1597" s="108"/>
      <c r="O1597" s="105"/>
      <c r="P1597" s="105"/>
      <c r="Q1597" s="107"/>
      <c r="R1597" s="107"/>
    </row>
    <row r="1598" spans="13:18" x14ac:dyDescent="0.25">
      <c r="M1598" s="108"/>
      <c r="N1598" s="108"/>
      <c r="O1598" s="105"/>
      <c r="P1598" s="105"/>
      <c r="Q1598" s="107"/>
      <c r="R1598" s="107"/>
    </row>
    <row r="1599" spans="13:18" x14ac:dyDescent="0.25">
      <c r="M1599" s="108"/>
      <c r="N1599" s="108"/>
      <c r="O1599" s="105"/>
      <c r="P1599" s="105"/>
      <c r="Q1599" s="107"/>
      <c r="R1599" s="107"/>
    </row>
    <row r="1600" spans="13:18" x14ac:dyDescent="0.25">
      <c r="M1600" s="108"/>
      <c r="N1600" s="108"/>
      <c r="O1600" s="105"/>
      <c r="P1600" s="105"/>
      <c r="Q1600" s="107"/>
      <c r="R1600" s="107"/>
    </row>
    <row r="1601" spans="13:18" x14ac:dyDescent="0.25">
      <c r="M1601" s="108"/>
      <c r="N1601" s="108"/>
      <c r="O1601" s="105"/>
      <c r="P1601" s="105"/>
      <c r="Q1601" s="107"/>
      <c r="R1601" s="107"/>
    </row>
    <row r="1602" spans="13:18" x14ac:dyDescent="0.25">
      <c r="M1602" s="108"/>
      <c r="N1602" s="108"/>
      <c r="O1602" s="105"/>
      <c r="P1602" s="105"/>
      <c r="Q1602" s="107"/>
      <c r="R1602" s="107"/>
    </row>
    <row r="1603" spans="13:18" x14ac:dyDescent="0.25">
      <c r="M1603" s="108"/>
      <c r="N1603" s="108"/>
      <c r="O1603" s="105"/>
      <c r="P1603" s="105"/>
      <c r="Q1603" s="107"/>
      <c r="R1603" s="107"/>
    </row>
    <row r="1604" spans="13:18" x14ac:dyDescent="0.25">
      <c r="M1604" s="108"/>
      <c r="N1604" s="108"/>
      <c r="O1604" s="105"/>
      <c r="P1604" s="105"/>
      <c r="Q1604" s="107"/>
      <c r="R1604" s="107"/>
    </row>
    <row r="1605" spans="13:18" x14ac:dyDescent="0.25">
      <c r="M1605" s="108"/>
      <c r="N1605" s="108"/>
      <c r="O1605" s="105"/>
      <c r="P1605" s="105"/>
      <c r="Q1605" s="107"/>
      <c r="R1605" s="107"/>
    </row>
    <row r="1606" spans="13:18" x14ac:dyDescent="0.25">
      <c r="M1606" s="108"/>
      <c r="N1606" s="108"/>
      <c r="O1606" s="105"/>
      <c r="P1606" s="105"/>
      <c r="Q1606" s="107"/>
      <c r="R1606" s="107"/>
    </row>
    <row r="1607" spans="13:18" x14ac:dyDescent="0.25">
      <c r="M1607" s="108"/>
      <c r="N1607" s="108"/>
      <c r="O1607" s="105"/>
      <c r="P1607" s="105"/>
      <c r="Q1607" s="107"/>
      <c r="R1607" s="107"/>
    </row>
    <row r="1608" spans="13:18" x14ac:dyDescent="0.25">
      <c r="M1608" s="108"/>
      <c r="N1608" s="108"/>
      <c r="O1608" s="105"/>
      <c r="P1608" s="105"/>
      <c r="Q1608" s="107"/>
      <c r="R1608" s="107"/>
    </row>
    <row r="1609" spans="13:18" x14ac:dyDescent="0.25">
      <c r="M1609" s="108"/>
      <c r="N1609" s="108"/>
      <c r="O1609" s="105"/>
      <c r="P1609" s="105"/>
      <c r="Q1609" s="107"/>
      <c r="R1609" s="107"/>
    </row>
    <row r="1610" spans="13:18" x14ac:dyDescent="0.25">
      <c r="M1610" s="108"/>
      <c r="N1610" s="108"/>
      <c r="O1610" s="105"/>
      <c r="P1610" s="105"/>
      <c r="Q1610" s="107"/>
      <c r="R1610" s="107"/>
    </row>
    <row r="1611" spans="13:18" x14ac:dyDescent="0.25">
      <c r="M1611" s="108"/>
      <c r="N1611" s="108"/>
      <c r="O1611" s="105"/>
      <c r="P1611" s="105"/>
      <c r="Q1611" s="107"/>
      <c r="R1611" s="107"/>
    </row>
    <row r="1612" spans="13:18" x14ac:dyDescent="0.25">
      <c r="M1612" s="108"/>
      <c r="N1612" s="108"/>
      <c r="O1612" s="105"/>
      <c r="P1612" s="105"/>
      <c r="Q1612" s="107"/>
      <c r="R1612" s="107"/>
    </row>
    <row r="1613" spans="13:18" x14ac:dyDescent="0.25">
      <c r="M1613" s="108"/>
      <c r="N1613" s="108"/>
      <c r="O1613" s="105"/>
      <c r="P1613" s="105"/>
      <c r="Q1613" s="107"/>
      <c r="R1613" s="107"/>
    </row>
    <row r="1614" spans="13:18" x14ac:dyDescent="0.25">
      <c r="M1614" s="108"/>
      <c r="N1614" s="108"/>
      <c r="O1614" s="105"/>
      <c r="P1614" s="105"/>
      <c r="Q1614" s="107"/>
      <c r="R1614" s="107"/>
    </row>
    <row r="1615" spans="13:18" x14ac:dyDescent="0.25">
      <c r="M1615" s="108"/>
      <c r="N1615" s="108"/>
      <c r="O1615" s="105"/>
      <c r="P1615" s="105"/>
      <c r="Q1615" s="107"/>
      <c r="R1615" s="107"/>
    </row>
    <row r="1616" spans="13:18" x14ac:dyDescent="0.25">
      <c r="M1616" s="108"/>
      <c r="N1616" s="108"/>
      <c r="O1616" s="105"/>
      <c r="P1616" s="105"/>
      <c r="Q1616" s="107"/>
      <c r="R1616" s="107"/>
    </row>
    <row r="1617" spans="13:18" x14ac:dyDescent="0.25">
      <c r="M1617" s="108"/>
      <c r="N1617" s="108"/>
      <c r="O1617" s="105"/>
      <c r="P1617" s="105"/>
      <c r="Q1617" s="107"/>
      <c r="R1617" s="107"/>
    </row>
    <row r="1618" spans="13:18" x14ac:dyDescent="0.25">
      <c r="M1618" s="108"/>
      <c r="N1618" s="108"/>
      <c r="O1618" s="105"/>
      <c r="P1618" s="105"/>
      <c r="Q1618" s="107"/>
      <c r="R1618" s="107"/>
    </row>
    <row r="1619" spans="13:18" x14ac:dyDescent="0.25">
      <c r="M1619" s="108"/>
      <c r="N1619" s="108"/>
      <c r="O1619" s="105"/>
      <c r="P1619" s="105"/>
      <c r="Q1619" s="107"/>
      <c r="R1619" s="107"/>
    </row>
    <row r="1620" spans="13:18" x14ac:dyDescent="0.25">
      <c r="M1620" s="108"/>
      <c r="N1620" s="108"/>
      <c r="O1620" s="105"/>
      <c r="P1620" s="105"/>
      <c r="Q1620" s="107"/>
      <c r="R1620" s="107"/>
    </row>
    <row r="1621" spans="13:18" x14ac:dyDescent="0.25">
      <c r="M1621" s="108"/>
      <c r="N1621" s="108"/>
      <c r="O1621" s="105"/>
      <c r="P1621" s="105"/>
      <c r="Q1621" s="107"/>
      <c r="R1621" s="107"/>
    </row>
    <row r="1622" spans="13:18" x14ac:dyDescent="0.25">
      <c r="M1622" s="108"/>
      <c r="N1622" s="108"/>
      <c r="O1622" s="105"/>
      <c r="P1622" s="105"/>
      <c r="Q1622" s="107"/>
      <c r="R1622" s="107"/>
    </row>
    <row r="1623" spans="13:18" x14ac:dyDescent="0.25">
      <c r="M1623" s="108"/>
      <c r="N1623" s="108"/>
      <c r="O1623" s="105"/>
      <c r="P1623" s="105"/>
      <c r="Q1623" s="107"/>
      <c r="R1623" s="107"/>
    </row>
    <row r="1624" spans="13:18" x14ac:dyDescent="0.25">
      <c r="M1624" s="108"/>
      <c r="N1624" s="108"/>
      <c r="O1624" s="105"/>
      <c r="P1624" s="105"/>
      <c r="Q1624" s="107"/>
      <c r="R1624" s="107"/>
    </row>
    <row r="1625" spans="13:18" x14ac:dyDescent="0.25">
      <c r="M1625" s="108"/>
      <c r="N1625" s="108"/>
      <c r="O1625" s="105"/>
      <c r="P1625" s="105"/>
      <c r="Q1625" s="107"/>
      <c r="R1625" s="107"/>
    </row>
    <row r="1626" spans="13:18" x14ac:dyDescent="0.25">
      <c r="M1626" s="108"/>
      <c r="N1626" s="108"/>
      <c r="O1626" s="105"/>
      <c r="P1626" s="105"/>
      <c r="Q1626" s="107"/>
      <c r="R1626" s="107"/>
    </row>
    <row r="1627" spans="13:18" x14ac:dyDescent="0.25">
      <c r="M1627" s="108"/>
      <c r="N1627" s="108"/>
      <c r="O1627" s="105"/>
      <c r="P1627" s="105"/>
      <c r="Q1627" s="107"/>
      <c r="R1627" s="107"/>
    </row>
    <row r="1628" spans="13:18" x14ac:dyDescent="0.25">
      <c r="M1628" s="108"/>
      <c r="N1628" s="108"/>
      <c r="O1628" s="105"/>
      <c r="P1628" s="105"/>
      <c r="Q1628" s="107"/>
      <c r="R1628" s="107"/>
    </row>
    <row r="1629" spans="13:18" x14ac:dyDescent="0.25">
      <c r="M1629" s="108"/>
      <c r="N1629" s="108"/>
      <c r="O1629" s="105"/>
      <c r="P1629" s="105"/>
      <c r="Q1629" s="107"/>
      <c r="R1629" s="107"/>
    </row>
    <row r="1630" spans="13:18" x14ac:dyDescent="0.25">
      <c r="M1630" s="108"/>
      <c r="N1630" s="108"/>
      <c r="O1630" s="105"/>
      <c r="P1630" s="105"/>
      <c r="Q1630" s="107"/>
      <c r="R1630" s="107"/>
    </row>
    <row r="1631" spans="13:18" x14ac:dyDescent="0.25">
      <c r="M1631" s="108"/>
      <c r="N1631" s="108"/>
      <c r="O1631" s="105"/>
      <c r="P1631" s="105"/>
      <c r="Q1631" s="107"/>
      <c r="R1631" s="107"/>
    </row>
    <row r="1632" spans="13:18" x14ac:dyDescent="0.25">
      <c r="M1632" s="108"/>
      <c r="N1632" s="108"/>
      <c r="O1632" s="105"/>
      <c r="P1632" s="105"/>
      <c r="Q1632" s="107"/>
      <c r="R1632" s="107"/>
    </row>
    <row r="1633" spans="13:18" x14ac:dyDescent="0.25">
      <c r="M1633" s="108"/>
      <c r="N1633" s="108"/>
      <c r="O1633" s="105"/>
      <c r="P1633" s="105"/>
      <c r="Q1633" s="107"/>
      <c r="R1633" s="107"/>
    </row>
    <row r="1634" spans="13:18" x14ac:dyDescent="0.25">
      <c r="M1634" s="108"/>
      <c r="N1634" s="108"/>
      <c r="O1634" s="105"/>
      <c r="P1634" s="105"/>
      <c r="Q1634" s="107"/>
      <c r="R1634" s="107"/>
    </row>
    <row r="1635" spans="13:18" x14ac:dyDescent="0.25">
      <c r="M1635" s="108"/>
      <c r="N1635" s="108"/>
      <c r="O1635" s="105"/>
      <c r="P1635" s="105"/>
      <c r="Q1635" s="107"/>
      <c r="R1635" s="107"/>
    </row>
    <row r="1636" spans="13:18" x14ac:dyDescent="0.25">
      <c r="M1636" s="108"/>
      <c r="N1636" s="108"/>
      <c r="O1636" s="105"/>
      <c r="P1636" s="105"/>
      <c r="Q1636" s="107"/>
      <c r="R1636" s="107"/>
    </row>
    <row r="1637" spans="13:18" x14ac:dyDescent="0.25">
      <c r="M1637" s="108"/>
      <c r="N1637" s="108"/>
      <c r="O1637" s="105"/>
      <c r="P1637" s="105"/>
      <c r="Q1637" s="107"/>
      <c r="R1637" s="107"/>
    </row>
    <row r="1638" spans="13:18" x14ac:dyDescent="0.25">
      <c r="M1638" s="108"/>
      <c r="N1638" s="108"/>
      <c r="O1638" s="105"/>
      <c r="P1638" s="105"/>
      <c r="Q1638" s="107"/>
      <c r="R1638" s="107"/>
    </row>
    <row r="1639" spans="13:18" x14ac:dyDescent="0.25">
      <c r="M1639" s="108"/>
      <c r="N1639" s="108"/>
      <c r="O1639" s="105"/>
      <c r="P1639" s="105"/>
      <c r="Q1639" s="107"/>
      <c r="R1639" s="107"/>
    </row>
    <row r="1640" spans="13:18" x14ac:dyDescent="0.25">
      <c r="M1640" s="108"/>
      <c r="N1640" s="108"/>
      <c r="O1640" s="105"/>
      <c r="P1640" s="105"/>
      <c r="Q1640" s="107"/>
      <c r="R1640" s="107"/>
    </row>
    <row r="1641" spans="13:18" x14ac:dyDescent="0.25">
      <c r="M1641" s="108"/>
      <c r="N1641" s="108"/>
      <c r="O1641" s="105"/>
      <c r="P1641" s="105"/>
      <c r="Q1641" s="107"/>
      <c r="R1641" s="107"/>
    </row>
    <row r="1642" spans="13:18" x14ac:dyDescent="0.25">
      <c r="M1642" s="108"/>
      <c r="N1642" s="108"/>
      <c r="O1642" s="105"/>
      <c r="P1642" s="105"/>
      <c r="Q1642" s="107"/>
      <c r="R1642" s="107"/>
    </row>
    <row r="1643" spans="13:18" x14ac:dyDescent="0.25">
      <c r="M1643" s="108"/>
      <c r="N1643" s="108"/>
      <c r="O1643" s="105"/>
      <c r="P1643" s="105"/>
      <c r="Q1643" s="107"/>
      <c r="R1643" s="107"/>
    </row>
    <row r="1644" spans="13:18" x14ac:dyDescent="0.25">
      <c r="M1644" s="108"/>
      <c r="N1644" s="108"/>
      <c r="O1644" s="105"/>
      <c r="P1644" s="105"/>
      <c r="Q1644" s="107"/>
      <c r="R1644" s="107"/>
    </row>
    <row r="1645" spans="13:18" x14ac:dyDescent="0.25">
      <c r="M1645" s="108"/>
      <c r="N1645" s="108"/>
      <c r="O1645" s="105"/>
      <c r="P1645" s="105"/>
      <c r="Q1645" s="107"/>
      <c r="R1645" s="107"/>
    </row>
    <row r="1646" spans="13:18" x14ac:dyDescent="0.25">
      <c r="M1646" s="108"/>
      <c r="N1646" s="108"/>
      <c r="O1646" s="105"/>
      <c r="P1646" s="105"/>
      <c r="Q1646" s="107"/>
      <c r="R1646" s="107"/>
    </row>
    <row r="1647" spans="13:18" x14ac:dyDescent="0.25">
      <c r="M1647" s="108"/>
      <c r="N1647" s="108"/>
      <c r="O1647" s="105"/>
      <c r="P1647" s="105"/>
      <c r="Q1647" s="107"/>
      <c r="R1647" s="107"/>
    </row>
    <row r="1648" spans="13:18" x14ac:dyDescent="0.25">
      <c r="M1648" s="108"/>
      <c r="N1648" s="108"/>
      <c r="O1648" s="105"/>
      <c r="P1648" s="105"/>
      <c r="Q1648" s="107"/>
      <c r="R1648" s="107"/>
    </row>
    <row r="1649" spans="13:18" x14ac:dyDescent="0.25">
      <c r="M1649" s="108"/>
      <c r="N1649" s="108"/>
      <c r="O1649" s="105"/>
      <c r="P1649" s="105"/>
      <c r="Q1649" s="107"/>
      <c r="R1649" s="107"/>
    </row>
    <row r="1650" spans="13:18" x14ac:dyDescent="0.25">
      <c r="M1650" s="108"/>
      <c r="N1650" s="108"/>
      <c r="O1650" s="105"/>
      <c r="P1650" s="105"/>
      <c r="Q1650" s="107"/>
      <c r="R1650" s="107"/>
    </row>
    <row r="1651" spans="13:18" x14ac:dyDescent="0.25">
      <c r="M1651" s="108"/>
      <c r="N1651" s="108"/>
      <c r="O1651" s="105"/>
      <c r="P1651" s="105"/>
      <c r="Q1651" s="107"/>
      <c r="R1651" s="107"/>
    </row>
    <row r="1652" spans="13:18" x14ac:dyDescent="0.25">
      <c r="M1652" s="108"/>
      <c r="N1652" s="108"/>
      <c r="O1652" s="105"/>
      <c r="P1652" s="105"/>
      <c r="Q1652" s="107"/>
      <c r="R1652" s="107"/>
    </row>
    <row r="1653" spans="13:18" x14ac:dyDescent="0.25">
      <c r="M1653" s="108"/>
      <c r="N1653" s="108"/>
      <c r="O1653" s="105"/>
      <c r="P1653" s="105"/>
      <c r="Q1653" s="107"/>
      <c r="R1653" s="107"/>
    </row>
    <row r="1654" spans="13:18" x14ac:dyDescent="0.25">
      <c r="M1654" s="108"/>
      <c r="N1654" s="108"/>
      <c r="O1654" s="105"/>
      <c r="P1654" s="105"/>
      <c r="Q1654" s="107"/>
      <c r="R1654" s="107"/>
    </row>
    <row r="1655" spans="13:18" x14ac:dyDescent="0.25">
      <c r="M1655" s="108"/>
      <c r="N1655" s="108"/>
      <c r="O1655" s="105"/>
      <c r="P1655" s="105"/>
      <c r="Q1655" s="107"/>
      <c r="R1655" s="107"/>
    </row>
    <row r="1656" spans="13:18" x14ac:dyDescent="0.25">
      <c r="M1656" s="108"/>
      <c r="N1656" s="108"/>
      <c r="O1656" s="105"/>
      <c r="P1656" s="105"/>
      <c r="Q1656" s="107"/>
      <c r="R1656" s="107"/>
    </row>
    <row r="1657" spans="13:18" x14ac:dyDescent="0.25">
      <c r="M1657" s="108"/>
      <c r="N1657" s="108"/>
      <c r="O1657" s="105"/>
      <c r="P1657" s="105"/>
      <c r="Q1657" s="107"/>
      <c r="R1657" s="107"/>
    </row>
    <row r="1658" spans="13:18" x14ac:dyDescent="0.25">
      <c r="M1658" s="108"/>
      <c r="N1658" s="108"/>
      <c r="O1658" s="105"/>
      <c r="P1658" s="105"/>
      <c r="Q1658" s="107"/>
      <c r="R1658" s="107"/>
    </row>
    <row r="1659" spans="13:18" x14ac:dyDescent="0.25">
      <c r="M1659" s="108"/>
      <c r="N1659" s="108"/>
      <c r="O1659" s="105"/>
      <c r="P1659" s="105"/>
      <c r="Q1659" s="107"/>
      <c r="R1659" s="107"/>
    </row>
    <row r="1660" spans="13:18" x14ac:dyDescent="0.25">
      <c r="M1660" s="108"/>
      <c r="N1660" s="108"/>
      <c r="O1660" s="105"/>
      <c r="P1660" s="105"/>
      <c r="Q1660" s="107"/>
      <c r="R1660" s="107"/>
    </row>
    <row r="1661" spans="13:18" x14ac:dyDescent="0.25">
      <c r="M1661" s="108"/>
      <c r="N1661" s="108"/>
      <c r="O1661" s="105"/>
      <c r="P1661" s="105"/>
      <c r="Q1661" s="107"/>
      <c r="R1661" s="107"/>
    </row>
    <row r="1662" spans="13:18" x14ac:dyDescent="0.25">
      <c r="M1662" s="108"/>
      <c r="N1662" s="108"/>
      <c r="O1662" s="105"/>
      <c r="P1662" s="105"/>
      <c r="Q1662" s="107"/>
      <c r="R1662" s="107"/>
    </row>
    <row r="1663" spans="13:18" x14ac:dyDescent="0.25">
      <c r="M1663" s="108"/>
      <c r="N1663" s="108"/>
      <c r="O1663" s="105"/>
      <c r="P1663" s="105"/>
      <c r="Q1663" s="107"/>
      <c r="R1663" s="107"/>
    </row>
    <row r="1664" spans="13:18" x14ac:dyDescent="0.25">
      <c r="M1664" s="108"/>
      <c r="N1664" s="108"/>
      <c r="O1664" s="105"/>
      <c r="P1664" s="105"/>
      <c r="Q1664" s="107"/>
      <c r="R1664" s="107"/>
    </row>
    <row r="1665" spans="13:18" x14ac:dyDescent="0.25">
      <c r="M1665" s="108"/>
      <c r="N1665" s="108"/>
      <c r="O1665" s="105"/>
      <c r="P1665" s="105"/>
      <c r="Q1665" s="107"/>
      <c r="R1665" s="107"/>
    </row>
    <row r="1666" spans="13:18" x14ac:dyDescent="0.25">
      <c r="M1666" s="108"/>
      <c r="N1666" s="108"/>
      <c r="O1666" s="105"/>
      <c r="P1666" s="105"/>
      <c r="Q1666" s="107"/>
      <c r="R1666" s="107"/>
    </row>
    <row r="1667" spans="13:18" x14ac:dyDescent="0.25">
      <c r="M1667" s="108"/>
      <c r="N1667" s="108"/>
      <c r="O1667" s="105"/>
      <c r="P1667" s="105"/>
      <c r="Q1667" s="107"/>
      <c r="R1667" s="107"/>
    </row>
    <row r="1668" spans="13:18" x14ac:dyDescent="0.25">
      <c r="M1668" s="108"/>
      <c r="N1668" s="108"/>
      <c r="O1668" s="105"/>
      <c r="P1668" s="105"/>
      <c r="Q1668" s="107"/>
      <c r="R1668" s="107"/>
    </row>
    <row r="1669" spans="13:18" x14ac:dyDescent="0.25">
      <c r="M1669" s="108"/>
      <c r="N1669" s="108"/>
      <c r="O1669" s="105"/>
      <c r="P1669" s="105"/>
      <c r="Q1669" s="107"/>
      <c r="R1669" s="107"/>
    </row>
    <row r="1670" spans="13:18" x14ac:dyDescent="0.25">
      <c r="M1670" s="108"/>
      <c r="N1670" s="108"/>
      <c r="O1670" s="105"/>
      <c r="P1670" s="105"/>
      <c r="Q1670" s="107"/>
      <c r="R1670" s="107"/>
    </row>
    <row r="1671" spans="13:18" x14ac:dyDescent="0.25">
      <c r="M1671" s="108"/>
      <c r="N1671" s="108"/>
      <c r="O1671" s="105"/>
      <c r="P1671" s="105"/>
      <c r="Q1671" s="107"/>
      <c r="R1671" s="107"/>
    </row>
    <row r="1672" spans="13:18" x14ac:dyDescent="0.25">
      <c r="M1672" s="108"/>
      <c r="N1672" s="108"/>
      <c r="O1672" s="105"/>
      <c r="P1672" s="105"/>
      <c r="Q1672" s="107"/>
      <c r="R1672" s="107"/>
    </row>
    <row r="1673" spans="13:18" x14ac:dyDescent="0.25">
      <c r="M1673" s="108"/>
      <c r="N1673" s="108"/>
      <c r="O1673" s="105"/>
      <c r="P1673" s="105"/>
      <c r="Q1673" s="107"/>
      <c r="R1673" s="107"/>
    </row>
    <row r="1674" spans="13:18" x14ac:dyDescent="0.25">
      <c r="M1674" s="108"/>
      <c r="N1674" s="108"/>
      <c r="O1674" s="105"/>
      <c r="P1674" s="105"/>
      <c r="Q1674" s="107"/>
      <c r="R1674" s="107"/>
    </row>
    <row r="1675" spans="13:18" x14ac:dyDescent="0.25">
      <c r="M1675" s="108"/>
      <c r="N1675" s="108"/>
      <c r="O1675" s="105"/>
      <c r="P1675" s="105"/>
      <c r="Q1675" s="107"/>
      <c r="R1675" s="107"/>
    </row>
    <row r="1676" spans="13:18" x14ac:dyDescent="0.25">
      <c r="M1676" s="108"/>
      <c r="N1676" s="108"/>
      <c r="O1676" s="105"/>
      <c r="P1676" s="105"/>
      <c r="Q1676" s="107"/>
      <c r="R1676" s="107"/>
    </row>
    <row r="1677" spans="13:18" x14ac:dyDescent="0.25">
      <c r="M1677" s="108"/>
      <c r="N1677" s="108"/>
      <c r="O1677" s="105"/>
      <c r="P1677" s="105"/>
      <c r="Q1677" s="107"/>
      <c r="R1677" s="107"/>
    </row>
    <row r="1678" spans="13:18" x14ac:dyDescent="0.25">
      <c r="M1678" s="108"/>
      <c r="N1678" s="108"/>
      <c r="O1678" s="105"/>
      <c r="P1678" s="105"/>
      <c r="Q1678" s="107"/>
      <c r="R1678" s="107"/>
    </row>
    <row r="1679" spans="13:18" x14ac:dyDescent="0.25">
      <c r="M1679" s="108"/>
      <c r="N1679" s="108"/>
      <c r="O1679" s="105"/>
      <c r="P1679" s="105"/>
      <c r="Q1679" s="107"/>
      <c r="R1679" s="107"/>
    </row>
    <row r="1680" spans="13:18" x14ac:dyDescent="0.25">
      <c r="M1680" s="108"/>
      <c r="N1680" s="108"/>
      <c r="O1680" s="105"/>
      <c r="P1680" s="105"/>
      <c r="Q1680" s="107"/>
      <c r="R1680" s="107"/>
    </row>
    <row r="1681" spans="13:18" x14ac:dyDescent="0.25">
      <c r="M1681" s="108"/>
      <c r="N1681" s="108"/>
      <c r="O1681" s="105"/>
      <c r="P1681" s="105"/>
      <c r="Q1681" s="107"/>
      <c r="R1681" s="107"/>
    </row>
    <row r="1682" spans="13:18" x14ac:dyDescent="0.25">
      <c r="M1682" s="108"/>
      <c r="N1682" s="108"/>
      <c r="O1682" s="105"/>
      <c r="P1682" s="105"/>
      <c r="Q1682" s="107"/>
      <c r="R1682" s="107"/>
    </row>
    <row r="1683" spans="13:18" x14ac:dyDescent="0.25">
      <c r="M1683" s="108"/>
      <c r="N1683" s="108"/>
      <c r="O1683" s="105"/>
      <c r="P1683" s="105"/>
      <c r="Q1683" s="107"/>
      <c r="R1683" s="107"/>
    </row>
    <row r="1684" spans="13:18" x14ac:dyDescent="0.25">
      <c r="M1684" s="108"/>
      <c r="N1684" s="108"/>
      <c r="O1684" s="105"/>
      <c r="P1684" s="105"/>
      <c r="Q1684" s="107"/>
      <c r="R1684" s="107"/>
    </row>
    <row r="1685" spans="13:18" x14ac:dyDescent="0.25">
      <c r="M1685" s="108"/>
      <c r="N1685" s="108"/>
      <c r="O1685" s="105"/>
      <c r="P1685" s="105"/>
      <c r="Q1685" s="107"/>
      <c r="R1685" s="107"/>
    </row>
    <row r="1686" spans="13:18" x14ac:dyDescent="0.25">
      <c r="M1686" s="108"/>
      <c r="N1686" s="108"/>
      <c r="O1686" s="105"/>
      <c r="P1686" s="105"/>
      <c r="Q1686" s="107"/>
      <c r="R1686" s="107"/>
    </row>
    <row r="1687" spans="13:18" x14ac:dyDescent="0.25">
      <c r="M1687" s="108"/>
      <c r="N1687" s="108"/>
      <c r="O1687" s="105"/>
      <c r="P1687" s="105"/>
      <c r="Q1687" s="107"/>
      <c r="R1687" s="107"/>
    </row>
    <row r="1688" spans="13:18" x14ac:dyDescent="0.25">
      <c r="M1688" s="108"/>
      <c r="N1688" s="108"/>
      <c r="O1688" s="105"/>
      <c r="P1688" s="105"/>
      <c r="Q1688" s="107"/>
      <c r="R1688" s="107"/>
    </row>
    <row r="1689" spans="13:18" x14ac:dyDescent="0.25">
      <c r="M1689" s="108"/>
      <c r="N1689" s="108"/>
      <c r="O1689" s="105"/>
      <c r="P1689" s="105"/>
      <c r="Q1689" s="107"/>
      <c r="R1689" s="107"/>
    </row>
    <row r="1690" spans="13:18" x14ac:dyDescent="0.25">
      <c r="M1690" s="108"/>
      <c r="N1690" s="108"/>
      <c r="O1690" s="105"/>
      <c r="P1690" s="105"/>
      <c r="Q1690" s="107"/>
      <c r="R1690" s="107"/>
    </row>
    <row r="1691" spans="13:18" x14ac:dyDescent="0.25">
      <c r="M1691" s="108"/>
      <c r="N1691" s="108"/>
      <c r="O1691" s="105"/>
      <c r="P1691" s="105"/>
      <c r="Q1691" s="107"/>
      <c r="R1691" s="107"/>
    </row>
    <row r="1692" spans="13:18" x14ac:dyDescent="0.25">
      <c r="M1692" s="108"/>
      <c r="N1692" s="108"/>
      <c r="O1692" s="105"/>
      <c r="P1692" s="105"/>
      <c r="Q1692" s="107"/>
      <c r="R1692" s="107"/>
    </row>
    <row r="1693" spans="13:18" x14ac:dyDescent="0.25">
      <c r="M1693" s="108"/>
      <c r="N1693" s="108"/>
      <c r="O1693" s="105"/>
      <c r="P1693" s="105"/>
      <c r="Q1693" s="107"/>
      <c r="R1693" s="107"/>
    </row>
    <row r="1694" spans="13:18" x14ac:dyDescent="0.25">
      <c r="M1694" s="108"/>
      <c r="N1694" s="108"/>
      <c r="O1694" s="105"/>
      <c r="P1694" s="105"/>
      <c r="Q1694" s="107"/>
      <c r="R1694" s="107"/>
    </row>
    <row r="1695" spans="13:18" x14ac:dyDescent="0.25">
      <c r="M1695" s="108"/>
      <c r="N1695" s="108"/>
      <c r="O1695" s="105"/>
      <c r="P1695" s="105"/>
      <c r="Q1695" s="107"/>
      <c r="R1695" s="107"/>
    </row>
    <row r="1696" spans="13:18" x14ac:dyDescent="0.25">
      <c r="M1696" s="108"/>
      <c r="N1696" s="108"/>
      <c r="O1696" s="105"/>
      <c r="P1696" s="105"/>
      <c r="Q1696" s="107"/>
      <c r="R1696" s="107"/>
    </row>
    <row r="1697" spans="13:18" x14ac:dyDescent="0.25">
      <c r="M1697" s="108"/>
      <c r="N1697" s="108"/>
      <c r="O1697" s="105"/>
      <c r="P1697" s="105"/>
      <c r="Q1697" s="107"/>
      <c r="R1697" s="107"/>
    </row>
    <row r="1698" spans="13:18" x14ac:dyDescent="0.25">
      <c r="M1698" s="108"/>
      <c r="N1698" s="108"/>
      <c r="O1698" s="105"/>
      <c r="P1698" s="105"/>
      <c r="Q1698" s="107"/>
      <c r="R1698" s="107"/>
    </row>
    <row r="1699" spans="13:18" x14ac:dyDescent="0.25">
      <c r="M1699" s="108"/>
      <c r="N1699" s="108"/>
      <c r="O1699" s="105"/>
      <c r="P1699" s="105"/>
      <c r="Q1699" s="107"/>
      <c r="R1699" s="107"/>
    </row>
    <row r="1700" spans="13:18" x14ac:dyDescent="0.25">
      <c r="M1700" s="108"/>
      <c r="N1700" s="108"/>
      <c r="O1700" s="105"/>
      <c r="P1700" s="105"/>
      <c r="Q1700" s="107"/>
      <c r="R1700" s="107"/>
    </row>
    <row r="1701" spans="13:18" x14ac:dyDescent="0.25">
      <c r="M1701" s="108"/>
      <c r="N1701" s="108"/>
      <c r="O1701" s="105"/>
      <c r="P1701" s="105"/>
      <c r="Q1701" s="107"/>
      <c r="R1701" s="107"/>
    </row>
    <row r="1702" spans="13:18" x14ac:dyDescent="0.25">
      <c r="M1702" s="108"/>
      <c r="N1702" s="108"/>
      <c r="O1702" s="105"/>
      <c r="P1702" s="105"/>
      <c r="Q1702" s="107"/>
      <c r="R1702" s="107"/>
    </row>
    <row r="1703" spans="13:18" x14ac:dyDescent="0.25">
      <c r="M1703" s="108"/>
      <c r="N1703" s="108"/>
      <c r="O1703" s="105"/>
      <c r="P1703" s="105"/>
      <c r="Q1703" s="107"/>
      <c r="R1703" s="107"/>
    </row>
    <row r="1704" spans="13:18" x14ac:dyDescent="0.25">
      <c r="M1704" s="108"/>
      <c r="N1704" s="108"/>
      <c r="O1704" s="105"/>
      <c r="P1704" s="105"/>
      <c r="Q1704" s="107"/>
      <c r="R1704" s="107"/>
    </row>
    <row r="1705" spans="13:18" x14ac:dyDescent="0.25">
      <c r="M1705" s="108"/>
      <c r="N1705" s="108"/>
      <c r="O1705" s="105"/>
      <c r="P1705" s="105"/>
      <c r="Q1705" s="107"/>
      <c r="R1705" s="107"/>
    </row>
    <row r="1706" spans="13:18" x14ac:dyDescent="0.25">
      <c r="M1706" s="108"/>
      <c r="N1706" s="108"/>
      <c r="O1706" s="105"/>
      <c r="P1706" s="105"/>
      <c r="Q1706" s="107"/>
      <c r="R1706" s="107"/>
    </row>
    <row r="1707" spans="13:18" x14ac:dyDescent="0.25">
      <c r="M1707" s="108"/>
      <c r="N1707" s="108"/>
      <c r="O1707" s="105"/>
      <c r="P1707" s="105"/>
      <c r="Q1707" s="107"/>
      <c r="R1707" s="107"/>
    </row>
    <row r="1708" spans="13:18" x14ac:dyDescent="0.25">
      <c r="M1708" s="108"/>
      <c r="N1708" s="108"/>
      <c r="O1708" s="105"/>
      <c r="P1708" s="105"/>
      <c r="Q1708" s="107"/>
      <c r="R1708" s="107"/>
    </row>
    <row r="1709" spans="13:18" x14ac:dyDescent="0.25">
      <c r="M1709" s="108"/>
      <c r="N1709" s="108"/>
      <c r="O1709" s="105"/>
      <c r="P1709" s="105"/>
      <c r="Q1709" s="107"/>
      <c r="R1709" s="107"/>
    </row>
    <row r="1710" spans="13:18" x14ac:dyDescent="0.25">
      <c r="M1710" s="108"/>
      <c r="N1710" s="108"/>
      <c r="O1710" s="105"/>
      <c r="P1710" s="105"/>
      <c r="Q1710" s="107"/>
      <c r="R1710" s="107"/>
    </row>
    <row r="1711" spans="13:18" x14ac:dyDescent="0.25">
      <c r="M1711" s="108"/>
      <c r="N1711" s="108"/>
      <c r="O1711" s="105"/>
      <c r="P1711" s="105"/>
      <c r="Q1711" s="107"/>
      <c r="R1711" s="107"/>
    </row>
    <row r="1712" spans="13:18" x14ac:dyDescent="0.25">
      <c r="M1712" s="108"/>
      <c r="N1712" s="108"/>
      <c r="O1712" s="105"/>
      <c r="P1712" s="105"/>
      <c r="Q1712" s="107"/>
      <c r="R1712" s="107"/>
    </row>
    <row r="1713" spans="13:18" x14ac:dyDescent="0.25">
      <c r="M1713" s="108"/>
      <c r="N1713" s="108"/>
      <c r="O1713" s="105"/>
      <c r="P1713" s="105"/>
      <c r="Q1713" s="107"/>
      <c r="R1713" s="107"/>
    </row>
    <row r="1714" spans="13:18" x14ac:dyDescent="0.25">
      <c r="M1714" s="108"/>
      <c r="N1714" s="108"/>
      <c r="O1714" s="105"/>
      <c r="P1714" s="105"/>
      <c r="Q1714" s="107"/>
      <c r="R1714" s="107"/>
    </row>
    <row r="1715" spans="13:18" x14ac:dyDescent="0.25">
      <c r="M1715" s="108"/>
      <c r="N1715" s="108"/>
      <c r="O1715" s="105"/>
      <c r="P1715" s="105"/>
      <c r="Q1715" s="107"/>
      <c r="R1715" s="107"/>
    </row>
    <row r="1716" spans="13:18" x14ac:dyDescent="0.25">
      <c r="M1716" s="108"/>
      <c r="N1716" s="108"/>
      <c r="O1716" s="105"/>
      <c r="P1716" s="105"/>
      <c r="Q1716" s="107"/>
      <c r="R1716" s="107"/>
    </row>
    <row r="1717" spans="13:18" x14ac:dyDescent="0.25">
      <c r="M1717" s="108"/>
      <c r="N1717" s="108"/>
      <c r="O1717" s="105"/>
      <c r="P1717" s="105"/>
      <c r="Q1717" s="107"/>
      <c r="R1717" s="107"/>
    </row>
    <row r="1718" spans="13:18" x14ac:dyDescent="0.25">
      <c r="M1718" s="108"/>
      <c r="N1718" s="108"/>
      <c r="O1718" s="105"/>
      <c r="P1718" s="105"/>
      <c r="Q1718" s="107"/>
      <c r="R1718" s="107"/>
    </row>
    <row r="1719" spans="13:18" x14ac:dyDescent="0.25">
      <c r="M1719" s="108"/>
      <c r="N1719" s="108"/>
      <c r="O1719" s="105"/>
      <c r="P1719" s="105"/>
      <c r="Q1719" s="107"/>
      <c r="R1719" s="107"/>
    </row>
    <row r="1720" spans="13:18" x14ac:dyDescent="0.25">
      <c r="M1720" s="108"/>
      <c r="N1720" s="108"/>
      <c r="O1720" s="105"/>
      <c r="P1720" s="105"/>
      <c r="Q1720" s="107"/>
      <c r="R1720" s="107"/>
    </row>
    <row r="1721" spans="13:18" x14ac:dyDescent="0.25">
      <c r="M1721" s="108"/>
      <c r="N1721" s="108"/>
      <c r="O1721" s="105"/>
      <c r="P1721" s="105"/>
      <c r="Q1721" s="107"/>
      <c r="R1721" s="107"/>
    </row>
    <row r="1722" spans="13:18" x14ac:dyDescent="0.25">
      <c r="M1722" s="108"/>
      <c r="N1722" s="108"/>
      <c r="O1722" s="105"/>
      <c r="P1722" s="105"/>
      <c r="Q1722" s="107"/>
      <c r="R1722" s="107"/>
    </row>
    <row r="1723" spans="13:18" x14ac:dyDescent="0.25">
      <c r="M1723" s="108"/>
      <c r="N1723" s="108"/>
      <c r="O1723" s="105"/>
      <c r="P1723" s="105"/>
      <c r="Q1723" s="107"/>
      <c r="R1723" s="107"/>
    </row>
    <row r="1724" spans="13:18" x14ac:dyDescent="0.25">
      <c r="M1724" s="108"/>
      <c r="N1724" s="108"/>
      <c r="O1724" s="105"/>
      <c r="P1724" s="105"/>
      <c r="Q1724" s="107"/>
      <c r="R1724" s="107"/>
    </row>
    <row r="1725" spans="13:18" x14ac:dyDescent="0.25">
      <c r="M1725" s="108"/>
      <c r="N1725" s="108"/>
      <c r="O1725" s="105"/>
      <c r="P1725" s="105"/>
      <c r="Q1725" s="107"/>
      <c r="R1725" s="107"/>
    </row>
    <row r="1726" spans="13:18" x14ac:dyDescent="0.25">
      <c r="M1726" s="108"/>
      <c r="N1726" s="108"/>
      <c r="O1726" s="105"/>
      <c r="P1726" s="105"/>
      <c r="Q1726" s="107"/>
      <c r="R1726" s="107"/>
    </row>
    <row r="1727" spans="13:18" x14ac:dyDescent="0.25">
      <c r="M1727" s="108"/>
      <c r="N1727" s="108"/>
      <c r="O1727" s="105"/>
      <c r="P1727" s="105"/>
      <c r="Q1727" s="107"/>
      <c r="R1727" s="107"/>
    </row>
    <row r="1728" spans="13:18" x14ac:dyDescent="0.25">
      <c r="M1728" s="108"/>
      <c r="N1728" s="108"/>
      <c r="O1728" s="105"/>
      <c r="P1728" s="105"/>
      <c r="Q1728" s="107"/>
      <c r="R1728" s="107"/>
    </row>
    <row r="1729" spans="13:18" x14ac:dyDescent="0.25">
      <c r="M1729" s="108"/>
      <c r="N1729" s="108"/>
      <c r="O1729" s="105"/>
      <c r="P1729" s="105"/>
      <c r="Q1729" s="107"/>
      <c r="R1729" s="107"/>
    </row>
    <row r="1730" spans="13:18" x14ac:dyDescent="0.25">
      <c r="M1730" s="108"/>
      <c r="N1730" s="108"/>
      <c r="O1730" s="105"/>
      <c r="P1730" s="105"/>
      <c r="Q1730" s="107"/>
      <c r="R1730" s="107"/>
    </row>
    <row r="1731" spans="13:18" x14ac:dyDescent="0.25">
      <c r="M1731" s="108"/>
      <c r="N1731" s="108"/>
      <c r="O1731" s="105"/>
      <c r="P1731" s="105"/>
      <c r="Q1731" s="107"/>
      <c r="R1731" s="107"/>
    </row>
    <row r="1732" spans="13:18" x14ac:dyDescent="0.25">
      <c r="M1732" s="108"/>
      <c r="N1732" s="108"/>
      <c r="O1732" s="105"/>
      <c r="P1732" s="105"/>
      <c r="Q1732" s="107"/>
      <c r="R1732" s="107"/>
    </row>
    <row r="1733" spans="13:18" x14ac:dyDescent="0.25">
      <c r="M1733" s="108"/>
      <c r="N1733" s="108"/>
      <c r="O1733" s="105"/>
      <c r="P1733" s="105"/>
      <c r="Q1733" s="107"/>
      <c r="R1733" s="107"/>
    </row>
    <row r="1734" spans="13:18" x14ac:dyDescent="0.25">
      <c r="M1734" s="108"/>
      <c r="N1734" s="108"/>
      <c r="O1734" s="105"/>
      <c r="P1734" s="105"/>
      <c r="Q1734" s="107"/>
      <c r="R1734" s="107"/>
    </row>
    <row r="1735" spans="13:18" x14ac:dyDescent="0.25">
      <c r="M1735" s="108"/>
      <c r="N1735" s="108"/>
      <c r="O1735" s="105"/>
      <c r="P1735" s="105"/>
      <c r="Q1735" s="107"/>
      <c r="R1735" s="107"/>
    </row>
    <row r="1736" spans="13:18" x14ac:dyDescent="0.25">
      <c r="M1736" s="108"/>
      <c r="N1736" s="108"/>
      <c r="O1736" s="105"/>
      <c r="P1736" s="105"/>
      <c r="Q1736" s="107"/>
      <c r="R1736" s="107"/>
    </row>
    <row r="1737" spans="13:18" x14ac:dyDescent="0.25">
      <c r="M1737" s="108"/>
      <c r="N1737" s="108"/>
      <c r="O1737" s="105"/>
      <c r="P1737" s="105"/>
      <c r="Q1737" s="107"/>
      <c r="R1737" s="107"/>
    </row>
    <row r="1738" spans="13:18" x14ac:dyDescent="0.25">
      <c r="M1738" s="108"/>
      <c r="N1738" s="108"/>
      <c r="O1738" s="105"/>
      <c r="P1738" s="105"/>
      <c r="Q1738" s="107"/>
      <c r="R1738" s="107"/>
    </row>
    <row r="1739" spans="13:18" x14ac:dyDescent="0.25">
      <c r="M1739" s="108"/>
      <c r="N1739" s="108"/>
      <c r="O1739" s="105"/>
      <c r="P1739" s="105"/>
      <c r="Q1739" s="107"/>
      <c r="R1739" s="107"/>
    </row>
    <row r="1740" spans="13:18" x14ac:dyDescent="0.25">
      <c r="M1740" s="108"/>
      <c r="N1740" s="108"/>
      <c r="O1740" s="105"/>
      <c r="P1740" s="105"/>
      <c r="Q1740" s="107"/>
      <c r="R1740" s="107"/>
    </row>
    <row r="1741" spans="13:18" x14ac:dyDescent="0.25">
      <c r="M1741" s="108"/>
      <c r="N1741" s="108"/>
      <c r="O1741" s="105"/>
      <c r="P1741" s="105"/>
      <c r="Q1741" s="107"/>
      <c r="R1741" s="107"/>
    </row>
    <row r="1742" spans="13:18" x14ac:dyDescent="0.25">
      <c r="M1742" s="108"/>
      <c r="N1742" s="108"/>
      <c r="O1742" s="105"/>
      <c r="P1742" s="105"/>
      <c r="Q1742" s="107"/>
      <c r="R1742" s="107"/>
    </row>
    <row r="1743" spans="13:18" x14ac:dyDescent="0.25">
      <c r="M1743" s="108"/>
      <c r="N1743" s="108"/>
      <c r="O1743" s="105"/>
      <c r="P1743" s="105"/>
      <c r="Q1743" s="107"/>
      <c r="R1743" s="107"/>
    </row>
    <row r="1744" spans="13:18" x14ac:dyDescent="0.25">
      <c r="M1744" s="108"/>
      <c r="N1744" s="108"/>
      <c r="O1744" s="105"/>
      <c r="P1744" s="105"/>
      <c r="Q1744" s="107"/>
      <c r="R1744" s="107"/>
    </row>
    <row r="1745" spans="13:18" x14ac:dyDescent="0.25">
      <c r="M1745" s="108"/>
      <c r="N1745" s="108"/>
      <c r="O1745" s="105"/>
      <c r="P1745" s="105"/>
      <c r="Q1745" s="107"/>
      <c r="R1745" s="107"/>
    </row>
    <row r="1746" spans="13:18" x14ac:dyDescent="0.25">
      <c r="M1746" s="108"/>
      <c r="N1746" s="108"/>
      <c r="O1746" s="105"/>
      <c r="P1746" s="105"/>
      <c r="Q1746" s="107"/>
      <c r="R1746" s="107"/>
    </row>
    <row r="1747" spans="13:18" x14ac:dyDescent="0.25">
      <c r="M1747" s="108"/>
      <c r="N1747" s="108"/>
      <c r="O1747" s="105"/>
      <c r="P1747" s="105"/>
      <c r="Q1747" s="107"/>
      <c r="R1747" s="107"/>
    </row>
    <row r="1748" spans="13:18" x14ac:dyDescent="0.25">
      <c r="M1748" s="108"/>
      <c r="N1748" s="108"/>
      <c r="O1748" s="105"/>
      <c r="P1748" s="105"/>
      <c r="Q1748" s="107"/>
      <c r="R1748" s="107"/>
    </row>
    <row r="1749" spans="13:18" x14ac:dyDescent="0.25">
      <c r="M1749" s="108"/>
      <c r="N1749" s="108"/>
      <c r="O1749" s="105"/>
      <c r="P1749" s="105"/>
      <c r="Q1749" s="107"/>
      <c r="R1749" s="107"/>
    </row>
    <row r="1750" spans="13:18" x14ac:dyDescent="0.25">
      <c r="M1750" s="108"/>
      <c r="N1750" s="108"/>
      <c r="O1750" s="105"/>
      <c r="P1750" s="105"/>
      <c r="Q1750" s="107"/>
      <c r="R1750" s="107"/>
    </row>
    <row r="1751" spans="13:18" x14ac:dyDescent="0.25">
      <c r="M1751" s="108"/>
      <c r="N1751" s="108"/>
      <c r="O1751" s="105"/>
      <c r="P1751" s="105"/>
      <c r="Q1751" s="107"/>
      <c r="R1751" s="107"/>
    </row>
    <row r="1752" spans="13:18" x14ac:dyDescent="0.25">
      <c r="M1752" s="108"/>
      <c r="N1752" s="108"/>
      <c r="O1752" s="105"/>
      <c r="P1752" s="105"/>
      <c r="Q1752" s="107"/>
      <c r="R1752" s="107"/>
    </row>
    <row r="1753" spans="13:18" x14ac:dyDescent="0.25">
      <c r="M1753" s="108"/>
      <c r="N1753" s="108"/>
      <c r="O1753" s="105"/>
      <c r="P1753" s="105"/>
      <c r="Q1753" s="107"/>
      <c r="R1753" s="107"/>
    </row>
    <row r="1754" spans="13:18" x14ac:dyDescent="0.25">
      <c r="M1754" s="108"/>
      <c r="N1754" s="108"/>
      <c r="O1754" s="105"/>
      <c r="P1754" s="105"/>
      <c r="Q1754" s="107"/>
      <c r="R1754" s="107"/>
    </row>
    <row r="1755" spans="13:18" x14ac:dyDescent="0.25">
      <c r="M1755" s="108"/>
      <c r="N1755" s="108"/>
      <c r="O1755" s="105"/>
      <c r="P1755" s="105"/>
      <c r="Q1755" s="107"/>
      <c r="R1755" s="107"/>
    </row>
    <row r="1756" spans="13:18" x14ac:dyDescent="0.25">
      <c r="M1756" s="108"/>
      <c r="N1756" s="108"/>
      <c r="O1756" s="105"/>
      <c r="P1756" s="105"/>
      <c r="Q1756" s="107"/>
      <c r="R1756" s="107"/>
    </row>
    <row r="1757" spans="13:18" x14ac:dyDescent="0.25">
      <c r="M1757" s="108"/>
      <c r="N1757" s="108"/>
      <c r="O1757" s="105"/>
      <c r="P1757" s="105"/>
      <c r="Q1757" s="107"/>
      <c r="R1757" s="107"/>
    </row>
    <row r="1758" spans="13:18" x14ac:dyDescent="0.25">
      <c r="M1758" s="108"/>
      <c r="N1758" s="108"/>
      <c r="O1758" s="105"/>
      <c r="P1758" s="105"/>
      <c r="Q1758" s="107"/>
      <c r="R1758" s="107"/>
    </row>
    <row r="1759" spans="13:18" x14ac:dyDescent="0.25">
      <c r="M1759" s="108"/>
      <c r="N1759" s="108"/>
      <c r="O1759" s="105"/>
      <c r="P1759" s="105"/>
      <c r="Q1759" s="107"/>
      <c r="R1759" s="107"/>
    </row>
    <row r="1760" spans="13:18" x14ac:dyDescent="0.25">
      <c r="M1760" s="108"/>
      <c r="N1760" s="108"/>
      <c r="O1760" s="105"/>
      <c r="P1760" s="105"/>
      <c r="Q1760" s="107"/>
      <c r="R1760" s="107"/>
    </row>
    <row r="1761" spans="13:18" x14ac:dyDescent="0.25">
      <c r="M1761" s="108"/>
      <c r="N1761" s="108"/>
      <c r="O1761" s="105"/>
      <c r="P1761" s="105"/>
      <c r="Q1761" s="107"/>
      <c r="R1761" s="107"/>
    </row>
    <row r="1762" spans="13:18" x14ac:dyDescent="0.25">
      <c r="M1762" s="108"/>
      <c r="N1762" s="108"/>
      <c r="O1762" s="105"/>
      <c r="P1762" s="105"/>
      <c r="Q1762" s="107"/>
      <c r="R1762" s="107"/>
    </row>
    <row r="1763" spans="13:18" x14ac:dyDescent="0.25">
      <c r="M1763" s="108"/>
      <c r="N1763" s="108"/>
      <c r="O1763" s="105"/>
      <c r="P1763" s="105"/>
      <c r="Q1763" s="107"/>
      <c r="R1763" s="107"/>
    </row>
    <row r="1764" spans="13:18" x14ac:dyDescent="0.25">
      <c r="M1764" s="108"/>
      <c r="N1764" s="108"/>
      <c r="O1764" s="105"/>
      <c r="P1764" s="105"/>
      <c r="Q1764" s="107"/>
      <c r="R1764" s="107"/>
    </row>
    <row r="1765" spans="13:18" x14ac:dyDescent="0.25">
      <c r="M1765" s="108"/>
      <c r="N1765" s="108"/>
      <c r="O1765" s="105"/>
      <c r="P1765" s="105"/>
      <c r="Q1765" s="107"/>
      <c r="R1765" s="107"/>
    </row>
    <row r="1766" spans="13:18" x14ac:dyDescent="0.25">
      <c r="M1766" s="108"/>
      <c r="N1766" s="108"/>
      <c r="O1766" s="105"/>
      <c r="P1766" s="105"/>
      <c r="Q1766" s="107"/>
      <c r="R1766" s="107"/>
    </row>
    <row r="1767" spans="13:18" x14ac:dyDescent="0.25">
      <c r="M1767" s="108"/>
      <c r="N1767" s="108"/>
      <c r="O1767" s="105"/>
      <c r="P1767" s="105"/>
      <c r="Q1767" s="107"/>
      <c r="R1767" s="107"/>
    </row>
    <row r="1768" spans="13:18" x14ac:dyDescent="0.25">
      <c r="M1768" s="108"/>
      <c r="N1768" s="108"/>
      <c r="O1768" s="105"/>
      <c r="P1768" s="105"/>
      <c r="Q1768" s="107"/>
      <c r="R1768" s="107"/>
    </row>
    <row r="1769" spans="13:18" x14ac:dyDescent="0.25">
      <c r="M1769" s="108"/>
      <c r="N1769" s="108"/>
      <c r="O1769" s="105"/>
      <c r="P1769" s="105"/>
      <c r="Q1769" s="107"/>
      <c r="R1769" s="107"/>
    </row>
    <row r="1770" spans="13:18" x14ac:dyDescent="0.25">
      <c r="M1770" s="108"/>
      <c r="N1770" s="108"/>
      <c r="O1770" s="105"/>
      <c r="P1770" s="105"/>
      <c r="Q1770" s="107"/>
      <c r="R1770" s="107"/>
    </row>
    <row r="1771" spans="13:18" x14ac:dyDescent="0.25">
      <c r="M1771" s="108"/>
      <c r="N1771" s="108"/>
      <c r="O1771" s="105"/>
      <c r="P1771" s="105"/>
      <c r="Q1771" s="107"/>
      <c r="R1771" s="107"/>
    </row>
    <row r="1772" spans="13:18" x14ac:dyDescent="0.25">
      <c r="M1772" s="108"/>
      <c r="N1772" s="108"/>
      <c r="O1772" s="105"/>
      <c r="P1772" s="105"/>
      <c r="Q1772" s="107"/>
      <c r="R1772" s="107"/>
    </row>
    <row r="1773" spans="13:18" x14ac:dyDescent="0.25">
      <c r="M1773" s="108"/>
      <c r="N1773" s="108"/>
      <c r="O1773" s="105"/>
      <c r="P1773" s="105"/>
      <c r="Q1773" s="107"/>
      <c r="R1773" s="107"/>
    </row>
    <row r="1774" spans="13:18" x14ac:dyDescent="0.25">
      <c r="M1774" s="108"/>
      <c r="N1774" s="108"/>
      <c r="O1774" s="105"/>
      <c r="P1774" s="105"/>
      <c r="Q1774" s="107"/>
      <c r="R1774" s="107"/>
    </row>
    <row r="1775" spans="13:18" x14ac:dyDescent="0.25">
      <c r="M1775" s="108"/>
      <c r="N1775" s="108"/>
      <c r="O1775" s="105"/>
      <c r="P1775" s="105"/>
      <c r="Q1775" s="107"/>
      <c r="R1775" s="107"/>
    </row>
    <row r="1776" spans="13:18" x14ac:dyDescent="0.25">
      <c r="M1776" s="108"/>
      <c r="N1776" s="108"/>
      <c r="O1776" s="105"/>
      <c r="P1776" s="105"/>
      <c r="Q1776" s="107"/>
      <c r="R1776" s="107"/>
    </row>
    <row r="1777" spans="13:18" x14ac:dyDescent="0.25">
      <c r="M1777" s="108"/>
      <c r="N1777" s="108"/>
      <c r="O1777" s="105"/>
      <c r="P1777" s="105"/>
      <c r="Q1777" s="107"/>
      <c r="R1777" s="107"/>
    </row>
    <row r="1778" spans="13:18" x14ac:dyDescent="0.25">
      <c r="M1778" s="108"/>
      <c r="N1778" s="108"/>
      <c r="O1778" s="105"/>
      <c r="P1778" s="105"/>
      <c r="Q1778" s="107"/>
      <c r="R1778" s="107"/>
    </row>
    <row r="1779" spans="13:18" x14ac:dyDescent="0.25">
      <c r="M1779" s="108"/>
      <c r="N1779" s="108"/>
      <c r="O1779" s="105"/>
      <c r="P1779" s="105"/>
      <c r="Q1779" s="107"/>
      <c r="R1779" s="107"/>
    </row>
    <row r="1780" spans="13:18" x14ac:dyDescent="0.25">
      <c r="M1780" s="108"/>
      <c r="N1780" s="108"/>
      <c r="O1780" s="105"/>
      <c r="P1780" s="105"/>
      <c r="Q1780" s="107"/>
      <c r="R1780" s="107"/>
    </row>
    <row r="1781" spans="13:18" x14ac:dyDescent="0.25">
      <c r="M1781" s="108"/>
      <c r="N1781" s="108"/>
      <c r="O1781" s="105"/>
      <c r="P1781" s="105"/>
      <c r="Q1781" s="107"/>
      <c r="R1781" s="107"/>
    </row>
    <row r="1782" spans="13:18" x14ac:dyDescent="0.25">
      <c r="M1782" s="108"/>
      <c r="N1782" s="108"/>
      <c r="O1782" s="105"/>
      <c r="P1782" s="105"/>
      <c r="Q1782" s="107"/>
      <c r="R1782" s="107"/>
    </row>
    <row r="1783" spans="13:18" x14ac:dyDescent="0.25">
      <c r="M1783" s="108"/>
      <c r="N1783" s="108"/>
      <c r="O1783" s="105"/>
      <c r="P1783" s="105"/>
      <c r="Q1783" s="107"/>
      <c r="R1783" s="107"/>
    </row>
    <row r="1784" spans="13:18" x14ac:dyDescent="0.25">
      <c r="M1784" s="108"/>
      <c r="N1784" s="108"/>
      <c r="O1784" s="105"/>
      <c r="P1784" s="105"/>
      <c r="Q1784" s="107"/>
      <c r="R1784" s="107"/>
    </row>
    <row r="1785" spans="13:18" x14ac:dyDescent="0.25">
      <c r="M1785" s="108"/>
      <c r="N1785" s="108"/>
      <c r="O1785" s="105"/>
      <c r="P1785" s="105"/>
      <c r="Q1785" s="107"/>
      <c r="R1785" s="107"/>
    </row>
    <row r="1786" spans="13:18" x14ac:dyDescent="0.25">
      <c r="M1786" s="108"/>
      <c r="N1786" s="108"/>
      <c r="O1786" s="105"/>
      <c r="P1786" s="105"/>
      <c r="Q1786" s="107"/>
      <c r="R1786" s="107"/>
    </row>
    <row r="1787" spans="13:18" x14ac:dyDescent="0.25">
      <c r="M1787" s="108"/>
      <c r="N1787" s="108"/>
      <c r="O1787" s="105"/>
      <c r="P1787" s="105"/>
      <c r="Q1787" s="107"/>
      <c r="R1787" s="107"/>
    </row>
    <row r="1788" spans="13:18" x14ac:dyDescent="0.25">
      <c r="M1788" s="108"/>
      <c r="N1788" s="108"/>
      <c r="O1788" s="105"/>
      <c r="P1788" s="105"/>
      <c r="Q1788" s="107"/>
      <c r="R1788" s="107"/>
    </row>
    <row r="1789" spans="13:18" x14ac:dyDescent="0.25">
      <c r="M1789" s="108"/>
      <c r="N1789" s="108"/>
      <c r="O1789" s="105"/>
      <c r="P1789" s="105"/>
      <c r="Q1789" s="107"/>
      <c r="R1789" s="107"/>
    </row>
    <row r="1790" spans="13:18" x14ac:dyDescent="0.25">
      <c r="M1790" s="108"/>
      <c r="N1790" s="108"/>
      <c r="O1790" s="105"/>
      <c r="P1790" s="105"/>
      <c r="Q1790" s="107"/>
      <c r="R1790" s="107"/>
    </row>
    <row r="1791" spans="13:18" x14ac:dyDescent="0.25">
      <c r="M1791" s="108"/>
      <c r="N1791" s="108"/>
      <c r="O1791" s="105"/>
      <c r="P1791" s="105"/>
      <c r="Q1791" s="107"/>
      <c r="R1791" s="107"/>
    </row>
    <row r="1792" spans="13:18" x14ac:dyDescent="0.25">
      <c r="M1792" s="108"/>
      <c r="N1792" s="108"/>
      <c r="O1792" s="105"/>
      <c r="P1792" s="105"/>
      <c r="Q1792" s="107"/>
      <c r="R1792" s="107"/>
    </row>
    <row r="1793" spans="13:18" x14ac:dyDescent="0.25">
      <c r="M1793" s="108"/>
      <c r="N1793" s="108"/>
      <c r="O1793" s="105"/>
      <c r="P1793" s="105"/>
      <c r="Q1793" s="107"/>
      <c r="R1793" s="107"/>
    </row>
    <row r="1794" spans="13:18" x14ac:dyDescent="0.25">
      <c r="M1794" s="108"/>
      <c r="N1794" s="108"/>
      <c r="O1794" s="105"/>
      <c r="P1794" s="105"/>
      <c r="Q1794" s="107"/>
      <c r="R1794" s="107"/>
    </row>
    <row r="1795" spans="13:18" x14ac:dyDescent="0.25">
      <c r="M1795" s="108"/>
      <c r="N1795" s="108"/>
      <c r="O1795" s="105"/>
      <c r="P1795" s="105"/>
      <c r="Q1795" s="107"/>
      <c r="R1795" s="107"/>
    </row>
    <row r="1796" spans="13:18" x14ac:dyDescent="0.25">
      <c r="M1796" s="108"/>
      <c r="N1796" s="108"/>
      <c r="O1796" s="105"/>
      <c r="P1796" s="105"/>
      <c r="Q1796" s="107"/>
      <c r="R1796" s="107"/>
    </row>
    <row r="1797" spans="13:18" x14ac:dyDescent="0.25">
      <c r="M1797" s="108"/>
      <c r="N1797" s="108"/>
      <c r="O1797" s="105"/>
      <c r="P1797" s="105"/>
      <c r="Q1797" s="107"/>
      <c r="R1797" s="107"/>
    </row>
    <row r="1798" spans="13:18" x14ac:dyDescent="0.25">
      <c r="M1798" s="108"/>
      <c r="N1798" s="108"/>
      <c r="O1798" s="105"/>
      <c r="P1798" s="105"/>
      <c r="Q1798" s="107"/>
      <c r="R1798" s="107"/>
    </row>
    <row r="1799" spans="13:18" x14ac:dyDescent="0.25">
      <c r="M1799" s="108"/>
      <c r="N1799" s="108"/>
      <c r="O1799" s="105"/>
      <c r="P1799" s="105"/>
      <c r="Q1799" s="107"/>
      <c r="R1799" s="107"/>
    </row>
    <row r="1800" spans="13:18" x14ac:dyDescent="0.25">
      <c r="M1800" s="108"/>
      <c r="N1800" s="108"/>
      <c r="O1800" s="105"/>
      <c r="P1800" s="105"/>
      <c r="Q1800" s="107"/>
      <c r="R1800" s="107"/>
    </row>
    <row r="1801" spans="13:18" x14ac:dyDescent="0.25">
      <c r="M1801" s="108"/>
      <c r="N1801" s="108"/>
      <c r="O1801" s="105"/>
      <c r="P1801" s="105"/>
      <c r="Q1801" s="107"/>
      <c r="R1801" s="107"/>
    </row>
    <row r="1802" spans="13:18" x14ac:dyDescent="0.25">
      <c r="M1802" s="108"/>
      <c r="N1802" s="108"/>
      <c r="O1802" s="105"/>
      <c r="P1802" s="105"/>
      <c r="Q1802" s="107"/>
      <c r="R1802" s="107"/>
    </row>
    <row r="1803" spans="13:18" x14ac:dyDescent="0.25">
      <c r="M1803" s="108"/>
      <c r="N1803" s="108"/>
      <c r="O1803" s="105"/>
      <c r="P1803" s="105"/>
      <c r="Q1803" s="107"/>
      <c r="R1803" s="107"/>
    </row>
    <row r="1804" spans="13:18" x14ac:dyDescent="0.25">
      <c r="M1804" s="108"/>
      <c r="N1804" s="108"/>
      <c r="O1804" s="105"/>
      <c r="P1804" s="105"/>
      <c r="Q1804" s="107"/>
      <c r="R1804" s="107"/>
    </row>
    <row r="1805" spans="13:18" x14ac:dyDescent="0.25">
      <c r="M1805" s="108"/>
      <c r="N1805" s="108"/>
      <c r="O1805" s="105"/>
      <c r="P1805" s="105"/>
      <c r="Q1805" s="107"/>
      <c r="R1805" s="107"/>
    </row>
    <row r="1806" spans="13:18" x14ac:dyDescent="0.25">
      <c r="M1806" s="108"/>
      <c r="N1806" s="108"/>
      <c r="O1806" s="105"/>
      <c r="P1806" s="105"/>
      <c r="Q1806" s="107"/>
      <c r="R1806" s="107"/>
    </row>
    <row r="1807" spans="13:18" x14ac:dyDescent="0.25">
      <c r="M1807" s="108"/>
      <c r="N1807" s="108"/>
      <c r="O1807" s="105"/>
      <c r="P1807" s="105"/>
      <c r="Q1807" s="107"/>
      <c r="R1807" s="107"/>
    </row>
    <row r="1808" spans="13:18" x14ac:dyDescent="0.25">
      <c r="M1808" s="108"/>
      <c r="N1808" s="108"/>
      <c r="O1808" s="105"/>
      <c r="P1808" s="105"/>
      <c r="Q1808" s="107"/>
      <c r="R1808" s="107"/>
    </row>
    <row r="1809" spans="13:18" x14ac:dyDescent="0.25">
      <c r="M1809" s="108"/>
      <c r="N1809" s="108"/>
      <c r="O1809" s="105"/>
      <c r="P1809" s="105"/>
      <c r="Q1809" s="107"/>
      <c r="R1809" s="107"/>
    </row>
    <row r="1810" spans="13:18" x14ac:dyDescent="0.25">
      <c r="M1810" s="108"/>
      <c r="N1810" s="108"/>
      <c r="O1810" s="105"/>
      <c r="P1810" s="105"/>
      <c r="Q1810" s="107"/>
      <c r="R1810" s="107"/>
    </row>
    <row r="1811" spans="13:18" x14ac:dyDescent="0.25">
      <c r="M1811" s="108"/>
      <c r="N1811" s="108"/>
      <c r="O1811" s="105"/>
      <c r="P1811" s="105"/>
      <c r="Q1811" s="107"/>
      <c r="R1811" s="107"/>
    </row>
    <row r="1812" spans="13:18" x14ac:dyDescent="0.25">
      <c r="M1812" s="108"/>
      <c r="N1812" s="108"/>
      <c r="O1812" s="105"/>
      <c r="P1812" s="105"/>
      <c r="Q1812" s="107"/>
      <c r="R1812" s="107"/>
    </row>
    <row r="1813" spans="13:18" x14ac:dyDescent="0.25">
      <c r="M1813" s="108"/>
      <c r="N1813" s="108"/>
      <c r="O1813" s="105"/>
      <c r="P1813" s="105"/>
      <c r="Q1813" s="107"/>
      <c r="R1813" s="107"/>
    </row>
    <row r="1814" spans="13:18" x14ac:dyDescent="0.25">
      <c r="M1814" s="108"/>
      <c r="N1814" s="108"/>
      <c r="O1814" s="105"/>
      <c r="P1814" s="105"/>
      <c r="Q1814" s="107"/>
      <c r="R1814" s="107"/>
    </row>
    <row r="1815" spans="13:18" x14ac:dyDescent="0.25">
      <c r="M1815" s="108"/>
      <c r="N1815" s="108"/>
      <c r="O1815" s="105"/>
      <c r="P1815" s="105"/>
      <c r="Q1815" s="107"/>
      <c r="R1815" s="107"/>
    </row>
    <row r="1816" spans="13:18" x14ac:dyDescent="0.25">
      <c r="M1816" s="108"/>
      <c r="N1816" s="108"/>
      <c r="O1816" s="105"/>
      <c r="P1816" s="105"/>
      <c r="Q1816" s="107"/>
      <c r="R1816" s="107"/>
    </row>
    <row r="1817" spans="13:18" x14ac:dyDescent="0.25">
      <c r="M1817" s="108"/>
      <c r="N1817" s="108"/>
      <c r="O1817" s="105"/>
      <c r="P1817" s="105"/>
      <c r="Q1817" s="107"/>
      <c r="R1817" s="107"/>
    </row>
    <row r="1818" spans="13:18" x14ac:dyDescent="0.25">
      <c r="M1818" s="108"/>
      <c r="N1818" s="108"/>
      <c r="O1818" s="105"/>
      <c r="P1818" s="105"/>
      <c r="Q1818" s="107"/>
      <c r="R1818" s="107"/>
    </row>
    <row r="1819" spans="13:18" x14ac:dyDescent="0.25">
      <c r="M1819" s="108"/>
      <c r="N1819" s="108"/>
      <c r="O1819" s="105"/>
      <c r="P1819" s="105"/>
      <c r="Q1819" s="107"/>
      <c r="R1819" s="107"/>
    </row>
    <row r="1820" spans="13:18" x14ac:dyDescent="0.25">
      <c r="M1820" s="108"/>
      <c r="N1820" s="108"/>
      <c r="O1820" s="105"/>
      <c r="P1820" s="105"/>
      <c r="Q1820" s="107"/>
      <c r="R1820" s="107"/>
    </row>
    <row r="1821" spans="13:18" x14ac:dyDescent="0.25">
      <c r="M1821" s="108"/>
      <c r="N1821" s="108"/>
      <c r="O1821" s="105"/>
      <c r="P1821" s="105"/>
      <c r="Q1821" s="107"/>
      <c r="R1821" s="107"/>
    </row>
    <row r="1822" spans="13:18" x14ac:dyDescent="0.25">
      <c r="M1822" s="108"/>
      <c r="N1822" s="108"/>
      <c r="O1822" s="105"/>
      <c r="P1822" s="105"/>
      <c r="Q1822" s="107"/>
      <c r="R1822" s="107"/>
    </row>
    <row r="1823" spans="13:18" x14ac:dyDescent="0.25">
      <c r="M1823" s="108"/>
      <c r="N1823" s="108"/>
      <c r="O1823" s="105"/>
      <c r="P1823" s="105"/>
      <c r="Q1823" s="107"/>
      <c r="R1823" s="107"/>
    </row>
    <row r="1824" spans="13:18" x14ac:dyDescent="0.25">
      <c r="M1824" s="108"/>
      <c r="N1824" s="108"/>
      <c r="O1824" s="105"/>
      <c r="P1824" s="105"/>
      <c r="Q1824" s="107"/>
      <c r="R1824" s="107"/>
    </row>
    <row r="1825" spans="13:18" x14ac:dyDescent="0.25">
      <c r="M1825" s="108"/>
      <c r="N1825" s="108"/>
      <c r="O1825" s="105"/>
      <c r="P1825" s="105"/>
      <c r="Q1825" s="107"/>
      <c r="R1825" s="107"/>
    </row>
    <row r="1826" spans="13:18" x14ac:dyDescent="0.25">
      <c r="M1826" s="108"/>
      <c r="N1826" s="108"/>
      <c r="O1826" s="105"/>
      <c r="P1826" s="105"/>
      <c r="Q1826" s="107"/>
      <c r="R1826" s="107"/>
    </row>
    <row r="1827" spans="13:18" x14ac:dyDescent="0.25">
      <c r="M1827" s="108"/>
      <c r="N1827" s="108"/>
      <c r="O1827" s="105"/>
      <c r="P1827" s="105"/>
      <c r="Q1827" s="107"/>
      <c r="R1827" s="107"/>
    </row>
    <row r="1828" spans="13:18" x14ac:dyDescent="0.25">
      <c r="M1828" s="108"/>
      <c r="N1828" s="108"/>
      <c r="O1828" s="105"/>
      <c r="P1828" s="105"/>
      <c r="Q1828" s="107"/>
      <c r="R1828" s="107"/>
    </row>
    <row r="1829" spans="13:18" x14ac:dyDescent="0.25">
      <c r="M1829" s="108"/>
      <c r="N1829" s="108"/>
      <c r="O1829" s="105"/>
      <c r="P1829" s="105"/>
      <c r="Q1829" s="107"/>
      <c r="R1829" s="107"/>
    </row>
    <row r="1830" spans="13:18" x14ac:dyDescent="0.25">
      <c r="M1830" s="108"/>
      <c r="N1830" s="108"/>
      <c r="O1830" s="105"/>
      <c r="P1830" s="105"/>
      <c r="Q1830" s="107"/>
      <c r="R1830" s="107"/>
    </row>
    <row r="1831" spans="13:18" x14ac:dyDescent="0.25">
      <c r="M1831" s="108"/>
      <c r="N1831" s="108"/>
      <c r="O1831" s="105"/>
      <c r="P1831" s="105"/>
      <c r="Q1831" s="107"/>
      <c r="R1831" s="107"/>
    </row>
    <row r="1832" spans="13:18" x14ac:dyDescent="0.25">
      <c r="M1832" s="108"/>
      <c r="N1832" s="108"/>
      <c r="O1832" s="105"/>
      <c r="P1832" s="105"/>
      <c r="Q1832" s="107"/>
      <c r="R1832" s="107"/>
    </row>
    <row r="1833" spans="13:18" x14ac:dyDescent="0.25">
      <c r="M1833" s="108"/>
      <c r="N1833" s="108"/>
      <c r="O1833" s="105"/>
      <c r="P1833" s="105"/>
      <c r="Q1833" s="107"/>
      <c r="R1833" s="107"/>
    </row>
    <row r="1834" spans="13:18" x14ac:dyDescent="0.25">
      <c r="M1834" s="108"/>
      <c r="N1834" s="108"/>
      <c r="O1834" s="105"/>
      <c r="P1834" s="105"/>
      <c r="Q1834" s="107"/>
      <c r="R1834" s="107"/>
    </row>
    <row r="1835" spans="13:18" x14ac:dyDescent="0.25">
      <c r="M1835" s="108"/>
      <c r="N1835" s="108"/>
      <c r="O1835" s="105"/>
      <c r="P1835" s="105"/>
      <c r="Q1835" s="107"/>
      <c r="R1835" s="107"/>
    </row>
    <row r="1836" spans="13:18" x14ac:dyDescent="0.25">
      <c r="M1836" s="108"/>
      <c r="N1836" s="108"/>
      <c r="O1836" s="105"/>
      <c r="P1836" s="105"/>
      <c r="Q1836" s="107"/>
      <c r="R1836" s="107"/>
    </row>
    <row r="1837" spans="13:18" x14ac:dyDescent="0.25">
      <c r="M1837" s="108"/>
      <c r="N1837" s="108"/>
      <c r="O1837" s="105"/>
      <c r="P1837" s="105"/>
      <c r="Q1837" s="107"/>
      <c r="R1837" s="107"/>
    </row>
    <row r="1838" spans="13:18" x14ac:dyDescent="0.25">
      <c r="M1838" s="108"/>
      <c r="N1838" s="108"/>
      <c r="O1838" s="105"/>
      <c r="P1838" s="105"/>
      <c r="Q1838" s="107"/>
      <c r="R1838" s="107"/>
    </row>
    <row r="1839" spans="13:18" x14ac:dyDescent="0.25">
      <c r="M1839" s="108"/>
      <c r="N1839" s="108"/>
      <c r="O1839" s="105"/>
      <c r="P1839" s="105"/>
      <c r="Q1839" s="107"/>
      <c r="R1839" s="107"/>
    </row>
    <row r="1840" spans="13:18" x14ac:dyDescent="0.25">
      <c r="M1840" s="108"/>
      <c r="N1840" s="108"/>
      <c r="O1840" s="105"/>
      <c r="P1840" s="105"/>
      <c r="Q1840" s="107"/>
      <c r="R1840" s="107"/>
    </row>
    <row r="1841" spans="13:18" x14ac:dyDescent="0.25">
      <c r="M1841" s="108"/>
      <c r="N1841" s="108"/>
      <c r="O1841" s="105"/>
      <c r="P1841" s="105"/>
      <c r="Q1841" s="107"/>
      <c r="R1841" s="107"/>
    </row>
    <row r="1842" spans="13:18" x14ac:dyDescent="0.25">
      <c r="M1842" s="108"/>
      <c r="N1842" s="108"/>
      <c r="O1842" s="105"/>
      <c r="P1842" s="105"/>
      <c r="Q1842" s="107"/>
      <c r="R1842" s="107"/>
    </row>
    <row r="1843" spans="13:18" x14ac:dyDescent="0.25">
      <c r="M1843" s="108"/>
      <c r="N1843" s="108"/>
      <c r="O1843" s="105"/>
      <c r="P1843" s="105"/>
      <c r="Q1843" s="107"/>
      <c r="R1843" s="107"/>
    </row>
    <row r="1844" spans="13:18" x14ac:dyDescent="0.25">
      <c r="M1844" s="108"/>
      <c r="N1844" s="108"/>
      <c r="O1844" s="105"/>
      <c r="P1844" s="105"/>
      <c r="Q1844" s="107"/>
      <c r="R1844" s="107"/>
    </row>
    <row r="1845" spans="13:18" x14ac:dyDescent="0.25">
      <c r="M1845" s="108"/>
      <c r="N1845" s="108"/>
      <c r="O1845" s="105"/>
      <c r="P1845" s="105"/>
      <c r="Q1845" s="107"/>
      <c r="R1845" s="107"/>
    </row>
    <row r="1846" spans="13:18" x14ac:dyDescent="0.25">
      <c r="M1846" s="108"/>
      <c r="N1846" s="108"/>
      <c r="O1846" s="105"/>
      <c r="P1846" s="105"/>
      <c r="Q1846" s="107"/>
      <c r="R1846" s="107"/>
    </row>
    <row r="1847" spans="13:18" x14ac:dyDescent="0.25">
      <c r="M1847" s="108"/>
      <c r="N1847" s="108"/>
      <c r="O1847" s="105"/>
      <c r="P1847" s="105"/>
      <c r="Q1847" s="107"/>
      <c r="R1847" s="107"/>
    </row>
    <row r="1848" spans="13:18" x14ac:dyDescent="0.25">
      <c r="M1848" s="108"/>
      <c r="N1848" s="108"/>
      <c r="O1848" s="105"/>
      <c r="P1848" s="105"/>
      <c r="Q1848" s="107"/>
      <c r="R1848" s="107"/>
    </row>
    <row r="1849" spans="13:18" x14ac:dyDescent="0.25">
      <c r="M1849" s="108"/>
      <c r="N1849" s="108"/>
      <c r="O1849" s="105"/>
      <c r="P1849" s="105"/>
      <c r="Q1849" s="107"/>
      <c r="R1849" s="107"/>
    </row>
    <row r="1850" spans="13:18" x14ac:dyDescent="0.25">
      <c r="M1850" s="108"/>
      <c r="N1850" s="108"/>
      <c r="O1850" s="105"/>
      <c r="P1850" s="105"/>
      <c r="Q1850" s="107"/>
      <c r="R1850" s="107"/>
    </row>
    <row r="1851" spans="13:18" x14ac:dyDescent="0.25">
      <c r="M1851" s="108"/>
      <c r="N1851" s="108"/>
      <c r="O1851" s="105"/>
      <c r="P1851" s="105"/>
      <c r="Q1851" s="107"/>
      <c r="R1851" s="107"/>
    </row>
    <row r="1852" spans="13:18" x14ac:dyDescent="0.25">
      <c r="M1852" s="108"/>
      <c r="N1852" s="108"/>
      <c r="O1852" s="105"/>
      <c r="P1852" s="105"/>
      <c r="Q1852" s="107"/>
      <c r="R1852" s="107"/>
    </row>
    <row r="1853" spans="13:18" x14ac:dyDescent="0.25">
      <c r="M1853" s="108"/>
      <c r="N1853" s="108"/>
      <c r="O1853" s="105"/>
      <c r="P1853" s="105"/>
      <c r="Q1853" s="107"/>
      <c r="R1853" s="107"/>
    </row>
    <row r="1854" spans="13:18" x14ac:dyDescent="0.25">
      <c r="M1854" s="108"/>
      <c r="N1854" s="108"/>
      <c r="O1854" s="105"/>
      <c r="P1854" s="105"/>
      <c r="Q1854" s="107"/>
      <c r="R1854" s="107"/>
    </row>
    <row r="1855" spans="13:18" x14ac:dyDescent="0.25">
      <c r="M1855" s="108"/>
      <c r="N1855" s="108"/>
      <c r="O1855" s="105"/>
      <c r="P1855" s="105"/>
      <c r="Q1855" s="107"/>
      <c r="R1855" s="107"/>
    </row>
    <row r="1856" spans="13:18" x14ac:dyDescent="0.25">
      <c r="M1856" s="108"/>
      <c r="N1856" s="108"/>
      <c r="O1856" s="105"/>
      <c r="P1856" s="105"/>
      <c r="Q1856" s="107"/>
      <c r="R1856" s="107"/>
    </row>
    <row r="1857" spans="13:18" x14ac:dyDescent="0.25">
      <c r="M1857" s="108"/>
      <c r="N1857" s="108"/>
      <c r="O1857" s="105"/>
      <c r="P1857" s="105"/>
      <c r="Q1857" s="107"/>
      <c r="R1857" s="107"/>
    </row>
    <row r="1858" spans="13:18" x14ac:dyDescent="0.25">
      <c r="M1858" s="108"/>
      <c r="N1858" s="108"/>
      <c r="O1858" s="105"/>
      <c r="P1858" s="105"/>
      <c r="Q1858" s="107"/>
      <c r="R1858" s="107"/>
    </row>
    <row r="1859" spans="13:18" x14ac:dyDescent="0.25">
      <c r="M1859" s="108"/>
      <c r="N1859" s="108"/>
      <c r="O1859" s="105"/>
      <c r="P1859" s="105"/>
      <c r="Q1859" s="107"/>
      <c r="R1859" s="107"/>
    </row>
    <row r="1860" spans="13:18" x14ac:dyDescent="0.25">
      <c r="M1860" s="108"/>
      <c r="N1860" s="108"/>
      <c r="O1860" s="105"/>
      <c r="P1860" s="105"/>
      <c r="Q1860" s="107"/>
      <c r="R1860" s="107"/>
    </row>
    <row r="1861" spans="13:18" x14ac:dyDescent="0.25">
      <c r="M1861" s="108"/>
      <c r="N1861" s="108"/>
      <c r="O1861" s="105"/>
      <c r="P1861" s="105"/>
      <c r="Q1861" s="107"/>
      <c r="R1861" s="107"/>
    </row>
    <row r="1862" spans="13:18" x14ac:dyDescent="0.25">
      <c r="M1862" s="108"/>
      <c r="N1862" s="108"/>
      <c r="O1862" s="105"/>
      <c r="P1862" s="105"/>
      <c r="Q1862" s="107"/>
      <c r="R1862" s="107"/>
    </row>
    <row r="1863" spans="13:18" x14ac:dyDescent="0.25">
      <c r="M1863" s="108"/>
      <c r="N1863" s="108"/>
      <c r="O1863" s="105"/>
      <c r="P1863" s="105"/>
      <c r="Q1863" s="107"/>
      <c r="R1863" s="107"/>
    </row>
    <row r="1864" spans="13:18" x14ac:dyDescent="0.25">
      <c r="M1864" s="108"/>
      <c r="N1864" s="108"/>
      <c r="O1864" s="105"/>
      <c r="P1864" s="105"/>
      <c r="Q1864" s="107"/>
      <c r="R1864" s="107"/>
    </row>
    <row r="1865" spans="13:18" x14ac:dyDescent="0.25">
      <c r="M1865" s="108"/>
      <c r="N1865" s="108"/>
      <c r="O1865" s="105"/>
      <c r="P1865" s="105"/>
      <c r="Q1865" s="107"/>
      <c r="R1865" s="107"/>
    </row>
    <row r="1866" spans="13:18" x14ac:dyDescent="0.25">
      <c r="M1866" s="108"/>
      <c r="N1866" s="108"/>
      <c r="O1866" s="105"/>
      <c r="P1866" s="105"/>
      <c r="Q1866" s="107"/>
      <c r="R1866" s="107"/>
    </row>
    <row r="1867" spans="13:18" x14ac:dyDescent="0.25">
      <c r="M1867" s="108"/>
      <c r="N1867" s="108"/>
      <c r="O1867" s="105"/>
      <c r="P1867" s="105"/>
      <c r="Q1867" s="107"/>
      <c r="R1867" s="107"/>
    </row>
    <row r="1868" spans="13:18" x14ac:dyDescent="0.25">
      <c r="M1868" s="108"/>
      <c r="N1868" s="108"/>
      <c r="O1868" s="105"/>
      <c r="P1868" s="105"/>
      <c r="Q1868" s="107"/>
      <c r="R1868" s="107"/>
    </row>
    <row r="1869" spans="13:18" x14ac:dyDescent="0.25">
      <c r="M1869" s="108"/>
      <c r="N1869" s="108"/>
      <c r="O1869" s="105"/>
      <c r="P1869" s="105"/>
      <c r="Q1869" s="107"/>
      <c r="R1869" s="107"/>
    </row>
    <row r="1870" spans="13:18" x14ac:dyDescent="0.25">
      <c r="M1870" s="108"/>
      <c r="N1870" s="108"/>
      <c r="O1870" s="105"/>
      <c r="P1870" s="105"/>
      <c r="Q1870" s="107"/>
      <c r="R1870" s="107"/>
    </row>
    <row r="1871" spans="13:18" x14ac:dyDescent="0.25">
      <c r="M1871" s="108"/>
      <c r="N1871" s="108"/>
      <c r="O1871" s="105"/>
      <c r="P1871" s="105"/>
      <c r="Q1871" s="107"/>
      <c r="R1871" s="107"/>
    </row>
    <row r="1872" spans="13:18" x14ac:dyDescent="0.25">
      <c r="M1872" s="108"/>
      <c r="N1872" s="108"/>
      <c r="O1872" s="105"/>
      <c r="P1872" s="105"/>
      <c r="Q1872" s="107"/>
      <c r="R1872" s="107"/>
    </row>
    <row r="1873" spans="13:18" x14ac:dyDescent="0.25">
      <c r="M1873" s="108"/>
      <c r="N1873" s="108"/>
      <c r="O1873" s="105"/>
      <c r="P1873" s="105"/>
      <c r="Q1873" s="107"/>
      <c r="R1873" s="107"/>
    </row>
    <row r="1874" spans="13:18" x14ac:dyDescent="0.25">
      <c r="M1874" s="108"/>
      <c r="N1874" s="108"/>
      <c r="O1874" s="105"/>
      <c r="P1874" s="105"/>
      <c r="Q1874" s="107"/>
      <c r="R1874" s="107"/>
    </row>
    <row r="1875" spans="13:18" x14ac:dyDescent="0.25">
      <c r="M1875" s="108"/>
      <c r="N1875" s="108"/>
      <c r="O1875" s="105"/>
      <c r="P1875" s="105"/>
      <c r="Q1875" s="107"/>
      <c r="R1875" s="107"/>
    </row>
    <row r="1876" spans="13:18" x14ac:dyDescent="0.25">
      <c r="M1876" s="108"/>
      <c r="N1876" s="108"/>
      <c r="O1876" s="105"/>
      <c r="P1876" s="105"/>
      <c r="Q1876" s="107"/>
      <c r="R1876" s="107"/>
    </row>
    <row r="1877" spans="13:18" x14ac:dyDescent="0.25">
      <c r="M1877" s="108"/>
      <c r="N1877" s="108"/>
      <c r="O1877" s="105"/>
      <c r="P1877" s="105"/>
      <c r="Q1877" s="107"/>
      <c r="R1877" s="107"/>
    </row>
    <row r="1878" spans="13:18" x14ac:dyDescent="0.25">
      <c r="M1878" s="108"/>
      <c r="N1878" s="108"/>
      <c r="O1878" s="105"/>
      <c r="P1878" s="105"/>
      <c r="Q1878" s="107"/>
      <c r="R1878" s="107"/>
    </row>
    <row r="1879" spans="13:18" x14ac:dyDescent="0.25">
      <c r="M1879" s="108"/>
      <c r="N1879" s="108"/>
      <c r="O1879" s="105"/>
      <c r="P1879" s="105"/>
      <c r="Q1879" s="107"/>
      <c r="R1879" s="107"/>
    </row>
    <row r="1880" spans="13:18" x14ac:dyDescent="0.25">
      <c r="M1880" s="108"/>
      <c r="N1880" s="108"/>
      <c r="O1880" s="105"/>
      <c r="P1880" s="105"/>
      <c r="Q1880" s="107"/>
      <c r="R1880" s="107"/>
    </row>
    <row r="1881" spans="13:18" x14ac:dyDescent="0.25">
      <c r="M1881" s="108"/>
      <c r="N1881" s="108"/>
      <c r="O1881" s="105"/>
      <c r="P1881" s="105"/>
      <c r="Q1881" s="107"/>
      <c r="R1881" s="107"/>
    </row>
    <row r="1882" spans="13:18" x14ac:dyDescent="0.25">
      <c r="M1882" s="108"/>
      <c r="N1882" s="108"/>
      <c r="O1882" s="105"/>
      <c r="P1882" s="105"/>
      <c r="Q1882" s="107"/>
      <c r="R1882" s="107"/>
    </row>
    <row r="1883" spans="13:18" x14ac:dyDescent="0.25">
      <c r="M1883" s="108"/>
      <c r="N1883" s="108"/>
      <c r="O1883" s="105"/>
      <c r="P1883" s="105"/>
      <c r="Q1883" s="107"/>
      <c r="R1883" s="107"/>
    </row>
    <row r="1884" spans="13:18" x14ac:dyDescent="0.25">
      <c r="M1884" s="108"/>
      <c r="N1884" s="108"/>
      <c r="O1884" s="105"/>
      <c r="P1884" s="105"/>
      <c r="Q1884" s="107"/>
      <c r="R1884" s="107"/>
    </row>
    <row r="1885" spans="13:18" x14ac:dyDescent="0.25">
      <c r="M1885" s="108"/>
      <c r="N1885" s="108"/>
      <c r="O1885" s="105"/>
      <c r="P1885" s="105"/>
      <c r="Q1885" s="107"/>
      <c r="R1885" s="107"/>
    </row>
    <row r="1886" spans="13:18" x14ac:dyDescent="0.25">
      <c r="M1886" s="108"/>
      <c r="N1886" s="108"/>
      <c r="O1886" s="105"/>
      <c r="P1886" s="105"/>
      <c r="Q1886" s="107"/>
      <c r="R1886" s="107"/>
    </row>
    <row r="1887" spans="13:18" x14ac:dyDescent="0.25">
      <c r="M1887" s="108"/>
      <c r="N1887" s="108"/>
      <c r="O1887" s="105"/>
      <c r="P1887" s="105"/>
      <c r="Q1887" s="107"/>
      <c r="R1887" s="107"/>
    </row>
    <row r="1888" spans="13:18" x14ac:dyDescent="0.25">
      <c r="M1888" s="108"/>
      <c r="N1888" s="108"/>
      <c r="O1888" s="105"/>
      <c r="P1888" s="105"/>
      <c r="Q1888" s="107"/>
      <c r="R1888" s="107"/>
    </row>
    <row r="1889" spans="13:18" x14ac:dyDescent="0.25">
      <c r="M1889" s="108"/>
      <c r="N1889" s="108"/>
      <c r="O1889" s="105"/>
      <c r="P1889" s="105"/>
      <c r="Q1889" s="107"/>
      <c r="R1889" s="107"/>
    </row>
    <row r="1890" spans="13:18" x14ac:dyDescent="0.25">
      <c r="M1890" s="108"/>
      <c r="N1890" s="108"/>
      <c r="O1890" s="105"/>
      <c r="P1890" s="105"/>
      <c r="Q1890" s="107"/>
      <c r="R1890" s="107"/>
    </row>
    <row r="1891" spans="13:18" x14ac:dyDescent="0.25">
      <c r="M1891" s="108"/>
      <c r="N1891" s="108"/>
      <c r="O1891" s="105"/>
      <c r="P1891" s="105"/>
      <c r="Q1891" s="107"/>
      <c r="R1891" s="107"/>
    </row>
    <row r="1892" spans="13:18" x14ac:dyDescent="0.25">
      <c r="M1892" s="108"/>
      <c r="N1892" s="108"/>
      <c r="O1892" s="105"/>
      <c r="P1892" s="105"/>
      <c r="Q1892" s="107"/>
      <c r="R1892" s="107"/>
    </row>
    <row r="1893" spans="13:18" x14ac:dyDescent="0.25">
      <c r="M1893" s="108"/>
      <c r="N1893" s="108"/>
      <c r="O1893" s="105"/>
      <c r="P1893" s="105"/>
      <c r="Q1893" s="107"/>
      <c r="R1893" s="107"/>
    </row>
    <row r="1894" spans="13:18" x14ac:dyDescent="0.25">
      <c r="M1894" s="108"/>
      <c r="N1894" s="108"/>
      <c r="O1894" s="105"/>
      <c r="P1894" s="105"/>
      <c r="Q1894" s="107"/>
      <c r="R1894" s="107"/>
    </row>
    <row r="1895" spans="13:18" x14ac:dyDescent="0.25">
      <c r="M1895" s="108"/>
      <c r="N1895" s="108"/>
      <c r="O1895" s="105"/>
      <c r="P1895" s="105"/>
      <c r="Q1895" s="107"/>
      <c r="R1895" s="107"/>
    </row>
    <row r="1896" spans="13:18" x14ac:dyDescent="0.25">
      <c r="M1896" s="108"/>
      <c r="N1896" s="108"/>
      <c r="O1896" s="105"/>
      <c r="P1896" s="105"/>
      <c r="Q1896" s="107"/>
      <c r="R1896" s="107"/>
    </row>
    <row r="1897" spans="13:18" x14ac:dyDescent="0.25">
      <c r="M1897" s="108"/>
      <c r="N1897" s="108"/>
      <c r="O1897" s="105"/>
      <c r="P1897" s="105"/>
      <c r="Q1897" s="107"/>
      <c r="R1897" s="107"/>
    </row>
    <row r="1898" spans="13:18" x14ac:dyDescent="0.25">
      <c r="M1898" s="108"/>
      <c r="N1898" s="108"/>
      <c r="O1898" s="105"/>
      <c r="P1898" s="105"/>
      <c r="Q1898" s="107"/>
      <c r="R1898" s="107"/>
    </row>
    <row r="1899" spans="13:18" x14ac:dyDescent="0.25">
      <c r="M1899" s="108"/>
      <c r="N1899" s="108"/>
      <c r="O1899" s="105"/>
      <c r="P1899" s="105"/>
      <c r="Q1899" s="107"/>
      <c r="R1899" s="107"/>
    </row>
    <row r="1900" spans="13:18" x14ac:dyDescent="0.25">
      <c r="M1900" s="108"/>
      <c r="N1900" s="108"/>
      <c r="O1900" s="105"/>
      <c r="P1900" s="105"/>
      <c r="Q1900" s="107"/>
      <c r="R1900" s="107"/>
    </row>
    <row r="1901" spans="13:18" x14ac:dyDescent="0.25">
      <c r="M1901" s="108"/>
      <c r="N1901" s="108"/>
      <c r="O1901" s="105"/>
      <c r="P1901" s="105"/>
      <c r="Q1901" s="107"/>
      <c r="R1901" s="107"/>
    </row>
    <row r="1902" spans="13:18" x14ac:dyDescent="0.25">
      <c r="M1902" s="108"/>
      <c r="N1902" s="108"/>
      <c r="O1902" s="105"/>
      <c r="P1902" s="105"/>
      <c r="Q1902" s="107"/>
      <c r="R1902" s="107"/>
    </row>
    <row r="1903" spans="13:18" x14ac:dyDescent="0.25">
      <c r="M1903" s="108"/>
      <c r="N1903" s="108"/>
      <c r="O1903" s="105"/>
      <c r="P1903" s="105"/>
      <c r="Q1903" s="107"/>
      <c r="R1903" s="107"/>
    </row>
    <row r="1904" spans="13:18" x14ac:dyDescent="0.25">
      <c r="M1904" s="108"/>
      <c r="N1904" s="108"/>
      <c r="O1904" s="105"/>
      <c r="P1904" s="105"/>
      <c r="Q1904" s="107"/>
      <c r="R1904" s="107"/>
    </row>
    <row r="1905" spans="13:18" x14ac:dyDescent="0.25">
      <c r="M1905" s="108"/>
      <c r="N1905" s="108"/>
      <c r="O1905" s="105"/>
      <c r="P1905" s="105"/>
      <c r="Q1905" s="107"/>
      <c r="R1905" s="107"/>
    </row>
    <row r="1906" spans="13:18" x14ac:dyDescent="0.25">
      <c r="M1906" s="108"/>
      <c r="N1906" s="108"/>
      <c r="O1906" s="105"/>
      <c r="P1906" s="105"/>
      <c r="Q1906" s="107"/>
      <c r="R1906" s="107"/>
    </row>
    <row r="1907" spans="13:18" x14ac:dyDescent="0.25">
      <c r="M1907" s="108"/>
      <c r="N1907" s="108"/>
      <c r="O1907" s="105"/>
      <c r="P1907" s="105"/>
      <c r="Q1907" s="107"/>
      <c r="R1907" s="107"/>
    </row>
    <row r="1908" spans="13:18" x14ac:dyDescent="0.25">
      <c r="M1908" s="108"/>
      <c r="N1908" s="108"/>
      <c r="O1908" s="105"/>
      <c r="P1908" s="105"/>
      <c r="Q1908" s="107"/>
      <c r="R1908" s="107"/>
    </row>
    <row r="1909" spans="13:18" x14ac:dyDescent="0.25">
      <c r="M1909" s="108"/>
      <c r="N1909" s="108"/>
      <c r="O1909" s="105"/>
      <c r="P1909" s="105"/>
      <c r="Q1909" s="107"/>
      <c r="R1909" s="107"/>
    </row>
    <row r="1910" spans="13:18" x14ac:dyDescent="0.25">
      <c r="M1910" s="108"/>
      <c r="N1910" s="108"/>
      <c r="O1910" s="105"/>
      <c r="P1910" s="105"/>
      <c r="Q1910" s="107"/>
      <c r="R1910" s="107"/>
    </row>
    <row r="1911" spans="13:18" x14ac:dyDescent="0.25">
      <c r="M1911" s="108"/>
      <c r="N1911" s="108"/>
      <c r="O1911" s="105"/>
      <c r="P1911" s="105"/>
      <c r="Q1911" s="107"/>
      <c r="R1911" s="107"/>
    </row>
    <row r="1912" spans="13:18" x14ac:dyDescent="0.25">
      <c r="M1912" s="108"/>
      <c r="N1912" s="108"/>
      <c r="O1912" s="105"/>
      <c r="P1912" s="105"/>
      <c r="Q1912" s="107"/>
      <c r="R1912" s="107"/>
    </row>
    <row r="1913" spans="13:18" x14ac:dyDescent="0.25">
      <c r="M1913" s="108"/>
      <c r="N1913" s="108"/>
      <c r="O1913" s="105"/>
      <c r="P1913" s="105"/>
      <c r="Q1913" s="107"/>
      <c r="R1913" s="107"/>
    </row>
    <row r="1914" spans="13:18" x14ac:dyDescent="0.25">
      <c r="M1914" s="108"/>
      <c r="N1914" s="108"/>
      <c r="O1914" s="105"/>
      <c r="P1914" s="105"/>
      <c r="Q1914" s="107"/>
      <c r="R1914" s="107"/>
    </row>
    <row r="1915" spans="13:18" x14ac:dyDescent="0.25">
      <c r="M1915" s="108"/>
      <c r="N1915" s="108"/>
      <c r="O1915" s="105"/>
      <c r="P1915" s="105"/>
      <c r="Q1915" s="107"/>
      <c r="R1915" s="107"/>
    </row>
    <row r="1916" spans="13:18" x14ac:dyDescent="0.25">
      <c r="M1916" s="108"/>
      <c r="N1916" s="108"/>
      <c r="O1916" s="105"/>
      <c r="P1916" s="105"/>
      <c r="Q1916" s="107"/>
      <c r="R1916" s="107"/>
    </row>
    <row r="1917" spans="13:18" x14ac:dyDescent="0.25">
      <c r="M1917" s="108"/>
      <c r="N1917" s="108"/>
      <c r="O1917" s="105"/>
      <c r="P1917" s="105"/>
      <c r="Q1917" s="107"/>
      <c r="R1917" s="107"/>
    </row>
    <row r="1918" spans="13:18" x14ac:dyDescent="0.25">
      <c r="M1918" s="108"/>
      <c r="N1918" s="108"/>
      <c r="O1918" s="105"/>
      <c r="P1918" s="105"/>
      <c r="Q1918" s="107"/>
      <c r="R1918" s="107"/>
    </row>
    <row r="1919" spans="13:18" x14ac:dyDescent="0.25">
      <c r="M1919" s="108"/>
      <c r="N1919" s="108"/>
      <c r="O1919" s="105"/>
      <c r="P1919" s="105"/>
      <c r="Q1919" s="107"/>
      <c r="R1919" s="107"/>
    </row>
    <row r="1920" spans="13:18" x14ac:dyDescent="0.25">
      <c r="M1920" s="108"/>
      <c r="N1920" s="108"/>
      <c r="O1920" s="105"/>
      <c r="P1920" s="105"/>
      <c r="Q1920" s="107"/>
      <c r="R1920" s="107"/>
    </row>
    <row r="1921" spans="13:18" x14ac:dyDescent="0.25">
      <c r="M1921" s="108"/>
      <c r="N1921" s="108"/>
      <c r="O1921" s="105"/>
      <c r="P1921" s="105"/>
      <c r="Q1921" s="107"/>
      <c r="R1921" s="107"/>
    </row>
    <row r="1922" spans="13:18" x14ac:dyDescent="0.25">
      <c r="M1922" s="108"/>
      <c r="N1922" s="108"/>
      <c r="O1922" s="105"/>
      <c r="P1922" s="105"/>
      <c r="Q1922" s="107"/>
      <c r="R1922" s="107"/>
    </row>
    <row r="1923" spans="13:18" x14ac:dyDescent="0.25">
      <c r="M1923" s="108"/>
      <c r="N1923" s="108"/>
      <c r="O1923" s="105"/>
      <c r="P1923" s="105"/>
      <c r="Q1923" s="107"/>
      <c r="R1923" s="107"/>
    </row>
    <row r="1924" spans="13:18" x14ac:dyDescent="0.25">
      <c r="M1924" s="108"/>
      <c r="N1924" s="108"/>
      <c r="O1924" s="105"/>
      <c r="P1924" s="105"/>
      <c r="Q1924" s="107"/>
      <c r="R1924" s="107"/>
    </row>
    <row r="1925" spans="13:18" x14ac:dyDescent="0.25">
      <c r="M1925" s="108"/>
      <c r="N1925" s="108"/>
      <c r="O1925" s="105"/>
      <c r="P1925" s="105"/>
      <c r="Q1925" s="107"/>
      <c r="R1925" s="107"/>
    </row>
    <row r="1926" spans="13:18" x14ac:dyDescent="0.25">
      <c r="M1926" s="108"/>
      <c r="N1926" s="108"/>
      <c r="O1926" s="105"/>
      <c r="P1926" s="105"/>
      <c r="Q1926" s="107"/>
      <c r="R1926" s="107"/>
    </row>
    <row r="1927" spans="13:18" x14ac:dyDescent="0.25">
      <c r="M1927" s="108"/>
      <c r="N1927" s="108"/>
      <c r="O1927" s="105"/>
      <c r="P1927" s="105"/>
      <c r="Q1927" s="107"/>
      <c r="R1927" s="107"/>
    </row>
    <row r="1928" spans="13:18" x14ac:dyDescent="0.25">
      <c r="M1928" s="108"/>
      <c r="N1928" s="108"/>
      <c r="O1928" s="105"/>
      <c r="P1928" s="105"/>
      <c r="Q1928" s="107"/>
      <c r="R1928" s="107"/>
    </row>
    <row r="1929" spans="13:18" x14ac:dyDescent="0.25">
      <c r="M1929" s="108"/>
      <c r="N1929" s="108"/>
      <c r="O1929" s="105"/>
      <c r="P1929" s="105"/>
      <c r="Q1929" s="107"/>
      <c r="R1929" s="107"/>
    </row>
    <row r="1930" spans="13:18" x14ac:dyDescent="0.25">
      <c r="M1930" s="108"/>
      <c r="N1930" s="108"/>
      <c r="O1930" s="105"/>
      <c r="P1930" s="105"/>
      <c r="Q1930" s="107"/>
      <c r="R1930" s="107"/>
    </row>
    <row r="1931" spans="13:18" x14ac:dyDescent="0.25">
      <c r="M1931" s="108"/>
      <c r="N1931" s="108"/>
      <c r="O1931" s="105"/>
      <c r="P1931" s="105"/>
      <c r="Q1931" s="107"/>
      <c r="R1931" s="107"/>
    </row>
    <row r="1932" spans="13:18" x14ac:dyDescent="0.25">
      <c r="M1932" s="108"/>
      <c r="N1932" s="108"/>
      <c r="O1932" s="105"/>
      <c r="P1932" s="105"/>
      <c r="Q1932" s="107"/>
      <c r="R1932" s="107"/>
    </row>
    <row r="1933" spans="13:18" x14ac:dyDescent="0.25">
      <c r="M1933" s="108"/>
      <c r="N1933" s="108"/>
      <c r="O1933" s="105"/>
      <c r="P1933" s="105"/>
      <c r="Q1933" s="107"/>
      <c r="R1933" s="107"/>
    </row>
    <row r="1934" spans="13:18" x14ac:dyDescent="0.25">
      <c r="M1934" s="108"/>
      <c r="N1934" s="108"/>
      <c r="O1934" s="105"/>
      <c r="P1934" s="105"/>
      <c r="Q1934" s="107"/>
      <c r="R1934" s="107"/>
    </row>
    <row r="1935" spans="13:18" x14ac:dyDescent="0.25">
      <c r="M1935" s="108"/>
      <c r="N1935" s="108"/>
      <c r="O1935" s="105"/>
      <c r="P1935" s="105"/>
      <c r="Q1935" s="107"/>
      <c r="R1935" s="107"/>
    </row>
    <row r="1936" spans="13:18" x14ac:dyDescent="0.25">
      <c r="M1936" s="108"/>
      <c r="N1936" s="108"/>
      <c r="O1936" s="105"/>
      <c r="P1936" s="105"/>
      <c r="Q1936" s="107"/>
      <c r="R1936" s="107"/>
    </row>
    <row r="1937" spans="13:18" x14ac:dyDescent="0.25">
      <c r="M1937" s="108"/>
      <c r="N1937" s="108"/>
      <c r="O1937" s="105"/>
      <c r="P1937" s="105"/>
      <c r="Q1937" s="107"/>
      <c r="R1937" s="107"/>
    </row>
    <row r="1938" spans="13:18" x14ac:dyDescent="0.25">
      <c r="M1938" s="108"/>
      <c r="N1938" s="108"/>
      <c r="O1938" s="105"/>
      <c r="P1938" s="105"/>
      <c r="Q1938" s="107"/>
      <c r="R1938" s="107"/>
    </row>
    <row r="1939" spans="13:18" x14ac:dyDescent="0.25">
      <c r="M1939" s="108"/>
      <c r="N1939" s="108"/>
      <c r="O1939" s="105"/>
      <c r="P1939" s="105"/>
      <c r="Q1939" s="107"/>
      <c r="R1939" s="107"/>
    </row>
    <row r="1940" spans="13:18" x14ac:dyDescent="0.25">
      <c r="M1940" s="108"/>
      <c r="N1940" s="108"/>
      <c r="O1940" s="105"/>
      <c r="P1940" s="105"/>
      <c r="Q1940" s="107"/>
      <c r="R1940" s="107"/>
    </row>
    <row r="1941" spans="13:18" x14ac:dyDescent="0.25">
      <c r="M1941" s="108"/>
      <c r="N1941" s="108"/>
      <c r="O1941" s="105"/>
      <c r="P1941" s="105"/>
      <c r="Q1941" s="107"/>
      <c r="R1941" s="107"/>
    </row>
    <row r="1942" spans="13:18" x14ac:dyDescent="0.25">
      <c r="M1942" s="108"/>
      <c r="N1942" s="108"/>
      <c r="O1942" s="105"/>
      <c r="P1942" s="105"/>
      <c r="Q1942" s="107"/>
      <c r="R1942" s="107"/>
    </row>
    <row r="1943" spans="13:18" x14ac:dyDescent="0.25">
      <c r="M1943" s="108"/>
      <c r="N1943" s="108"/>
      <c r="O1943" s="105"/>
      <c r="P1943" s="105"/>
      <c r="Q1943" s="107"/>
      <c r="R1943" s="107"/>
    </row>
    <row r="1944" spans="13:18" x14ac:dyDescent="0.25">
      <c r="M1944" s="108"/>
      <c r="N1944" s="108"/>
      <c r="O1944" s="105"/>
      <c r="P1944" s="105"/>
      <c r="Q1944" s="107"/>
      <c r="R1944" s="107"/>
    </row>
    <row r="1945" spans="13:18" x14ac:dyDescent="0.25">
      <c r="M1945" s="108"/>
      <c r="N1945" s="108"/>
      <c r="O1945" s="105"/>
      <c r="P1945" s="105"/>
      <c r="Q1945" s="107"/>
      <c r="R1945" s="107"/>
    </row>
    <row r="1946" spans="13:18" x14ac:dyDescent="0.25">
      <c r="M1946" s="108"/>
      <c r="N1946" s="108"/>
      <c r="O1946" s="105"/>
      <c r="P1946" s="105"/>
      <c r="Q1946" s="107"/>
      <c r="R1946" s="107"/>
    </row>
    <row r="1947" spans="13:18" x14ac:dyDescent="0.25">
      <c r="M1947" s="108"/>
      <c r="N1947" s="108"/>
      <c r="O1947" s="105"/>
      <c r="P1947" s="105"/>
      <c r="Q1947" s="107"/>
      <c r="R1947" s="107"/>
    </row>
    <row r="1948" spans="13:18" x14ac:dyDescent="0.25">
      <c r="M1948" s="108"/>
      <c r="N1948" s="108"/>
      <c r="O1948" s="105"/>
      <c r="P1948" s="105"/>
      <c r="Q1948" s="107"/>
      <c r="R1948" s="107"/>
    </row>
    <row r="1949" spans="13:18" x14ac:dyDescent="0.25">
      <c r="M1949" s="108"/>
      <c r="N1949" s="108"/>
      <c r="O1949" s="105"/>
      <c r="P1949" s="105"/>
      <c r="Q1949" s="107"/>
      <c r="R1949" s="107"/>
    </row>
    <row r="1950" spans="13:18" x14ac:dyDescent="0.25">
      <c r="M1950" s="108"/>
      <c r="N1950" s="108"/>
      <c r="O1950" s="105"/>
      <c r="P1950" s="105"/>
      <c r="Q1950" s="107"/>
      <c r="R1950" s="107"/>
    </row>
    <row r="1951" spans="13:18" x14ac:dyDescent="0.25">
      <c r="M1951" s="108"/>
      <c r="N1951" s="108"/>
      <c r="O1951" s="105"/>
      <c r="P1951" s="105"/>
      <c r="Q1951" s="107"/>
      <c r="R1951" s="107"/>
    </row>
    <row r="1952" spans="13:18" x14ac:dyDescent="0.25">
      <c r="M1952" s="108"/>
      <c r="N1952" s="108"/>
      <c r="O1952" s="105"/>
      <c r="P1952" s="105"/>
      <c r="Q1952" s="107"/>
      <c r="R1952" s="107"/>
    </row>
    <row r="1953" spans="13:18" x14ac:dyDescent="0.25">
      <c r="M1953" s="108"/>
      <c r="N1953" s="108"/>
      <c r="O1953" s="105"/>
      <c r="P1953" s="105"/>
      <c r="Q1953" s="107"/>
      <c r="R1953" s="107"/>
    </row>
    <row r="1954" spans="13:18" x14ac:dyDescent="0.25">
      <c r="M1954" s="108"/>
      <c r="N1954" s="108"/>
      <c r="O1954" s="105"/>
      <c r="P1954" s="105"/>
      <c r="Q1954" s="107"/>
      <c r="R1954" s="107"/>
    </row>
    <row r="1955" spans="13:18" x14ac:dyDescent="0.25">
      <c r="M1955" s="108"/>
      <c r="N1955" s="108"/>
      <c r="O1955" s="105"/>
      <c r="P1955" s="105"/>
      <c r="Q1955" s="107"/>
      <c r="R1955" s="107"/>
    </row>
    <row r="1956" spans="13:18" x14ac:dyDescent="0.25">
      <c r="M1956" s="108"/>
      <c r="N1956" s="108"/>
      <c r="O1956" s="105"/>
      <c r="P1956" s="105"/>
      <c r="Q1956" s="107"/>
      <c r="R1956" s="107"/>
    </row>
    <row r="1957" spans="13:18" x14ac:dyDescent="0.25">
      <c r="M1957" s="108"/>
      <c r="N1957" s="108"/>
      <c r="O1957" s="105"/>
      <c r="P1957" s="105"/>
      <c r="Q1957" s="107"/>
      <c r="R1957" s="107"/>
    </row>
    <row r="1958" spans="13:18" x14ac:dyDescent="0.25">
      <c r="M1958" s="108"/>
      <c r="N1958" s="108"/>
      <c r="O1958" s="105"/>
      <c r="P1958" s="105"/>
      <c r="Q1958" s="107"/>
      <c r="R1958" s="107"/>
    </row>
    <row r="1959" spans="13:18" x14ac:dyDescent="0.25">
      <c r="M1959" s="108"/>
      <c r="N1959" s="108"/>
      <c r="O1959" s="105"/>
      <c r="P1959" s="105"/>
      <c r="Q1959" s="107"/>
      <c r="R1959" s="107"/>
    </row>
    <row r="1960" spans="13:18" x14ac:dyDescent="0.25">
      <c r="M1960" s="108"/>
      <c r="N1960" s="108"/>
      <c r="O1960" s="105"/>
      <c r="P1960" s="105"/>
      <c r="Q1960" s="107"/>
      <c r="R1960" s="107"/>
    </row>
    <row r="1961" spans="13:18" x14ac:dyDescent="0.25">
      <c r="M1961" s="108"/>
      <c r="N1961" s="108"/>
      <c r="O1961" s="105"/>
      <c r="P1961" s="105"/>
      <c r="Q1961" s="107"/>
      <c r="R1961" s="107"/>
    </row>
    <row r="1962" spans="13:18" x14ac:dyDescent="0.25">
      <c r="M1962" s="108"/>
      <c r="N1962" s="108"/>
      <c r="O1962" s="105"/>
      <c r="P1962" s="105"/>
      <c r="Q1962" s="107"/>
      <c r="R1962" s="107"/>
    </row>
    <row r="1963" spans="13:18" x14ac:dyDescent="0.25">
      <c r="M1963" s="108"/>
      <c r="N1963" s="108"/>
      <c r="O1963" s="105"/>
      <c r="P1963" s="105"/>
      <c r="Q1963" s="107"/>
      <c r="R1963" s="107"/>
    </row>
    <row r="1964" spans="13:18" x14ac:dyDescent="0.25">
      <c r="M1964" s="108"/>
      <c r="N1964" s="108"/>
      <c r="O1964" s="105"/>
      <c r="P1964" s="105"/>
      <c r="Q1964" s="107"/>
      <c r="R1964" s="107"/>
    </row>
    <row r="1965" spans="13:18" x14ac:dyDescent="0.25">
      <c r="M1965" s="108"/>
      <c r="N1965" s="108"/>
      <c r="O1965" s="105"/>
      <c r="P1965" s="105"/>
      <c r="Q1965" s="107"/>
      <c r="R1965" s="107"/>
    </row>
    <row r="1966" spans="13:18" x14ac:dyDescent="0.25">
      <c r="M1966" s="108"/>
      <c r="N1966" s="108"/>
      <c r="O1966" s="105"/>
      <c r="P1966" s="105"/>
      <c r="Q1966" s="107"/>
      <c r="R1966" s="107"/>
    </row>
    <row r="1967" spans="13:18" x14ac:dyDescent="0.25">
      <c r="M1967" s="108"/>
      <c r="N1967" s="108"/>
      <c r="O1967" s="105"/>
      <c r="P1967" s="105"/>
      <c r="Q1967" s="107"/>
      <c r="R1967" s="107"/>
    </row>
    <row r="1968" spans="13:18" x14ac:dyDescent="0.25">
      <c r="M1968" s="108"/>
      <c r="N1968" s="108"/>
      <c r="O1968" s="105"/>
      <c r="P1968" s="105"/>
      <c r="Q1968" s="107"/>
      <c r="R1968" s="107"/>
    </row>
    <row r="1969" spans="13:18" x14ac:dyDescent="0.25">
      <c r="M1969" s="108"/>
      <c r="N1969" s="108"/>
      <c r="O1969" s="105"/>
      <c r="P1969" s="105"/>
      <c r="Q1969" s="107"/>
      <c r="R1969" s="107"/>
    </row>
    <row r="1970" spans="13:18" x14ac:dyDescent="0.25">
      <c r="M1970" s="108"/>
      <c r="N1970" s="108"/>
      <c r="O1970" s="105"/>
      <c r="P1970" s="105"/>
      <c r="Q1970" s="107"/>
      <c r="R1970" s="107"/>
    </row>
    <row r="1971" spans="13:18" x14ac:dyDescent="0.25">
      <c r="M1971" s="108"/>
      <c r="N1971" s="108"/>
      <c r="O1971" s="105"/>
      <c r="P1971" s="105"/>
      <c r="Q1971" s="107"/>
      <c r="R1971" s="107"/>
    </row>
    <row r="1972" spans="13:18" x14ac:dyDescent="0.25">
      <c r="M1972" s="108"/>
      <c r="N1972" s="108"/>
      <c r="O1972" s="105"/>
      <c r="P1972" s="105"/>
      <c r="Q1972" s="107"/>
      <c r="R1972" s="107"/>
    </row>
    <row r="1973" spans="13:18" x14ac:dyDescent="0.25">
      <c r="M1973" s="108"/>
      <c r="N1973" s="108"/>
      <c r="O1973" s="105"/>
      <c r="P1973" s="105"/>
      <c r="Q1973" s="107"/>
      <c r="R1973" s="107"/>
    </row>
    <row r="1974" spans="13:18" x14ac:dyDescent="0.25">
      <c r="M1974" s="108"/>
      <c r="N1974" s="108"/>
      <c r="O1974" s="105"/>
      <c r="P1974" s="105"/>
      <c r="Q1974" s="107"/>
      <c r="R1974" s="107"/>
    </row>
    <row r="1975" spans="13:18" x14ac:dyDescent="0.25">
      <c r="M1975" s="108"/>
      <c r="N1975" s="108"/>
      <c r="O1975" s="105"/>
      <c r="P1975" s="105"/>
      <c r="Q1975" s="107"/>
      <c r="R1975" s="107"/>
    </row>
    <row r="1976" spans="13:18" x14ac:dyDescent="0.25">
      <c r="M1976" s="108"/>
      <c r="N1976" s="108"/>
      <c r="O1976" s="105"/>
      <c r="P1976" s="105"/>
      <c r="Q1976" s="107"/>
      <c r="R1976" s="107"/>
    </row>
    <row r="1977" spans="13:18" x14ac:dyDescent="0.25">
      <c r="M1977" s="108"/>
      <c r="N1977" s="108"/>
      <c r="O1977" s="105"/>
      <c r="P1977" s="105"/>
      <c r="Q1977" s="107"/>
      <c r="R1977" s="107"/>
    </row>
    <row r="1978" spans="13:18" x14ac:dyDescent="0.25">
      <c r="M1978" s="108"/>
      <c r="N1978" s="108"/>
      <c r="O1978" s="105"/>
      <c r="P1978" s="105"/>
      <c r="Q1978" s="107"/>
      <c r="R1978" s="107"/>
    </row>
    <row r="1979" spans="13:18" x14ac:dyDescent="0.25">
      <c r="M1979" s="108"/>
      <c r="N1979" s="108"/>
      <c r="O1979" s="105"/>
      <c r="P1979" s="105"/>
      <c r="Q1979" s="107"/>
      <c r="R1979" s="107"/>
    </row>
    <row r="1980" spans="13:18" x14ac:dyDescent="0.25">
      <c r="M1980" s="108"/>
      <c r="N1980" s="108"/>
      <c r="O1980" s="105"/>
      <c r="P1980" s="105"/>
      <c r="Q1980" s="107"/>
      <c r="R1980" s="107"/>
    </row>
    <row r="1981" spans="13:18" x14ac:dyDescent="0.25">
      <c r="M1981" s="108"/>
      <c r="N1981" s="108"/>
      <c r="O1981" s="105"/>
      <c r="P1981" s="105"/>
      <c r="Q1981" s="107"/>
      <c r="R1981" s="107"/>
    </row>
    <row r="1982" spans="13:18" x14ac:dyDescent="0.25">
      <c r="M1982" s="108"/>
      <c r="N1982" s="108"/>
      <c r="O1982" s="105"/>
      <c r="P1982" s="105"/>
      <c r="Q1982" s="107"/>
      <c r="R1982" s="107"/>
    </row>
    <row r="1983" spans="13:18" x14ac:dyDescent="0.25">
      <c r="M1983" s="108"/>
      <c r="N1983" s="108"/>
      <c r="O1983" s="105"/>
      <c r="P1983" s="105"/>
      <c r="Q1983" s="107"/>
      <c r="R1983" s="107"/>
    </row>
    <row r="1984" spans="13:18" x14ac:dyDescent="0.25">
      <c r="M1984" s="108"/>
      <c r="N1984" s="108"/>
      <c r="O1984" s="105"/>
      <c r="P1984" s="105"/>
      <c r="Q1984" s="107"/>
      <c r="R1984" s="107"/>
    </row>
    <row r="1985" spans="13:18" x14ac:dyDescent="0.25">
      <c r="M1985" s="108"/>
      <c r="N1985" s="108"/>
      <c r="O1985" s="105"/>
      <c r="P1985" s="105"/>
      <c r="Q1985" s="107"/>
      <c r="R1985" s="107"/>
    </row>
    <row r="1986" spans="13:18" x14ac:dyDescent="0.25">
      <c r="M1986" s="108"/>
      <c r="N1986" s="108"/>
      <c r="O1986" s="105"/>
      <c r="P1986" s="105"/>
      <c r="Q1986" s="107"/>
      <c r="R1986" s="107"/>
    </row>
    <row r="1987" spans="13:18" x14ac:dyDescent="0.25">
      <c r="M1987" s="108"/>
      <c r="N1987" s="108"/>
      <c r="O1987" s="105"/>
      <c r="P1987" s="105"/>
      <c r="Q1987" s="107"/>
      <c r="R1987" s="107"/>
    </row>
    <row r="1988" spans="13:18" x14ac:dyDescent="0.25">
      <c r="M1988" s="108"/>
      <c r="N1988" s="108"/>
      <c r="O1988" s="105"/>
      <c r="P1988" s="105"/>
      <c r="Q1988" s="107"/>
      <c r="R1988" s="107"/>
    </row>
    <row r="1989" spans="13:18" x14ac:dyDescent="0.25">
      <c r="M1989" s="108"/>
      <c r="N1989" s="108"/>
      <c r="O1989" s="105"/>
      <c r="P1989" s="105"/>
      <c r="Q1989" s="107"/>
      <c r="R1989" s="107"/>
    </row>
    <row r="1990" spans="13:18" x14ac:dyDescent="0.25">
      <c r="M1990" s="108"/>
      <c r="N1990" s="108"/>
      <c r="O1990" s="105"/>
      <c r="P1990" s="105"/>
      <c r="Q1990" s="107"/>
      <c r="R1990" s="107"/>
    </row>
    <row r="1991" spans="13:18" x14ac:dyDescent="0.25">
      <c r="M1991" s="108"/>
      <c r="N1991" s="108"/>
      <c r="O1991" s="105"/>
      <c r="P1991" s="105"/>
      <c r="Q1991" s="107"/>
      <c r="R1991" s="107"/>
    </row>
    <row r="1992" spans="13:18" x14ac:dyDescent="0.25">
      <c r="M1992" s="108"/>
      <c r="N1992" s="108"/>
      <c r="O1992" s="105"/>
      <c r="P1992" s="105"/>
      <c r="Q1992" s="107"/>
      <c r="R1992" s="107"/>
    </row>
    <row r="1993" spans="13:18" x14ac:dyDescent="0.25">
      <c r="M1993" s="108"/>
      <c r="N1993" s="108"/>
      <c r="O1993" s="105"/>
      <c r="P1993" s="105"/>
      <c r="Q1993" s="107"/>
      <c r="R1993" s="107"/>
    </row>
    <row r="1994" spans="13:18" x14ac:dyDescent="0.25">
      <c r="M1994" s="108"/>
      <c r="N1994" s="108"/>
      <c r="O1994" s="105"/>
      <c r="P1994" s="105"/>
      <c r="Q1994" s="107"/>
      <c r="R1994" s="107"/>
    </row>
    <row r="1995" spans="13:18" x14ac:dyDescent="0.25">
      <c r="M1995" s="108"/>
      <c r="N1995" s="108"/>
      <c r="O1995" s="105"/>
      <c r="P1995" s="105"/>
      <c r="Q1995" s="107"/>
      <c r="R1995" s="107"/>
    </row>
    <row r="1996" spans="13:18" x14ac:dyDescent="0.25">
      <c r="M1996" s="108"/>
      <c r="N1996" s="108"/>
      <c r="O1996" s="105"/>
      <c r="P1996" s="105"/>
      <c r="Q1996" s="107"/>
      <c r="R1996" s="107"/>
    </row>
    <row r="1997" spans="13:18" x14ac:dyDescent="0.25">
      <c r="M1997" s="108"/>
      <c r="N1997" s="108"/>
      <c r="O1997" s="105"/>
      <c r="P1997" s="105"/>
      <c r="Q1997" s="107"/>
      <c r="R1997" s="107"/>
    </row>
    <row r="1998" spans="13:18" x14ac:dyDescent="0.25">
      <c r="M1998" s="108"/>
      <c r="N1998" s="108"/>
      <c r="O1998" s="105"/>
      <c r="P1998" s="105"/>
      <c r="Q1998" s="107"/>
      <c r="R1998" s="107"/>
    </row>
    <row r="1999" spans="13:18" x14ac:dyDescent="0.25">
      <c r="M1999" s="108"/>
      <c r="N1999" s="108"/>
      <c r="O1999" s="105"/>
      <c r="P1999" s="105"/>
      <c r="Q1999" s="107"/>
      <c r="R1999" s="107"/>
    </row>
    <row r="2000" spans="13:18" x14ac:dyDescent="0.25">
      <c r="M2000" s="108"/>
      <c r="N2000" s="108"/>
      <c r="O2000" s="105"/>
      <c r="P2000" s="105"/>
      <c r="Q2000" s="107"/>
      <c r="R2000" s="107"/>
    </row>
    <row r="2001" spans="13:18" x14ac:dyDescent="0.25">
      <c r="M2001" s="108"/>
      <c r="N2001" s="108"/>
      <c r="O2001" s="105"/>
      <c r="P2001" s="105"/>
      <c r="Q2001" s="107"/>
      <c r="R2001" s="107"/>
    </row>
    <row r="2002" spans="13:18" x14ac:dyDescent="0.25">
      <c r="M2002" s="108"/>
      <c r="N2002" s="108"/>
      <c r="O2002" s="105"/>
      <c r="P2002" s="105"/>
      <c r="Q2002" s="107"/>
      <c r="R2002" s="107"/>
    </row>
    <row r="2003" spans="13:18" x14ac:dyDescent="0.25">
      <c r="M2003" s="108"/>
      <c r="N2003" s="108"/>
      <c r="O2003" s="105"/>
      <c r="P2003" s="105"/>
      <c r="Q2003" s="107"/>
      <c r="R2003" s="107"/>
    </row>
    <row r="2004" spans="13:18" x14ac:dyDescent="0.25">
      <c r="M2004" s="108"/>
      <c r="N2004" s="108"/>
      <c r="O2004" s="105"/>
      <c r="P2004" s="105"/>
      <c r="Q2004" s="107"/>
      <c r="R2004" s="107"/>
    </row>
    <row r="2005" spans="13:18" x14ac:dyDescent="0.25">
      <c r="M2005" s="108"/>
      <c r="N2005" s="108"/>
      <c r="O2005" s="105"/>
      <c r="P2005" s="105"/>
      <c r="Q2005" s="107"/>
      <c r="R2005" s="107"/>
    </row>
    <row r="2006" spans="13:18" x14ac:dyDescent="0.25">
      <c r="M2006" s="108"/>
      <c r="N2006" s="108"/>
      <c r="O2006" s="105"/>
      <c r="P2006" s="105"/>
      <c r="Q2006" s="107"/>
      <c r="R2006" s="107"/>
    </row>
    <row r="2007" spans="13:18" x14ac:dyDescent="0.25">
      <c r="M2007" s="108"/>
      <c r="N2007" s="108"/>
      <c r="O2007" s="105"/>
      <c r="P2007" s="105"/>
      <c r="Q2007" s="107"/>
      <c r="R2007" s="107"/>
    </row>
    <row r="2008" spans="13:18" x14ac:dyDescent="0.25">
      <c r="M2008" s="108"/>
      <c r="N2008" s="108"/>
      <c r="O2008" s="105"/>
      <c r="P2008" s="105"/>
      <c r="Q2008" s="107"/>
      <c r="R2008" s="107"/>
    </row>
    <row r="2009" spans="13:18" x14ac:dyDescent="0.25">
      <c r="M2009" s="108"/>
      <c r="N2009" s="108"/>
      <c r="O2009" s="105"/>
      <c r="P2009" s="105"/>
      <c r="Q2009" s="107"/>
      <c r="R2009" s="107"/>
    </row>
    <row r="2010" spans="13:18" x14ac:dyDescent="0.25">
      <c r="M2010" s="108"/>
      <c r="N2010" s="108"/>
      <c r="O2010" s="105"/>
      <c r="P2010" s="105"/>
      <c r="Q2010" s="107"/>
      <c r="R2010" s="107"/>
    </row>
    <row r="2011" spans="13:18" x14ac:dyDescent="0.25">
      <c r="M2011" s="108"/>
      <c r="N2011" s="108"/>
      <c r="O2011" s="105"/>
      <c r="P2011" s="105"/>
      <c r="Q2011" s="107"/>
      <c r="R2011" s="107"/>
    </row>
    <row r="2012" spans="13:18" x14ac:dyDescent="0.25">
      <c r="M2012" s="108"/>
      <c r="N2012" s="108"/>
      <c r="O2012" s="105"/>
      <c r="P2012" s="105"/>
      <c r="Q2012" s="107"/>
      <c r="R2012" s="107"/>
    </row>
    <row r="2013" spans="13:18" x14ac:dyDescent="0.25">
      <c r="M2013" s="108"/>
      <c r="N2013" s="108"/>
      <c r="O2013" s="105"/>
      <c r="P2013" s="105"/>
      <c r="Q2013" s="107"/>
      <c r="R2013" s="107"/>
    </row>
    <row r="2014" spans="13:18" x14ac:dyDescent="0.25">
      <c r="M2014" s="108"/>
      <c r="N2014" s="108"/>
      <c r="O2014" s="105"/>
      <c r="P2014" s="105"/>
      <c r="Q2014" s="107"/>
      <c r="R2014" s="107"/>
    </row>
    <row r="2015" spans="13:18" x14ac:dyDescent="0.25">
      <c r="M2015" s="108"/>
      <c r="N2015" s="108"/>
      <c r="O2015" s="105"/>
      <c r="P2015" s="105"/>
      <c r="Q2015" s="107"/>
      <c r="R2015" s="107"/>
    </row>
    <row r="2016" spans="13:18" x14ac:dyDescent="0.25">
      <c r="M2016" s="108"/>
      <c r="N2016" s="108"/>
      <c r="O2016" s="105"/>
      <c r="P2016" s="105"/>
      <c r="Q2016" s="107"/>
      <c r="R2016" s="107"/>
    </row>
    <row r="2017" spans="13:18" x14ac:dyDescent="0.25">
      <c r="M2017" s="108"/>
      <c r="N2017" s="108"/>
      <c r="O2017" s="105"/>
      <c r="P2017" s="105"/>
      <c r="Q2017" s="107"/>
      <c r="R2017" s="107"/>
    </row>
    <row r="2018" spans="13:18" x14ac:dyDescent="0.25">
      <c r="M2018" s="108"/>
      <c r="N2018" s="108"/>
      <c r="O2018" s="105"/>
      <c r="P2018" s="105"/>
      <c r="Q2018" s="107"/>
      <c r="R2018" s="107"/>
    </row>
    <row r="2019" spans="13:18" x14ac:dyDescent="0.25">
      <c r="M2019" s="108"/>
      <c r="N2019" s="108"/>
      <c r="O2019" s="105"/>
      <c r="P2019" s="105"/>
      <c r="Q2019" s="107"/>
      <c r="R2019" s="107"/>
    </row>
    <row r="2020" spans="13:18" x14ac:dyDescent="0.25">
      <c r="M2020" s="108"/>
      <c r="N2020" s="108"/>
      <c r="O2020" s="105"/>
      <c r="P2020" s="105"/>
      <c r="Q2020" s="107"/>
      <c r="R2020" s="107"/>
    </row>
    <row r="2021" spans="13:18" x14ac:dyDescent="0.25">
      <c r="M2021" s="108"/>
      <c r="N2021" s="108"/>
      <c r="O2021" s="105"/>
      <c r="P2021" s="105"/>
      <c r="Q2021" s="107"/>
      <c r="R2021" s="107"/>
    </row>
    <row r="2022" spans="13:18" x14ac:dyDescent="0.25">
      <c r="M2022" s="108"/>
      <c r="N2022" s="108"/>
      <c r="O2022" s="105"/>
      <c r="P2022" s="105"/>
      <c r="Q2022" s="107"/>
      <c r="R2022" s="107"/>
    </row>
    <row r="2023" spans="13:18" x14ac:dyDescent="0.25">
      <c r="M2023" s="108"/>
      <c r="N2023" s="108"/>
      <c r="O2023" s="105"/>
      <c r="P2023" s="105"/>
      <c r="Q2023" s="107"/>
      <c r="R2023" s="107"/>
    </row>
    <row r="2024" spans="13:18" x14ac:dyDescent="0.25">
      <c r="M2024" s="108"/>
      <c r="N2024" s="108"/>
      <c r="O2024" s="105"/>
      <c r="P2024" s="105"/>
      <c r="Q2024" s="107"/>
      <c r="R2024" s="107"/>
    </row>
    <row r="2025" spans="13:18" x14ac:dyDescent="0.25">
      <c r="M2025" s="108"/>
      <c r="N2025" s="108"/>
      <c r="O2025" s="105"/>
      <c r="P2025" s="105"/>
      <c r="Q2025" s="107"/>
      <c r="R2025" s="107"/>
    </row>
    <row r="2026" spans="13:18" x14ac:dyDescent="0.25">
      <c r="M2026" s="108"/>
      <c r="N2026" s="108"/>
      <c r="O2026" s="105"/>
      <c r="P2026" s="105"/>
      <c r="Q2026" s="107"/>
      <c r="R2026" s="107"/>
    </row>
    <row r="2027" spans="13:18" x14ac:dyDescent="0.25">
      <c r="M2027" s="108"/>
      <c r="N2027" s="108"/>
      <c r="O2027" s="105"/>
      <c r="P2027" s="105"/>
      <c r="Q2027" s="107"/>
      <c r="R2027" s="107"/>
    </row>
    <row r="2028" spans="13:18" x14ac:dyDescent="0.25">
      <c r="M2028" s="108"/>
      <c r="N2028" s="108"/>
      <c r="O2028" s="105"/>
      <c r="P2028" s="105"/>
      <c r="Q2028" s="107"/>
      <c r="R2028" s="107"/>
    </row>
    <row r="2029" spans="13:18" x14ac:dyDescent="0.25">
      <c r="M2029" s="108"/>
      <c r="N2029" s="108"/>
      <c r="O2029" s="105"/>
      <c r="P2029" s="105"/>
      <c r="Q2029" s="107"/>
      <c r="R2029" s="107"/>
    </row>
    <row r="2030" spans="13:18" x14ac:dyDescent="0.25">
      <c r="M2030" s="108"/>
      <c r="N2030" s="108"/>
      <c r="O2030" s="105"/>
      <c r="P2030" s="105"/>
      <c r="Q2030" s="107"/>
      <c r="R2030" s="107"/>
    </row>
    <row r="2031" spans="13:18" x14ac:dyDescent="0.25">
      <c r="M2031" s="108"/>
      <c r="N2031" s="108"/>
      <c r="O2031" s="105"/>
      <c r="P2031" s="105"/>
      <c r="Q2031" s="107"/>
      <c r="R2031" s="107"/>
    </row>
    <row r="2032" spans="13:18" x14ac:dyDescent="0.25">
      <c r="M2032" s="108"/>
      <c r="N2032" s="108"/>
      <c r="O2032" s="105"/>
      <c r="P2032" s="105"/>
      <c r="Q2032" s="107"/>
      <c r="R2032" s="107"/>
    </row>
    <row r="2033" spans="13:18" x14ac:dyDescent="0.25">
      <c r="M2033" s="108"/>
      <c r="N2033" s="108"/>
      <c r="O2033" s="105"/>
      <c r="P2033" s="105"/>
      <c r="Q2033" s="107"/>
      <c r="R2033" s="107"/>
    </row>
    <row r="2034" spans="13:18" x14ac:dyDescent="0.25">
      <c r="M2034" s="108"/>
      <c r="N2034" s="108"/>
      <c r="O2034" s="105"/>
      <c r="P2034" s="105"/>
      <c r="Q2034" s="107"/>
      <c r="R2034" s="107"/>
    </row>
    <row r="2035" spans="13:18" x14ac:dyDescent="0.25">
      <c r="M2035" s="108"/>
      <c r="N2035" s="108"/>
      <c r="O2035" s="105"/>
      <c r="P2035" s="105"/>
      <c r="Q2035" s="107"/>
      <c r="R2035" s="107"/>
    </row>
    <row r="2036" spans="13:18" x14ac:dyDescent="0.25">
      <c r="M2036" s="108"/>
      <c r="N2036" s="108"/>
      <c r="O2036" s="105"/>
      <c r="P2036" s="105"/>
      <c r="Q2036" s="107"/>
      <c r="R2036" s="107"/>
    </row>
    <row r="2037" spans="13:18" x14ac:dyDescent="0.25">
      <c r="M2037" s="108"/>
      <c r="N2037" s="108"/>
      <c r="O2037" s="105"/>
      <c r="P2037" s="105"/>
      <c r="Q2037" s="107"/>
      <c r="R2037" s="107"/>
    </row>
    <row r="2038" spans="13:18" x14ac:dyDescent="0.25">
      <c r="M2038" s="108"/>
      <c r="N2038" s="108"/>
      <c r="O2038" s="105"/>
      <c r="P2038" s="105"/>
      <c r="Q2038" s="107"/>
      <c r="R2038" s="107"/>
    </row>
    <row r="2039" spans="13:18" x14ac:dyDescent="0.25">
      <c r="M2039" s="108"/>
      <c r="N2039" s="108"/>
      <c r="O2039" s="105"/>
      <c r="P2039" s="105"/>
      <c r="Q2039" s="107"/>
      <c r="R2039" s="107"/>
    </row>
    <row r="2040" spans="13:18" x14ac:dyDescent="0.25">
      <c r="M2040" s="108"/>
      <c r="N2040" s="108"/>
      <c r="O2040" s="105"/>
      <c r="P2040" s="105"/>
      <c r="Q2040" s="107"/>
      <c r="R2040" s="107"/>
    </row>
    <row r="2041" spans="13:18" x14ac:dyDescent="0.25">
      <c r="M2041" s="108"/>
      <c r="N2041" s="108"/>
      <c r="O2041" s="105"/>
      <c r="P2041" s="105"/>
      <c r="Q2041" s="107"/>
      <c r="R2041" s="107"/>
    </row>
    <row r="2042" spans="13:18" x14ac:dyDescent="0.25">
      <c r="M2042" s="108"/>
      <c r="N2042" s="108"/>
      <c r="O2042" s="105"/>
      <c r="P2042" s="105"/>
      <c r="Q2042" s="107"/>
      <c r="R2042" s="107"/>
    </row>
    <row r="2043" spans="13:18" x14ac:dyDescent="0.25">
      <c r="M2043" s="108"/>
      <c r="N2043" s="108"/>
      <c r="O2043" s="105"/>
      <c r="P2043" s="105"/>
      <c r="Q2043" s="107"/>
      <c r="R2043" s="107"/>
    </row>
    <row r="2044" spans="13:18" x14ac:dyDescent="0.25">
      <c r="M2044" s="108"/>
      <c r="N2044" s="108"/>
      <c r="O2044" s="105"/>
      <c r="P2044" s="105"/>
      <c r="Q2044" s="107"/>
      <c r="R2044" s="107"/>
    </row>
    <row r="2045" spans="13:18" x14ac:dyDescent="0.25">
      <c r="M2045" s="108"/>
      <c r="N2045" s="108"/>
      <c r="O2045" s="105"/>
      <c r="P2045" s="105"/>
      <c r="Q2045" s="107"/>
      <c r="R2045" s="107"/>
    </row>
    <row r="2046" spans="13:18" x14ac:dyDescent="0.25">
      <c r="M2046" s="108"/>
      <c r="N2046" s="108"/>
      <c r="O2046" s="105"/>
      <c r="P2046" s="105"/>
      <c r="Q2046" s="107"/>
      <c r="R2046" s="107"/>
    </row>
    <row r="2047" spans="13:18" x14ac:dyDescent="0.25">
      <c r="M2047" s="108"/>
      <c r="N2047" s="108"/>
      <c r="O2047" s="105"/>
      <c r="P2047" s="105"/>
      <c r="Q2047" s="107"/>
      <c r="R2047" s="107"/>
    </row>
    <row r="2048" spans="13:18" x14ac:dyDescent="0.25">
      <c r="M2048" s="108"/>
      <c r="N2048" s="108"/>
      <c r="O2048" s="105"/>
      <c r="P2048" s="105"/>
      <c r="Q2048" s="107"/>
      <c r="R2048" s="107"/>
    </row>
    <row r="2049" spans="13:18" x14ac:dyDescent="0.25">
      <c r="M2049" s="108"/>
      <c r="N2049" s="108"/>
      <c r="O2049" s="105"/>
      <c r="P2049" s="105"/>
      <c r="Q2049" s="107"/>
      <c r="R2049" s="107"/>
    </row>
    <row r="2050" spans="13:18" x14ac:dyDescent="0.25">
      <c r="M2050" s="108"/>
      <c r="N2050" s="108"/>
      <c r="O2050" s="105"/>
      <c r="P2050" s="105"/>
      <c r="Q2050" s="107"/>
      <c r="R2050" s="107"/>
    </row>
    <row r="2051" spans="13:18" x14ac:dyDescent="0.25">
      <c r="M2051" s="108"/>
      <c r="N2051" s="108"/>
      <c r="O2051" s="105"/>
      <c r="P2051" s="105"/>
      <c r="Q2051" s="107"/>
      <c r="R2051" s="107"/>
    </row>
    <row r="2052" spans="13:18" x14ac:dyDescent="0.25">
      <c r="M2052" s="108"/>
      <c r="N2052" s="108"/>
      <c r="O2052" s="105"/>
      <c r="P2052" s="105"/>
      <c r="Q2052" s="107"/>
      <c r="R2052" s="107"/>
    </row>
    <row r="2053" spans="13:18" x14ac:dyDescent="0.25">
      <c r="M2053" s="108"/>
      <c r="N2053" s="108"/>
      <c r="O2053" s="105"/>
      <c r="P2053" s="105"/>
      <c r="Q2053" s="107"/>
      <c r="R2053" s="107"/>
    </row>
    <row r="2054" spans="13:18" x14ac:dyDescent="0.25">
      <c r="M2054" s="108"/>
      <c r="N2054" s="108"/>
      <c r="O2054" s="105"/>
      <c r="P2054" s="105"/>
      <c r="Q2054" s="107"/>
      <c r="R2054" s="107"/>
    </row>
    <row r="2055" spans="13:18" x14ac:dyDescent="0.25">
      <c r="M2055" s="108"/>
      <c r="N2055" s="108"/>
      <c r="O2055" s="105"/>
      <c r="P2055" s="105"/>
      <c r="Q2055" s="107"/>
      <c r="R2055" s="107"/>
    </row>
    <row r="2056" spans="13:18" x14ac:dyDescent="0.25">
      <c r="M2056" s="108"/>
      <c r="N2056" s="108"/>
      <c r="O2056" s="105"/>
      <c r="P2056" s="105"/>
      <c r="Q2056" s="107"/>
      <c r="R2056" s="107"/>
    </row>
    <row r="2057" spans="13:18" x14ac:dyDescent="0.25">
      <c r="M2057" s="108"/>
      <c r="N2057" s="108"/>
      <c r="O2057" s="105"/>
      <c r="P2057" s="105"/>
      <c r="Q2057" s="107"/>
      <c r="R2057" s="107"/>
    </row>
    <row r="2058" spans="13:18" x14ac:dyDescent="0.25">
      <c r="M2058" s="108"/>
      <c r="N2058" s="108"/>
      <c r="O2058" s="105"/>
      <c r="P2058" s="105"/>
      <c r="Q2058" s="107"/>
      <c r="R2058" s="107"/>
    </row>
    <row r="2059" spans="13:18" x14ac:dyDescent="0.25">
      <c r="M2059" s="108"/>
      <c r="N2059" s="108"/>
      <c r="O2059" s="105"/>
      <c r="P2059" s="105"/>
      <c r="Q2059" s="107"/>
      <c r="R2059" s="107"/>
    </row>
    <row r="2060" spans="13:18" x14ac:dyDescent="0.25">
      <c r="M2060" s="108"/>
      <c r="N2060" s="108"/>
      <c r="O2060" s="105"/>
      <c r="P2060" s="105"/>
      <c r="Q2060" s="107"/>
      <c r="R2060" s="107"/>
    </row>
    <row r="2061" spans="13:18" x14ac:dyDescent="0.25">
      <c r="M2061" s="108"/>
      <c r="N2061" s="108"/>
      <c r="O2061" s="105"/>
      <c r="P2061" s="105"/>
      <c r="Q2061" s="107"/>
      <c r="R2061" s="107"/>
    </row>
    <row r="2062" spans="13:18" x14ac:dyDescent="0.25">
      <c r="M2062" s="108"/>
      <c r="N2062" s="108"/>
      <c r="O2062" s="105"/>
      <c r="P2062" s="105"/>
      <c r="Q2062" s="107"/>
      <c r="R2062" s="107"/>
    </row>
    <row r="2063" spans="13:18" x14ac:dyDescent="0.25">
      <c r="M2063" s="108"/>
      <c r="N2063" s="108"/>
      <c r="O2063" s="105"/>
      <c r="P2063" s="105"/>
      <c r="Q2063" s="107"/>
      <c r="R2063" s="107"/>
    </row>
    <row r="2064" spans="13:18" x14ac:dyDescent="0.25">
      <c r="M2064" s="108"/>
      <c r="N2064" s="108"/>
      <c r="O2064" s="105"/>
      <c r="P2064" s="105"/>
      <c r="Q2064" s="107"/>
      <c r="R2064" s="107"/>
    </row>
    <row r="2065" spans="13:18" x14ac:dyDescent="0.25">
      <c r="M2065" s="108"/>
      <c r="N2065" s="108"/>
      <c r="O2065" s="105"/>
      <c r="P2065" s="105"/>
      <c r="Q2065" s="107"/>
      <c r="R2065" s="107"/>
    </row>
    <row r="2066" spans="13:18" x14ac:dyDescent="0.25">
      <c r="M2066" s="108"/>
      <c r="N2066" s="108"/>
      <c r="O2066" s="105"/>
      <c r="P2066" s="105"/>
      <c r="Q2066" s="107"/>
      <c r="R2066" s="107"/>
    </row>
    <row r="2067" spans="13:18" x14ac:dyDescent="0.25">
      <c r="M2067" s="108"/>
      <c r="N2067" s="108"/>
      <c r="O2067" s="105"/>
      <c r="P2067" s="105"/>
      <c r="Q2067" s="107"/>
      <c r="R2067" s="107"/>
    </row>
    <row r="2068" spans="13:18" x14ac:dyDescent="0.25">
      <c r="M2068" s="108"/>
      <c r="N2068" s="108"/>
      <c r="O2068" s="105"/>
      <c r="P2068" s="105"/>
      <c r="Q2068" s="107"/>
      <c r="R2068" s="107"/>
    </row>
    <row r="2069" spans="13:18" x14ac:dyDescent="0.25">
      <c r="M2069" s="108"/>
      <c r="N2069" s="108"/>
      <c r="O2069" s="105"/>
      <c r="P2069" s="105"/>
      <c r="Q2069" s="107"/>
      <c r="R2069" s="107"/>
    </row>
    <row r="2070" spans="13:18" x14ac:dyDescent="0.25">
      <c r="M2070" s="108"/>
      <c r="N2070" s="108"/>
      <c r="O2070" s="105"/>
      <c r="P2070" s="105"/>
      <c r="Q2070" s="107"/>
      <c r="R2070" s="107"/>
    </row>
    <row r="2071" spans="13:18" x14ac:dyDescent="0.25">
      <c r="M2071" s="108"/>
      <c r="N2071" s="108"/>
      <c r="O2071" s="105"/>
      <c r="P2071" s="105"/>
      <c r="Q2071" s="107"/>
      <c r="R2071" s="107"/>
    </row>
    <row r="2072" spans="13:18" x14ac:dyDescent="0.25">
      <c r="M2072" s="108"/>
      <c r="N2072" s="108"/>
      <c r="O2072" s="105"/>
      <c r="P2072" s="105"/>
      <c r="Q2072" s="107"/>
      <c r="R2072" s="107"/>
    </row>
    <row r="2073" spans="13:18" x14ac:dyDescent="0.25">
      <c r="M2073" s="108"/>
      <c r="N2073" s="108"/>
      <c r="O2073" s="105"/>
      <c r="P2073" s="105"/>
      <c r="Q2073" s="107"/>
      <c r="R2073" s="107"/>
    </row>
    <row r="2074" spans="13:18" x14ac:dyDescent="0.25">
      <c r="M2074" s="108"/>
      <c r="N2074" s="108"/>
      <c r="O2074" s="105"/>
      <c r="P2074" s="105"/>
      <c r="Q2074" s="107"/>
      <c r="R2074" s="107"/>
    </row>
    <row r="2075" spans="13:18" x14ac:dyDescent="0.25">
      <c r="M2075" s="108"/>
      <c r="N2075" s="108"/>
      <c r="O2075" s="105"/>
      <c r="P2075" s="105"/>
      <c r="Q2075" s="107"/>
      <c r="R2075" s="107"/>
    </row>
    <row r="2076" spans="13:18" x14ac:dyDescent="0.25">
      <c r="M2076" s="108"/>
      <c r="N2076" s="108"/>
      <c r="O2076" s="105"/>
      <c r="P2076" s="105"/>
      <c r="Q2076" s="107"/>
      <c r="R2076" s="107"/>
    </row>
    <row r="2077" spans="13:18" x14ac:dyDescent="0.25">
      <c r="M2077" s="108"/>
      <c r="N2077" s="108"/>
      <c r="O2077" s="105"/>
      <c r="P2077" s="105"/>
      <c r="Q2077" s="107"/>
      <c r="R2077" s="107"/>
    </row>
    <row r="2078" spans="13:18" x14ac:dyDescent="0.25">
      <c r="M2078" s="108"/>
      <c r="N2078" s="108"/>
      <c r="O2078" s="105"/>
      <c r="P2078" s="105"/>
      <c r="Q2078" s="107"/>
      <c r="R2078" s="107"/>
    </row>
    <row r="2079" spans="13:18" x14ac:dyDescent="0.25">
      <c r="M2079" s="108"/>
      <c r="N2079" s="108"/>
      <c r="O2079" s="105"/>
      <c r="P2079" s="105"/>
      <c r="Q2079" s="107"/>
      <c r="R2079" s="107"/>
    </row>
    <row r="2080" spans="13:18" x14ac:dyDescent="0.25">
      <c r="M2080" s="108"/>
      <c r="N2080" s="108"/>
      <c r="O2080" s="105"/>
      <c r="P2080" s="105"/>
      <c r="Q2080" s="107"/>
      <c r="R2080" s="107"/>
    </row>
    <row r="2081" spans="13:18" x14ac:dyDescent="0.25">
      <c r="M2081" s="108"/>
      <c r="N2081" s="108"/>
      <c r="O2081" s="105"/>
      <c r="P2081" s="105"/>
      <c r="Q2081" s="107"/>
      <c r="R2081" s="107"/>
    </row>
    <row r="2082" spans="13:18" x14ac:dyDescent="0.25">
      <c r="M2082" s="108"/>
      <c r="N2082" s="108"/>
      <c r="O2082" s="105"/>
      <c r="P2082" s="105"/>
      <c r="Q2082" s="107"/>
      <c r="R2082" s="107"/>
    </row>
    <row r="2083" spans="13:18" x14ac:dyDescent="0.25">
      <c r="M2083" s="108"/>
      <c r="N2083" s="108"/>
      <c r="O2083" s="105"/>
      <c r="P2083" s="105"/>
      <c r="Q2083" s="107"/>
      <c r="R2083" s="107"/>
    </row>
    <row r="2084" spans="13:18" x14ac:dyDescent="0.25">
      <c r="M2084" s="108"/>
      <c r="N2084" s="108"/>
      <c r="O2084" s="105"/>
      <c r="P2084" s="105"/>
      <c r="Q2084" s="107"/>
      <c r="R2084" s="107"/>
    </row>
    <row r="2085" spans="13:18" x14ac:dyDescent="0.25">
      <c r="M2085" s="108"/>
      <c r="N2085" s="108"/>
      <c r="O2085" s="105"/>
      <c r="P2085" s="105"/>
      <c r="Q2085" s="107"/>
      <c r="R2085" s="107"/>
    </row>
    <row r="2086" spans="13:18" x14ac:dyDescent="0.25">
      <c r="M2086" s="108"/>
      <c r="N2086" s="108"/>
      <c r="O2086" s="105"/>
      <c r="P2086" s="105"/>
      <c r="Q2086" s="107"/>
      <c r="R2086" s="107"/>
    </row>
    <row r="2087" spans="13:18" x14ac:dyDescent="0.25">
      <c r="M2087" s="108"/>
      <c r="N2087" s="108"/>
      <c r="O2087" s="105"/>
      <c r="P2087" s="105"/>
      <c r="Q2087" s="107"/>
      <c r="R2087" s="107"/>
    </row>
    <row r="2088" spans="13:18" x14ac:dyDescent="0.25">
      <c r="M2088" s="108"/>
      <c r="N2088" s="108"/>
      <c r="O2088" s="105"/>
      <c r="P2088" s="105"/>
      <c r="Q2088" s="107"/>
      <c r="R2088" s="107"/>
    </row>
    <row r="2089" spans="13:18" x14ac:dyDescent="0.25">
      <c r="M2089" s="108"/>
      <c r="N2089" s="108"/>
      <c r="O2089" s="105"/>
      <c r="P2089" s="105"/>
      <c r="Q2089" s="107"/>
      <c r="R2089" s="107"/>
    </row>
    <row r="2090" spans="13:18" x14ac:dyDescent="0.25">
      <c r="M2090" s="108"/>
      <c r="N2090" s="108"/>
      <c r="O2090" s="105"/>
      <c r="P2090" s="105"/>
      <c r="Q2090" s="107"/>
      <c r="R2090" s="107"/>
    </row>
    <row r="2091" spans="13:18" x14ac:dyDescent="0.25">
      <c r="M2091" s="108"/>
      <c r="N2091" s="108"/>
      <c r="O2091" s="105"/>
      <c r="P2091" s="105"/>
      <c r="Q2091" s="107"/>
      <c r="R2091" s="107"/>
    </row>
    <row r="2092" spans="13:18" x14ac:dyDescent="0.25">
      <c r="M2092" s="108"/>
      <c r="N2092" s="108"/>
      <c r="O2092" s="105"/>
      <c r="P2092" s="105"/>
      <c r="Q2092" s="107"/>
      <c r="R2092" s="107"/>
    </row>
    <row r="2093" spans="13:18" x14ac:dyDescent="0.25">
      <c r="M2093" s="108"/>
      <c r="N2093" s="108"/>
      <c r="O2093" s="105"/>
      <c r="P2093" s="105"/>
      <c r="Q2093" s="107"/>
      <c r="R2093" s="107"/>
    </row>
    <row r="2094" spans="13:18" x14ac:dyDescent="0.25">
      <c r="M2094" s="108"/>
      <c r="N2094" s="108"/>
      <c r="O2094" s="105"/>
      <c r="P2094" s="105"/>
      <c r="Q2094" s="107"/>
      <c r="R2094" s="107"/>
    </row>
    <row r="2095" spans="13:18" x14ac:dyDescent="0.25">
      <c r="M2095" s="108"/>
      <c r="N2095" s="108"/>
      <c r="O2095" s="105"/>
      <c r="P2095" s="105"/>
      <c r="Q2095" s="107"/>
      <c r="R2095" s="107"/>
    </row>
    <row r="2096" spans="13:18" x14ac:dyDescent="0.25">
      <c r="M2096" s="108"/>
      <c r="N2096" s="108"/>
      <c r="O2096" s="105"/>
      <c r="P2096" s="105"/>
      <c r="Q2096" s="107"/>
      <c r="R2096" s="107"/>
    </row>
    <row r="2097" spans="13:18" x14ac:dyDescent="0.25">
      <c r="M2097" s="108"/>
      <c r="N2097" s="108"/>
      <c r="O2097" s="105"/>
      <c r="P2097" s="105"/>
      <c r="Q2097" s="107"/>
      <c r="R2097" s="107"/>
    </row>
    <row r="2098" spans="13:18" x14ac:dyDescent="0.25">
      <c r="M2098" s="108"/>
      <c r="N2098" s="108"/>
      <c r="O2098" s="105"/>
      <c r="P2098" s="105"/>
      <c r="Q2098" s="107"/>
      <c r="R2098" s="107"/>
    </row>
    <row r="2099" spans="13:18" x14ac:dyDescent="0.25">
      <c r="M2099" s="108"/>
      <c r="N2099" s="108"/>
      <c r="O2099" s="105"/>
      <c r="P2099" s="105"/>
      <c r="Q2099" s="107"/>
      <c r="R2099" s="107"/>
    </row>
    <row r="2100" spans="13:18" x14ac:dyDescent="0.25">
      <c r="M2100" s="108"/>
      <c r="N2100" s="108"/>
      <c r="O2100" s="105"/>
      <c r="P2100" s="105"/>
      <c r="Q2100" s="107"/>
      <c r="R2100" s="107"/>
    </row>
    <row r="2101" spans="13:18" x14ac:dyDescent="0.25">
      <c r="M2101" s="108"/>
      <c r="N2101" s="108"/>
      <c r="O2101" s="105"/>
      <c r="P2101" s="105"/>
      <c r="Q2101" s="107"/>
      <c r="R2101" s="107"/>
    </row>
    <row r="2102" spans="13:18" x14ac:dyDescent="0.25">
      <c r="M2102" s="108"/>
      <c r="N2102" s="108"/>
      <c r="O2102" s="105"/>
      <c r="P2102" s="105"/>
      <c r="Q2102" s="107"/>
      <c r="R2102" s="107"/>
    </row>
    <row r="2103" spans="13:18" x14ac:dyDescent="0.25">
      <c r="M2103" s="108"/>
      <c r="N2103" s="108"/>
      <c r="O2103" s="105"/>
      <c r="P2103" s="105"/>
      <c r="Q2103" s="107"/>
      <c r="R2103" s="107"/>
    </row>
    <row r="2104" spans="13:18" x14ac:dyDescent="0.25">
      <c r="M2104" s="108"/>
      <c r="N2104" s="108"/>
      <c r="O2104" s="105"/>
      <c r="P2104" s="105"/>
      <c r="Q2104" s="107"/>
      <c r="R2104" s="107"/>
    </row>
    <row r="2105" spans="13:18" x14ac:dyDescent="0.25">
      <c r="M2105" s="108"/>
      <c r="N2105" s="108"/>
      <c r="O2105" s="105"/>
      <c r="P2105" s="105"/>
      <c r="Q2105" s="107"/>
      <c r="R2105" s="107"/>
    </row>
    <row r="2106" spans="13:18" x14ac:dyDescent="0.25">
      <c r="M2106" s="108"/>
      <c r="N2106" s="108"/>
      <c r="O2106" s="105"/>
      <c r="P2106" s="105"/>
      <c r="Q2106" s="107"/>
      <c r="R2106" s="107"/>
    </row>
    <row r="2107" spans="13:18" x14ac:dyDescent="0.25">
      <c r="M2107" s="108"/>
      <c r="N2107" s="108"/>
      <c r="O2107" s="105"/>
      <c r="P2107" s="105"/>
      <c r="Q2107" s="107"/>
      <c r="R2107" s="107"/>
    </row>
    <row r="2108" spans="13:18" x14ac:dyDescent="0.25">
      <c r="M2108" s="108"/>
      <c r="N2108" s="108"/>
      <c r="O2108" s="105"/>
      <c r="P2108" s="105"/>
      <c r="Q2108" s="107"/>
      <c r="R2108" s="107"/>
    </row>
    <row r="2109" spans="13:18" x14ac:dyDescent="0.25">
      <c r="M2109" s="108"/>
      <c r="N2109" s="108"/>
      <c r="O2109" s="105"/>
      <c r="P2109" s="105"/>
      <c r="Q2109" s="107"/>
      <c r="R2109" s="107"/>
    </row>
    <row r="2110" spans="13:18" x14ac:dyDescent="0.25">
      <c r="M2110" s="108"/>
      <c r="N2110" s="108"/>
      <c r="O2110" s="105"/>
      <c r="P2110" s="105"/>
      <c r="Q2110" s="107"/>
      <c r="R2110" s="107"/>
    </row>
    <row r="2111" spans="13:18" x14ac:dyDescent="0.25">
      <c r="M2111" s="108"/>
      <c r="N2111" s="108"/>
      <c r="O2111" s="105"/>
      <c r="P2111" s="105"/>
      <c r="Q2111" s="107"/>
      <c r="R2111" s="107"/>
    </row>
    <row r="2112" spans="13:18" x14ac:dyDescent="0.25">
      <c r="M2112" s="108"/>
      <c r="N2112" s="108"/>
      <c r="O2112" s="105"/>
      <c r="P2112" s="105"/>
      <c r="Q2112" s="107"/>
      <c r="R2112" s="107"/>
    </row>
    <row r="2113" spans="13:18" x14ac:dyDescent="0.25">
      <c r="M2113" s="108"/>
      <c r="N2113" s="108"/>
      <c r="O2113" s="105"/>
      <c r="P2113" s="105"/>
      <c r="Q2113" s="107"/>
      <c r="R2113" s="107"/>
    </row>
    <row r="2114" spans="13:18" x14ac:dyDescent="0.25">
      <c r="M2114" s="108"/>
      <c r="N2114" s="108"/>
      <c r="O2114" s="105"/>
      <c r="P2114" s="105"/>
      <c r="Q2114" s="107"/>
      <c r="R2114" s="107"/>
    </row>
    <row r="2115" spans="13:18" x14ac:dyDescent="0.25">
      <c r="M2115" s="108"/>
      <c r="N2115" s="108"/>
      <c r="O2115" s="105"/>
      <c r="P2115" s="105"/>
      <c r="Q2115" s="107"/>
      <c r="R2115" s="107"/>
    </row>
    <row r="2116" spans="13:18" x14ac:dyDescent="0.25">
      <c r="M2116" s="108"/>
      <c r="N2116" s="108"/>
      <c r="O2116" s="105"/>
      <c r="P2116" s="105"/>
      <c r="Q2116" s="107"/>
      <c r="R2116" s="107"/>
    </row>
    <row r="2117" spans="13:18" x14ac:dyDescent="0.25">
      <c r="M2117" s="108"/>
      <c r="N2117" s="108"/>
      <c r="O2117" s="105"/>
      <c r="P2117" s="105"/>
      <c r="Q2117" s="107"/>
      <c r="R2117" s="107"/>
    </row>
    <row r="2118" spans="13:18" x14ac:dyDescent="0.25">
      <c r="M2118" s="108"/>
      <c r="N2118" s="108"/>
      <c r="O2118" s="105"/>
      <c r="P2118" s="105"/>
      <c r="Q2118" s="107"/>
      <c r="R2118" s="107"/>
    </row>
    <row r="2119" spans="13:18" x14ac:dyDescent="0.25">
      <c r="M2119" s="108"/>
      <c r="N2119" s="108"/>
      <c r="O2119" s="105"/>
      <c r="P2119" s="105"/>
      <c r="Q2119" s="107"/>
      <c r="R2119" s="107"/>
    </row>
    <row r="2120" spans="13:18" x14ac:dyDescent="0.25">
      <c r="M2120" s="108"/>
      <c r="N2120" s="108"/>
      <c r="O2120" s="105"/>
      <c r="P2120" s="105"/>
      <c r="Q2120" s="107"/>
      <c r="R2120" s="107"/>
    </row>
    <row r="2121" spans="13:18" x14ac:dyDescent="0.25">
      <c r="M2121" s="108"/>
      <c r="N2121" s="108"/>
      <c r="O2121" s="105"/>
      <c r="P2121" s="105"/>
      <c r="Q2121" s="107"/>
      <c r="R2121" s="107"/>
    </row>
    <row r="2122" spans="13:18" x14ac:dyDescent="0.25">
      <c r="M2122" s="108"/>
      <c r="N2122" s="108"/>
      <c r="O2122" s="105"/>
      <c r="P2122" s="105"/>
      <c r="Q2122" s="107"/>
      <c r="R2122" s="107"/>
    </row>
    <row r="2123" spans="13:18" x14ac:dyDescent="0.25">
      <c r="M2123" s="108"/>
      <c r="N2123" s="108"/>
      <c r="O2123" s="105"/>
      <c r="P2123" s="105"/>
      <c r="Q2123" s="107"/>
      <c r="R2123" s="107"/>
    </row>
    <row r="2124" spans="13:18" x14ac:dyDescent="0.25">
      <c r="M2124" s="108"/>
      <c r="N2124" s="108"/>
      <c r="O2124" s="105"/>
      <c r="P2124" s="105"/>
      <c r="Q2124" s="107"/>
      <c r="R2124" s="107"/>
    </row>
    <row r="2125" spans="13:18" x14ac:dyDescent="0.25">
      <c r="M2125" s="108"/>
      <c r="N2125" s="108"/>
      <c r="O2125" s="105"/>
      <c r="P2125" s="105"/>
      <c r="Q2125" s="107"/>
      <c r="R2125" s="107"/>
    </row>
    <row r="2126" spans="13:18" x14ac:dyDescent="0.25">
      <c r="M2126" s="108"/>
      <c r="N2126" s="108"/>
      <c r="O2126" s="105"/>
      <c r="P2126" s="105"/>
      <c r="Q2126" s="107"/>
      <c r="R2126" s="107"/>
    </row>
    <row r="2127" spans="13:18" x14ac:dyDescent="0.25">
      <c r="M2127" s="108"/>
      <c r="N2127" s="108"/>
      <c r="O2127" s="105"/>
      <c r="P2127" s="105"/>
      <c r="Q2127" s="107"/>
      <c r="R2127" s="107"/>
    </row>
    <row r="2128" spans="13:18" x14ac:dyDescent="0.25">
      <c r="M2128" s="108"/>
      <c r="N2128" s="108"/>
      <c r="O2128" s="105"/>
      <c r="P2128" s="105"/>
      <c r="Q2128" s="107"/>
      <c r="R2128" s="107"/>
    </row>
    <row r="2129" spans="13:18" x14ac:dyDescent="0.25">
      <c r="M2129" s="108"/>
      <c r="N2129" s="108"/>
      <c r="O2129" s="105"/>
      <c r="P2129" s="105"/>
      <c r="Q2129" s="107"/>
      <c r="R2129" s="107"/>
    </row>
    <row r="2130" spans="13:18" x14ac:dyDescent="0.25">
      <c r="M2130" s="108"/>
      <c r="N2130" s="108"/>
      <c r="O2130" s="105"/>
      <c r="P2130" s="105"/>
      <c r="Q2130" s="107"/>
      <c r="R2130" s="107"/>
    </row>
    <row r="2131" spans="13:18" x14ac:dyDescent="0.25">
      <c r="M2131" s="108"/>
      <c r="N2131" s="108"/>
      <c r="O2131" s="105"/>
      <c r="P2131" s="105"/>
      <c r="Q2131" s="107"/>
      <c r="R2131" s="107"/>
    </row>
    <row r="2132" spans="13:18" x14ac:dyDescent="0.25">
      <c r="M2132" s="108"/>
      <c r="N2132" s="108"/>
      <c r="O2132" s="105"/>
      <c r="P2132" s="105"/>
      <c r="Q2132" s="107"/>
      <c r="R2132" s="107"/>
    </row>
    <row r="2133" spans="13:18" x14ac:dyDescent="0.25">
      <c r="M2133" s="108"/>
      <c r="N2133" s="108"/>
      <c r="O2133" s="105"/>
      <c r="P2133" s="105"/>
      <c r="Q2133" s="107"/>
      <c r="R2133" s="107"/>
    </row>
    <row r="2134" spans="13:18" x14ac:dyDescent="0.25">
      <c r="M2134" s="108"/>
      <c r="N2134" s="108"/>
      <c r="O2134" s="105"/>
      <c r="P2134" s="105"/>
      <c r="Q2134" s="107"/>
      <c r="R2134" s="107"/>
    </row>
    <row r="2135" spans="13:18" x14ac:dyDescent="0.25">
      <c r="M2135" s="108"/>
      <c r="N2135" s="108"/>
      <c r="O2135" s="105"/>
      <c r="P2135" s="105"/>
      <c r="Q2135" s="107"/>
      <c r="R2135" s="107"/>
    </row>
    <row r="2136" spans="13:18" x14ac:dyDescent="0.25">
      <c r="M2136" s="108"/>
      <c r="N2136" s="108"/>
      <c r="O2136" s="105"/>
      <c r="P2136" s="105"/>
      <c r="Q2136" s="107"/>
      <c r="R2136" s="107"/>
    </row>
    <row r="2137" spans="13:18" x14ac:dyDescent="0.25">
      <c r="M2137" s="108"/>
      <c r="N2137" s="108"/>
      <c r="O2137" s="105"/>
      <c r="P2137" s="105"/>
      <c r="Q2137" s="107"/>
      <c r="R2137" s="107"/>
    </row>
    <row r="2138" spans="13:18" x14ac:dyDescent="0.25">
      <c r="M2138" s="108"/>
      <c r="N2138" s="108"/>
      <c r="O2138" s="105"/>
      <c r="P2138" s="105"/>
      <c r="Q2138" s="107"/>
      <c r="R2138" s="107"/>
    </row>
    <row r="2139" spans="13:18" x14ac:dyDescent="0.25">
      <c r="M2139" s="108"/>
      <c r="N2139" s="108"/>
      <c r="O2139" s="105"/>
      <c r="P2139" s="105"/>
      <c r="Q2139" s="107"/>
      <c r="R2139" s="107"/>
    </row>
    <row r="2140" spans="13:18" x14ac:dyDescent="0.25">
      <c r="M2140" s="108"/>
      <c r="N2140" s="108"/>
      <c r="O2140" s="105"/>
      <c r="P2140" s="105"/>
      <c r="Q2140" s="107"/>
      <c r="R2140" s="107"/>
    </row>
    <row r="2141" spans="13:18" x14ac:dyDescent="0.25">
      <c r="M2141" s="108"/>
      <c r="N2141" s="108"/>
      <c r="O2141" s="105"/>
      <c r="P2141" s="105"/>
      <c r="Q2141" s="107"/>
      <c r="R2141" s="107"/>
    </row>
    <row r="2142" spans="13:18" x14ac:dyDescent="0.25">
      <c r="M2142" s="108"/>
      <c r="N2142" s="108"/>
      <c r="O2142" s="105"/>
      <c r="P2142" s="105"/>
      <c r="Q2142" s="107"/>
      <c r="R2142" s="107"/>
    </row>
    <row r="2143" spans="13:18" x14ac:dyDescent="0.25">
      <c r="M2143" s="108"/>
      <c r="N2143" s="108"/>
      <c r="O2143" s="105"/>
      <c r="P2143" s="105"/>
      <c r="Q2143" s="107"/>
      <c r="R2143" s="107"/>
    </row>
    <row r="2144" spans="13:18" x14ac:dyDescent="0.25">
      <c r="M2144" s="108"/>
      <c r="N2144" s="108"/>
      <c r="O2144" s="105"/>
      <c r="P2144" s="105"/>
      <c r="Q2144" s="107"/>
      <c r="R2144" s="107"/>
    </row>
    <row r="2145" spans="13:18" x14ac:dyDescent="0.25">
      <c r="M2145" s="108"/>
      <c r="N2145" s="108"/>
      <c r="O2145" s="105"/>
      <c r="P2145" s="105"/>
      <c r="Q2145" s="107"/>
      <c r="R2145" s="107"/>
    </row>
    <row r="2146" spans="13:18" x14ac:dyDescent="0.25">
      <c r="M2146" s="108"/>
      <c r="N2146" s="108"/>
      <c r="O2146" s="105"/>
      <c r="P2146" s="105"/>
      <c r="Q2146" s="107"/>
      <c r="R2146" s="107"/>
    </row>
    <row r="2147" spans="13:18" x14ac:dyDescent="0.25">
      <c r="M2147" s="108"/>
      <c r="N2147" s="108"/>
      <c r="O2147" s="105"/>
      <c r="P2147" s="105"/>
      <c r="Q2147" s="107"/>
      <c r="R2147" s="107"/>
    </row>
    <row r="2148" spans="13:18" x14ac:dyDescent="0.25">
      <c r="M2148" s="108"/>
      <c r="N2148" s="108"/>
      <c r="O2148" s="105"/>
      <c r="P2148" s="105"/>
      <c r="Q2148" s="107"/>
      <c r="R2148" s="107"/>
    </row>
    <row r="2149" spans="13:18" x14ac:dyDescent="0.25">
      <c r="M2149" s="108"/>
      <c r="N2149" s="108"/>
      <c r="O2149" s="105"/>
      <c r="P2149" s="105"/>
      <c r="Q2149" s="107"/>
      <c r="R2149" s="107"/>
    </row>
    <row r="2150" spans="13:18" x14ac:dyDescent="0.25">
      <c r="M2150" s="108"/>
      <c r="N2150" s="108"/>
      <c r="O2150" s="105"/>
      <c r="P2150" s="105"/>
      <c r="Q2150" s="107"/>
      <c r="R2150" s="107"/>
    </row>
    <row r="2151" spans="13:18" x14ac:dyDescent="0.25">
      <c r="M2151" s="108"/>
      <c r="N2151" s="108"/>
      <c r="O2151" s="105"/>
      <c r="P2151" s="105"/>
      <c r="Q2151" s="107"/>
      <c r="R2151" s="107"/>
    </row>
    <row r="2152" spans="13:18" x14ac:dyDescent="0.25">
      <c r="M2152" s="108"/>
      <c r="N2152" s="108"/>
      <c r="O2152" s="105"/>
      <c r="P2152" s="105"/>
      <c r="Q2152" s="107"/>
      <c r="R2152" s="107"/>
    </row>
    <row r="2153" spans="13:18" x14ac:dyDescent="0.25">
      <c r="M2153" s="108"/>
      <c r="N2153" s="108"/>
      <c r="O2153" s="105"/>
      <c r="P2153" s="105"/>
      <c r="Q2153" s="107"/>
      <c r="R2153" s="107"/>
    </row>
    <row r="2154" spans="13:18" x14ac:dyDescent="0.25">
      <c r="M2154" s="108"/>
      <c r="N2154" s="108"/>
      <c r="O2154" s="105"/>
      <c r="P2154" s="105"/>
      <c r="Q2154" s="107"/>
      <c r="R2154" s="107"/>
    </row>
    <row r="2155" spans="13:18" x14ac:dyDescent="0.25">
      <c r="M2155" s="108"/>
      <c r="N2155" s="108"/>
      <c r="O2155" s="105"/>
      <c r="P2155" s="105"/>
      <c r="Q2155" s="107"/>
      <c r="R2155" s="107"/>
    </row>
    <row r="2156" spans="13:18" x14ac:dyDescent="0.25">
      <c r="M2156" s="108"/>
      <c r="N2156" s="108"/>
      <c r="O2156" s="105"/>
      <c r="P2156" s="105"/>
      <c r="Q2156" s="107"/>
      <c r="R2156" s="107"/>
    </row>
    <row r="2157" spans="13:18" x14ac:dyDescent="0.25">
      <c r="M2157" s="108"/>
      <c r="N2157" s="108"/>
      <c r="O2157" s="105"/>
      <c r="P2157" s="105"/>
      <c r="Q2157" s="107"/>
      <c r="R2157" s="107"/>
    </row>
    <row r="2158" spans="13:18" x14ac:dyDescent="0.25">
      <c r="M2158" s="108"/>
      <c r="N2158" s="108"/>
      <c r="O2158" s="105"/>
      <c r="P2158" s="105"/>
      <c r="Q2158" s="107"/>
      <c r="R2158" s="107"/>
    </row>
    <row r="2159" spans="13:18" x14ac:dyDescent="0.25">
      <c r="M2159" s="108"/>
      <c r="N2159" s="108"/>
      <c r="O2159" s="105"/>
      <c r="P2159" s="105"/>
      <c r="Q2159" s="107"/>
      <c r="R2159" s="107"/>
    </row>
    <row r="2160" spans="13:18" x14ac:dyDescent="0.25">
      <c r="M2160" s="108"/>
      <c r="N2160" s="108"/>
      <c r="O2160" s="105"/>
      <c r="P2160" s="105"/>
      <c r="Q2160" s="107"/>
      <c r="R2160" s="107"/>
    </row>
    <row r="2161" spans="13:18" x14ac:dyDescent="0.25">
      <c r="M2161" s="108"/>
      <c r="N2161" s="108"/>
      <c r="O2161" s="105"/>
      <c r="P2161" s="105"/>
      <c r="Q2161" s="107"/>
      <c r="R2161" s="107"/>
    </row>
    <row r="2162" spans="13:18" x14ac:dyDescent="0.25">
      <c r="M2162" s="108"/>
      <c r="N2162" s="108"/>
      <c r="O2162" s="105"/>
      <c r="P2162" s="105"/>
      <c r="Q2162" s="107"/>
      <c r="R2162" s="107"/>
    </row>
    <row r="2163" spans="13:18" x14ac:dyDescent="0.25">
      <c r="M2163" s="108"/>
      <c r="N2163" s="108"/>
      <c r="O2163" s="105"/>
      <c r="P2163" s="105"/>
      <c r="Q2163" s="107"/>
      <c r="R2163" s="107"/>
    </row>
    <row r="2164" spans="13:18" x14ac:dyDescent="0.25">
      <c r="M2164" s="108"/>
      <c r="N2164" s="108"/>
      <c r="O2164" s="105"/>
      <c r="P2164" s="105"/>
      <c r="Q2164" s="107"/>
      <c r="R2164" s="107"/>
    </row>
    <row r="2165" spans="13:18" x14ac:dyDescent="0.25">
      <c r="M2165" s="108"/>
      <c r="N2165" s="108"/>
      <c r="O2165" s="105"/>
      <c r="P2165" s="105"/>
      <c r="Q2165" s="107"/>
      <c r="R2165" s="107"/>
    </row>
    <row r="2166" spans="13:18" x14ac:dyDescent="0.25">
      <c r="M2166" s="108"/>
      <c r="N2166" s="108"/>
      <c r="O2166" s="105"/>
      <c r="P2166" s="105"/>
      <c r="Q2166" s="107"/>
      <c r="R2166" s="107"/>
    </row>
    <row r="2167" spans="13:18" x14ac:dyDescent="0.25">
      <c r="M2167" s="108"/>
      <c r="N2167" s="108"/>
      <c r="O2167" s="105"/>
      <c r="P2167" s="105"/>
      <c r="Q2167" s="107"/>
      <c r="R2167" s="107"/>
    </row>
    <row r="2168" spans="13:18" x14ac:dyDescent="0.25">
      <c r="M2168" s="108"/>
      <c r="N2168" s="108"/>
      <c r="O2168" s="105"/>
      <c r="P2168" s="105"/>
      <c r="Q2168" s="107"/>
      <c r="R2168" s="107"/>
    </row>
    <row r="2169" spans="13:18" x14ac:dyDescent="0.25">
      <c r="M2169" s="108"/>
      <c r="N2169" s="108"/>
      <c r="O2169" s="105"/>
      <c r="P2169" s="105"/>
      <c r="Q2169" s="107"/>
      <c r="R2169" s="107"/>
    </row>
    <row r="2170" spans="13:18" x14ac:dyDescent="0.25">
      <c r="M2170" s="108"/>
      <c r="N2170" s="108"/>
      <c r="O2170" s="105"/>
      <c r="P2170" s="105"/>
      <c r="Q2170" s="107"/>
      <c r="R2170" s="107"/>
    </row>
    <row r="2171" spans="13:18" x14ac:dyDescent="0.25">
      <c r="M2171" s="108"/>
      <c r="N2171" s="108"/>
      <c r="O2171" s="105"/>
      <c r="P2171" s="105"/>
      <c r="Q2171" s="107"/>
      <c r="R2171" s="107"/>
    </row>
    <row r="2172" spans="13:18" x14ac:dyDescent="0.25">
      <c r="M2172" s="108"/>
      <c r="N2172" s="108"/>
      <c r="O2172" s="105"/>
      <c r="P2172" s="105"/>
      <c r="Q2172" s="107"/>
      <c r="R2172" s="107"/>
    </row>
    <row r="2173" spans="13:18" x14ac:dyDescent="0.25">
      <c r="M2173" s="108"/>
      <c r="N2173" s="108"/>
      <c r="O2173" s="105"/>
      <c r="P2173" s="105"/>
      <c r="Q2173" s="107"/>
      <c r="R2173" s="107"/>
    </row>
    <row r="2174" spans="13:18" x14ac:dyDescent="0.25">
      <c r="M2174" s="108"/>
      <c r="N2174" s="108"/>
      <c r="O2174" s="105"/>
      <c r="P2174" s="105"/>
      <c r="Q2174" s="107"/>
      <c r="R2174" s="107"/>
    </row>
    <row r="2175" spans="13:18" x14ac:dyDescent="0.25">
      <c r="M2175" s="108"/>
      <c r="N2175" s="108"/>
      <c r="O2175" s="105"/>
      <c r="P2175" s="105"/>
      <c r="Q2175" s="107"/>
      <c r="R2175" s="107"/>
    </row>
    <row r="2176" spans="13:18" x14ac:dyDescent="0.25">
      <c r="M2176" s="108"/>
      <c r="N2176" s="108"/>
      <c r="O2176" s="105"/>
      <c r="P2176" s="105"/>
      <c r="Q2176" s="107"/>
      <c r="R2176" s="107"/>
    </row>
    <row r="2177" spans="13:18" x14ac:dyDescent="0.25">
      <c r="M2177" s="108"/>
      <c r="N2177" s="108"/>
      <c r="O2177" s="105"/>
      <c r="P2177" s="105"/>
      <c r="Q2177" s="107"/>
      <c r="R2177" s="107"/>
    </row>
    <row r="2178" spans="13:18" x14ac:dyDescent="0.25">
      <c r="M2178" s="108"/>
      <c r="N2178" s="108"/>
      <c r="O2178" s="105"/>
      <c r="P2178" s="105"/>
      <c r="Q2178" s="107"/>
      <c r="R2178" s="107"/>
    </row>
    <row r="2179" spans="13:18" x14ac:dyDescent="0.25">
      <c r="M2179" s="108"/>
      <c r="N2179" s="108"/>
      <c r="O2179" s="105"/>
      <c r="P2179" s="105"/>
      <c r="Q2179" s="107"/>
      <c r="R2179" s="107"/>
    </row>
    <row r="2180" spans="13:18" x14ac:dyDescent="0.25">
      <c r="M2180" s="108"/>
      <c r="N2180" s="108"/>
      <c r="O2180" s="105"/>
      <c r="P2180" s="105"/>
      <c r="Q2180" s="107"/>
      <c r="R2180" s="107"/>
    </row>
    <row r="2181" spans="13:18" x14ac:dyDescent="0.25">
      <c r="M2181" s="108"/>
      <c r="N2181" s="108"/>
      <c r="O2181" s="105"/>
      <c r="P2181" s="105"/>
      <c r="Q2181" s="107"/>
      <c r="R2181" s="107"/>
    </row>
    <row r="2182" spans="13:18" x14ac:dyDescent="0.25">
      <c r="M2182" s="108"/>
      <c r="N2182" s="108"/>
      <c r="O2182" s="105"/>
      <c r="P2182" s="105"/>
      <c r="Q2182" s="107"/>
      <c r="R2182" s="107"/>
    </row>
    <row r="2183" spans="13:18" x14ac:dyDescent="0.25">
      <c r="M2183" s="108"/>
      <c r="N2183" s="108"/>
      <c r="O2183" s="105"/>
      <c r="P2183" s="105"/>
      <c r="Q2183" s="107"/>
      <c r="R2183" s="107"/>
    </row>
    <row r="2184" spans="13:18" x14ac:dyDescent="0.25">
      <c r="M2184" s="108"/>
      <c r="N2184" s="108"/>
      <c r="O2184" s="105"/>
      <c r="P2184" s="105"/>
      <c r="Q2184" s="107"/>
      <c r="R2184" s="107"/>
    </row>
    <row r="2185" spans="13:18" x14ac:dyDescent="0.25">
      <c r="M2185" s="108"/>
      <c r="N2185" s="108"/>
      <c r="O2185" s="105"/>
      <c r="P2185" s="105"/>
      <c r="Q2185" s="107"/>
      <c r="R2185" s="107"/>
    </row>
    <row r="2186" spans="13:18" x14ac:dyDescent="0.25">
      <c r="M2186" s="108"/>
      <c r="N2186" s="108"/>
      <c r="O2186" s="105"/>
      <c r="P2186" s="105"/>
      <c r="Q2186" s="107"/>
      <c r="R2186" s="107"/>
    </row>
    <row r="2187" spans="13:18" x14ac:dyDescent="0.25">
      <c r="M2187" s="108"/>
      <c r="N2187" s="108"/>
      <c r="O2187" s="105"/>
      <c r="P2187" s="105"/>
      <c r="Q2187" s="107"/>
      <c r="R2187" s="107"/>
    </row>
    <row r="2188" spans="13:18" x14ac:dyDescent="0.25">
      <c r="M2188" s="108"/>
      <c r="N2188" s="108"/>
      <c r="O2188" s="105"/>
      <c r="P2188" s="105"/>
      <c r="Q2188" s="107"/>
      <c r="R2188" s="107"/>
    </row>
    <row r="2189" spans="13:18" x14ac:dyDescent="0.25">
      <c r="M2189" s="108"/>
      <c r="N2189" s="108"/>
      <c r="O2189" s="105"/>
      <c r="P2189" s="105"/>
      <c r="Q2189" s="107"/>
      <c r="R2189" s="107"/>
    </row>
    <row r="2190" spans="13:18" x14ac:dyDescent="0.25">
      <c r="M2190" s="108"/>
      <c r="N2190" s="108"/>
      <c r="O2190" s="105"/>
      <c r="P2190" s="105"/>
      <c r="Q2190" s="107"/>
      <c r="R2190" s="107"/>
    </row>
    <row r="2191" spans="13:18" x14ac:dyDescent="0.25">
      <c r="M2191" s="108"/>
      <c r="N2191" s="108"/>
      <c r="O2191" s="105"/>
      <c r="P2191" s="105"/>
      <c r="Q2191" s="107"/>
      <c r="R2191" s="107"/>
    </row>
    <row r="2192" spans="13:18" x14ac:dyDescent="0.25">
      <c r="M2192" s="108"/>
      <c r="N2192" s="108"/>
      <c r="O2192" s="105"/>
      <c r="P2192" s="105"/>
      <c r="Q2192" s="107"/>
      <c r="R2192" s="107"/>
    </row>
    <row r="2193" spans="13:18" x14ac:dyDescent="0.25">
      <c r="M2193" s="108"/>
      <c r="N2193" s="108"/>
      <c r="O2193" s="105"/>
      <c r="P2193" s="105"/>
      <c r="Q2193" s="107"/>
      <c r="R2193" s="107"/>
    </row>
    <row r="2194" spans="13:18" x14ac:dyDescent="0.25">
      <c r="M2194" s="108"/>
      <c r="N2194" s="108"/>
      <c r="O2194" s="105"/>
      <c r="P2194" s="105"/>
      <c r="Q2194" s="107"/>
      <c r="R2194" s="107"/>
    </row>
    <row r="2195" spans="13:18" x14ac:dyDescent="0.25">
      <c r="M2195" s="108"/>
      <c r="N2195" s="108"/>
      <c r="O2195" s="105"/>
      <c r="P2195" s="105"/>
      <c r="Q2195" s="107"/>
      <c r="R2195" s="107"/>
    </row>
    <row r="2196" spans="13:18" x14ac:dyDescent="0.25">
      <c r="M2196" s="108"/>
      <c r="N2196" s="108"/>
      <c r="O2196" s="105"/>
      <c r="P2196" s="105"/>
      <c r="Q2196" s="107"/>
      <c r="R2196" s="107"/>
    </row>
    <row r="2197" spans="13:18" x14ac:dyDescent="0.25">
      <c r="M2197" s="108"/>
      <c r="N2197" s="108"/>
      <c r="O2197" s="105"/>
      <c r="P2197" s="105"/>
      <c r="Q2197" s="107"/>
      <c r="R2197" s="107"/>
    </row>
    <row r="2198" spans="13:18" x14ac:dyDescent="0.25">
      <c r="M2198" s="108"/>
      <c r="N2198" s="108"/>
      <c r="O2198" s="105"/>
      <c r="P2198" s="105"/>
      <c r="Q2198" s="107"/>
      <c r="R2198" s="107"/>
    </row>
    <row r="2199" spans="13:18" x14ac:dyDescent="0.25">
      <c r="M2199" s="108"/>
      <c r="N2199" s="108"/>
      <c r="O2199" s="105"/>
      <c r="P2199" s="105"/>
      <c r="Q2199" s="107"/>
      <c r="R2199" s="107"/>
    </row>
    <row r="2200" spans="13:18" x14ac:dyDescent="0.25">
      <c r="M2200" s="108"/>
      <c r="N2200" s="108"/>
      <c r="O2200" s="105"/>
      <c r="P2200" s="105"/>
      <c r="Q2200" s="107"/>
      <c r="R2200" s="107"/>
    </row>
    <row r="2201" spans="13:18" x14ac:dyDescent="0.25">
      <c r="M2201" s="108"/>
      <c r="N2201" s="108"/>
      <c r="O2201" s="105"/>
      <c r="P2201" s="105"/>
      <c r="Q2201" s="107"/>
      <c r="R2201" s="107"/>
    </row>
    <row r="2202" spans="13:18" x14ac:dyDescent="0.25">
      <c r="M2202" s="108"/>
      <c r="N2202" s="108"/>
      <c r="O2202" s="105"/>
      <c r="P2202" s="105"/>
      <c r="Q2202" s="107"/>
      <c r="R2202" s="107"/>
    </row>
    <row r="2203" spans="13:18" x14ac:dyDescent="0.25">
      <c r="M2203" s="108"/>
      <c r="N2203" s="108"/>
      <c r="O2203" s="105"/>
      <c r="P2203" s="105"/>
      <c r="Q2203" s="107"/>
      <c r="R2203" s="107"/>
    </row>
    <row r="2204" spans="13:18" x14ac:dyDescent="0.25">
      <c r="M2204" s="108"/>
      <c r="N2204" s="108"/>
      <c r="O2204" s="105"/>
      <c r="P2204" s="105"/>
      <c r="Q2204" s="107"/>
      <c r="R2204" s="107"/>
    </row>
    <row r="2205" spans="13:18" x14ac:dyDescent="0.25">
      <c r="M2205" s="108"/>
      <c r="N2205" s="108"/>
      <c r="O2205" s="105"/>
      <c r="P2205" s="105"/>
      <c r="Q2205" s="107"/>
      <c r="R2205" s="107"/>
    </row>
    <row r="2206" spans="13:18" x14ac:dyDescent="0.25">
      <c r="M2206" s="108"/>
      <c r="N2206" s="108"/>
      <c r="O2206" s="105"/>
      <c r="P2206" s="105"/>
      <c r="Q2206" s="107"/>
      <c r="R2206" s="107"/>
    </row>
    <row r="2207" spans="13:18" x14ac:dyDescent="0.25">
      <c r="M2207" s="108"/>
      <c r="N2207" s="108"/>
      <c r="O2207" s="105"/>
      <c r="P2207" s="105"/>
      <c r="Q2207" s="107"/>
      <c r="R2207" s="107"/>
    </row>
    <row r="2208" spans="13:18" x14ac:dyDescent="0.25">
      <c r="M2208" s="108"/>
      <c r="N2208" s="108"/>
      <c r="O2208" s="105"/>
      <c r="P2208" s="105"/>
      <c r="Q2208" s="107"/>
      <c r="R2208" s="107"/>
    </row>
    <row r="2209" spans="13:18" x14ac:dyDescent="0.25">
      <c r="M2209" s="108"/>
      <c r="N2209" s="108"/>
      <c r="O2209" s="105"/>
      <c r="P2209" s="105"/>
      <c r="Q2209" s="107"/>
      <c r="R2209" s="107"/>
    </row>
    <row r="2210" spans="13:18" x14ac:dyDescent="0.25">
      <c r="M2210" s="108"/>
      <c r="N2210" s="108"/>
      <c r="O2210" s="105"/>
      <c r="P2210" s="105"/>
      <c r="Q2210" s="107"/>
      <c r="R2210" s="107"/>
    </row>
    <row r="2211" spans="13:18" x14ac:dyDescent="0.25">
      <c r="M2211" s="108"/>
      <c r="N2211" s="108"/>
      <c r="O2211" s="105"/>
      <c r="P2211" s="105"/>
      <c r="Q2211" s="107"/>
      <c r="R2211" s="107"/>
    </row>
    <row r="2212" spans="13:18" x14ac:dyDescent="0.25">
      <c r="M2212" s="108"/>
      <c r="N2212" s="108"/>
      <c r="O2212" s="105"/>
      <c r="P2212" s="105"/>
      <c r="Q2212" s="107"/>
      <c r="R2212" s="107"/>
    </row>
    <row r="2213" spans="13:18" x14ac:dyDescent="0.25">
      <c r="M2213" s="108"/>
      <c r="N2213" s="108"/>
      <c r="O2213" s="105"/>
      <c r="P2213" s="105"/>
      <c r="Q2213" s="107"/>
      <c r="R2213" s="107"/>
    </row>
    <row r="2214" spans="13:18" x14ac:dyDescent="0.25">
      <c r="M2214" s="108"/>
      <c r="N2214" s="108"/>
      <c r="O2214" s="105"/>
      <c r="P2214" s="105"/>
      <c r="Q2214" s="107"/>
      <c r="R2214" s="107"/>
    </row>
    <row r="2215" spans="13:18" x14ac:dyDescent="0.25">
      <c r="M2215" s="108"/>
      <c r="N2215" s="108"/>
      <c r="O2215" s="105"/>
      <c r="P2215" s="105"/>
      <c r="Q2215" s="107"/>
      <c r="R2215" s="107"/>
    </row>
    <row r="2216" spans="13:18" x14ac:dyDescent="0.25">
      <c r="M2216" s="108"/>
      <c r="N2216" s="108"/>
      <c r="O2216" s="105"/>
      <c r="P2216" s="105"/>
      <c r="Q2216" s="107"/>
      <c r="R2216" s="107"/>
    </row>
    <row r="2217" spans="13:18" x14ac:dyDescent="0.25">
      <c r="M2217" s="108"/>
      <c r="N2217" s="108"/>
      <c r="O2217" s="105"/>
      <c r="P2217" s="105"/>
      <c r="Q2217" s="107"/>
      <c r="R2217" s="107"/>
    </row>
    <row r="2218" spans="13:18" x14ac:dyDescent="0.25">
      <c r="M2218" s="108"/>
      <c r="N2218" s="108"/>
      <c r="O2218" s="105"/>
      <c r="P2218" s="105"/>
      <c r="Q2218" s="107"/>
      <c r="R2218" s="107"/>
    </row>
    <row r="2219" spans="13:18" x14ac:dyDescent="0.25">
      <c r="M2219" s="108"/>
      <c r="N2219" s="108"/>
      <c r="O2219" s="105"/>
      <c r="P2219" s="105"/>
      <c r="Q2219" s="107"/>
      <c r="R2219" s="107"/>
    </row>
    <row r="2220" spans="13:18" x14ac:dyDescent="0.25">
      <c r="M2220" s="108"/>
      <c r="N2220" s="108"/>
      <c r="O2220" s="105"/>
      <c r="P2220" s="105"/>
      <c r="Q2220" s="107"/>
      <c r="R2220" s="107"/>
    </row>
    <row r="2221" spans="13:18" x14ac:dyDescent="0.25">
      <c r="M2221" s="108"/>
      <c r="N2221" s="108"/>
      <c r="O2221" s="105"/>
      <c r="P2221" s="105"/>
      <c r="Q2221" s="107"/>
      <c r="R2221" s="107"/>
    </row>
    <row r="2222" spans="13:18" x14ac:dyDescent="0.25">
      <c r="M2222" s="108"/>
      <c r="N2222" s="108"/>
      <c r="O2222" s="105"/>
      <c r="P2222" s="105"/>
      <c r="Q2222" s="107"/>
      <c r="R2222" s="107"/>
    </row>
    <row r="2223" spans="13:18" x14ac:dyDescent="0.25">
      <c r="M2223" s="108"/>
      <c r="N2223" s="108"/>
      <c r="O2223" s="105"/>
      <c r="P2223" s="105"/>
      <c r="Q2223" s="107"/>
      <c r="R2223" s="107"/>
    </row>
    <row r="2224" spans="13:18" x14ac:dyDescent="0.25">
      <c r="M2224" s="108"/>
      <c r="N2224" s="108"/>
      <c r="O2224" s="105"/>
      <c r="P2224" s="105"/>
      <c r="Q2224" s="107"/>
      <c r="R2224" s="107"/>
    </row>
    <row r="2225" spans="13:18" x14ac:dyDescent="0.25">
      <c r="M2225" s="108"/>
      <c r="N2225" s="108"/>
      <c r="O2225" s="105"/>
      <c r="P2225" s="105"/>
      <c r="Q2225" s="107"/>
      <c r="R2225" s="107"/>
    </row>
    <row r="2226" spans="13:18" x14ac:dyDescent="0.25">
      <c r="M2226" s="108"/>
      <c r="N2226" s="108"/>
      <c r="O2226" s="105"/>
      <c r="P2226" s="105"/>
      <c r="Q2226" s="107"/>
      <c r="R2226" s="107"/>
    </row>
    <row r="2227" spans="13:18" x14ac:dyDescent="0.25">
      <c r="M2227" s="108"/>
      <c r="N2227" s="108"/>
      <c r="O2227" s="105"/>
      <c r="P2227" s="105"/>
      <c r="Q2227" s="107"/>
      <c r="R2227" s="107"/>
    </row>
    <row r="2228" spans="13:18" x14ac:dyDescent="0.25">
      <c r="M2228" s="108"/>
      <c r="N2228" s="108"/>
      <c r="O2228" s="105"/>
      <c r="P2228" s="105"/>
      <c r="Q2228" s="107"/>
      <c r="R2228" s="107"/>
    </row>
    <row r="2229" spans="13:18" x14ac:dyDescent="0.25">
      <c r="M2229" s="108"/>
      <c r="N2229" s="108"/>
      <c r="O2229" s="105"/>
      <c r="P2229" s="105"/>
      <c r="Q2229" s="107"/>
      <c r="R2229" s="107"/>
    </row>
    <row r="2230" spans="13:18" x14ac:dyDescent="0.25">
      <c r="M2230" s="108"/>
      <c r="N2230" s="108"/>
      <c r="O2230" s="105"/>
      <c r="P2230" s="105"/>
      <c r="Q2230" s="107"/>
      <c r="R2230" s="107"/>
    </row>
    <row r="2231" spans="13:18" x14ac:dyDescent="0.25">
      <c r="M2231" s="108"/>
      <c r="N2231" s="108"/>
      <c r="O2231" s="105"/>
      <c r="P2231" s="105"/>
      <c r="Q2231" s="107"/>
      <c r="R2231" s="107"/>
    </row>
    <row r="2232" spans="13:18" x14ac:dyDescent="0.25">
      <c r="M2232" s="108"/>
      <c r="N2232" s="108"/>
      <c r="O2232" s="105"/>
      <c r="P2232" s="105"/>
      <c r="Q2232" s="107"/>
      <c r="R2232" s="107"/>
    </row>
    <row r="2233" spans="13:18" x14ac:dyDescent="0.25">
      <c r="M2233" s="108"/>
      <c r="N2233" s="108"/>
      <c r="O2233" s="105"/>
      <c r="P2233" s="105"/>
      <c r="Q2233" s="107"/>
      <c r="R2233" s="107"/>
    </row>
    <row r="2234" spans="13:18" x14ac:dyDescent="0.25">
      <c r="M2234" s="108"/>
      <c r="N2234" s="108"/>
      <c r="O2234" s="105"/>
      <c r="P2234" s="105"/>
      <c r="Q2234" s="107"/>
      <c r="R2234" s="107"/>
    </row>
    <row r="2235" spans="13:18" x14ac:dyDescent="0.25">
      <c r="M2235" s="108"/>
      <c r="N2235" s="108"/>
      <c r="O2235" s="105"/>
      <c r="P2235" s="105"/>
      <c r="Q2235" s="107"/>
      <c r="R2235" s="107"/>
    </row>
    <row r="2236" spans="13:18" x14ac:dyDescent="0.25">
      <c r="M2236" s="108"/>
      <c r="N2236" s="108"/>
      <c r="O2236" s="105"/>
      <c r="P2236" s="105"/>
      <c r="Q2236" s="107"/>
      <c r="R2236" s="107"/>
    </row>
    <row r="2237" spans="13:18" x14ac:dyDescent="0.25">
      <c r="M2237" s="108"/>
      <c r="N2237" s="108"/>
      <c r="O2237" s="105"/>
      <c r="P2237" s="105"/>
      <c r="Q2237" s="107"/>
      <c r="R2237" s="107"/>
    </row>
    <row r="2238" spans="13:18" x14ac:dyDescent="0.25">
      <c r="M2238" s="108"/>
      <c r="N2238" s="108"/>
      <c r="O2238" s="105"/>
      <c r="P2238" s="105"/>
      <c r="Q2238" s="107"/>
      <c r="R2238" s="107"/>
    </row>
    <row r="2239" spans="13:18" x14ac:dyDescent="0.25">
      <c r="M2239" s="108"/>
      <c r="N2239" s="108"/>
      <c r="O2239" s="105"/>
      <c r="P2239" s="105"/>
      <c r="Q2239" s="107"/>
      <c r="R2239" s="107"/>
    </row>
    <row r="2240" spans="13:18" x14ac:dyDescent="0.25">
      <c r="M2240" s="108"/>
      <c r="N2240" s="108"/>
      <c r="O2240" s="105"/>
      <c r="P2240" s="105"/>
      <c r="Q2240" s="107"/>
      <c r="R2240" s="107"/>
    </row>
    <row r="2241" spans="13:18" x14ac:dyDescent="0.25">
      <c r="M2241" s="108"/>
      <c r="N2241" s="108"/>
      <c r="O2241" s="105"/>
      <c r="P2241" s="105"/>
      <c r="Q2241" s="107"/>
      <c r="R2241" s="107"/>
    </row>
    <row r="2242" spans="13:18" x14ac:dyDescent="0.25">
      <c r="M2242" s="108"/>
      <c r="N2242" s="108"/>
      <c r="O2242" s="105"/>
      <c r="P2242" s="105"/>
      <c r="Q2242" s="107"/>
      <c r="R2242" s="107"/>
    </row>
    <row r="2243" spans="13:18" x14ac:dyDescent="0.25">
      <c r="M2243" s="108"/>
      <c r="N2243" s="108"/>
      <c r="O2243" s="105"/>
      <c r="P2243" s="105"/>
      <c r="Q2243" s="107"/>
      <c r="R2243" s="107"/>
    </row>
    <row r="2244" spans="13:18" x14ac:dyDescent="0.25">
      <c r="M2244" s="108"/>
      <c r="N2244" s="108"/>
      <c r="O2244" s="105"/>
      <c r="P2244" s="105"/>
      <c r="Q2244" s="107"/>
      <c r="R2244" s="107"/>
    </row>
    <row r="2245" spans="13:18" x14ac:dyDescent="0.25">
      <c r="M2245" s="108"/>
      <c r="N2245" s="108"/>
      <c r="O2245" s="105"/>
      <c r="P2245" s="105"/>
      <c r="Q2245" s="107"/>
      <c r="R2245" s="107"/>
    </row>
    <row r="2246" spans="13:18" x14ac:dyDescent="0.25">
      <c r="M2246" s="108"/>
      <c r="N2246" s="108"/>
      <c r="O2246" s="105"/>
      <c r="P2246" s="105"/>
      <c r="Q2246" s="107"/>
      <c r="R2246" s="107"/>
    </row>
    <row r="2247" spans="13:18" x14ac:dyDescent="0.25">
      <c r="M2247" s="108"/>
      <c r="N2247" s="108"/>
      <c r="O2247" s="105"/>
      <c r="P2247" s="105"/>
      <c r="Q2247" s="107"/>
      <c r="R2247" s="107"/>
    </row>
    <row r="2248" spans="13:18" x14ac:dyDescent="0.25">
      <c r="M2248" s="108"/>
      <c r="N2248" s="108"/>
      <c r="O2248" s="105"/>
      <c r="P2248" s="105"/>
      <c r="Q2248" s="107"/>
      <c r="R2248" s="107"/>
    </row>
    <row r="2249" spans="13:18" x14ac:dyDescent="0.25">
      <c r="M2249" s="108"/>
      <c r="N2249" s="108"/>
      <c r="O2249" s="105"/>
      <c r="P2249" s="105"/>
      <c r="Q2249" s="107"/>
      <c r="R2249" s="107"/>
    </row>
    <row r="2250" spans="13:18" x14ac:dyDescent="0.25">
      <c r="M2250" s="108"/>
      <c r="N2250" s="108"/>
      <c r="O2250" s="105"/>
      <c r="P2250" s="105"/>
      <c r="Q2250" s="107"/>
      <c r="R2250" s="107"/>
    </row>
    <row r="2251" spans="13:18" x14ac:dyDescent="0.25">
      <c r="M2251" s="108"/>
      <c r="N2251" s="108"/>
      <c r="O2251" s="105"/>
      <c r="P2251" s="105"/>
      <c r="Q2251" s="107"/>
      <c r="R2251" s="107"/>
    </row>
    <row r="2252" spans="13:18" x14ac:dyDescent="0.25">
      <c r="M2252" s="108"/>
      <c r="N2252" s="108"/>
      <c r="O2252" s="105"/>
      <c r="P2252" s="105"/>
      <c r="Q2252" s="107"/>
      <c r="R2252" s="107"/>
    </row>
    <row r="2253" spans="13:18" x14ac:dyDescent="0.25">
      <c r="M2253" s="108"/>
      <c r="N2253" s="108"/>
      <c r="O2253" s="105"/>
      <c r="P2253" s="105"/>
      <c r="Q2253" s="107"/>
      <c r="R2253" s="107"/>
    </row>
    <row r="2254" spans="13:18" x14ac:dyDescent="0.25">
      <c r="M2254" s="108"/>
      <c r="N2254" s="108"/>
      <c r="O2254" s="105"/>
      <c r="P2254" s="105"/>
      <c r="Q2254" s="107"/>
      <c r="R2254" s="107"/>
    </row>
    <row r="2255" spans="13:18" x14ac:dyDescent="0.25">
      <c r="M2255" s="108"/>
      <c r="N2255" s="108"/>
      <c r="O2255" s="105"/>
      <c r="P2255" s="105"/>
      <c r="Q2255" s="107"/>
      <c r="R2255" s="107"/>
    </row>
    <row r="2256" spans="13:18" x14ac:dyDescent="0.25">
      <c r="M2256" s="108"/>
      <c r="N2256" s="108"/>
      <c r="O2256" s="105"/>
      <c r="P2256" s="105"/>
      <c r="Q2256" s="107"/>
      <c r="R2256" s="107"/>
    </row>
    <row r="2257" spans="13:18" x14ac:dyDescent="0.25">
      <c r="M2257" s="108"/>
      <c r="N2257" s="108"/>
      <c r="O2257" s="105"/>
      <c r="P2257" s="105"/>
      <c r="Q2257" s="107"/>
      <c r="R2257" s="107"/>
    </row>
    <row r="2258" spans="13:18" x14ac:dyDescent="0.25">
      <c r="M2258" s="108"/>
      <c r="N2258" s="108"/>
      <c r="O2258" s="105"/>
      <c r="P2258" s="105"/>
      <c r="Q2258" s="107"/>
      <c r="R2258" s="107"/>
    </row>
    <row r="2259" spans="13:18" x14ac:dyDescent="0.25">
      <c r="M2259" s="108"/>
      <c r="N2259" s="108"/>
      <c r="O2259" s="105"/>
      <c r="P2259" s="105"/>
      <c r="Q2259" s="107"/>
      <c r="R2259" s="107"/>
    </row>
    <row r="2260" spans="13:18" x14ac:dyDescent="0.25">
      <c r="M2260" s="108"/>
      <c r="N2260" s="108"/>
      <c r="O2260" s="105"/>
      <c r="P2260" s="105"/>
      <c r="Q2260" s="107"/>
      <c r="R2260" s="107"/>
    </row>
    <row r="2261" spans="13:18" x14ac:dyDescent="0.25">
      <c r="M2261" s="108"/>
      <c r="N2261" s="108"/>
      <c r="O2261" s="105"/>
      <c r="P2261" s="105"/>
      <c r="Q2261" s="107"/>
      <c r="R2261" s="107"/>
    </row>
    <row r="2262" spans="13:18" x14ac:dyDescent="0.25">
      <c r="M2262" s="108"/>
      <c r="N2262" s="108"/>
      <c r="O2262" s="105"/>
      <c r="P2262" s="105"/>
      <c r="Q2262" s="107"/>
      <c r="R2262" s="107"/>
    </row>
    <row r="2263" spans="13:18" x14ac:dyDescent="0.25">
      <c r="M2263" s="108"/>
      <c r="N2263" s="108"/>
      <c r="O2263" s="105"/>
      <c r="P2263" s="105"/>
      <c r="Q2263" s="107"/>
      <c r="R2263" s="107"/>
    </row>
    <row r="2264" spans="13:18" x14ac:dyDescent="0.25">
      <c r="M2264" s="108"/>
      <c r="N2264" s="108"/>
      <c r="O2264" s="105"/>
      <c r="P2264" s="105"/>
      <c r="Q2264" s="107"/>
      <c r="R2264" s="107"/>
    </row>
    <row r="2265" spans="13:18" x14ac:dyDescent="0.25">
      <c r="M2265" s="108"/>
      <c r="N2265" s="108"/>
      <c r="O2265" s="105"/>
      <c r="P2265" s="105"/>
      <c r="Q2265" s="107"/>
      <c r="R2265" s="107"/>
    </row>
    <row r="2266" spans="13:18" x14ac:dyDescent="0.25">
      <c r="M2266" s="108"/>
      <c r="N2266" s="108"/>
      <c r="O2266" s="105"/>
      <c r="P2266" s="105"/>
      <c r="Q2266" s="107"/>
      <c r="R2266" s="107"/>
    </row>
    <row r="2267" spans="13:18" x14ac:dyDescent="0.25">
      <c r="M2267" s="108"/>
      <c r="N2267" s="108"/>
      <c r="O2267" s="105"/>
      <c r="P2267" s="105"/>
      <c r="Q2267" s="107"/>
      <c r="R2267" s="107"/>
    </row>
    <row r="2268" spans="13:18" x14ac:dyDescent="0.25">
      <c r="M2268" s="108"/>
      <c r="N2268" s="108"/>
      <c r="O2268" s="105"/>
      <c r="P2268" s="105"/>
      <c r="Q2268" s="107"/>
      <c r="R2268" s="107"/>
    </row>
    <row r="2269" spans="13:18" x14ac:dyDescent="0.25">
      <c r="M2269" s="108"/>
      <c r="N2269" s="108"/>
      <c r="O2269" s="105"/>
      <c r="P2269" s="105"/>
      <c r="Q2269" s="107"/>
      <c r="R2269" s="107"/>
    </row>
    <row r="2270" spans="13:18" x14ac:dyDescent="0.25">
      <c r="M2270" s="108"/>
      <c r="N2270" s="108"/>
      <c r="O2270" s="105"/>
      <c r="P2270" s="105"/>
      <c r="Q2270" s="107"/>
      <c r="R2270" s="107"/>
    </row>
    <row r="2271" spans="13:18" x14ac:dyDescent="0.25">
      <c r="M2271" s="108"/>
      <c r="N2271" s="108"/>
      <c r="O2271" s="105"/>
      <c r="P2271" s="105"/>
      <c r="Q2271" s="107"/>
      <c r="R2271" s="107"/>
    </row>
    <row r="2272" spans="13:18" x14ac:dyDescent="0.25">
      <c r="M2272" s="108"/>
      <c r="N2272" s="108"/>
      <c r="O2272" s="105"/>
      <c r="P2272" s="105"/>
      <c r="Q2272" s="107"/>
      <c r="R2272" s="107"/>
    </row>
    <row r="2273" spans="13:18" x14ac:dyDescent="0.25">
      <c r="M2273" s="108"/>
      <c r="N2273" s="108"/>
      <c r="O2273" s="105"/>
      <c r="P2273" s="105"/>
      <c r="Q2273" s="107"/>
      <c r="R2273" s="107"/>
    </row>
    <row r="2274" spans="13:18" x14ac:dyDescent="0.25">
      <c r="M2274" s="108"/>
      <c r="N2274" s="108"/>
      <c r="O2274" s="105"/>
      <c r="P2274" s="105"/>
      <c r="Q2274" s="107"/>
      <c r="R2274" s="107"/>
    </row>
    <row r="2275" spans="13:18" x14ac:dyDescent="0.25">
      <c r="M2275" s="108"/>
      <c r="N2275" s="108"/>
      <c r="O2275" s="105"/>
      <c r="P2275" s="105"/>
      <c r="Q2275" s="107"/>
      <c r="R2275" s="107"/>
    </row>
    <row r="2276" spans="13:18" x14ac:dyDescent="0.25">
      <c r="M2276" s="108"/>
      <c r="N2276" s="108"/>
      <c r="O2276" s="105"/>
      <c r="P2276" s="105"/>
      <c r="Q2276" s="107"/>
      <c r="R2276" s="107"/>
    </row>
    <row r="2277" spans="13:18" x14ac:dyDescent="0.25">
      <c r="M2277" s="108"/>
      <c r="N2277" s="108"/>
      <c r="O2277" s="105"/>
      <c r="P2277" s="105"/>
      <c r="Q2277" s="107"/>
      <c r="R2277" s="107"/>
    </row>
    <row r="2278" spans="13:18" x14ac:dyDescent="0.25">
      <c r="M2278" s="108"/>
      <c r="N2278" s="108"/>
      <c r="O2278" s="105"/>
      <c r="P2278" s="105"/>
      <c r="Q2278" s="107"/>
      <c r="R2278" s="107"/>
    </row>
    <row r="2279" spans="13:18" x14ac:dyDescent="0.25">
      <c r="M2279" s="108"/>
      <c r="N2279" s="108"/>
      <c r="O2279" s="105"/>
      <c r="P2279" s="105"/>
      <c r="Q2279" s="107"/>
      <c r="R2279" s="107"/>
    </row>
    <row r="2280" spans="13:18" x14ac:dyDescent="0.25">
      <c r="M2280" s="108"/>
      <c r="N2280" s="108"/>
      <c r="O2280" s="105"/>
      <c r="P2280" s="105"/>
      <c r="Q2280" s="107"/>
      <c r="R2280" s="107"/>
    </row>
    <row r="2281" spans="13:18" x14ac:dyDescent="0.25">
      <c r="M2281" s="108"/>
      <c r="N2281" s="108"/>
      <c r="O2281" s="105"/>
      <c r="P2281" s="105"/>
      <c r="Q2281" s="107"/>
      <c r="R2281" s="107"/>
    </row>
    <row r="2282" spans="13:18" x14ac:dyDescent="0.25">
      <c r="M2282" s="108"/>
      <c r="N2282" s="108"/>
      <c r="O2282" s="105"/>
      <c r="P2282" s="105"/>
      <c r="Q2282" s="107"/>
      <c r="R2282" s="107"/>
    </row>
    <row r="2283" spans="13:18" x14ac:dyDescent="0.25">
      <c r="M2283" s="108"/>
      <c r="N2283" s="108"/>
      <c r="O2283" s="105"/>
      <c r="P2283" s="105"/>
      <c r="Q2283" s="107"/>
      <c r="R2283" s="107"/>
    </row>
    <row r="2284" spans="13:18" x14ac:dyDescent="0.25">
      <c r="M2284" s="108"/>
      <c r="N2284" s="108"/>
      <c r="O2284" s="105"/>
      <c r="P2284" s="105"/>
      <c r="Q2284" s="107"/>
      <c r="R2284" s="107"/>
    </row>
    <row r="2285" spans="13:18" x14ac:dyDescent="0.25">
      <c r="M2285" s="108"/>
      <c r="N2285" s="108"/>
      <c r="O2285" s="105"/>
      <c r="P2285" s="105"/>
      <c r="Q2285" s="107"/>
      <c r="R2285" s="107"/>
    </row>
    <row r="2286" spans="13:18" x14ac:dyDescent="0.25">
      <c r="M2286" s="108"/>
      <c r="N2286" s="108"/>
      <c r="O2286" s="105"/>
      <c r="P2286" s="105"/>
      <c r="Q2286" s="107"/>
      <c r="R2286" s="107"/>
    </row>
    <row r="2287" spans="13:18" x14ac:dyDescent="0.25">
      <c r="M2287" s="108"/>
      <c r="N2287" s="108"/>
      <c r="O2287" s="105"/>
      <c r="P2287" s="105"/>
      <c r="Q2287" s="107"/>
      <c r="R2287" s="107"/>
    </row>
    <row r="2288" spans="13:18" x14ac:dyDescent="0.25">
      <c r="M2288" s="108"/>
      <c r="N2288" s="108"/>
      <c r="O2288" s="105"/>
      <c r="P2288" s="105"/>
      <c r="Q2288" s="107"/>
      <c r="R2288" s="107"/>
    </row>
    <row r="2289" spans="13:18" x14ac:dyDescent="0.25">
      <c r="M2289" s="108"/>
      <c r="N2289" s="108"/>
      <c r="O2289" s="105"/>
      <c r="P2289" s="105"/>
      <c r="Q2289" s="107"/>
      <c r="R2289" s="107"/>
    </row>
    <row r="2290" spans="13:18" x14ac:dyDescent="0.25">
      <c r="M2290" s="108"/>
      <c r="N2290" s="108"/>
      <c r="O2290" s="105"/>
      <c r="P2290" s="105"/>
      <c r="Q2290" s="107"/>
      <c r="R2290" s="107"/>
    </row>
    <row r="2291" spans="13:18" x14ac:dyDescent="0.25">
      <c r="M2291" s="108"/>
      <c r="N2291" s="108"/>
      <c r="O2291" s="105"/>
      <c r="P2291" s="105"/>
      <c r="Q2291" s="107"/>
      <c r="R2291" s="107"/>
    </row>
    <row r="2292" spans="13:18" x14ac:dyDescent="0.25">
      <c r="M2292" s="108"/>
      <c r="N2292" s="108"/>
      <c r="O2292" s="105"/>
      <c r="P2292" s="105"/>
      <c r="Q2292" s="107"/>
      <c r="R2292" s="107"/>
    </row>
    <row r="2293" spans="13:18" x14ac:dyDescent="0.25">
      <c r="M2293" s="108"/>
      <c r="N2293" s="108"/>
      <c r="O2293" s="105"/>
      <c r="P2293" s="105"/>
      <c r="Q2293" s="107"/>
      <c r="R2293" s="107"/>
    </row>
    <row r="2294" spans="13:18" x14ac:dyDescent="0.25">
      <c r="M2294" s="108"/>
      <c r="N2294" s="108"/>
      <c r="O2294" s="105"/>
      <c r="P2294" s="105"/>
      <c r="Q2294" s="107"/>
      <c r="R2294" s="107"/>
    </row>
    <row r="2295" spans="13:18" x14ac:dyDescent="0.25">
      <c r="M2295" s="108"/>
      <c r="N2295" s="108"/>
      <c r="O2295" s="105"/>
      <c r="P2295" s="105"/>
      <c r="Q2295" s="107"/>
      <c r="R2295" s="107"/>
    </row>
    <row r="2296" spans="13:18" x14ac:dyDescent="0.25">
      <c r="M2296" s="108"/>
      <c r="N2296" s="108"/>
      <c r="O2296" s="105"/>
      <c r="P2296" s="105"/>
      <c r="Q2296" s="107"/>
      <c r="R2296" s="107"/>
    </row>
    <row r="2297" spans="13:18" x14ac:dyDescent="0.25">
      <c r="M2297" s="108"/>
      <c r="N2297" s="108"/>
      <c r="O2297" s="105"/>
      <c r="P2297" s="105"/>
      <c r="Q2297" s="107"/>
      <c r="R2297" s="107"/>
    </row>
    <row r="2298" spans="13:18" x14ac:dyDescent="0.25">
      <c r="M2298" s="108"/>
      <c r="N2298" s="108"/>
      <c r="O2298" s="105"/>
      <c r="P2298" s="105"/>
      <c r="Q2298" s="107"/>
      <c r="R2298" s="107"/>
    </row>
    <row r="2299" spans="13:18" x14ac:dyDescent="0.25">
      <c r="M2299" s="108"/>
      <c r="N2299" s="108"/>
      <c r="O2299" s="105"/>
      <c r="P2299" s="105"/>
      <c r="Q2299" s="107"/>
      <c r="R2299" s="107"/>
    </row>
    <row r="2300" spans="13:18" x14ac:dyDescent="0.25">
      <c r="M2300" s="108"/>
      <c r="N2300" s="108"/>
      <c r="O2300" s="105"/>
      <c r="P2300" s="105"/>
      <c r="Q2300" s="107"/>
      <c r="R2300" s="107"/>
    </row>
    <row r="2301" spans="13:18" x14ac:dyDescent="0.25">
      <c r="M2301" s="108"/>
      <c r="N2301" s="108"/>
      <c r="O2301" s="105"/>
      <c r="P2301" s="105"/>
      <c r="Q2301" s="107"/>
      <c r="R2301" s="107"/>
    </row>
    <row r="2302" spans="13:18" x14ac:dyDescent="0.25">
      <c r="M2302" s="108"/>
      <c r="N2302" s="108"/>
      <c r="O2302" s="105"/>
      <c r="P2302" s="105"/>
      <c r="Q2302" s="107"/>
      <c r="R2302" s="107"/>
    </row>
    <row r="2303" spans="13:18" x14ac:dyDescent="0.25">
      <c r="M2303" s="108"/>
      <c r="N2303" s="108"/>
      <c r="O2303" s="105"/>
      <c r="P2303" s="105"/>
      <c r="Q2303" s="107"/>
      <c r="R2303" s="107"/>
    </row>
    <row r="2304" spans="13:18" x14ac:dyDescent="0.25">
      <c r="M2304" s="108"/>
      <c r="N2304" s="108"/>
      <c r="O2304" s="105"/>
      <c r="P2304" s="105"/>
      <c r="Q2304" s="107"/>
      <c r="R2304" s="107"/>
    </row>
    <row r="2305" spans="13:18" x14ac:dyDescent="0.25">
      <c r="M2305" s="108"/>
      <c r="N2305" s="108"/>
      <c r="O2305" s="105"/>
      <c r="P2305" s="105"/>
      <c r="Q2305" s="107"/>
      <c r="R2305" s="107"/>
    </row>
    <row r="2306" spans="13:18" x14ac:dyDescent="0.25">
      <c r="M2306" s="108"/>
      <c r="N2306" s="108"/>
      <c r="O2306" s="105"/>
      <c r="P2306" s="105"/>
      <c r="Q2306" s="107"/>
      <c r="R2306" s="107"/>
    </row>
    <row r="2307" spans="13:18" x14ac:dyDescent="0.25">
      <c r="M2307" s="108"/>
      <c r="N2307" s="108"/>
      <c r="O2307" s="105"/>
      <c r="P2307" s="105"/>
      <c r="Q2307" s="107"/>
      <c r="R2307" s="107"/>
    </row>
    <row r="2308" spans="13:18" x14ac:dyDescent="0.25">
      <c r="M2308" s="108"/>
      <c r="N2308" s="108"/>
      <c r="O2308" s="105"/>
      <c r="P2308" s="105"/>
      <c r="Q2308" s="107"/>
      <c r="R2308" s="107"/>
    </row>
    <row r="2309" spans="13:18" x14ac:dyDescent="0.25">
      <c r="M2309" s="108"/>
      <c r="N2309" s="108"/>
      <c r="O2309" s="105"/>
      <c r="P2309" s="105"/>
      <c r="Q2309" s="107"/>
      <c r="R2309" s="107"/>
    </row>
    <row r="2310" spans="13:18" x14ac:dyDescent="0.25">
      <c r="M2310" s="108"/>
      <c r="N2310" s="108"/>
      <c r="O2310" s="105"/>
      <c r="P2310" s="105"/>
      <c r="Q2310" s="107"/>
      <c r="R2310" s="107"/>
    </row>
    <row r="2311" spans="13:18" x14ac:dyDescent="0.25">
      <c r="M2311" s="108"/>
      <c r="N2311" s="108"/>
      <c r="O2311" s="105"/>
      <c r="P2311" s="105"/>
      <c r="Q2311" s="107"/>
      <c r="R2311" s="107"/>
    </row>
    <row r="2312" spans="13:18" x14ac:dyDescent="0.25">
      <c r="M2312" s="108"/>
      <c r="N2312" s="108"/>
      <c r="O2312" s="105"/>
      <c r="P2312" s="105"/>
      <c r="Q2312" s="107"/>
      <c r="R2312" s="107"/>
    </row>
    <row r="2313" spans="13:18" x14ac:dyDescent="0.25">
      <c r="M2313" s="108"/>
      <c r="N2313" s="108"/>
      <c r="O2313" s="105"/>
      <c r="P2313" s="105"/>
      <c r="Q2313" s="107"/>
      <c r="R2313" s="107"/>
    </row>
    <row r="2314" spans="13:18" x14ac:dyDescent="0.25">
      <c r="M2314" s="108"/>
      <c r="N2314" s="108"/>
      <c r="O2314" s="105"/>
      <c r="P2314" s="105"/>
      <c r="Q2314" s="107"/>
      <c r="R2314" s="107"/>
    </row>
    <row r="2315" spans="13:18" x14ac:dyDescent="0.25">
      <c r="M2315" s="108"/>
      <c r="N2315" s="108"/>
      <c r="O2315" s="105"/>
      <c r="P2315" s="105"/>
      <c r="Q2315" s="107"/>
      <c r="R2315" s="107"/>
    </row>
    <row r="2316" spans="13:18" x14ac:dyDescent="0.25">
      <c r="M2316" s="108"/>
      <c r="N2316" s="108"/>
      <c r="O2316" s="105"/>
      <c r="P2316" s="105"/>
      <c r="Q2316" s="107"/>
      <c r="R2316" s="107"/>
    </row>
    <row r="2317" spans="13:18" x14ac:dyDescent="0.25">
      <c r="M2317" s="108"/>
      <c r="N2317" s="108"/>
      <c r="O2317" s="105"/>
      <c r="P2317" s="105"/>
      <c r="Q2317" s="107"/>
      <c r="R2317" s="107"/>
    </row>
    <row r="2318" spans="13:18" x14ac:dyDescent="0.25">
      <c r="M2318" s="108"/>
      <c r="N2318" s="108"/>
      <c r="O2318" s="105"/>
      <c r="P2318" s="105"/>
      <c r="Q2318" s="107"/>
      <c r="R2318" s="107"/>
    </row>
    <row r="2319" spans="13:18" x14ac:dyDescent="0.25">
      <c r="M2319" s="108"/>
      <c r="N2319" s="108"/>
      <c r="O2319" s="105"/>
      <c r="P2319" s="105"/>
      <c r="Q2319" s="107"/>
      <c r="R2319" s="107"/>
    </row>
    <row r="2320" spans="13:18" x14ac:dyDescent="0.25">
      <c r="M2320" s="108"/>
      <c r="N2320" s="108"/>
      <c r="O2320" s="105"/>
      <c r="P2320" s="105"/>
      <c r="Q2320" s="107"/>
      <c r="R2320" s="107"/>
    </row>
    <row r="2321" spans="13:18" x14ac:dyDescent="0.25">
      <c r="M2321" s="108"/>
      <c r="N2321" s="108"/>
      <c r="O2321" s="105"/>
      <c r="P2321" s="105"/>
      <c r="Q2321" s="107"/>
      <c r="R2321" s="107"/>
    </row>
    <row r="2322" spans="13:18" x14ac:dyDescent="0.25">
      <c r="M2322" s="108"/>
      <c r="N2322" s="108"/>
      <c r="O2322" s="105"/>
      <c r="P2322" s="105"/>
      <c r="Q2322" s="107"/>
      <c r="R2322" s="107"/>
    </row>
    <row r="2323" spans="13:18" x14ac:dyDescent="0.25">
      <c r="M2323" s="108"/>
      <c r="N2323" s="108"/>
      <c r="O2323" s="105"/>
      <c r="P2323" s="105"/>
      <c r="Q2323" s="107"/>
      <c r="R2323" s="107"/>
    </row>
    <row r="2324" spans="13:18" x14ac:dyDescent="0.25">
      <c r="M2324" s="108"/>
      <c r="N2324" s="108"/>
      <c r="O2324" s="105"/>
      <c r="P2324" s="105"/>
      <c r="Q2324" s="107"/>
      <c r="R2324" s="107"/>
    </row>
    <row r="2325" spans="13:18" x14ac:dyDescent="0.25">
      <c r="M2325" s="108"/>
      <c r="N2325" s="108"/>
      <c r="O2325" s="105"/>
      <c r="P2325" s="105"/>
      <c r="Q2325" s="107"/>
      <c r="R2325" s="107"/>
    </row>
    <row r="2326" spans="13:18" x14ac:dyDescent="0.25">
      <c r="M2326" s="108"/>
      <c r="N2326" s="108"/>
      <c r="O2326" s="105"/>
      <c r="P2326" s="105"/>
      <c r="Q2326" s="107"/>
      <c r="R2326" s="107"/>
    </row>
    <row r="2327" spans="13:18" x14ac:dyDescent="0.25">
      <c r="M2327" s="108"/>
      <c r="N2327" s="108"/>
      <c r="O2327" s="105"/>
      <c r="P2327" s="105"/>
      <c r="Q2327" s="107"/>
      <c r="R2327" s="107"/>
    </row>
    <row r="2328" spans="13:18" x14ac:dyDescent="0.25">
      <c r="M2328" s="108"/>
      <c r="N2328" s="108"/>
      <c r="O2328" s="105"/>
      <c r="P2328" s="105"/>
      <c r="Q2328" s="107"/>
      <c r="R2328" s="107"/>
    </row>
    <row r="2329" spans="13:18" x14ac:dyDescent="0.25">
      <c r="M2329" s="108"/>
      <c r="N2329" s="108"/>
      <c r="O2329" s="105"/>
      <c r="P2329" s="105"/>
      <c r="Q2329" s="107"/>
      <c r="R2329" s="107"/>
    </row>
    <row r="2330" spans="13:18" x14ac:dyDescent="0.25">
      <c r="M2330" s="108"/>
      <c r="N2330" s="108"/>
      <c r="O2330" s="105"/>
      <c r="P2330" s="105"/>
      <c r="Q2330" s="107"/>
      <c r="R2330" s="107"/>
    </row>
    <row r="2331" spans="13:18" x14ac:dyDescent="0.25">
      <c r="M2331" s="108"/>
      <c r="N2331" s="108"/>
      <c r="O2331" s="105"/>
      <c r="P2331" s="105"/>
      <c r="Q2331" s="107"/>
      <c r="R2331" s="107"/>
    </row>
    <row r="2332" spans="13:18" x14ac:dyDescent="0.25">
      <c r="M2332" s="108"/>
      <c r="N2332" s="108"/>
      <c r="O2332" s="105"/>
      <c r="P2332" s="105"/>
      <c r="Q2332" s="107"/>
      <c r="R2332" s="107"/>
    </row>
    <row r="2333" spans="13:18" x14ac:dyDescent="0.25">
      <c r="M2333" s="108"/>
      <c r="N2333" s="108"/>
      <c r="O2333" s="105"/>
      <c r="P2333" s="105"/>
      <c r="Q2333" s="107"/>
      <c r="R2333" s="107"/>
    </row>
    <row r="2334" spans="13:18" x14ac:dyDescent="0.25">
      <c r="M2334" s="108"/>
      <c r="N2334" s="108"/>
      <c r="O2334" s="105"/>
      <c r="P2334" s="105"/>
      <c r="Q2334" s="107"/>
      <c r="R2334" s="107"/>
    </row>
    <row r="2335" spans="13:18" x14ac:dyDescent="0.25">
      <c r="M2335" s="108"/>
      <c r="N2335" s="108"/>
      <c r="O2335" s="105"/>
      <c r="P2335" s="105"/>
      <c r="Q2335" s="107"/>
      <c r="R2335" s="107"/>
    </row>
    <row r="2336" spans="13:18" x14ac:dyDescent="0.25">
      <c r="M2336" s="108"/>
      <c r="N2336" s="108"/>
      <c r="O2336" s="105"/>
      <c r="P2336" s="105"/>
      <c r="Q2336" s="107"/>
      <c r="R2336" s="107"/>
    </row>
    <row r="2337" spans="13:18" x14ac:dyDescent="0.25">
      <c r="M2337" s="108"/>
      <c r="N2337" s="108"/>
      <c r="O2337" s="105"/>
      <c r="P2337" s="105"/>
      <c r="Q2337" s="107"/>
      <c r="R2337" s="107"/>
    </row>
    <row r="2338" spans="13:18" x14ac:dyDescent="0.25">
      <c r="M2338" s="108"/>
      <c r="N2338" s="108"/>
      <c r="O2338" s="105"/>
      <c r="P2338" s="105"/>
      <c r="Q2338" s="107"/>
      <c r="R2338" s="107"/>
    </row>
    <row r="2339" spans="13:18" x14ac:dyDescent="0.25">
      <c r="M2339" s="108"/>
      <c r="N2339" s="108"/>
      <c r="O2339" s="105"/>
      <c r="P2339" s="105"/>
      <c r="Q2339" s="107"/>
      <c r="R2339" s="107"/>
    </row>
    <row r="2340" spans="13:18" x14ac:dyDescent="0.25">
      <c r="M2340" s="108"/>
      <c r="N2340" s="108"/>
      <c r="O2340" s="105"/>
      <c r="P2340" s="105"/>
      <c r="Q2340" s="107"/>
      <c r="R2340" s="107"/>
    </row>
    <row r="2341" spans="13:18" x14ac:dyDescent="0.25">
      <c r="M2341" s="108"/>
      <c r="N2341" s="108"/>
      <c r="O2341" s="105"/>
      <c r="P2341" s="105"/>
      <c r="Q2341" s="107"/>
      <c r="R2341" s="107"/>
    </row>
    <row r="2342" spans="13:18" x14ac:dyDescent="0.25">
      <c r="M2342" s="108"/>
      <c r="N2342" s="108"/>
      <c r="O2342" s="105"/>
      <c r="P2342" s="105"/>
      <c r="Q2342" s="107"/>
      <c r="R2342" s="107"/>
    </row>
    <row r="2343" spans="13:18" x14ac:dyDescent="0.25">
      <c r="M2343" s="108"/>
      <c r="N2343" s="108"/>
      <c r="O2343" s="105"/>
      <c r="P2343" s="105"/>
      <c r="Q2343" s="107"/>
      <c r="R2343" s="107"/>
    </row>
    <row r="2344" spans="13:18" x14ac:dyDescent="0.25">
      <c r="M2344" s="108"/>
      <c r="N2344" s="108"/>
      <c r="O2344" s="105"/>
      <c r="P2344" s="105"/>
      <c r="Q2344" s="107"/>
      <c r="R2344" s="107"/>
    </row>
    <row r="2345" spans="13:18" x14ac:dyDescent="0.25">
      <c r="M2345" s="108"/>
      <c r="N2345" s="108"/>
      <c r="O2345" s="105"/>
      <c r="P2345" s="105"/>
      <c r="Q2345" s="107"/>
      <c r="R2345" s="107"/>
    </row>
    <row r="2346" spans="13:18" x14ac:dyDescent="0.25">
      <c r="M2346" s="108"/>
      <c r="N2346" s="108"/>
      <c r="O2346" s="105"/>
      <c r="P2346" s="105"/>
      <c r="Q2346" s="107"/>
      <c r="R2346" s="107"/>
    </row>
    <row r="2347" spans="13:18" x14ac:dyDescent="0.25">
      <c r="M2347" s="108"/>
      <c r="N2347" s="108"/>
      <c r="O2347" s="105"/>
      <c r="P2347" s="105"/>
      <c r="Q2347" s="107"/>
      <c r="R2347" s="107"/>
    </row>
    <row r="2348" spans="13:18" x14ac:dyDescent="0.25">
      <c r="M2348" s="108"/>
      <c r="N2348" s="108"/>
      <c r="O2348" s="105"/>
      <c r="P2348" s="105"/>
      <c r="Q2348" s="107"/>
      <c r="R2348" s="107"/>
    </row>
    <row r="2349" spans="13:18" x14ac:dyDescent="0.25">
      <c r="M2349" s="108"/>
      <c r="N2349" s="108"/>
      <c r="O2349" s="105"/>
      <c r="P2349" s="105"/>
      <c r="Q2349" s="107"/>
      <c r="R2349" s="107"/>
    </row>
    <row r="2350" spans="13:18" x14ac:dyDescent="0.25">
      <c r="M2350" s="108"/>
      <c r="N2350" s="108"/>
      <c r="O2350" s="105"/>
      <c r="P2350" s="105"/>
      <c r="Q2350" s="107"/>
      <c r="R2350" s="107"/>
    </row>
    <row r="2351" spans="13:18" x14ac:dyDescent="0.25">
      <c r="M2351" s="108"/>
      <c r="N2351" s="108"/>
      <c r="O2351" s="105"/>
      <c r="P2351" s="105"/>
      <c r="Q2351" s="107"/>
      <c r="R2351" s="107"/>
    </row>
    <row r="2352" spans="13:18" x14ac:dyDescent="0.25">
      <c r="M2352" s="108"/>
      <c r="N2352" s="108"/>
      <c r="O2352" s="105"/>
      <c r="P2352" s="105"/>
      <c r="Q2352" s="107"/>
      <c r="R2352" s="107"/>
    </row>
    <row r="2353" spans="13:18" x14ac:dyDescent="0.25">
      <c r="M2353" s="108"/>
      <c r="N2353" s="108"/>
      <c r="O2353" s="105"/>
      <c r="P2353" s="105"/>
      <c r="Q2353" s="107"/>
      <c r="R2353" s="107"/>
    </row>
    <row r="2354" spans="13:18" x14ac:dyDescent="0.25">
      <c r="M2354" s="108"/>
      <c r="N2354" s="108"/>
      <c r="O2354" s="105"/>
      <c r="P2354" s="105"/>
      <c r="Q2354" s="107"/>
      <c r="R2354" s="107"/>
    </row>
    <row r="2355" spans="13:18" x14ac:dyDescent="0.25">
      <c r="M2355" s="108"/>
      <c r="N2355" s="108"/>
      <c r="O2355" s="105"/>
      <c r="P2355" s="105"/>
      <c r="Q2355" s="107"/>
      <c r="R2355" s="107"/>
    </row>
    <row r="2356" spans="13:18" x14ac:dyDescent="0.25">
      <c r="M2356" s="108"/>
      <c r="N2356" s="108"/>
      <c r="O2356" s="105"/>
      <c r="P2356" s="105"/>
      <c r="Q2356" s="107"/>
      <c r="R2356" s="107"/>
    </row>
    <row r="2357" spans="13:18" x14ac:dyDescent="0.25">
      <c r="M2357" s="108"/>
      <c r="N2357" s="108"/>
      <c r="O2357" s="105"/>
      <c r="P2357" s="105"/>
      <c r="Q2357" s="107"/>
      <c r="R2357" s="107"/>
    </row>
    <row r="2358" spans="13:18" x14ac:dyDescent="0.25">
      <c r="M2358" s="108"/>
      <c r="N2358" s="108"/>
      <c r="O2358" s="105"/>
      <c r="P2358" s="105"/>
      <c r="Q2358" s="107"/>
      <c r="R2358" s="107"/>
    </row>
    <row r="2359" spans="13:18" x14ac:dyDescent="0.25">
      <c r="M2359" s="108"/>
      <c r="N2359" s="108"/>
      <c r="O2359" s="105"/>
      <c r="P2359" s="105"/>
      <c r="Q2359" s="107"/>
      <c r="R2359" s="107"/>
    </row>
    <row r="2360" spans="13:18" x14ac:dyDescent="0.25">
      <c r="M2360" s="108"/>
      <c r="N2360" s="108"/>
      <c r="O2360" s="105"/>
      <c r="P2360" s="105"/>
      <c r="Q2360" s="107"/>
      <c r="R2360" s="107"/>
    </row>
    <row r="2361" spans="13:18" x14ac:dyDescent="0.25">
      <c r="M2361" s="108"/>
      <c r="N2361" s="108"/>
      <c r="O2361" s="105"/>
      <c r="P2361" s="105"/>
      <c r="Q2361" s="107"/>
      <c r="R2361" s="107"/>
    </row>
    <row r="2362" spans="13:18" x14ac:dyDescent="0.25">
      <c r="M2362" s="108"/>
      <c r="N2362" s="108"/>
      <c r="O2362" s="105"/>
      <c r="P2362" s="105"/>
      <c r="Q2362" s="107"/>
      <c r="R2362" s="107"/>
    </row>
    <row r="2363" spans="13:18" x14ac:dyDescent="0.25">
      <c r="M2363" s="108"/>
      <c r="N2363" s="108"/>
      <c r="O2363" s="105"/>
      <c r="P2363" s="105"/>
      <c r="Q2363" s="107"/>
      <c r="R2363" s="107"/>
    </row>
    <row r="2364" spans="13:18" x14ac:dyDescent="0.25">
      <c r="M2364" s="108"/>
      <c r="N2364" s="108"/>
      <c r="O2364" s="105"/>
      <c r="P2364" s="105"/>
      <c r="Q2364" s="107"/>
      <c r="R2364" s="107"/>
    </row>
    <row r="2365" spans="13:18" x14ac:dyDescent="0.25">
      <c r="M2365" s="108"/>
      <c r="N2365" s="108"/>
      <c r="O2365" s="105"/>
      <c r="P2365" s="105"/>
      <c r="Q2365" s="107"/>
      <c r="R2365" s="107"/>
    </row>
    <row r="2366" spans="13:18" x14ac:dyDescent="0.25">
      <c r="M2366" s="108"/>
      <c r="N2366" s="108"/>
      <c r="O2366" s="105"/>
      <c r="P2366" s="105"/>
      <c r="Q2366" s="107"/>
      <c r="R2366" s="107"/>
    </row>
    <row r="2367" spans="13:18" x14ac:dyDescent="0.25">
      <c r="M2367" s="108"/>
      <c r="N2367" s="108"/>
      <c r="O2367" s="105"/>
      <c r="P2367" s="105"/>
      <c r="Q2367" s="107"/>
      <c r="R2367" s="107"/>
    </row>
    <row r="2368" spans="13:18" x14ac:dyDescent="0.25">
      <c r="M2368" s="108"/>
      <c r="N2368" s="108"/>
      <c r="O2368" s="105"/>
      <c r="P2368" s="105"/>
      <c r="Q2368" s="107"/>
      <c r="R2368" s="107"/>
    </row>
    <row r="2369" spans="13:18" x14ac:dyDescent="0.25">
      <c r="M2369" s="108"/>
      <c r="N2369" s="108"/>
      <c r="O2369" s="105"/>
      <c r="P2369" s="105"/>
      <c r="Q2369" s="107"/>
      <c r="R2369" s="107"/>
    </row>
    <row r="2370" spans="13:18" x14ac:dyDescent="0.25">
      <c r="M2370" s="108"/>
      <c r="N2370" s="108"/>
      <c r="O2370" s="105"/>
      <c r="P2370" s="105"/>
      <c r="Q2370" s="107"/>
      <c r="R2370" s="107"/>
    </row>
    <row r="2371" spans="13:18" x14ac:dyDescent="0.25">
      <c r="M2371" s="108"/>
      <c r="N2371" s="108"/>
      <c r="O2371" s="105"/>
      <c r="P2371" s="105"/>
      <c r="Q2371" s="107"/>
      <c r="R2371" s="107"/>
    </row>
    <row r="2372" spans="13:18" x14ac:dyDescent="0.25">
      <c r="M2372" s="108"/>
      <c r="N2372" s="108"/>
      <c r="O2372" s="105"/>
      <c r="P2372" s="105"/>
      <c r="Q2372" s="107"/>
      <c r="R2372" s="107"/>
    </row>
    <row r="2373" spans="13:18" x14ac:dyDescent="0.25">
      <c r="M2373" s="108"/>
      <c r="N2373" s="108"/>
      <c r="O2373" s="105"/>
      <c r="P2373" s="105"/>
      <c r="Q2373" s="107"/>
      <c r="R2373" s="107"/>
    </row>
    <row r="2374" spans="13:18" x14ac:dyDescent="0.25">
      <c r="M2374" s="108"/>
      <c r="N2374" s="108"/>
      <c r="O2374" s="105"/>
      <c r="P2374" s="105"/>
      <c r="Q2374" s="107"/>
      <c r="R2374" s="107"/>
    </row>
    <row r="2375" spans="13:18" x14ac:dyDescent="0.25">
      <c r="M2375" s="108"/>
      <c r="N2375" s="108"/>
      <c r="O2375" s="105"/>
      <c r="P2375" s="105"/>
      <c r="Q2375" s="107"/>
      <c r="R2375" s="107"/>
    </row>
    <row r="2376" spans="13:18" x14ac:dyDescent="0.25">
      <c r="M2376" s="108"/>
      <c r="N2376" s="108"/>
      <c r="O2376" s="105"/>
      <c r="P2376" s="105"/>
      <c r="Q2376" s="107"/>
      <c r="R2376" s="107"/>
    </row>
    <row r="2377" spans="13:18" x14ac:dyDescent="0.25">
      <c r="M2377" s="108"/>
      <c r="N2377" s="108"/>
      <c r="O2377" s="105"/>
      <c r="P2377" s="105"/>
      <c r="Q2377" s="107"/>
      <c r="R2377" s="107"/>
    </row>
    <row r="2378" spans="13:18" x14ac:dyDescent="0.25">
      <c r="M2378" s="108"/>
      <c r="N2378" s="108"/>
      <c r="O2378" s="105"/>
      <c r="P2378" s="105"/>
      <c r="Q2378" s="107"/>
      <c r="R2378" s="107"/>
    </row>
    <row r="2379" spans="13:18" x14ac:dyDescent="0.25">
      <c r="M2379" s="108"/>
      <c r="N2379" s="108"/>
      <c r="O2379" s="105"/>
      <c r="P2379" s="105"/>
      <c r="Q2379" s="107"/>
      <c r="R2379" s="107"/>
    </row>
    <row r="2380" spans="13:18" x14ac:dyDescent="0.25">
      <c r="M2380" s="108"/>
      <c r="N2380" s="108"/>
      <c r="O2380" s="105"/>
      <c r="P2380" s="105"/>
      <c r="Q2380" s="107"/>
      <c r="R2380" s="107"/>
    </row>
    <row r="2381" spans="13:18" x14ac:dyDescent="0.25">
      <c r="M2381" s="108"/>
      <c r="N2381" s="108"/>
      <c r="O2381" s="105"/>
      <c r="P2381" s="105"/>
      <c r="Q2381" s="107"/>
      <c r="R2381" s="107"/>
    </row>
    <row r="2382" spans="13:18" x14ac:dyDescent="0.25">
      <c r="M2382" s="108"/>
      <c r="N2382" s="108"/>
      <c r="O2382" s="105"/>
      <c r="P2382" s="105"/>
      <c r="Q2382" s="107"/>
      <c r="R2382" s="107"/>
    </row>
    <row r="2383" spans="13:18" x14ac:dyDescent="0.25">
      <c r="M2383" s="108"/>
      <c r="N2383" s="108"/>
      <c r="O2383" s="105"/>
      <c r="P2383" s="105"/>
      <c r="Q2383" s="107"/>
      <c r="R2383" s="107"/>
    </row>
    <row r="2384" spans="13:18" x14ac:dyDescent="0.25">
      <c r="M2384" s="108"/>
      <c r="N2384" s="108"/>
      <c r="O2384" s="105"/>
      <c r="P2384" s="105"/>
      <c r="Q2384" s="107"/>
      <c r="R2384" s="107"/>
    </row>
    <row r="2385" spans="13:18" x14ac:dyDescent="0.25">
      <c r="M2385" s="108"/>
      <c r="N2385" s="108"/>
      <c r="O2385" s="105"/>
      <c r="P2385" s="105"/>
      <c r="Q2385" s="107"/>
      <c r="R2385" s="107"/>
    </row>
    <row r="2386" spans="13:18" x14ac:dyDescent="0.25">
      <c r="M2386" s="108"/>
      <c r="N2386" s="108"/>
      <c r="O2386" s="105"/>
      <c r="P2386" s="105"/>
      <c r="Q2386" s="107"/>
      <c r="R2386" s="107"/>
    </row>
    <row r="2387" spans="13:18" x14ac:dyDescent="0.25">
      <c r="M2387" s="108"/>
      <c r="N2387" s="108"/>
      <c r="O2387" s="105"/>
      <c r="P2387" s="105"/>
      <c r="Q2387" s="107"/>
      <c r="R2387" s="107"/>
    </row>
    <row r="2388" spans="13:18" x14ac:dyDescent="0.25">
      <c r="M2388" s="108"/>
      <c r="N2388" s="108"/>
      <c r="O2388" s="105"/>
      <c r="P2388" s="105"/>
      <c r="Q2388" s="107"/>
      <c r="R2388" s="107"/>
    </row>
    <row r="2389" spans="13:18" x14ac:dyDescent="0.25">
      <c r="M2389" s="108"/>
      <c r="N2389" s="108"/>
      <c r="O2389" s="105"/>
      <c r="P2389" s="105"/>
      <c r="Q2389" s="107"/>
      <c r="R2389" s="107"/>
    </row>
    <row r="2390" spans="13:18" x14ac:dyDescent="0.25">
      <c r="M2390" s="108"/>
      <c r="N2390" s="108"/>
      <c r="O2390" s="105"/>
      <c r="P2390" s="105"/>
      <c r="Q2390" s="107"/>
      <c r="R2390" s="107"/>
    </row>
    <row r="2391" spans="13:18" x14ac:dyDescent="0.25">
      <c r="M2391" s="108"/>
      <c r="N2391" s="108"/>
      <c r="O2391" s="105"/>
      <c r="P2391" s="105"/>
      <c r="Q2391" s="107"/>
      <c r="R2391" s="107"/>
    </row>
    <row r="2392" spans="13:18" x14ac:dyDescent="0.25">
      <c r="M2392" s="108"/>
      <c r="N2392" s="108"/>
      <c r="O2392" s="105"/>
      <c r="P2392" s="105"/>
      <c r="Q2392" s="107"/>
      <c r="R2392" s="107"/>
    </row>
    <row r="2393" spans="13:18" x14ac:dyDescent="0.25">
      <c r="M2393" s="108"/>
      <c r="N2393" s="108"/>
      <c r="O2393" s="105"/>
      <c r="P2393" s="105"/>
      <c r="Q2393" s="107"/>
      <c r="R2393" s="107"/>
    </row>
    <row r="2394" spans="13:18" x14ac:dyDescent="0.25">
      <c r="M2394" s="108"/>
      <c r="N2394" s="108"/>
      <c r="O2394" s="105"/>
      <c r="P2394" s="105"/>
      <c r="Q2394" s="107"/>
      <c r="R2394" s="107"/>
    </row>
    <row r="2395" spans="13:18" x14ac:dyDescent="0.25">
      <c r="M2395" s="108"/>
      <c r="N2395" s="108"/>
      <c r="O2395" s="105"/>
      <c r="P2395" s="105"/>
      <c r="Q2395" s="107"/>
      <c r="R2395" s="107"/>
    </row>
    <row r="2396" spans="13:18" x14ac:dyDescent="0.25">
      <c r="M2396" s="108"/>
      <c r="N2396" s="108"/>
      <c r="O2396" s="105"/>
      <c r="P2396" s="105"/>
      <c r="Q2396" s="107"/>
      <c r="R2396" s="107"/>
    </row>
    <row r="2397" spans="13:18" x14ac:dyDescent="0.25">
      <c r="M2397" s="108"/>
      <c r="N2397" s="108"/>
      <c r="O2397" s="105"/>
      <c r="P2397" s="105"/>
      <c r="Q2397" s="107"/>
      <c r="R2397" s="107"/>
    </row>
    <row r="2398" spans="13:18" x14ac:dyDescent="0.25">
      <c r="M2398" s="108"/>
      <c r="N2398" s="108"/>
      <c r="O2398" s="105"/>
      <c r="P2398" s="105"/>
      <c r="Q2398" s="107"/>
      <c r="R2398" s="107"/>
    </row>
    <row r="2399" spans="13:18" x14ac:dyDescent="0.25">
      <c r="M2399" s="108"/>
      <c r="N2399" s="108"/>
      <c r="O2399" s="105"/>
      <c r="P2399" s="105"/>
      <c r="Q2399" s="107"/>
      <c r="R2399" s="107"/>
    </row>
    <row r="2400" spans="13:18" x14ac:dyDescent="0.25">
      <c r="M2400" s="108"/>
      <c r="N2400" s="108"/>
      <c r="O2400" s="105"/>
      <c r="P2400" s="105"/>
      <c r="Q2400" s="107"/>
      <c r="R2400" s="107"/>
    </row>
    <row r="2401" spans="13:18" x14ac:dyDescent="0.25">
      <c r="M2401" s="108"/>
      <c r="N2401" s="108"/>
      <c r="O2401" s="105"/>
      <c r="P2401" s="105"/>
      <c r="Q2401" s="107"/>
      <c r="R2401" s="107"/>
    </row>
    <row r="2402" spans="13:18" x14ac:dyDescent="0.25">
      <c r="M2402" s="108"/>
      <c r="N2402" s="108"/>
      <c r="O2402" s="105"/>
      <c r="P2402" s="105"/>
      <c r="Q2402" s="107"/>
      <c r="R2402" s="107"/>
    </row>
    <row r="2403" spans="13:18" x14ac:dyDescent="0.25">
      <c r="M2403" s="108"/>
      <c r="N2403" s="108"/>
      <c r="O2403" s="105"/>
      <c r="P2403" s="105"/>
      <c r="Q2403" s="107"/>
      <c r="R2403" s="107"/>
    </row>
    <row r="2404" spans="13:18" x14ac:dyDescent="0.25">
      <c r="M2404" s="108"/>
      <c r="N2404" s="108"/>
      <c r="O2404" s="105"/>
      <c r="P2404" s="105"/>
      <c r="Q2404" s="107"/>
      <c r="R2404" s="107"/>
    </row>
    <row r="2405" spans="13:18" x14ac:dyDescent="0.25">
      <c r="M2405" s="108"/>
      <c r="N2405" s="108"/>
      <c r="O2405" s="105"/>
      <c r="P2405" s="105"/>
      <c r="Q2405" s="107"/>
      <c r="R2405" s="107"/>
    </row>
    <row r="2406" spans="13:18" x14ac:dyDescent="0.25">
      <c r="M2406" s="108"/>
      <c r="N2406" s="108"/>
      <c r="O2406" s="105"/>
      <c r="P2406" s="105"/>
      <c r="Q2406" s="107"/>
      <c r="R2406" s="107"/>
    </row>
    <row r="2407" spans="13:18" x14ac:dyDescent="0.25">
      <c r="M2407" s="108"/>
      <c r="N2407" s="108"/>
      <c r="O2407" s="105"/>
      <c r="P2407" s="105"/>
      <c r="Q2407" s="107"/>
      <c r="R2407" s="107"/>
    </row>
    <row r="2408" spans="13:18" x14ac:dyDescent="0.25">
      <c r="M2408" s="108"/>
      <c r="N2408" s="108"/>
      <c r="O2408" s="105"/>
      <c r="P2408" s="105"/>
      <c r="Q2408" s="107"/>
      <c r="R2408" s="107"/>
    </row>
    <row r="2409" spans="13:18" x14ac:dyDescent="0.25">
      <c r="M2409" s="108"/>
      <c r="N2409" s="108"/>
      <c r="O2409" s="105"/>
      <c r="P2409" s="105"/>
      <c r="Q2409" s="107"/>
      <c r="R2409" s="107"/>
    </row>
    <row r="2410" spans="13:18" x14ac:dyDescent="0.25">
      <c r="M2410" s="108"/>
      <c r="N2410" s="108"/>
      <c r="O2410" s="105"/>
      <c r="P2410" s="105"/>
      <c r="Q2410" s="107"/>
      <c r="R2410" s="107"/>
    </row>
    <row r="2411" spans="13:18" x14ac:dyDescent="0.25">
      <c r="M2411" s="108"/>
      <c r="N2411" s="108"/>
      <c r="O2411" s="105"/>
      <c r="P2411" s="105"/>
      <c r="Q2411" s="107"/>
      <c r="R2411" s="107"/>
    </row>
    <row r="2412" spans="13:18" x14ac:dyDescent="0.25">
      <c r="M2412" s="108"/>
      <c r="N2412" s="108"/>
      <c r="O2412" s="105"/>
      <c r="P2412" s="105"/>
      <c r="Q2412" s="107"/>
      <c r="R2412" s="107"/>
    </row>
    <row r="2413" spans="13:18" x14ac:dyDescent="0.25">
      <c r="M2413" s="108"/>
      <c r="N2413" s="108"/>
      <c r="O2413" s="105"/>
      <c r="P2413" s="105"/>
      <c r="Q2413" s="107"/>
      <c r="R2413" s="107"/>
    </row>
    <row r="2414" spans="13:18" x14ac:dyDescent="0.25">
      <c r="M2414" s="108"/>
      <c r="N2414" s="108"/>
      <c r="O2414" s="105"/>
      <c r="P2414" s="105"/>
      <c r="Q2414" s="107"/>
      <c r="R2414" s="107"/>
    </row>
    <row r="2415" spans="13:18" x14ac:dyDescent="0.25">
      <c r="M2415" s="108"/>
      <c r="N2415" s="108"/>
      <c r="O2415" s="105"/>
      <c r="P2415" s="105"/>
      <c r="Q2415" s="107"/>
      <c r="R2415" s="107"/>
    </row>
    <row r="2416" spans="13:18" x14ac:dyDescent="0.25">
      <c r="M2416" s="108"/>
      <c r="N2416" s="108"/>
      <c r="O2416" s="105"/>
      <c r="P2416" s="105"/>
      <c r="Q2416" s="107"/>
      <c r="R2416" s="107"/>
    </row>
    <row r="2417" spans="13:18" x14ac:dyDescent="0.25">
      <c r="M2417" s="108"/>
      <c r="N2417" s="108"/>
      <c r="O2417" s="105"/>
      <c r="P2417" s="105"/>
      <c r="Q2417" s="107"/>
      <c r="R2417" s="107"/>
    </row>
    <row r="2418" spans="13:18" x14ac:dyDescent="0.25">
      <c r="M2418" s="108"/>
      <c r="N2418" s="108"/>
      <c r="O2418" s="105"/>
      <c r="P2418" s="105"/>
      <c r="Q2418" s="107"/>
      <c r="R2418" s="107"/>
    </row>
  </sheetData>
  <mergeCells count="135">
    <mergeCell ref="E71:I71"/>
    <mergeCell ref="A91:C91"/>
    <mergeCell ref="A90:C90"/>
    <mergeCell ref="A89:C89"/>
    <mergeCell ref="A88:C88"/>
    <mergeCell ref="A87:C87"/>
    <mergeCell ref="A95:C95"/>
    <mergeCell ref="A101:C101"/>
    <mergeCell ref="J101:K101"/>
    <mergeCell ref="A79:C79"/>
    <mergeCell ref="A80:C80"/>
    <mergeCell ref="A102:C102"/>
    <mergeCell ref="A85:C85"/>
    <mergeCell ref="J85:K85"/>
    <mergeCell ref="A86:C86"/>
    <mergeCell ref="A92:C92"/>
    <mergeCell ref="A94:C94"/>
    <mergeCell ref="A81:C81"/>
    <mergeCell ref="A83:C83"/>
    <mergeCell ref="E85:I85"/>
    <mergeCell ref="E101:I101"/>
    <mergeCell ref="A82:C82"/>
    <mergeCell ref="A97:C97"/>
    <mergeCell ref="A98:C98"/>
    <mergeCell ref="A99:C99"/>
    <mergeCell ref="A69:C69"/>
    <mergeCell ref="A70:C70"/>
    <mergeCell ref="A73:C73"/>
    <mergeCell ref="A75:C75"/>
    <mergeCell ref="A76:C76"/>
    <mergeCell ref="A78:C78"/>
    <mergeCell ref="A93:C93"/>
    <mergeCell ref="A72:C72"/>
    <mergeCell ref="A71:C71"/>
    <mergeCell ref="J63:K63"/>
    <mergeCell ref="J65:K65"/>
    <mergeCell ref="A63:C63"/>
    <mergeCell ref="A52:C52"/>
    <mergeCell ref="J52:K52"/>
    <mergeCell ref="A67:C67"/>
    <mergeCell ref="A68:C68"/>
    <mergeCell ref="A49:C49"/>
    <mergeCell ref="J49:K49"/>
    <mergeCell ref="A50:C50"/>
    <mergeCell ref="J50:K50"/>
    <mergeCell ref="A51:C51"/>
    <mergeCell ref="J51:K51"/>
    <mergeCell ref="A58:C58"/>
    <mergeCell ref="J58:K58"/>
    <mergeCell ref="A60:C60"/>
    <mergeCell ref="A61:C61"/>
    <mergeCell ref="A59:C59"/>
    <mergeCell ref="A65:C65"/>
    <mergeCell ref="E58:I58"/>
    <mergeCell ref="A54:C54"/>
    <mergeCell ref="E54:I54"/>
    <mergeCell ref="A56:C56"/>
    <mergeCell ref="A55:C55"/>
    <mergeCell ref="A48:C48"/>
    <mergeCell ref="J48:K48"/>
    <mergeCell ref="A43:C43"/>
    <mergeCell ref="J43:K43"/>
    <mergeCell ref="A44:C44"/>
    <mergeCell ref="J44:K44"/>
    <mergeCell ref="A45:C45"/>
    <mergeCell ref="J45:K45"/>
    <mergeCell ref="A39:C39"/>
    <mergeCell ref="E39:I39"/>
    <mergeCell ref="J39:K39"/>
    <mergeCell ref="A40:C40"/>
    <mergeCell ref="J40:K40"/>
    <mergeCell ref="A42:C42"/>
    <mergeCell ref="J42:K42"/>
    <mergeCell ref="A41:C41"/>
    <mergeCell ref="A31:B31"/>
    <mergeCell ref="A23:C23"/>
    <mergeCell ref="A19:C19"/>
    <mergeCell ref="D19:F19"/>
    <mergeCell ref="A20:C20"/>
    <mergeCell ref="D20:F20"/>
    <mergeCell ref="A46:C46"/>
    <mergeCell ref="J46:K46"/>
    <mergeCell ref="A47:C47"/>
    <mergeCell ref="J47:K47"/>
    <mergeCell ref="A36:C36"/>
    <mergeCell ref="A37:C37"/>
    <mergeCell ref="A38:C38"/>
    <mergeCell ref="A16:C16"/>
    <mergeCell ref="D16:F16"/>
    <mergeCell ref="A29:C29"/>
    <mergeCell ref="A30:C30"/>
    <mergeCell ref="A17:C17"/>
    <mergeCell ref="D17:F17"/>
    <mergeCell ref="A27:C27"/>
    <mergeCell ref="A28:C28"/>
    <mergeCell ref="A24:C24"/>
    <mergeCell ref="A25:C25"/>
    <mergeCell ref="A1:D1"/>
    <mergeCell ref="F1:H1"/>
    <mergeCell ref="I1:K1"/>
    <mergeCell ref="A2:B7"/>
    <mergeCell ref="D2:E2"/>
    <mergeCell ref="D3:G3"/>
    <mergeCell ref="I3:K3"/>
    <mergeCell ref="D4:G4"/>
    <mergeCell ref="I4:K4"/>
    <mergeCell ref="D5:E5"/>
    <mergeCell ref="I5:K5"/>
    <mergeCell ref="D6:E6"/>
    <mergeCell ref="I6:K6"/>
    <mergeCell ref="D7:G7"/>
    <mergeCell ref="A62:C62"/>
    <mergeCell ref="A9:C9"/>
    <mergeCell ref="D9:F9"/>
    <mergeCell ref="A12:C12"/>
    <mergeCell ref="D12:F12"/>
    <mergeCell ref="A13:C13"/>
    <mergeCell ref="D13:F13"/>
    <mergeCell ref="A10:C10"/>
    <mergeCell ref="D10:F10"/>
    <mergeCell ref="A11:C11"/>
    <mergeCell ref="D11:F11"/>
    <mergeCell ref="A26:C26"/>
    <mergeCell ref="A35:B35"/>
    <mergeCell ref="A18:C18"/>
    <mergeCell ref="D18:F18"/>
    <mergeCell ref="A14:C14"/>
    <mergeCell ref="D14:F14"/>
    <mergeCell ref="A15:C15"/>
    <mergeCell ref="D15:F15"/>
    <mergeCell ref="A21:C21"/>
    <mergeCell ref="A22:C22"/>
    <mergeCell ref="A32:B32"/>
    <mergeCell ref="A33:B33"/>
    <mergeCell ref="A34:B34"/>
  </mergeCells>
  <conditionalFormatting sqref="A59:I59">
    <cfRule type="expression" dxfId="75" priority="178" stopIfTrue="1">
      <formula>$L59="Not Req'd"</formula>
    </cfRule>
  </conditionalFormatting>
  <conditionalFormatting sqref="C31">
    <cfRule type="expression" dxfId="74" priority="188" stopIfTrue="1">
      <formula>$L14="Not Req'd"</formula>
    </cfRule>
  </conditionalFormatting>
  <conditionalFormatting sqref="C34">
    <cfRule type="expression" dxfId="73" priority="195" stopIfTrue="1">
      <formula>$L14="Not Req'd"</formula>
    </cfRule>
  </conditionalFormatting>
  <conditionalFormatting sqref="C33">
    <cfRule type="expression" dxfId="72" priority="202" stopIfTrue="1">
      <formula>$L14="Not Req'd"</formula>
    </cfRule>
  </conditionalFormatting>
  <conditionalFormatting sqref="C32">
    <cfRule type="expression" dxfId="71" priority="209" stopIfTrue="1">
      <formula>$L14="Not Req'd"</formula>
    </cfRule>
  </conditionalFormatting>
  <conditionalFormatting sqref="E40:I40">
    <cfRule type="expression" dxfId="70" priority="157" stopIfTrue="1">
      <formula>NOT(ISBLANK(E40))</formula>
    </cfRule>
  </conditionalFormatting>
  <conditionalFormatting sqref="A82:F82">
    <cfRule type="expression" dxfId="69" priority="153" stopIfTrue="1">
      <formula>$L82="Not Req'd"</formula>
    </cfRule>
  </conditionalFormatting>
  <conditionalFormatting sqref="F31">
    <cfRule type="expression" dxfId="68" priority="151" stopIfTrue="1">
      <formula>NOT(ISBLANK(F31))</formula>
    </cfRule>
  </conditionalFormatting>
  <conditionalFormatting sqref="F31">
    <cfRule type="expression" dxfId="67" priority="152" stopIfTrue="1">
      <formula>#REF!="Not Req'd"</formula>
    </cfRule>
  </conditionalFormatting>
  <conditionalFormatting sqref="F32:F35">
    <cfRule type="expression" dxfId="66" priority="149" stopIfTrue="1">
      <formula>NOT(ISBLANK(F32))</formula>
    </cfRule>
  </conditionalFormatting>
  <conditionalFormatting sqref="F32:F35">
    <cfRule type="expression" dxfId="65" priority="150" stopIfTrue="1">
      <formula>#REF!="Not Req'd"</formula>
    </cfRule>
  </conditionalFormatting>
  <conditionalFormatting sqref="E23">
    <cfRule type="expression" dxfId="64" priority="146">
      <formula>E$22&lt;&gt;"NPS &amp; Schd"</formula>
    </cfRule>
  </conditionalFormatting>
  <conditionalFormatting sqref="F23">
    <cfRule type="expression" dxfId="63" priority="145">
      <formula>F$22&lt;&gt;"NPS &amp; Schd"</formula>
    </cfRule>
  </conditionalFormatting>
  <conditionalFormatting sqref="F24">
    <cfRule type="expression" dxfId="62" priority="143">
      <formula>F$22&lt;&gt;"NPS &amp; Schd"</formula>
    </cfRule>
  </conditionalFormatting>
  <conditionalFormatting sqref="F25">
    <cfRule type="expression" dxfId="61" priority="141">
      <formula>F$22="NPS &amp; Schd"</formula>
    </cfRule>
  </conditionalFormatting>
  <conditionalFormatting sqref="E25">
    <cfRule type="expression" dxfId="60" priority="132">
      <formula>NOT(ISBLANK(E25))</formula>
    </cfRule>
    <cfRule type="expression" dxfId="59" priority="140">
      <formula>E$22="NPS &amp; Schd"</formula>
    </cfRule>
  </conditionalFormatting>
  <conditionalFormatting sqref="E26">
    <cfRule type="expression" dxfId="58" priority="129">
      <formula>NOT(ISBLANK(E26))</formula>
    </cfRule>
    <cfRule type="expression" dxfId="57" priority="138">
      <formula>E$22&lt;&gt;"OD &amp; t"</formula>
    </cfRule>
  </conditionalFormatting>
  <conditionalFormatting sqref="F26">
    <cfRule type="expression" dxfId="56" priority="136">
      <formula>F$22&lt;&gt;"OD &amp; t"</formula>
    </cfRule>
  </conditionalFormatting>
  <conditionalFormatting sqref="E24">
    <cfRule type="expression" dxfId="55" priority="135">
      <formula>E$22&lt;&gt;"NPS &amp; Schd"</formula>
    </cfRule>
  </conditionalFormatting>
  <conditionalFormatting sqref="E27">
    <cfRule type="expression" dxfId="54" priority="126">
      <formula>NOT(ISBLANK(E27))</formula>
    </cfRule>
    <cfRule type="expression" dxfId="53" priority="134">
      <formula>E$22&lt;&gt;"OD &amp; ID"</formula>
    </cfRule>
  </conditionalFormatting>
  <conditionalFormatting sqref="F25">
    <cfRule type="expression" dxfId="52" priority="130">
      <formula>NOT(ISBLANK(F25))</formula>
    </cfRule>
  </conditionalFormatting>
  <conditionalFormatting sqref="F26">
    <cfRule type="expression" dxfId="51" priority="127">
      <formula>NOT(ISBLANK(F26))</formula>
    </cfRule>
  </conditionalFormatting>
  <conditionalFormatting sqref="F27">
    <cfRule type="expression" dxfId="50" priority="124">
      <formula>NOT(ISBLANK(F27))</formula>
    </cfRule>
    <cfRule type="expression" dxfId="49" priority="125">
      <formula>F$22&lt;&gt;"OD &amp; ID"</formula>
    </cfRule>
  </conditionalFormatting>
  <conditionalFormatting sqref="E37">
    <cfRule type="expression" dxfId="48" priority="123">
      <formula>NOT(ISBLANK(E37))</formula>
    </cfRule>
  </conditionalFormatting>
  <conditionalFormatting sqref="E38">
    <cfRule type="expression" dxfId="47" priority="122">
      <formula>NOT(ISBLANK(E38))</formula>
    </cfRule>
  </conditionalFormatting>
  <conditionalFormatting sqref="A14:F14">
    <cfRule type="expression" dxfId="46" priority="118" stopIfTrue="1">
      <formula>$L14="Not Req'd"</formula>
    </cfRule>
  </conditionalFormatting>
  <conditionalFormatting sqref="A23:C23">
    <cfRule type="expression" dxfId="45" priority="117" stopIfTrue="1">
      <formula>$L23="Not Req'd"</formula>
    </cfRule>
  </conditionalFormatting>
  <conditionalFormatting sqref="A24:C24">
    <cfRule type="expression" dxfId="44" priority="116" stopIfTrue="1">
      <formula>$L24="Not Req'd"</formula>
    </cfRule>
  </conditionalFormatting>
  <conditionalFormatting sqref="A25:D27">
    <cfRule type="expression" dxfId="43" priority="115" stopIfTrue="1">
      <formula>$L25="Not Req'd"</formula>
    </cfRule>
  </conditionalFormatting>
  <conditionalFormatting sqref="A38:E38">
    <cfRule type="expression" dxfId="42" priority="114" stopIfTrue="1">
      <formula>$L38="Not Req'd"</formula>
    </cfRule>
  </conditionalFormatting>
  <conditionalFormatting sqref="A43:I43">
    <cfRule type="expression" dxfId="41" priority="111" stopIfTrue="1">
      <formula>$L43="Not Req'd"</formula>
    </cfRule>
  </conditionalFormatting>
  <conditionalFormatting sqref="A61:I61">
    <cfRule type="expression" dxfId="40" priority="100" stopIfTrue="1">
      <formula>$L61="Not Req'd"</formula>
    </cfRule>
  </conditionalFormatting>
  <conditionalFormatting sqref="A60:J60">
    <cfRule type="expression" dxfId="39" priority="98" stopIfTrue="1">
      <formula>$L60="Not Req'd"</formula>
    </cfRule>
  </conditionalFormatting>
  <conditionalFormatting sqref="A62:I62">
    <cfRule type="expression" dxfId="38" priority="96" stopIfTrue="1">
      <formula>$L62="Not Req'd"</formula>
    </cfRule>
  </conditionalFormatting>
  <conditionalFormatting sqref="E59:I59">
    <cfRule type="expression" dxfId="37" priority="94">
      <formula>NOT(ISBLANK(E59))</formula>
    </cfRule>
  </conditionalFormatting>
  <conditionalFormatting sqref="E61:I61">
    <cfRule type="expression" dxfId="36" priority="91">
      <formula>NOT(ISBLANK(E61))</formula>
    </cfRule>
  </conditionalFormatting>
  <conditionalFormatting sqref="F70">
    <cfRule type="expression" dxfId="35" priority="88">
      <formula>NOT(ISBLANK($F$70))</formula>
    </cfRule>
  </conditionalFormatting>
  <conditionalFormatting sqref="F76">
    <cfRule type="expression" dxfId="34" priority="87">
      <formula>NOT(ISBLANK($F$76))</formula>
    </cfRule>
  </conditionalFormatting>
  <conditionalFormatting sqref="A13:F13">
    <cfRule type="expression" dxfId="33" priority="86" stopIfTrue="1">
      <formula>$L13="Not Req'd"</formula>
    </cfRule>
  </conditionalFormatting>
  <conditionalFormatting sqref="A81:F81">
    <cfRule type="expression" dxfId="32" priority="85">
      <formula>$L$81="Not Req'd"</formula>
    </cfRule>
  </conditionalFormatting>
  <conditionalFormatting sqref="A83:F83">
    <cfRule type="expression" dxfId="31" priority="84">
      <formula>$L$83="Not Req'd"</formula>
    </cfRule>
  </conditionalFormatting>
  <conditionalFormatting sqref="F79">
    <cfRule type="expression" dxfId="30" priority="83">
      <formula>NOT(ISBLANK($F$79))</formula>
    </cfRule>
  </conditionalFormatting>
  <conditionalFormatting sqref="F80">
    <cfRule type="expression" dxfId="29" priority="82">
      <formula>NOT(ISBLANK($F$80))</formula>
    </cfRule>
  </conditionalFormatting>
  <conditionalFormatting sqref="A90:I90">
    <cfRule type="expression" dxfId="28" priority="81">
      <formula>$L$90="Not Req'd"</formula>
    </cfRule>
  </conditionalFormatting>
  <conditionalFormatting sqref="A91:I91">
    <cfRule type="expression" dxfId="27" priority="80">
      <formula>$L$91="Not Req'd"</formula>
    </cfRule>
  </conditionalFormatting>
  <conditionalFormatting sqref="A92:I92">
    <cfRule type="expression" dxfId="26" priority="79">
      <formula>$L$92="Not Req'd"</formula>
    </cfRule>
  </conditionalFormatting>
  <conditionalFormatting sqref="F98">
    <cfRule type="expression" dxfId="25" priority="78">
      <formula>NOT(ISBLANK($F$98))</formula>
    </cfRule>
  </conditionalFormatting>
  <conditionalFormatting sqref="F99">
    <cfRule type="expression" dxfId="24" priority="77">
      <formula>NOT(ISBLANK($F$99))</formula>
    </cfRule>
  </conditionalFormatting>
  <conditionalFormatting sqref="A36:E36">
    <cfRule type="expression" dxfId="23" priority="67">
      <formula>$L$36="Not Req'd"</formula>
    </cfRule>
  </conditionalFormatting>
  <conditionalFormatting sqref="A42:I42">
    <cfRule type="expression" dxfId="22" priority="58" stopIfTrue="1">
      <formula>$L42="Not Req'd"</formula>
    </cfRule>
  </conditionalFormatting>
  <conditionalFormatting sqref="E42:I42">
    <cfRule type="expression" dxfId="21" priority="56">
      <formula>NOT(ISBLANK(E42))</formula>
    </cfRule>
  </conditionalFormatting>
  <conditionalFormatting sqref="A46:I46">
    <cfRule type="expression" dxfId="20" priority="55" stopIfTrue="1">
      <formula>$L46="Not Req'd"</formula>
    </cfRule>
  </conditionalFormatting>
  <conditionalFormatting sqref="E46:I46">
    <cfRule type="expression" dxfId="19" priority="54">
      <formula>NOT(ISBLANK(E46))</formula>
    </cfRule>
  </conditionalFormatting>
  <conditionalFormatting sqref="E47:I47">
    <cfRule type="expression" dxfId="18" priority="50">
      <formula>NOT(ISBLANK(E47))</formula>
    </cfRule>
  </conditionalFormatting>
  <conditionalFormatting sqref="A48:I48">
    <cfRule type="expression" dxfId="17" priority="49" stopIfTrue="1">
      <formula>$L48="Not Req'd"</formula>
    </cfRule>
  </conditionalFormatting>
  <conditionalFormatting sqref="E48:I48">
    <cfRule type="expression" dxfId="16" priority="48">
      <formula>NOT(ISBLANK(E48))</formula>
    </cfRule>
  </conditionalFormatting>
  <conditionalFormatting sqref="A49:I49">
    <cfRule type="expression" dxfId="15" priority="46" stopIfTrue="1">
      <formula>$L49="Not Req'd"</formula>
    </cfRule>
  </conditionalFormatting>
  <conditionalFormatting sqref="E49:I49">
    <cfRule type="expression" dxfId="14" priority="45">
      <formula>NOT(ISBLANK(E49))</formula>
    </cfRule>
  </conditionalFormatting>
  <conditionalFormatting sqref="A50:I50">
    <cfRule type="expression" dxfId="13" priority="43" stopIfTrue="1">
      <formula>$L50="Not Req'd"</formula>
    </cfRule>
  </conditionalFormatting>
  <conditionalFormatting sqref="E50:I50">
    <cfRule type="expression" dxfId="12" priority="42">
      <formula>NOT(ISBLANK(E50))</formula>
    </cfRule>
  </conditionalFormatting>
  <conditionalFormatting sqref="A51:I51">
    <cfRule type="expression" dxfId="11" priority="40" stopIfTrue="1">
      <formula>$L51="Not Req'd"</formula>
    </cfRule>
  </conditionalFormatting>
  <conditionalFormatting sqref="E51:I51">
    <cfRule type="expression" dxfId="10" priority="39">
      <formula>NOT(ISBLANK(E51))</formula>
    </cfRule>
  </conditionalFormatting>
  <conditionalFormatting sqref="A86:I86">
    <cfRule type="expression" dxfId="9" priority="37">
      <formula>$L$86="Not Req'd"</formula>
    </cfRule>
  </conditionalFormatting>
  <conditionalFormatting sqref="A16:C16">
    <cfRule type="expression" dxfId="8" priority="20" stopIfTrue="1">
      <formula>$L16="Not Req'd"</formula>
    </cfRule>
  </conditionalFormatting>
  <conditionalFormatting sqref="D16:F16">
    <cfRule type="expression" dxfId="7" priority="19" stopIfTrue="1">
      <formula>$L16="Not Req'd"</formula>
    </cfRule>
  </conditionalFormatting>
  <conditionalFormatting sqref="E41:I41">
    <cfRule type="expression" dxfId="6" priority="13" stopIfTrue="1">
      <formula>NOT(ISBLANK(E41))</formula>
    </cfRule>
  </conditionalFormatting>
  <conditionalFormatting sqref="E44:I44">
    <cfRule type="expression" dxfId="5" priority="12" stopIfTrue="1">
      <formula>NOT(ISBLANK(E44))</formula>
    </cfRule>
  </conditionalFormatting>
  <conditionalFormatting sqref="E45:I45">
    <cfRule type="expression" dxfId="4" priority="11" stopIfTrue="1">
      <formula>NOT(ISBLANK(E45))</formula>
    </cfRule>
  </conditionalFormatting>
  <conditionalFormatting sqref="E43:I43">
    <cfRule type="expression" dxfId="3" priority="9">
      <formula>NOT(ISBLANK(E43))</formula>
    </cfRule>
  </conditionalFormatting>
  <conditionalFormatting sqref="A47:I47">
    <cfRule type="expression" dxfId="2" priority="7" stopIfTrue="1">
      <formula>$L47="Not Req'd"</formula>
    </cfRule>
  </conditionalFormatting>
  <conditionalFormatting sqref="A37:E37">
    <cfRule type="expression" dxfId="1" priority="2" stopIfTrue="1">
      <formula>$L37="Not Req'd"</formula>
    </cfRule>
  </conditionalFormatting>
  <conditionalFormatting sqref="A63:I63">
    <cfRule type="expression" dxfId="0" priority="1" stopIfTrue="1">
      <formula>$L63="Not Req'd"</formula>
    </cfRule>
  </conditionalFormatting>
  <dataValidations count="23">
    <dataValidation type="list" allowBlank="1" showInputMessage="1" showErrorMessage="1" sqref="D73 D56">
      <formula1>"psi, bar"</formula1>
    </dataValidation>
    <dataValidation type="list" allowBlank="1" showInputMessage="1" showErrorMessage="1" sqref="D68 D25 D59">
      <formula1>"mm,in.,"</formula1>
    </dataValidation>
    <dataValidation type="list" allowBlank="1" showInputMessage="1" showErrorMessage="1" sqref="D50">
      <formula1>"kg/m3,lb/ft3,g/cm3"</formula1>
    </dataValidation>
    <dataValidation type="list" allowBlank="1" showInputMessage="1" showErrorMessage="1" sqref="D46 D38">
      <formula1>"deg C,deg F,K,deg R"</formula1>
    </dataValidation>
    <dataValidation type="list" allowBlank="1" showInputMessage="1" showErrorMessage="1" sqref="D44 D37">
      <formula1>"barA,barG,MPaA,MPaG,psiA,psiG,kPaA,kPaG,kg/cm2A,kg/cm2G"</formula1>
    </dataValidation>
    <dataValidation type="list" allowBlank="1" showInputMessage="1" showErrorMessage="1" sqref="D43">
      <formula1>"Nm3/s, Nm3/h, Sm3/h, Sm3/d, SmL/min, SCFM, SCFH, SCFD, MMSCFD"</formula1>
    </dataValidation>
    <dataValidation type="list" allowBlank="1" showInputMessage="1" showErrorMessage="1" sqref="D42">
      <formula1>"kg/s,kg/h,lb/h,mt/h"</formula1>
    </dataValidation>
    <dataValidation type="list" allowBlank="1" showInputMessage="1" showErrorMessage="1" sqref="D52:D53">
      <formula1>"Cv,Kv"</formula1>
    </dataValidation>
    <dataValidation type="list" allowBlank="1" showInputMessage="1" showErrorMessage="1" sqref="E28:F28">
      <formula1>NomValveSizes</formula1>
    </dataValidation>
    <dataValidation type="list" allowBlank="1" showInputMessage="1" showErrorMessage="1" sqref="D17">
      <formula1>"Angle, Globe"</formula1>
    </dataValidation>
    <dataValidation type="list" allowBlank="1" showInputMessage="1" showErrorMessage="1" sqref="D18">
      <formula1>"Flow to Open (UTP), Flow to Close (OTP)"</formula1>
    </dataValidation>
    <dataValidation type="list" allowBlank="1" showInputMessage="1" showErrorMessage="1" sqref="D20">
      <formula1>"Ignore Correction, Calculate Correction"</formula1>
    </dataValidation>
    <dataValidation type="list" allowBlank="1" showInputMessage="1" showErrorMessage="1" sqref="D19">
      <formula1>"None, 1 Stage, 2 Stage, 3 Stage"</formula1>
    </dataValidation>
    <dataValidation type="list" allowBlank="1" showInputMessage="1" showErrorMessage="1" sqref="E22:F22">
      <formula1>"NPS &amp; Schd,OD &amp; t, OD &amp; ID"</formula1>
    </dataValidation>
    <dataValidation type="list" allowBlank="1" showInputMessage="1" showErrorMessage="1" sqref="D15:F15">
      <formula1>ValveTypes</formula1>
    </dataValidation>
    <dataValidation type="list" allowBlank="1" showInputMessage="1" showErrorMessage="1" sqref="D12">
      <formula1>"Mass Flow Rate, Volume Flow Rate"</formula1>
    </dataValidation>
    <dataValidation type="list" allowBlank="1" showInputMessage="1" showErrorMessage="1" sqref="D13">
      <formula1>"Direct Input, Calculate from MW, Calculate from Spec Grav"</formula1>
    </dataValidation>
    <dataValidation type="list" allowBlank="1" showInputMessage="1" showErrorMessage="1" sqref="D14">
      <formula1>"Assume 1, Direct Input,Calculate from Pc &amp; Tc"</formula1>
    </dataValidation>
    <dataValidation type="list" allowBlank="1" showInputMessage="1" showErrorMessage="1" sqref="D10">
      <formula1>"Other, Turbine Bypass, Steam Conditioning"</formula1>
    </dataValidation>
    <dataValidation type="list" allowBlank="1" showInputMessage="1" showErrorMessage="1" sqref="D11:F11">
      <formula1>FluidList</formula1>
    </dataValidation>
    <dataValidation type="list" allowBlank="1" showInputMessage="1" showErrorMessage="1" sqref="E29:F29">
      <formula1>Pr</formula1>
    </dataValidation>
    <dataValidation type="list" allowBlank="1" showInputMessage="1" showErrorMessage="1" sqref="D87 D55">
      <formula1>"m/s, ft/s, ft/min, km/h, mi/h"</formula1>
    </dataValidation>
    <dataValidation type="list" allowBlank="1" showInputMessage="1" showErrorMessage="1" sqref="D16:F16">
      <formula1>"HF, HFL-2, HFL-3, HFL-4, HFL-5"</formula1>
    </dataValidation>
  </dataValidations>
  <printOptions gridLinesSet="0"/>
  <pageMargins left="0.3" right="0" top="0.25" bottom="0.25" header="0.25" footer="0.25"/>
  <pageSetup scale="61" orientation="portrait" horizontalDpi="300" verticalDpi="300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PipeData!$S$5:$AV$5</xm:f>
          </x14:formula1>
          <xm:sqref>E23:F23</xm:sqref>
        </x14:dataValidation>
        <x14:dataValidation type="list" allowBlank="1" showInputMessage="1" showErrorMessage="1">
          <x14:formula1>
            <xm:f>PipeData!$R$6:$R$21</xm:f>
          </x14:formula1>
          <xm:sqref>F24</xm:sqref>
        </x14:dataValidation>
        <x14:dataValidation type="list" allowBlank="1" showInputMessage="1" showErrorMessage="1">
          <x14:formula1>
            <xm:f>PipeData!$Q$6:$Q$21</xm:f>
          </x14:formula1>
          <xm:sqref>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476"/>
  <sheetViews>
    <sheetView zoomScale="70" zoomScaleNormal="70" workbookViewId="0">
      <selection activeCell="K80" sqref="K80"/>
    </sheetView>
  </sheetViews>
  <sheetFormatPr defaultRowHeight="12.5" outlineLevelRow="1" x14ac:dyDescent="0.25"/>
  <cols>
    <col min="1" max="11" width="12.81640625" customWidth="1"/>
  </cols>
  <sheetData>
    <row r="1" spans="1:11" ht="16" thickBot="1" x14ac:dyDescent="0.4">
      <c r="A1" s="464" t="s">
        <v>372</v>
      </c>
      <c r="B1" s="465"/>
      <c r="C1" s="465"/>
      <c r="D1" s="465"/>
      <c r="E1" s="93"/>
      <c r="F1" s="466"/>
      <c r="G1" s="466"/>
      <c r="H1" s="466"/>
      <c r="I1" s="467">
        <f ca="1">NOW()</f>
        <v>42746.876168750001</v>
      </c>
      <c r="J1" s="467"/>
      <c r="K1" s="468"/>
    </row>
    <row r="2" spans="1:11" ht="13" x14ac:dyDescent="0.3">
      <c r="A2" s="469" t="s">
        <v>374</v>
      </c>
      <c r="B2" s="470"/>
      <c r="C2" s="165" t="s">
        <v>375</v>
      </c>
      <c r="D2" s="475">
        <f>Noise!D2</f>
        <v>0</v>
      </c>
      <c r="E2" s="475"/>
      <c r="F2" s="166" t="s">
        <v>376</v>
      </c>
      <c r="G2" s="167">
        <f>Noise!G2</f>
        <v>0</v>
      </c>
      <c r="H2" s="165" t="s">
        <v>377</v>
      </c>
      <c r="I2" s="176">
        <f>Noise!I2</f>
        <v>0</v>
      </c>
      <c r="J2" s="168" t="s">
        <v>378</v>
      </c>
      <c r="K2" s="167">
        <f>Noise!K2</f>
        <v>0</v>
      </c>
    </row>
    <row r="3" spans="1:11" ht="13" x14ac:dyDescent="0.3">
      <c r="A3" s="471"/>
      <c r="B3" s="472"/>
      <c r="C3" s="169" t="s">
        <v>721</v>
      </c>
      <c r="D3" s="478">
        <f>Noise!D3</f>
        <v>0</v>
      </c>
      <c r="E3" s="478"/>
      <c r="F3" s="478"/>
      <c r="G3" s="479"/>
      <c r="H3" s="169" t="s">
        <v>379</v>
      </c>
      <c r="I3" s="478">
        <f>Noise!I3</f>
        <v>0</v>
      </c>
      <c r="J3" s="478"/>
      <c r="K3" s="479"/>
    </row>
    <row r="4" spans="1:11" ht="13" x14ac:dyDescent="0.3">
      <c r="A4" s="471"/>
      <c r="B4" s="472"/>
      <c r="C4" s="169" t="s">
        <v>380</v>
      </c>
      <c r="D4" s="478">
        <f>Noise!D4</f>
        <v>0</v>
      </c>
      <c r="E4" s="478"/>
      <c r="F4" s="478"/>
      <c r="G4" s="478"/>
      <c r="H4" s="169" t="s">
        <v>381</v>
      </c>
      <c r="I4" s="478">
        <f>Noise!I4</f>
        <v>0</v>
      </c>
      <c r="J4" s="478"/>
      <c r="K4" s="479"/>
    </row>
    <row r="5" spans="1:11" ht="13" x14ac:dyDescent="0.3">
      <c r="A5" s="471"/>
      <c r="B5" s="472"/>
      <c r="C5" s="169" t="s">
        <v>382</v>
      </c>
      <c r="D5" s="478">
        <f>Noise!D5</f>
        <v>0</v>
      </c>
      <c r="E5" s="478"/>
      <c r="F5" s="6" t="s">
        <v>383</v>
      </c>
      <c r="G5" s="7">
        <f ca="1">NOW()</f>
        <v>42746.876168750001</v>
      </c>
      <c r="H5" s="169" t="s">
        <v>384</v>
      </c>
      <c r="I5" s="478">
        <f>Noise!I5</f>
        <v>7</v>
      </c>
      <c r="J5" s="478"/>
      <c r="K5" s="479"/>
    </row>
    <row r="6" spans="1:11" ht="13" x14ac:dyDescent="0.3">
      <c r="A6" s="471"/>
      <c r="B6" s="472"/>
      <c r="C6" s="169" t="s">
        <v>385</v>
      </c>
      <c r="D6" s="478">
        <f>Noise!D6</f>
        <v>0</v>
      </c>
      <c r="E6" s="478"/>
      <c r="F6" s="6" t="s">
        <v>383</v>
      </c>
      <c r="G6" s="7">
        <f ca="1">NOW()</f>
        <v>42746.876168750001</v>
      </c>
      <c r="H6" s="169" t="s">
        <v>386</v>
      </c>
      <c r="I6" s="478">
        <f>Noise!I6</f>
        <v>1</v>
      </c>
      <c r="J6" s="478"/>
      <c r="K6" s="479"/>
    </row>
    <row r="7" spans="1:11" ht="13.5" thickBot="1" x14ac:dyDescent="0.35">
      <c r="A7" s="473"/>
      <c r="B7" s="474"/>
      <c r="C7" s="170" t="s">
        <v>387</v>
      </c>
      <c r="D7" s="480">
        <f>Noise!D7</f>
        <v>0</v>
      </c>
      <c r="E7" s="480"/>
      <c r="F7" s="480"/>
      <c r="G7" s="480"/>
      <c r="H7" s="171" t="s">
        <v>388</v>
      </c>
      <c r="I7" s="496">
        <f>Noise!I7</f>
        <v>0</v>
      </c>
      <c r="J7" s="496"/>
      <c r="K7" s="497"/>
    </row>
    <row r="8" spans="1:11" x14ac:dyDescent="0.25">
      <c r="C8" s="153"/>
      <c r="D8" s="153"/>
      <c r="E8" s="153"/>
      <c r="F8" s="153"/>
    </row>
    <row r="44" spans="2:15" ht="13" thickBot="1" x14ac:dyDescent="0.3"/>
    <row r="45" spans="2:15" ht="26" x14ac:dyDescent="0.3">
      <c r="B45" s="178" t="s">
        <v>763</v>
      </c>
      <c r="C45" s="493" t="s">
        <v>1019</v>
      </c>
      <c r="D45" s="494"/>
      <c r="E45" s="494"/>
      <c r="F45" s="494"/>
      <c r="G45" s="495"/>
      <c r="J45" s="178" t="s">
        <v>763</v>
      </c>
      <c r="K45" s="493" t="s">
        <v>1019</v>
      </c>
      <c r="L45" s="494"/>
      <c r="M45" s="494"/>
      <c r="N45" s="494"/>
      <c r="O45" s="495"/>
    </row>
    <row r="46" spans="2:15" ht="13.5" thickBot="1" x14ac:dyDescent="0.35">
      <c r="B46" s="179" t="s">
        <v>767</v>
      </c>
      <c r="C46" s="404" t="str">
        <f>IF(ISBLANK(Noise!E40),"",Noise!E40)</f>
        <v/>
      </c>
      <c r="D46" s="405" t="str">
        <f>IF(ISBLANK(Noise!F40),"",Noise!F40)</f>
        <v/>
      </c>
      <c r="E46" s="405" t="str">
        <f>IF(ISBLANK(Noise!G40),"",Noise!G40)</f>
        <v/>
      </c>
      <c r="F46" s="405" t="str">
        <f>IF(ISBLANK(Noise!H40),"",Noise!H40)</f>
        <v/>
      </c>
      <c r="G46" s="406" t="str">
        <f>IF(ISBLANK(Noise!I40),"",Noise!I40)</f>
        <v/>
      </c>
      <c r="J46" s="179" t="s">
        <v>767</v>
      </c>
      <c r="K46" s="404" t="str">
        <f>IF(ISBLANK(Noise!M40),"",Noise!M40)</f>
        <v>Given</v>
      </c>
      <c r="L46" s="405" t="str">
        <f>IF(ISBLANK(Noise!N40),"",Noise!N40)</f>
        <v/>
      </c>
      <c r="M46" s="405" t="str">
        <f>IF(ISBLANK(Noise!O40),"",Noise!O40)</f>
        <v/>
      </c>
      <c r="N46" s="405" t="str">
        <f>IF(ISBLANK(Noise!P40),"",Noise!P40)</f>
        <v/>
      </c>
      <c r="O46" s="406" t="str">
        <f>IF(ISBLANK(Noise!Q40),"",Noise!Q40)</f>
        <v/>
      </c>
    </row>
    <row r="47" spans="2:15" ht="13" x14ac:dyDescent="0.3">
      <c r="B47" s="401">
        <v>16</v>
      </c>
      <c r="C47" s="407" t="str">
        <f>IF(Noise!E$135=0,"",
    MAXA(0,
      IF(PI()/4*Noise!$F$113^2/Noise!$E$147&lt;IF(Noise!$E$147&lt;18000,4,2),  C243,  C386) -
      Noise!$F$98-Noise!$F$99))</f>
        <v/>
      </c>
      <c r="D47" s="407" t="str">
        <f>IF(Noise!F$135=0,"",
    MAXA(0,
      IF(PI()/4*Noise!$F$113^2/Noise!$E$147&lt;IF(Noise!$E$147&lt;18000,4,2),  D242,  D385) -
      Noise!$F$98-Noise!$F$99))</f>
        <v/>
      </c>
      <c r="E47" s="407" t="str">
        <f>IF(Noise!G$135=0,"",
    MAXA(0,
      IF(PI()/4*Noise!$F$113^2/Noise!$E$147&lt;IF(Noise!$E$147&lt;18000,4,2),  E242,  E385) -
      Noise!$F$98-Noise!$F$99))</f>
        <v/>
      </c>
      <c r="F47" s="407" t="str">
        <f>IF(Noise!H$135=0,"",
    MAXA(0,
      IF(PI()/4*Noise!$F$113^2/Noise!$E$147&lt;IF(Noise!$E$147&lt;18000,4,2),  F242,  F385) -
      Noise!$F$98-Noise!$F$99))</f>
        <v/>
      </c>
      <c r="G47" s="407" t="str">
        <f>IF(Noise!I$135=0,"",
    MAXA(0,
      IF(PI()/4*Noise!$F$113^2/Noise!$E$147&lt;IF(Noise!$E$147&lt;18000,4,2),  G242,  G385) -
      Noise!$F$98-Noise!$F$99))</f>
        <v/>
      </c>
      <c r="J47" s="457">
        <v>31.5</v>
      </c>
      <c r="K47" s="407" t="e">
        <f>10*LOG(10^(C49/10)+10^(C50/10)+10^(C51/10))</f>
        <v>#VALUE!</v>
      </c>
      <c r="L47" s="407" t="e">
        <f>10*LOG(10^(D49/10)+10^(D50/10)+10^(D51/10))</f>
        <v>#VALUE!</v>
      </c>
      <c r="M47" s="407" t="e">
        <f>10*LOG(10^(E49/10)+10^(E50/10)+10^(E51/10))</f>
        <v>#VALUE!</v>
      </c>
      <c r="N47" s="407" t="e">
        <f>10*LOG(10^(F49/10)+10^(F50/10)+10^(F51/10))</f>
        <v>#VALUE!</v>
      </c>
      <c r="O47" s="407" t="e">
        <f>10*LOG(10^(G49/10)+10^(G50/10)+10^(G51/10))</f>
        <v>#VALUE!</v>
      </c>
    </row>
    <row r="48" spans="2:15" ht="13" outlineLevel="1" x14ac:dyDescent="0.3">
      <c r="B48" s="402">
        <v>20</v>
      </c>
      <c r="C48" s="407" t="str">
        <f>IF(Noise!E$135=0,"",
    MAXA(0,
      IF(PI()/4*Noise!$F$113^2/Noise!$E$147&lt;IF(Noise!$E$147&lt;18000,4,2),  C244,  C387) -
      Noise!$F$98-Noise!$F$99))</f>
        <v/>
      </c>
      <c r="D48" s="407" t="str">
        <f>IF(Noise!F$135=0,"",
    MAXA(0,
      IF(PI()/4*Noise!$F$113^2/Noise!$E$147&lt;IF(Noise!$E$147&lt;18000,4,2),  D243,  D386) -
      Noise!$F$98-Noise!$F$99))</f>
        <v/>
      </c>
      <c r="E48" s="407" t="str">
        <f>IF(Noise!G$135=0,"",
    MAXA(0,
      IF(PI()/4*Noise!$F$113^2/Noise!$E$147&lt;IF(Noise!$E$147&lt;18000,4,2),  E243,  E386) -
      Noise!$F$98-Noise!$F$99))</f>
        <v/>
      </c>
      <c r="F48" s="407" t="str">
        <f>IF(Noise!H$135=0,"",
    MAXA(0,
      IF(PI()/4*Noise!$F$113^2/Noise!$E$147&lt;IF(Noise!$E$147&lt;18000,4,2),  F243,  F386) -
      Noise!$F$98-Noise!$F$99))</f>
        <v/>
      </c>
      <c r="G48" s="407" t="str">
        <f>IF(Noise!I$135=0,"",
    MAXA(0,
      IF(PI()/4*Noise!$F$113^2/Noise!$E$147&lt;IF(Noise!$E$147&lt;18000,4,2),  G243,  G386) -
      Noise!$F$98-Noise!$F$99))</f>
        <v/>
      </c>
      <c r="J48" s="457">
        <v>63</v>
      </c>
      <c r="K48" s="407" t="e">
        <f>10*LOG(10^(C52/10)+10^(C53/10)+10^(C54/10))</f>
        <v>#VALUE!</v>
      </c>
      <c r="L48" s="407" t="e">
        <f>10*LOG(10^(D52/10)+10^(D53/10)+10^(D54/10))</f>
        <v>#VALUE!</v>
      </c>
      <c r="M48" s="407" t="e">
        <f>10*LOG(10^(E52/10)+10^(E53/10)+10^(E54/10))</f>
        <v>#VALUE!</v>
      </c>
      <c r="N48" s="407" t="e">
        <f>10*LOG(10^(F52/10)+10^(F53/10)+10^(F54/10))</f>
        <v>#VALUE!</v>
      </c>
      <c r="O48" s="407" t="e">
        <f>10*LOG(10^(G52/10)+10^(G53/10)+10^(G54/10))</f>
        <v>#VALUE!</v>
      </c>
    </row>
    <row r="49" spans="2:15" ht="13" outlineLevel="1" x14ac:dyDescent="0.3">
      <c r="B49" s="402">
        <v>25</v>
      </c>
      <c r="C49" s="407" t="str">
        <f>IF(Noise!E$135=0,"",
    MAXA(0,
      IF(PI()/4*Noise!$F$113^2/Noise!$E$147&lt;IF(Noise!$E$147&lt;18000,4,2),  C245,  C388) -
      Noise!$F$98-Noise!$F$99))</f>
        <v/>
      </c>
      <c r="D49" s="407" t="str">
        <f>IF(Noise!F$135=0,"",
    MAXA(0,
      IF(PI()/4*Noise!$F$113^2/Noise!$E$147&lt;IF(Noise!$E$147&lt;18000,4,2),  D244,  D387) -
      Noise!$F$98-Noise!$F$99))</f>
        <v/>
      </c>
      <c r="E49" s="407" t="str">
        <f>IF(Noise!G$135=0,"",
    MAXA(0,
      IF(PI()/4*Noise!$F$113^2/Noise!$E$147&lt;IF(Noise!$E$147&lt;18000,4,2),  E244,  E387) -
      Noise!$F$98-Noise!$F$99))</f>
        <v/>
      </c>
      <c r="F49" s="407" t="str">
        <f>IF(Noise!H$135=0,"",
    MAXA(0,
      IF(PI()/4*Noise!$F$113^2/Noise!$E$147&lt;IF(Noise!$E$147&lt;18000,4,2),  F244,  F387) -
      Noise!$F$98-Noise!$F$99))</f>
        <v/>
      </c>
      <c r="G49" s="407" t="str">
        <f>IF(Noise!I$135=0,"",
    MAXA(0,
      IF(PI()/4*Noise!$F$113^2/Noise!$E$147&lt;IF(Noise!$E$147&lt;18000,4,2),  G244,  G387) -
      Noise!$F$98-Noise!$F$99))</f>
        <v/>
      </c>
      <c r="J49" s="457">
        <v>125</v>
      </c>
      <c r="K49" s="407" t="e">
        <f>10*LOG(10^(C55/10)+10^(C56/10)+10^(C57/10))</f>
        <v>#VALUE!</v>
      </c>
      <c r="L49" s="407" t="e">
        <f>10*LOG(10^(D55/10)+10^(D56/10)+10^(D57/10))</f>
        <v>#VALUE!</v>
      </c>
      <c r="M49" s="407" t="e">
        <f>10*LOG(10^(E55/10)+10^(E56/10)+10^(E57/10))</f>
        <v>#VALUE!</v>
      </c>
      <c r="N49" s="407" t="e">
        <f>10*LOG(10^(F55/10)+10^(F56/10)+10^(F57/10))</f>
        <v>#VALUE!</v>
      </c>
      <c r="O49" s="407" t="e">
        <f>10*LOG(10^(G55/10)+10^(G56/10)+10^(G57/10))</f>
        <v>#VALUE!</v>
      </c>
    </row>
    <row r="50" spans="2:15" ht="13" x14ac:dyDescent="0.3">
      <c r="B50" s="457">
        <v>31.5</v>
      </c>
      <c r="C50" s="407" t="str">
        <f>IF(Noise!E$135=0,"",
    MAXA(0,
      IF(PI()/4*Noise!$F$113^2/Noise!$E$147&lt;IF(Noise!$E$147&lt;18000,4,2),  C246,  C389) -
      Noise!$F$98-Noise!$F$99))</f>
        <v/>
      </c>
      <c r="D50" s="407" t="str">
        <f>IF(Noise!F$135=0,"",
    MAXA(0,
      IF(PI()/4*Noise!$F$113^2/Noise!$E$147&lt;IF(Noise!$E$147&lt;18000,4,2),  D245,  D388) -
      Noise!$F$98-Noise!$F$99))</f>
        <v/>
      </c>
      <c r="E50" s="407" t="str">
        <f>IF(Noise!G$135=0,"",
    MAXA(0,
      IF(PI()/4*Noise!$F$113^2/Noise!$E$147&lt;IF(Noise!$E$147&lt;18000,4,2),  E245,  E388) -
      Noise!$F$98-Noise!$F$99))</f>
        <v/>
      </c>
      <c r="F50" s="407" t="str">
        <f>IF(Noise!H$135=0,"",
    MAXA(0,
      IF(PI()/4*Noise!$F$113^2/Noise!$E$147&lt;IF(Noise!$E$147&lt;18000,4,2),  F245,  F388) -
      Noise!$F$98-Noise!$F$99))</f>
        <v/>
      </c>
      <c r="G50" s="407" t="str">
        <f>IF(Noise!I$135=0,"",
    MAXA(0,
      IF(PI()/4*Noise!$F$113^2/Noise!$E$147&lt;IF(Noise!$E$147&lt;18000,4,2),  G245,  G388) -
      Noise!$F$98-Noise!$F$99))</f>
        <v/>
      </c>
      <c r="J50" s="457">
        <v>250</v>
      </c>
      <c r="K50" s="407" t="e">
        <f>10*LOG(10^(C58/10)+10^(C59/10)+10^(C60/10))</f>
        <v>#VALUE!</v>
      </c>
      <c r="L50" s="407" t="e">
        <f>10*LOG(10^(D58/10)+10^(D59/10)+10^(D60/10))</f>
        <v>#VALUE!</v>
      </c>
      <c r="M50" s="407" t="e">
        <f>10*LOG(10^(E58/10)+10^(E59/10)+10^(E60/10))</f>
        <v>#VALUE!</v>
      </c>
      <c r="N50" s="407" t="e">
        <f>10*LOG(10^(F58/10)+10^(F59/10)+10^(F60/10))</f>
        <v>#VALUE!</v>
      </c>
      <c r="O50" s="407" t="e">
        <f>10*LOG(10^(G58/10)+10^(G59/10)+10^(G60/10))</f>
        <v>#VALUE!</v>
      </c>
    </row>
    <row r="51" spans="2:15" ht="13" outlineLevel="1" x14ac:dyDescent="0.3">
      <c r="B51" s="402">
        <v>40</v>
      </c>
      <c r="C51" s="407" t="str">
        <f>IF(Noise!E$135=0,"",
    MAXA(0,
      IF(PI()/4*Noise!$F$113^2/Noise!$E$147&lt;IF(Noise!$E$147&lt;18000,4,2),  C247,  C390) -
      Noise!$F$98-Noise!$F$99))</f>
        <v/>
      </c>
      <c r="D51" s="407" t="str">
        <f>IF(Noise!F$135=0,"",
    MAXA(0,
      IF(PI()/4*Noise!$F$113^2/Noise!$E$147&lt;IF(Noise!$E$147&lt;18000,4,2),  D246,  D389) -
      Noise!$F$98-Noise!$F$99))</f>
        <v/>
      </c>
      <c r="E51" s="407" t="str">
        <f>IF(Noise!G$135=0,"",
    MAXA(0,
      IF(PI()/4*Noise!$F$113^2/Noise!$E$147&lt;IF(Noise!$E$147&lt;18000,4,2),  E246,  E389) -
      Noise!$F$98-Noise!$F$99))</f>
        <v/>
      </c>
      <c r="F51" s="407" t="str">
        <f>IF(Noise!H$135=0,"",
    MAXA(0,
      IF(PI()/4*Noise!$F$113^2/Noise!$E$147&lt;IF(Noise!$E$147&lt;18000,4,2),  F246,  F389) -
      Noise!$F$98-Noise!$F$99))</f>
        <v/>
      </c>
      <c r="G51" s="407" t="str">
        <f>IF(Noise!I$135=0,"",
    MAXA(0,
      IF(PI()/4*Noise!$F$113^2/Noise!$E$147&lt;IF(Noise!$E$147&lt;18000,4,2),  G246,  G389) -
      Noise!$F$98-Noise!$F$99))</f>
        <v/>
      </c>
      <c r="J51" s="457">
        <v>500</v>
      </c>
      <c r="K51" s="407" t="e">
        <f>10*LOG(10^(C61/10)+10^(C62/10)+10^(C63/10))</f>
        <v>#VALUE!</v>
      </c>
      <c r="L51" s="407" t="e">
        <f>10*LOG(10^(D61/10)+10^(D62/10)+10^(D63/10))</f>
        <v>#VALUE!</v>
      </c>
      <c r="M51" s="407" t="e">
        <f>10*LOG(10^(E61/10)+10^(E62/10)+10^(E63/10))</f>
        <v>#VALUE!</v>
      </c>
      <c r="N51" s="407" t="e">
        <f>10*LOG(10^(F61/10)+10^(F62/10)+10^(F63/10))</f>
        <v>#VALUE!</v>
      </c>
      <c r="O51" s="407" t="e">
        <f>10*LOG(10^(G61/10)+10^(G62/10)+10^(G63/10))</f>
        <v>#VALUE!</v>
      </c>
    </row>
    <row r="52" spans="2:15" ht="13" outlineLevel="1" x14ac:dyDescent="0.3">
      <c r="B52" s="402">
        <v>50</v>
      </c>
      <c r="C52" s="407" t="str">
        <f>IF(Noise!E$135=0,"",
    MAXA(0,
      IF(PI()/4*Noise!$F$113^2/Noise!$E$147&lt;IF(Noise!$E$147&lt;18000,4,2),  C248,  C391) -
      Noise!$F$98-Noise!$F$99))</f>
        <v/>
      </c>
      <c r="D52" s="407" t="str">
        <f>IF(Noise!F$135=0,"",
    MAXA(0,
      IF(PI()/4*Noise!$F$113^2/Noise!$E$147&lt;IF(Noise!$E$147&lt;18000,4,2),  D247,  D390) -
      Noise!$F$98-Noise!$F$99))</f>
        <v/>
      </c>
      <c r="E52" s="407" t="str">
        <f>IF(Noise!G$135=0,"",
    MAXA(0,
      IF(PI()/4*Noise!$F$113^2/Noise!$E$147&lt;IF(Noise!$E$147&lt;18000,4,2),  E247,  E390) -
      Noise!$F$98-Noise!$F$99))</f>
        <v/>
      </c>
      <c r="F52" s="407" t="str">
        <f>IF(Noise!H$135=0,"",
    MAXA(0,
      IF(PI()/4*Noise!$F$113^2/Noise!$E$147&lt;IF(Noise!$E$147&lt;18000,4,2),  F247,  F390) -
      Noise!$F$98-Noise!$F$99))</f>
        <v/>
      </c>
      <c r="G52" s="407" t="str">
        <f>IF(Noise!I$135=0,"",
    MAXA(0,
      IF(PI()/4*Noise!$F$113^2/Noise!$E$147&lt;IF(Noise!$E$147&lt;18000,4,2),  G247,  G390) -
      Noise!$F$98-Noise!$F$99))</f>
        <v/>
      </c>
      <c r="J52" s="457">
        <v>1000</v>
      </c>
      <c r="K52" s="407" t="e">
        <f>10*LOG(10^(C64/10)+10^(C65/10)+10^(C66/10))</f>
        <v>#VALUE!</v>
      </c>
      <c r="L52" s="407" t="e">
        <f>10*LOG(10^(D64/10)+10^(D65/10)+10^(D66/10))</f>
        <v>#VALUE!</v>
      </c>
      <c r="M52" s="407" t="e">
        <f>10*LOG(10^(E64/10)+10^(E65/10)+10^(E66/10))</f>
        <v>#VALUE!</v>
      </c>
      <c r="N52" s="407" t="e">
        <f>10*LOG(10^(F64/10)+10^(F65/10)+10^(F66/10))</f>
        <v>#VALUE!</v>
      </c>
      <c r="O52" s="407" t="e">
        <f>10*LOG(10^(G64/10)+10^(G65/10)+10^(G66/10))</f>
        <v>#VALUE!</v>
      </c>
    </row>
    <row r="53" spans="2:15" ht="13" x14ac:dyDescent="0.3">
      <c r="B53" s="457">
        <v>63</v>
      </c>
      <c r="C53" s="407" t="str">
        <f>IF(Noise!E$135=0,"",
    MAXA(0,
      IF(PI()/4*Noise!$F$113^2/Noise!$E$147&lt;IF(Noise!$E$147&lt;18000,4,2),  C249,  C392) -
      Noise!$F$98-Noise!$F$99))</f>
        <v/>
      </c>
      <c r="D53" s="407" t="str">
        <f>IF(Noise!F$135=0,"",
    MAXA(0,
      IF(PI()/4*Noise!$F$113^2/Noise!$E$147&lt;IF(Noise!$E$147&lt;18000,4,2),  D248,  D391) -
      Noise!$F$98-Noise!$F$99))</f>
        <v/>
      </c>
      <c r="E53" s="407" t="str">
        <f>IF(Noise!G$135=0,"",
    MAXA(0,
      IF(PI()/4*Noise!$F$113^2/Noise!$E$147&lt;IF(Noise!$E$147&lt;18000,4,2),  E248,  E391) -
      Noise!$F$98-Noise!$F$99))</f>
        <v/>
      </c>
      <c r="F53" s="407" t="str">
        <f>IF(Noise!H$135=0,"",
    MAXA(0,
      IF(PI()/4*Noise!$F$113^2/Noise!$E$147&lt;IF(Noise!$E$147&lt;18000,4,2),  F248,  F391) -
      Noise!$F$98-Noise!$F$99))</f>
        <v/>
      </c>
      <c r="G53" s="407" t="str">
        <f>IF(Noise!I$135=0,"",
    MAXA(0,
      IF(PI()/4*Noise!$F$113^2/Noise!$E$147&lt;IF(Noise!$E$147&lt;18000,4,2),  G248,  G391) -
      Noise!$F$98-Noise!$F$99))</f>
        <v/>
      </c>
      <c r="J53" s="457">
        <v>2000</v>
      </c>
      <c r="K53" s="407" t="e">
        <f>10*LOG(10^(C67/10)+10^(C68/10)+10^(C69/10))</f>
        <v>#VALUE!</v>
      </c>
      <c r="L53" s="407" t="e">
        <f>10*LOG(10^(D67/10)+10^(D68/10)+10^(D69/10))</f>
        <v>#VALUE!</v>
      </c>
      <c r="M53" s="407" t="e">
        <f>10*LOG(10^(E67/10)+10^(E68/10)+10^(E69/10))</f>
        <v>#VALUE!</v>
      </c>
      <c r="N53" s="407" t="e">
        <f>10*LOG(10^(F67/10)+10^(F68/10)+10^(F69/10))</f>
        <v>#VALUE!</v>
      </c>
      <c r="O53" s="407" t="e">
        <f>10*LOG(10^(G67/10)+10^(G68/10)+10^(G69/10))</f>
        <v>#VALUE!</v>
      </c>
    </row>
    <row r="54" spans="2:15" ht="13" outlineLevel="1" x14ac:dyDescent="0.3">
      <c r="B54" s="402">
        <v>80</v>
      </c>
      <c r="C54" s="407" t="str">
        <f>IF(Noise!E$135=0,"",
    MAXA(0,
      IF(PI()/4*Noise!$F$113^2/Noise!$E$147&lt;IF(Noise!$E$147&lt;18000,4,2),  C250,  C393) -
      Noise!$F$98-Noise!$F$99))</f>
        <v/>
      </c>
      <c r="D54" s="407" t="str">
        <f>IF(Noise!F$135=0,"",
    MAXA(0,
      IF(PI()/4*Noise!$F$113^2/Noise!$E$147&lt;IF(Noise!$E$147&lt;18000,4,2),  D249,  D392) -
      Noise!$F$98-Noise!$F$99))</f>
        <v/>
      </c>
      <c r="E54" s="407" t="str">
        <f>IF(Noise!G$135=0,"",
    MAXA(0,
      IF(PI()/4*Noise!$F$113^2/Noise!$E$147&lt;IF(Noise!$E$147&lt;18000,4,2),  E249,  E392) -
      Noise!$F$98-Noise!$F$99))</f>
        <v/>
      </c>
      <c r="F54" s="407" t="str">
        <f>IF(Noise!H$135=0,"",
    MAXA(0,
      IF(PI()/4*Noise!$F$113^2/Noise!$E$147&lt;IF(Noise!$E$147&lt;18000,4,2),  F249,  F392) -
      Noise!$F$98-Noise!$F$99))</f>
        <v/>
      </c>
      <c r="G54" s="407" t="str">
        <f>IF(Noise!I$135=0,"",
    MAXA(0,
      IF(PI()/4*Noise!$F$113^2/Noise!$E$147&lt;IF(Noise!$E$147&lt;18000,4,2),  G249,  G392) -
      Noise!$F$98-Noise!$F$99))</f>
        <v/>
      </c>
      <c r="J54" s="457">
        <v>4000</v>
      </c>
      <c r="K54" s="407" t="e">
        <f>10*LOG(10^(C70/10)+10^(C71/10)+10^(C72/10))</f>
        <v>#VALUE!</v>
      </c>
      <c r="L54" s="407" t="e">
        <f>10*LOG(10^(D70/10)+10^(D71/10)+10^(D72/10))</f>
        <v>#VALUE!</v>
      </c>
      <c r="M54" s="407" t="e">
        <f>10*LOG(10^(E70/10)+10^(E71/10)+10^(E72/10))</f>
        <v>#VALUE!</v>
      </c>
      <c r="N54" s="407" t="e">
        <f>10*LOG(10^(F70/10)+10^(F71/10)+10^(F72/10))</f>
        <v>#VALUE!</v>
      </c>
      <c r="O54" s="407" t="e">
        <f>10*LOG(10^(G70/10)+10^(G71/10)+10^(G72/10))</f>
        <v>#VALUE!</v>
      </c>
    </row>
    <row r="55" spans="2:15" ht="13" outlineLevel="1" x14ac:dyDescent="0.3">
      <c r="B55" s="402">
        <v>100</v>
      </c>
      <c r="C55" s="407" t="str">
        <f>IF(Noise!E$135=0,"",
    MAXA(0,
      IF(PI()/4*Noise!$F$113^2/Noise!$E$147&lt;IF(Noise!$E$147&lt;18000,4,2),  C251,  C394) -
      Noise!$F$98-Noise!$F$99))</f>
        <v/>
      </c>
      <c r="D55" s="407" t="str">
        <f>IF(Noise!F$135=0,"",
    MAXA(0,
      IF(PI()/4*Noise!$F$113^2/Noise!$E$147&lt;IF(Noise!$E$147&lt;18000,4,2),  D250,  D393) -
      Noise!$F$98-Noise!$F$99))</f>
        <v/>
      </c>
      <c r="E55" s="407" t="str">
        <f>IF(Noise!G$135=0,"",
    MAXA(0,
      IF(PI()/4*Noise!$F$113^2/Noise!$E$147&lt;IF(Noise!$E$147&lt;18000,4,2),  E250,  E393) -
      Noise!$F$98-Noise!$F$99))</f>
        <v/>
      </c>
      <c r="F55" s="407" t="str">
        <f>IF(Noise!H$135=0,"",
    MAXA(0,
      IF(PI()/4*Noise!$F$113^2/Noise!$E$147&lt;IF(Noise!$E$147&lt;18000,4,2),  F250,  F393) -
      Noise!$F$98-Noise!$F$99))</f>
        <v/>
      </c>
      <c r="G55" s="407" t="str">
        <f>IF(Noise!I$135=0,"",
    MAXA(0,
      IF(PI()/4*Noise!$F$113^2/Noise!$E$147&lt;IF(Noise!$E$147&lt;18000,4,2),  G250,  G393) -
      Noise!$F$98-Noise!$F$99))</f>
        <v/>
      </c>
      <c r="J55" s="457">
        <v>8000</v>
      </c>
      <c r="K55" s="407" t="e">
        <f>10*LOG(10^(C73/10)+10^(C74/10)+10^(C75/10))</f>
        <v>#VALUE!</v>
      </c>
      <c r="L55" s="407" t="e">
        <f>10*LOG(10^(D73/10)+10^(D74/10)+10^(D75/10))</f>
        <v>#VALUE!</v>
      </c>
      <c r="M55" s="407" t="e">
        <f>10*LOG(10^(E73/10)+10^(E74/10)+10^(E75/10))</f>
        <v>#VALUE!</v>
      </c>
      <c r="N55" s="407" t="e">
        <f>10*LOG(10^(F73/10)+10^(F74/10)+10^(F75/10))</f>
        <v>#VALUE!</v>
      </c>
      <c r="O55" s="407" t="e">
        <f>10*LOG(10^(G73/10)+10^(G74/10)+10^(G75/10))</f>
        <v>#VALUE!</v>
      </c>
    </row>
    <row r="56" spans="2:15" ht="13" x14ac:dyDescent="0.3">
      <c r="B56" s="457">
        <v>125</v>
      </c>
      <c r="C56" s="407" t="str">
        <f>IF(Noise!E$135=0,"",
    MAXA(0,
      IF(PI()/4*Noise!$F$113^2/Noise!$E$147&lt;IF(Noise!$E$147&lt;18000,4,2),  C252,  C395) -
      Noise!$F$98-Noise!$F$99))</f>
        <v/>
      </c>
      <c r="D56" s="407" t="str">
        <f>IF(Noise!F$135=0,"",
    MAXA(0,
      IF(PI()/4*Noise!$F$113^2/Noise!$E$147&lt;IF(Noise!$E$147&lt;18000,4,2),  D251,  D394) -
      Noise!$F$98-Noise!$F$99))</f>
        <v/>
      </c>
      <c r="E56" s="407" t="str">
        <f>IF(Noise!G$135=0,"",
    MAXA(0,
      IF(PI()/4*Noise!$F$113^2/Noise!$E$147&lt;IF(Noise!$E$147&lt;18000,4,2),  E251,  E394) -
      Noise!$F$98-Noise!$F$99))</f>
        <v/>
      </c>
      <c r="F56" s="407" t="str">
        <f>IF(Noise!H$135=0,"",
    MAXA(0,
      IF(PI()/4*Noise!$F$113^2/Noise!$E$147&lt;IF(Noise!$E$147&lt;18000,4,2),  F251,  F394) -
      Noise!$F$98-Noise!$F$99))</f>
        <v/>
      </c>
      <c r="G56" s="407" t="str">
        <f>IF(Noise!I$135=0,"",
    MAXA(0,
      IF(PI()/4*Noise!$F$113^2/Noise!$E$147&lt;IF(Noise!$E$147&lt;18000,4,2),  G251,  G394) -
      Noise!$F$98-Noise!$F$99))</f>
        <v/>
      </c>
      <c r="J56" s="457">
        <v>16000</v>
      </c>
      <c r="K56" s="407" t="e">
        <f>10*LOG(10^(C76/10)+10^(C77/10)+10^(C78/10))</f>
        <v>#VALUE!</v>
      </c>
      <c r="L56" s="407" t="e">
        <f>10*LOG(10^(D76/10)+10^(D77/10)+10^(D78/10))</f>
        <v>#VALUE!</v>
      </c>
      <c r="M56" s="407" t="e">
        <f>10*LOG(10^(E76/10)+10^(E77/10)+10^(E78/10))</f>
        <v>#VALUE!</v>
      </c>
      <c r="N56" s="407" t="e">
        <f>10*LOG(10^(F76/10)+10^(F77/10)+10^(F78/10))</f>
        <v>#VALUE!</v>
      </c>
      <c r="O56" s="407" t="e">
        <f>10*LOG(10^(G76/10)+10^(G77/10)+10^(G78/10))</f>
        <v>#VALUE!</v>
      </c>
    </row>
    <row r="57" spans="2:15" ht="13" outlineLevel="1" x14ac:dyDescent="0.3">
      <c r="B57" s="402">
        <v>160</v>
      </c>
      <c r="C57" s="407" t="str">
        <f>IF(Noise!E$135=0,"",
    MAXA(0,
      IF(PI()/4*Noise!$F$113^2/Noise!$E$147&lt;IF(Noise!$E$147&lt;18000,4,2),  C253,  C396) -
      Noise!$F$98-Noise!$F$99))</f>
        <v/>
      </c>
      <c r="D57" s="407" t="str">
        <f>IF(Noise!F$135=0,"",
    MAXA(0,
      IF(PI()/4*Noise!$F$113^2/Noise!$E$147&lt;IF(Noise!$E$147&lt;18000,4,2),  D252,  D395) -
      Noise!$F$98-Noise!$F$99))</f>
        <v/>
      </c>
      <c r="E57" s="407" t="str">
        <f>IF(Noise!G$135=0,"",
    MAXA(0,
      IF(PI()/4*Noise!$F$113^2/Noise!$E$147&lt;IF(Noise!$E$147&lt;18000,4,2),  E252,  E395) -
      Noise!$F$98-Noise!$F$99))</f>
        <v/>
      </c>
      <c r="F57" s="407" t="str">
        <f>IF(Noise!H$135=0,"",
    MAXA(0,
      IF(PI()/4*Noise!$F$113^2/Noise!$E$147&lt;IF(Noise!$E$147&lt;18000,4,2),  F252,  F395) -
      Noise!$F$98-Noise!$F$99))</f>
        <v/>
      </c>
      <c r="G57" s="407" t="str">
        <f>IF(Noise!I$135=0,"",
    MAXA(0,
      IF(PI()/4*Noise!$F$113^2/Noise!$E$147&lt;IF(Noise!$E$147&lt;18000,4,2),  G252,  G395) -
      Noise!$F$98-Noise!$F$99))</f>
        <v/>
      </c>
      <c r="K57" s="153"/>
      <c r="L57" s="153"/>
      <c r="M57" s="153"/>
      <c r="N57" s="153"/>
      <c r="O57" s="153"/>
    </row>
    <row r="58" spans="2:15" ht="13" outlineLevel="1" x14ac:dyDescent="0.3">
      <c r="B58" s="402">
        <v>200</v>
      </c>
      <c r="C58" s="407" t="str">
        <f>IF(Noise!E$135=0,"",
    MAXA(0,
      IF(PI()/4*Noise!$F$113^2/Noise!$E$147&lt;IF(Noise!$E$147&lt;18000,4,2),  C254,  C397) -
      Noise!$F$98-Noise!$F$99))</f>
        <v/>
      </c>
      <c r="D58" s="407" t="str">
        <f>IF(Noise!F$135=0,"",
    MAXA(0,
      IF(PI()/4*Noise!$F$113^2/Noise!$E$147&lt;IF(Noise!$E$147&lt;18000,4,2),  D253,  D396) -
      Noise!$F$98-Noise!$F$99))</f>
        <v/>
      </c>
      <c r="E58" s="407" t="str">
        <f>IF(Noise!G$135=0,"",
    MAXA(0,
      IF(PI()/4*Noise!$F$113^2/Noise!$E$147&lt;IF(Noise!$E$147&lt;18000,4,2),  E253,  E396) -
      Noise!$F$98-Noise!$F$99))</f>
        <v/>
      </c>
      <c r="F58" s="407" t="str">
        <f>IF(Noise!H$135=0,"",
    MAXA(0,
      IF(PI()/4*Noise!$F$113^2/Noise!$E$147&lt;IF(Noise!$E$147&lt;18000,4,2),  F253,  F396) -
      Noise!$F$98-Noise!$F$99))</f>
        <v/>
      </c>
      <c r="G58" s="407" t="str">
        <f>IF(Noise!I$135=0,"",
    MAXA(0,
      IF(PI()/4*Noise!$F$113^2/Noise!$E$147&lt;IF(Noise!$E$147&lt;18000,4,2),  G253,  G396) -
      Noise!$F$98-Noise!$F$99))</f>
        <v/>
      </c>
      <c r="K58" s="153" t="e">
        <f t="shared" ref="K58:K67" si="0">10^(K47/10)</f>
        <v>#VALUE!</v>
      </c>
      <c r="L58" s="153" t="e">
        <f t="shared" ref="L58:O58" si="1">10^(L47/10)</f>
        <v>#VALUE!</v>
      </c>
      <c r="M58" s="153" t="e">
        <f t="shared" si="1"/>
        <v>#VALUE!</v>
      </c>
      <c r="N58" s="153" t="e">
        <f t="shared" si="1"/>
        <v>#VALUE!</v>
      </c>
      <c r="O58" s="153" t="e">
        <f t="shared" si="1"/>
        <v>#VALUE!</v>
      </c>
    </row>
    <row r="59" spans="2:15" ht="13" x14ac:dyDescent="0.3">
      <c r="B59" s="457">
        <v>250</v>
      </c>
      <c r="C59" s="407" t="str">
        <f>IF(Noise!E$135=0,"",
    MAXA(0,
      IF(PI()/4*Noise!$F$113^2/Noise!$E$147&lt;IF(Noise!$E$147&lt;18000,4,2),  C255,  C398) -
      Noise!$F$98-Noise!$F$99))</f>
        <v/>
      </c>
      <c r="D59" s="407" t="str">
        <f>IF(Noise!F$135=0,"",
    MAXA(0,
      IF(PI()/4*Noise!$F$113^2/Noise!$E$147&lt;IF(Noise!$E$147&lt;18000,4,2),  D254,  D397) -
      Noise!$F$98-Noise!$F$99))</f>
        <v/>
      </c>
      <c r="E59" s="407" t="str">
        <f>IF(Noise!G$135=0,"",
    MAXA(0,
      IF(PI()/4*Noise!$F$113^2/Noise!$E$147&lt;IF(Noise!$E$147&lt;18000,4,2),  E254,  E397) -
      Noise!$F$98-Noise!$F$99))</f>
        <v/>
      </c>
      <c r="F59" s="407" t="str">
        <f>IF(Noise!H$135=0,"",
    MAXA(0,
      IF(PI()/4*Noise!$F$113^2/Noise!$E$147&lt;IF(Noise!$E$147&lt;18000,4,2),  F254,  F397) -
      Noise!$F$98-Noise!$F$99))</f>
        <v/>
      </c>
      <c r="G59" s="407" t="str">
        <f>IF(Noise!I$135=0,"",
    MAXA(0,
      IF(PI()/4*Noise!$F$113^2/Noise!$E$147&lt;IF(Noise!$E$147&lt;18000,4,2),  G254,  G397) -
      Noise!$F$98-Noise!$F$99))</f>
        <v/>
      </c>
      <c r="K59" s="153" t="e">
        <f t="shared" si="0"/>
        <v>#VALUE!</v>
      </c>
      <c r="L59" s="153" t="e">
        <f t="shared" ref="L59:O67" si="2">10^(L48/10)</f>
        <v>#VALUE!</v>
      </c>
      <c r="M59" s="153" t="e">
        <f t="shared" si="2"/>
        <v>#VALUE!</v>
      </c>
      <c r="N59" s="153" t="e">
        <f t="shared" si="2"/>
        <v>#VALUE!</v>
      </c>
      <c r="O59" s="153" t="e">
        <f t="shared" si="2"/>
        <v>#VALUE!</v>
      </c>
    </row>
    <row r="60" spans="2:15" ht="13" outlineLevel="1" x14ac:dyDescent="0.3">
      <c r="B60" s="402">
        <v>315</v>
      </c>
      <c r="C60" s="407" t="str">
        <f>IF(Noise!E$135=0,"",
    MAXA(0,
      IF(PI()/4*Noise!$F$113^2/Noise!$E$147&lt;IF(Noise!$E$147&lt;18000,4,2),  C256,  C399) -
      Noise!$F$98-Noise!$F$99))</f>
        <v/>
      </c>
      <c r="D60" s="407" t="str">
        <f>IF(Noise!F$135=0,"",
    MAXA(0,
      IF(PI()/4*Noise!$F$113^2/Noise!$E$147&lt;IF(Noise!$E$147&lt;18000,4,2),  D255,  D398) -
      Noise!$F$98-Noise!$F$99))</f>
        <v/>
      </c>
      <c r="E60" s="407" t="str">
        <f>IF(Noise!G$135=0,"",
    MAXA(0,
      IF(PI()/4*Noise!$F$113^2/Noise!$E$147&lt;IF(Noise!$E$147&lt;18000,4,2),  E255,  E398) -
      Noise!$F$98-Noise!$F$99))</f>
        <v/>
      </c>
      <c r="F60" s="407" t="str">
        <f>IF(Noise!H$135=0,"",
    MAXA(0,
      IF(PI()/4*Noise!$F$113^2/Noise!$E$147&lt;IF(Noise!$E$147&lt;18000,4,2),  F255,  F398) -
      Noise!$F$98-Noise!$F$99))</f>
        <v/>
      </c>
      <c r="G60" s="407" t="str">
        <f>IF(Noise!I$135=0,"",
    MAXA(0,
      IF(PI()/4*Noise!$F$113^2/Noise!$E$147&lt;IF(Noise!$E$147&lt;18000,4,2),  G255,  G398) -
      Noise!$F$98-Noise!$F$99))</f>
        <v/>
      </c>
      <c r="K60" s="153" t="e">
        <f t="shared" si="0"/>
        <v>#VALUE!</v>
      </c>
      <c r="L60" s="153" t="e">
        <f t="shared" si="2"/>
        <v>#VALUE!</v>
      </c>
      <c r="M60" s="153" t="e">
        <f t="shared" si="2"/>
        <v>#VALUE!</v>
      </c>
      <c r="N60" s="153" t="e">
        <f t="shared" si="2"/>
        <v>#VALUE!</v>
      </c>
      <c r="O60" s="153" t="e">
        <f t="shared" si="2"/>
        <v>#VALUE!</v>
      </c>
    </row>
    <row r="61" spans="2:15" ht="13" outlineLevel="1" x14ac:dyDescent="0.3">
      <c r="B61" s="402">
        <v>400</v>
      </c>
      <c r="C61" s="407" t="str">
        <f>IF(Noise!E$135=0,"",
    MAXA(0,
      IF(PI()/4*Noise!$F$113^2/Noise!$E$147&lt;IF(Noise!$E$147&lt;18000,4,2),  C257,  C400) -
      Noise!$F$98-Noise!$F$99))</f>
        <v/>
      </c>
      <c r="D61" s="407" t="str">
        <f>IF(Noise!F$135=0,"",
    MAXA(0,
      IF(PI()/4*Noise!$F$113^2/Noise!$E$147&lt;IF(Noise!$E$147&lt;18000,4,2),  D256,  D399) -
      Noise!$F$98-Noise!$F$99))</f>
        <v/>
      </c>
      <c r="E61" s="407" t="str">
        <f>IF(Noise!G$135=0,"",
    MAXA(0,
      IF(PI()/4*Noise!$F$113^2/Noise!$E$147&lt;IF(Noise!$E$147&lt;18000,4,2),  E256,  E399) -
      Noise!$F$98-Noise!$F$99))</f>
        <v/>
      </c>
      <c r="F61" s="407" t="str">
        <f>IF(Noise!H$135=0,"",
    MAXA(0,
      IF(PI()/4*Noise!$F$113^2/Noise!$E$147&lt;IF(Noise!$E$147&lt;18000,4,2),  F256,  F399) -
      Noise!$F$98-Noise!$F$99))</f>
        <v/>
      </c>
      <c r="G61" s="407" t="str">
        <f>IF(Noise!I$135=0,"",
    MAXA(0,
      IF(PI()/4*Noise!$F$113^2/Noise!$E$147&lt;IF(Noise!$E$147&lt;18000,4,2),  G256,  G399) -
      Noise!$F$98-Noise!$F$99))</f>
        <v/>
      </c>
      <c r="K61" s="153" t="e">
        <f t="shared" si="0"/>
        <v>#VALUE!</v>
      </c>
      <c r="L61" s="153" t="e">
        <f t="shared" si="2"/>
        <v>#VALUE!</v>
      </c>
      <c r="M61" s="153" t="e">
        <f t="shared" si="2"/>
        <v>#VALUE!</v>
      </c>
      <c r="N61" s="153" t="e">
        <f t="shared" si="2"/>
        <v>#VALUE!</v>
      </c>
      <c r="O61" s="153" t="e">
        <f t="shared" si="2"/>
        <v>#VALUE!</v>
      </c>
    </row>
    <row r="62" spans="2:15" ht="13" x14ac:dyDescent="0.3">
      <c r="B62" s="457">
        <v>500</v>
      </c>
      <c r="C62" s="407" t="str">
        <f>IF(Noise!E$135=0,"",
    MAXA(0,
      IF(PI()/4*Noise!$F$113^2/Noise!$E$147&lt;IF(Noise!$E$147&lt;18000,4,2),  C258,  C401) -
      Noise!$F$98-Noise!$F$99))</f>
        <v/>
      </c>
      <c r="D62" s="407" t="str">
        <f>IF(Noise!F$135=0,"",
    MAXA(0,
      IF(PI()/4*Noise!$F$113^2/Noise!$E$147&lt;IF(Noise!$E$147&lt;18000,4,2),  D257,  D400) -
      Noise!$F$98-Noise!$F$99))</f>
        <v/>
      </c>
      <c r="E62" s="407" t="str">
        <f>IF(Noise!G$135=0,"",
    MAXA(0,
      IF(PI()/4*Noise!$F$113^2/Noise!$E$147&lt;IF(Noise!$E$147&lt;18000,4,2),  E257,  E400) -
      Noise!$F$98-Noise!$F$99))</f>
        <v/>
      </c>
      <c r="F62" s="407" t="str">
        <f>IF(Noise!H$135=0,"",
    MAXA(0,
      IF(PI()/4*Noise!$F$113^2/Noise!$E$147&lt;IF(Noise!$E$147&lt;18000,4,2),  F257,  F400) -
      Noise!$F$98-Noise!$F$99))</f>
        <v/>
      </c>
      <c r="G62" s="407" t="str">
        <f>IF(Noise!I$135=0,"",
    MAXA(0,
      IF(PI()/4*Noise!$F$113^2/Noise!$E$147&lt;IF(Noise!$E$147&lt;18000,4,2),  G257,  G400) -
      Noise!$F$98-Noise!$F$99))</f>
        <v/>
      </c>
      <c r="K62" s="153" t="e">
        <f t="shared" si="0"/>
        <v>#VALUE!</v>
      </c>
      <c r="L62" s="153" t="e">
        <f t="shared" si="2"/>
        <v>#VALUE!</v>
      </c>
      <c r="M62" s="153" t="e">
        <f t="shared" si="2"/>
        <v>#VALUE!</v>
      </c>
      <c r="N62" s="153" t="e">
        <f t="shared" si="2"/>
        <v>#VALUE!</v>
      </c>
      <c r="O62" s="153" t="e">
        <f t="shared" si="2"/>
        <v>#VALUE!</v>
      </c>
    </row>
    <row r="63" spans="2:15" ht="13" outlineLevel="1" x14ac:dyDescent="0.3">
      <c r="B63" s="402">
        <v>630</v>
      </c>
      <c r="C63" s="407" t="str">
        <f>IF(Noise!E$135=0,"",
    MAXA(0,
      IF(PI()/4*Noise!$F$113^2/Noise!$E$147&lt;IF(Noise!$E$147&lt;18000,4,2),  C259,  C402) -
      Noise!$F$98-Noise!$F$99))</f>
        <v/>
      </c>
      <c r="D63" s="407" t="str">
        <f>IF(Noise!F$135=0,"",
    MAXA(0,
      IF(PI()/4*Noise!$F$113^2/Noise!$E$147&lt;IF(Noise!$E$147&lt;18000,4,2),  D258,  D401) -
      Noise!$F$98-Noise!$F$99))</f>
        <v/>
      </c>
      <c r="E63" s="407" t="str">
        <f>IF(Noise!G$135=0,"",
    MAXA(0,
      IF(PI()/4*Noise!$F$113^2/Noise!$E$147&lt;IF(Noise!$E$147&lt;18000,4,2),  E258,  E401) -
      Noise!$F$98-Noise!$F$99))</f>
        <v/>
      </c>
      <c r="F63" s="407" t="str">
        <f>IF(Noise!H$135=0,"",
    MAXA(0,
      IF(PI()/4*Noise!$F$113^2/Noise!$E$147&lt;IF(Noise!$E$147&lt;18000,4,2),  F258,  F401) -
      Noise!$F$98-Noise!$F$99))</f>
        <v/>
      </c>
      <c r="G63" s="407" t="str">
        <f>IF(Noise!I$135=0,"",
    MAXA(0,
      IF(PI()/4*Noise!$F$113^2/Noise!$E$147&lt;IF(Noise!$E$147&lt;18000,4,2),  G258,  G401) -
      Noise!$F$98-Noise!$F$99))</f>
        <v/>
      </c>
      <c r="K63" s="153" t="e">
        <f t="shared" si="0"/>
        <v>#VALUE!</v>
      </c>
      <c r="L63" s="153" t="e">
        <f t="shared" si="2"/>
        <v>#VALUE!</v>
      </c>
      <c r="M63" s="153" t="e">
        <f t="shared" si="2"/>
        <v>#VALUE!</v>
      </c>
      <c r="N63" s="153" t="e">
        <f t="shared" si="2"/>
        <v>#VALUE!</v>
      </c>
      <c r="O63" s="153" t="e">
        <f t="shared" si="2"/>
        <v>#VALUE!</v>
      </c>
    </row>
    <row r="64" spans="2:15" ht="13" outlineLevel="1" x14ac:dyDescent="0.3">
      <c r="B64" s="402">
        <v>800</v>
      </c>
      <c r="C64" s="407" t="str">
        <f>IF(Noise!E$135=0,"",
    MAXA(0,
      IF(PI()/4*Noise!$F$113^2/Noise!$E$147&lt;IF(Noise!$E$147&lt;18000,4,2),  C260,  C403) -
      Noise!$F$98-Noise!$F$99))</f>
        <v/>
      </c>
      <c r="D64" s="407" t="str">
        <f>IF(Noise!F$135=0,"",
    MAXA(0,
      IF(PI()/4*Noise!$F$113^2/Noise!$E$147&lt;IF(Noise!$E$147&lt;18000,4,2),  D259,  D402) -
      Noise!$F$98-Noise!$F$99))</f>
        <v/>
      </c>
      <c r="E64" s="407" t="str">
        <f>IF(Noise!G$135=0,"",
    MAXA(0,
      IF(PI()/4*Noise!$F$113^2/Noise!$E$147&lt;IF(Noise!$E$147&lt;18000,4,2),  E259,  E402) -
      Noise!$F$98-Noise!$F$99))</f>
        <v/>
      </c>
      <c r="F64" s="407" t="str">
        <f>IF(Noise!H$135=0,"",
    MAXA(0,
      IF(PI()/4*Noise!$F$113^2/Noise!$E$147&lt;IF(Noise!$E$147&lt;18000,4,2),  F259,  F402) -
      Noise!$F$98-Noise!$F$99))</f>
        <v/>
      </c>
      <c r="G64" s="407" t="str">
        <f>IF(Noise!I$135=0,"",
    MAXA(0,
      IF(PI()/4*Noise!$F$113^2/Noise!$E$147&lt;IF(Noise!$E$147&lt;18000,4,2),  G259,  G402) -
      Noise!$F$98-Noise!$F$99))</f>
        <v/>
      </c>
      <c r="K64" s="153" t="e">
        <f t="shared" si="0"/>
        <v>#VALUE!</v>
      </c>
      <c r="L64" s="153" t="e">
        <f t="shared" si="2"/>
        <v>#VALUE!</v>
      </c>
      <c r="M64" s="153" t="e">
        <f t="shared" si="2"/>
        <v>#VALUE!</v>
      </c>
      <c r="N64" s="153" t="e">
        <f t="shared" si="2"/>
        <v>#VALUE!</v>
      </c>
      <c r="O64" s="153" t="e">
        <f t="shared" si="2"/>
        <v>#VALUE!</v>
      </c>
    </row>
    <row r="65" spans="1:15" ht="13" x14ac:dyDescent="0.3">
      <c r="B65" s="457">
        <v>1000</v>
      </c>
      <c r="C65" s="407" t="str">
        <f>IF(Noise!E$135=0,"",
    MAXA(0,
      IF(PI()/4*Noise!$F$113^2/Noise!$E$147&lt;IF(Noise!$E$147&lt;18000,4,2),  C261,  C404) -
      Noise!$F$98-Noise!$F$99))</f>
        <v/>
      </c>
      <c r="D65" s="407" t="str">
        <f>IF(Noise!F$135=0,"",
    MAXA(0,
      IF(PI()/4*Noise!$F$113^2/Noise!$E$147&lt;IF(Noise!$E$147&lt;18000,4,2),  D260,  D403) -
      Noise!$F$98-Noise!$F$99))</f>
        <v/>
      </c>
      <c r="E65" s="407" t="str">
        <f>IF(Noise!G$135=0,"",
    MAXA(0,
      IF(PI()/4*Noise!$F$113^2/Noise!$E$147&lt;IF(Noise!$E$147&lt;18000,4,2),  E260,  E403) -
      Noise!$F$98-Noise!$F$99))</f>
        <v/>
      </c>
      <c r="F65" s="407" t="str">
        <f>IF(Noise!H$135=0,"",
    MAXA(0,
      IF(PI()/4*Noise!$F$113^2/Noise!$E$147&lt;IF(Noise!$E$147&lt;18000,4,2),  F260,  F403) -
      Noise!$F$98-Noise!$F$99))</f>
        <v/>
      </c>
      <c r="G65" s="407" t="str">
        <f>IF(Noise!I$135=0,"",
    MAXA(0,
      IF(PI()/4*Noise!$F$113^2/Noise!$E$147&lt;IF(Noise!$E$147&lt;18000,4,2),  G260,  G403) -
      Noise!$F$98-Noise!$F$99))</f>
        <v/>
      </c>
      <c r="K65" s="153" t="e">
        <f t="shared" si="0"/>
        <v>#VALUE!</v>
      </c>
      <c r="L65" s="153" t="e">
        <f t="shared" si="2"/>
        <v>#VALUE!</v>
      </c>
      <c r="M65" s="153" t="e">
        <f t="shared" si="2"/>
        <v>#VALUE!</v>
      </c>
      <c r="N65" s="153" t="e">
        <f t="shared" si="2"/>
        <v>#VALUE!</v>
      </c>
      <c r="O65" s="153" t="e">
        <f t="shared" si="2"/>
        <v>#VALUE!</v>
      </c>
    </row>
    <row r="66" spans="1:15" ht="13" outlineLevel="1" x14ac:dyDescent="0.3">
      <c r="B66" s="402">
        <v>1250</v>
      </c>
      <c r="C66" s="407" t="str">
        <f>IF(Noise!E$135=0,"",
    MAXA(0,
      IF(PI()/4*Noise!$F$113^2/Noise!$E$147&lt;IF(Noise!$E$147&lt;18000,4,2),  C262,  C405) -
      Noise!$F$98-Noise!$F$99))</f>
        <v/>
      </c>
      <c r="D66" s="407" t="str">
        <f>IF(Noise!F$135=0,"",
    MAXA(0,
      IF(PI()/4*Noise!$F$113^2/Noise!$E$147&lt;IF(Noise!$E$147&lt;18000,4,2),  D261,  D404) -
      Noise!$F$98-Noise!$F$99))</f>
        <v/>
      </c>
      <c r="E66" s="407" t="str">
        <f>IF(Noise!G$135=0,"",
    MAXA(0,
      IF(PI()/4*Noise!$F$113^2/Noise!$E$147&lt;IF(Noise!$E$147&lt;18000,4,2),  E261,  E404) -
      Noise!$F$98-Noise!$F$99))</f>
        <v/>
      </c>
      <c r="F66" s="407" t="str">
        <f>IF(Noise!H$135=0,"",
    MAXA(0,
      IF(PI()/4*Noise!$F$113^2/Noise!$E$147&lt;IF(Noise!$E$147&lt;18000,4,2),  F261,  F404) -
      Noise!$F$98-Noise!$F$99))</f>
        <v/>
      </c>
      <c r="G66" s="407" t="str">
        <f>IF(Noise!I$135=0,"",
    MAXA(0,
      IF(PI()/4*Noise!$F$113^2/Noise!$E$147&lt;IF(Noise!$E$147&lt;18000,4,2),  G261,  G404) -
      Noise!$F$98-Noise!$F$99))</f>
        <v/>
      </c>
      <c r="K66" s="153" t="e">
        <f t="shared" si="0"/>
        <v>#VALUE!</v>
      </c>
      <c r="L66" s="153" t="e">
        <f t="shared" si="2"/>
        <v>#VALUE!</v>
      </c>
      <c r="M66" s="153" t="e">
        <f t="shared" si="2"/>
        <v>#VALUE!</v>
      </c>
      <c r="N66" s="153" t="e">
        <f t="shared" si="2"/>
        <v>#VALUE!</v>
      </c>
      <c r="O66" s="153" t="e">
        <f t="shared" si="2"/>
        <v>#VALUE!</v>
      </c>
    </row>
    <row r="67" spans="1:15" ht="13" outlineLevel="1" x14ac:dyDescent="0.3">
      <c r="B67" s="402">
        <v>1600</v>
      </c>
      <c r="C67" s="407" t="str">
        <f>IF(Noise!E$135=0,"",
    MAXA(0,
      IF(PI()/4*Noise!$F$113^2/Noise!$E$147&lt;IF(Noise!$E$147&lt;18000,4,2),  C263,  C406) -
      Noise!$F$98-Noise!$F$99))</f>
        <v/>
      </c>
      <c r="D67" s="407" t="str">
        <f>IF(Noise!F$135=0,"",
    MAXA(0,
      IF(PI()/4*Noise!$F$113^2/Noise!$E$147&lt;IF(Noise!$E$147&lt;18000,4,2),  D262,  D405) -
      Noise!$F$98-Noise!$F$99))</f>
        <v/>
      </c>
      <c r="E67" s="407" t="str">
        <f>IF(Noise!G$135=0,"",
    MAXA(0,
      IF(PI()/4*Noise!$F$113^2/Noise!$E$147&lt;IF(Noise!$E$147&lt;18000,4,2),  E262,  E405) -
      Noise!$F$98-Noise!$F$99))</f>
        <v/>
      </c>
      <c r="F67" s="407" t="str">
        <f>IF(Noise!H$135=0,"",
    MAXA(0,
      IF(PI()/4*Noise!$F$113^2/Noise!$E$147&lt;IF(Noise!$E$147&lt;18000,4,2),  F262,  F405) -
      Noise!$F$98-Noise!$F$99))</f>
        <v/>
      </c>
      <c r="G67" s="407" t="str">
        <f>IF(Noise!I$135=0,"",
    MAXA(0,
      IF(PI()/4*Noise!$F$113^2/Noise!$E$147&lt;IF(Noise!$E$147&lt;18000,4,2),  G262,  G405) -
      Noise!$F$98-Noise!$F$99))</f>
        <v/>
      </c>
      <c r="K67" s="153" t="e">
        <f t="shared" si="0"/>
        <v>#VALUE!</v>
      </c>
      <c r="L67" s="153" t="e">
        <f t="shared" si="2"/>
        <v>#VALUE!</v>
      </c>
      <c r="M67" s="153" t="e">
        <f t="shared" si="2"/>
        <v>#VALUE!</v>
      </c>
      <c r="N67" s="153" t="e">
        <f t="shared" si="2"/>
        <v>#VALUE!</v>
      </c>
      <c r="O67" s="153" t="e">
        <f t="shared" si="2"/>
        <v>#VALUE!</v>
      </c>
    </row>
    <row r="68" spans="1:15" ht="13" x14ac:dyDescent="0.3">
      <c r="B68" s="457">
        <v>2000</v>
      </c>
      <c r="C68" s="407" t="str">
        <f>IF(Noise!E$135=0,"",
    MAXA(0,
      IF(PI()/4*Noise!$F$113^2/Noise!$E$147&lt;IF(Noise!$E$147&lt;18000,4,2),  C264,  C407) -
      Noise!$F$98-Noise!$F$99))</f>
        <v/>
      </c>
      <c r="D68" s="407" t="str">
        <f>IF(Noise!F$135=0,"",
    MAXA(0,
      IF(PI()/4*Noise!$F$113^2/Noise!$E$147&lt;IF(Noise!$E$147&lt;18000,4,2),  D263,  D406) -
      Noise!$F$98-Noise!$F$99))</f>
        <v/>
      </c>
      <c r="E68" s="407" t="str">
        <f>IF(Noise!G$135=0,"",
    MAXA(0,
      IF(PI()/4*Noise!$F$113^2/Noise!$E$147&lt;IF(Noise!$E$147&lt;18000,4,2),  E263,  E406) -
      Noise!$F$98-Noise!$F$99))</f>
        <v/>
      </c>
      <c r="F68" s="407" t="str">
        <f>IF(Noise!H$135=0,"",
    MAXA(0,
      IF(PI()/4*Noise!$F$113^2/Noise!$E$147&lt;IF(Noise!$E$147&lt;18000,4,2),  F263,  F406) -
      Noise!$F$98-Noise!$F$99))</f>
        <v/>
      </c>
      <c r="G68" s="407" t="str">
        <f>IF(Noise!I$135=0,"",
    MAXA(0,
      IF(PI()/4*Noise!$F$113^2/Noise!$E$147&lt;IF(Noise!$E$147&lt;18000,4,2),  G263,  G406) -
      Noise!$F$98-Noise!$F$99))</f>
        <v/>
      </c>
    </row>
    <row r="69" spans="1:15" ht="13" outlineLevel="1" x14ac:dyDescent="0.3">
      <c r="B69" s="402">
        <v>2500</v>
      </c>
      <c r="C69" s="407" t="str">
        <f>IF(Noise!E$135=0,"",
    MAXA(0,
      IF(PI()/4*Noise!$F$113^2/Noise!$E$147&lt;IF(Noise!$E$147&lt;18000,4,2),  C265,  C408) -
      Noise!$F$98-Noise!$F$99))</f>
        <v/>
      </c>
      <c r="D69" s="407" t="str">
        <f>IF(Noise!F$135=0,"",
    MAXA(0,
      IF(PI()/4*Noise!$F$113^2/Noise!$E$147&lt;IF(Noise!$E$147&lt;18000,4,2),  D264,  D407) -
      Noise!$F$98-Noise!$F$99))</f>
        <v/>
      </c>
      <c r="E69" s="407" t="str">
        <f>IF(Noise!G$135=0,"",
    MAXA(0,
      IF(PI()/4*Noise!$F$113^2/Noise!$E$147&lt;IF(Noise!$E$147&lt;18000,4,2),  E264,  E407) -
      Noise!$F$98-Noise!$F$99))</f>
        <v/>
      </c>
      <c r="F69" s="407" t="str">
        <f>IF(Noise!H$135=0,"",
    MAXA(0,
      IF(PI()/4*Noise!$F$113^2/Noise!$E$147&lt;IF(Noise!$E$147&lt;18000,4,2),  F264,  F407) -
      Noise!$F$98-Noise!$F$99))</f>
        <v/>
      </c>
      <c r="G69" s="407" t="str">
        <f>IF(Noise!I$135=0,"",
    MAXA(0,
      IF(PI()/4*Noise!$F$113^2/Noise!$E$147&lt;IF(Noise!$E$147&lt;18000,4,2),  G264,  G407) -
      Noise!$F$98-Noise!$F$99))</f>
        <v/>
      </c>
    </row>
    <row r="70" spans="1:15" ht="13" outlineLevel="1" x14ac:dyDescent="0.3">
      <c r="B70" s="402">
        <v>3150</v>
      </c>
      <c r="C70" s="407" t="str">
        <f>IF(Noise!E$135=0,"",
    MAXA(0,
      IF(PI()/4*Noise!$F$113^2/Noise!$E$147&lt;IF(Noise!$E$147&lt;18000,4,2),  C266,  C409) -
      Noise!$F$98-Noise!$F$99))</f>
        <v/>
      </c>
      <c r="D70" s="407" t="str">
        <f>IF(Noise!F$135=0,"",
    MAXA(0,
      IF(PI()/4*Noise!$F$113^2/Noise!$E$147&lt;IF(Noise!$E$147&lt;18000,4,2),  D265,  D408) -
      Noise!$F$98-Noise!$F$99))</f>
        <v/>
      </c>
      <c r="E70" s="407" t="str">
        <f>IF(Noise!G$135=0,"",
    MAXA(0,
      IF(PI()/4*Noise!$F$113^2/Noise!$E$147&lt;IF(Noise!$E$147&lt;18000,4,2),  E265,  E408) -
      Noise!$F$98-Noise!$F$99))</f>
        <v/>
      </c>
      <c r="F70" s="407" t="str">
        <f>IF(Noise!H$135=0,"",
    MAXA(0,
      IF(PI()/4*Noise!$F$113^2/Noise!$E$147&lt;IF(Noise!$E$147&lt;18000,4,2),  F265,  F408) -
      Noise!$F$98-Noise!$F$99))</f>
        <v/>
      </c>
      <c r="G70" s="407" t="str">
        <f>IF(Noise!I$135=0,"",
    MAXA(0,
      IF(PI()/4*Noise!$F$113^2/Noise!$E$147&lt;IF(Noise!$E$147&lt;18000,4,2),  G265,  G408) -
      Noise!$F$98-Noise!$F$99))</f>
        <v/>
      </c>
    </row>
    <row r="71" spans="1:15" ht="13" x14ac:dyDescent="0.3">
      <c r="B71" s="457">
        <v>4000</v>
      </c>
      <c r="C71" s="407" t="str">
        <f>IF(Noise!E$135=0,"",
    MAXA(0,
      IF(PI()/4*Noise!$F$113^2/Noise!$E$147&lt;IF(Noise!$E$147&lt;18000,4,2),  C267,  C410) -
      Noise!$F$98-Noise!$F$99))</f>
        <v/>
      </c>
      <c r="D71" s="407" t="str">
        <f>IF(Noise!F$135=0,"",
    MAXA(0,
      IF(PI()/4*Noise!$F$113^2/Noise!$E$147&lt;IF(Noise!$E$147&lt;18000,4,2),  D266,  D409) -
      Noise!$F$98-Noise!$F$99))</f>
        <v/>
      </c>
      <c r="E71" s="407" t="str">
        <f>IF(Noise!G$135=0,"",
    MAXA(0,
      IF(PI()/4*Noise!$F$113^2/Noise!$E$147&lt;IF(Noise!$E$147&lt;18000,4,2),  E266,  E409) -
      Noise!$F$98-Noise!$F$99))</f>
        <v/>
      </c>
      <c r="F71" s="407" t="str">
        <f>IF(Noise!H$135=0,"",
    MAXA(0,
      IF(PI()/4*Noise!$F$113^2/Noise!$E$147&lt;IF(Noise!$E$147&lt;18000,4,2),  F266,  F409) -
      Noise!$F$98-Noise!$F$99))</f>
        <v/>
      </c>
      <c r="G71" s="407" t="str">
        <f>IF(Noise!I$135=0,"",
    MAXA(0,
      IF(PI()/4*Noise!$F$113^2/Noise!$E$147&lt;IF(Noise!$E$147&lt;18000,4,2),  G266,  G409) -
      Noise!$F$98-Noise!$F$99))</f>
        <v/>
      </c>
      <c r="K71" s="153"/>
      <c r="L71" s="153"/>
      <c r="M71" s="153"/>
      <c r="N71" s="153"/>
      <c r="O71" s="153"/>
    </row>
    <row r="72" spans="1:15" ht="13" outlineLevel="1" x14ac:dyDescent="0.3">
      <c r="B72" s="402">
        <v>5000</v>
      </c>
      <c r="C72" s="407" t="str">
        <f>IF(Noise!E$135=0,"",
    MAXA(0,
      IF(PI()/4*Noise!$F$113^2/Noise!$E$147&lt;IF(Noise!$E$147&lt;18000,4,2),  C268,  C411) -
      Noise!$F$98-Noise!$F$99))</f>
        <v/>
      </c>
      <c r="D72" s="407" t="str">
        <f>IF(Noise!F$135=0,"",
    MAXA(0,
      IF(PI()/4*Noise!$F$113^2/Noise!$E$147&lt;IF(Noise!$E$147&lt;18000,4,2),  D267,  D410) -
      Noise!$F$98-Noise!$F$99))</f>
        <v/>
      </c>
      <c r="E72" s="407" t="str">
        <f>IF(Noise!G$135=0,"",
    MAXA(0,
      IF(PI()/4*Noise!$F$113^2/Noise!$E$147&lt;IF(Noise!$E$147&lt;18000,4,2),  E267,  E410) -
      Noise!$F$98-Noise!$F$99))</f>
        <v/>
      </c>
      <c r="F72" s="407" t="str">
        <f>IF(Noise!H$135=0,"",
    MAXA(0,
      IF(PI()/4*Noise!$F$113^2/Noise!$E$147&lt;IF(Noise!$E$147&lt;18000,4,2),  F267,  F410) -
      Noise!$F$98-Noise!$F$99))</f>
        <v/>
      </c>
      <c r="G72" s="407" t="str">
        <f>IF(Noise!I$135=0,"",
    MAXA(0,
      IF(PI()/4*Noise!$F$113^2/Noise!$E$147&lt;IF(Noise!$E$147&lt;18000,4,2),  G267,  G410) -
      Noise!$F$98-Noise!$F$99))</f>
        <v/>
      </c>
    </row>
    <row r="73" spans="1:15" ht="13" outlineLevel="1" x14ac:dyDescent="0.3">
      <c r="B73" s="402">
        <v>6300</v>
      </c>
      <c r="C73" s="407" t="str">
        <f>IF(Noise!E$135=0,"",
    MAXA(0,
      IF(PI()/4*Noise!$F$113^2/Noise!$E$147&lt;IF(Noise!$E$147&lt;18000,4,2),  C269,  C412) -
      Noise!$F$98-Noise!$F$99))</f>
        <v/>
      </c>
      <c r="D73" s="407" t="str">
        <f>IF(Noise!F$135=0,"",
    MAXA(0,
      IF(PI()/4*Noise!$F$113^2/Noise!$E$147&lt;IF(Noise!$E$147&lt;18000,4,2),  D268,  D411) -
      Noise!$F$98-Noise!$F$99))</f>
        <v/>
      </c>
      <c r="E73" s="407" t="str">
        <f>IF(Noise!G$135=0,"",
    MAXA(0,
      IF(PI()/4*Noise!$F$113^2/Noise!$E$147&lt;IF(Noise!$E$147&lt;18000,4,2),  E268,  E411) -
      Noise!$F$98-Noise!$F$99))</f>
        <v/>
      </c>
      <c r="F73" s="407" t="str">
        <f>IF(Noise!H$135=0,"",
    MAXA(0,
      IF(PI()/4*Noise!$F$113^2/Noise!$E$147&lt;IF(Noise!$E$147&lt;18000,4,2),  F268,  F411) -
      Noise!$F$98-Noise!$F$99))</f>
        <v/>
      </c>
      <c r="G73" s="407" t="str">
        <f>IF(Noise!I$135=0,"",
    MAXA(0,
      IF(PI()/4*Noise!$F$113^2/Noise!$E$147&lt;IF(Noise!$E$147&lt;18000,4,2),  G268,  G411) -
      Noise!$F$98-Noise!$F$99))</f>
        <v/>
      </c>
    </row>
    <row r="74" spans="1:15" ht="13" x14ac:dyDescent="0.3">
      <c r="B74" s="457">
        <v>8000</v>
      </c>
      <c r="C74" s="407" t="str">
        <f>IF(Noise!E$135=0,"",
    MAXA(0,
      IF(PI()/4*Noise!$F$113^2/Noise!$E$147&lt;IF(Noise!$E$147&lt;18000,4,2),  C270,  C413) -
      Noise!$F$98-Noise!$F$99))</f>
        <v/>
      </c>
      <c r="D74" s="407" t="str">
        <f>IF(Noise!F$135=0,"",
    MAXA(0,
      IF(PI()/4*Noise!$F$113^2/Noise!$E$147&lt;IF(Noise!$E$147&lt;18000,4,2),  D269,  D412) -
      Noise!$F$98-Noise!$F$99))</f>
        <v/>
      </c>
      <c r="E74" s="407" t="str">
        <f>IF(Noise!G$135=0,"",
    MAXA(0,
      IF(PI()/4*Noise!$F$113^2/Noise!$E$147&lt;IF(Noise!$E$147&lt;18000,4,2),  E269,  E412) -
      Noise!$F$98-Noise!$F$99))</f>
        <v/>
      </c>
      <c r="F74" s="407" t="str">
        <f>IF(Noise!H$135=0,"",
    MAXA(0,
      IF(PI()/4*Noise!$F$113^2/Noise!$E$147&lt;IF(Noise!$E$147&lt;18000,4,2),  F269,  F412) -
      Noise!$F$98-Noise!$F$99))</f>
        <v/>
      </c>
      <c r="G74" s="407" t="str">
        <f>IF(Noise!I$135=0,"",
    MAXA(0,
      IF(PI()/4*Noise!$F$113^2/Noise!$E$147&lt;IF(Noise!$E$147&lt;18000,4,2),  G269,  G412) -
      Noise!$F$98-Noise!$F$99))</f>
        <v/>
      </c>
    </row>
    <row r="75" spans="1:15" ht="13" outlineLevel="1" x14ac:dyDescent="0.3">
      <c r="B75" s="402">
        <v>10000</v>
      </c>
      <c r="C75" s="407" t="str">
        <f>IF(Noise!E$135=0,"",
    MAXA(0,
      IF(PI()/4*Noise!$F$113^2/Noise!$E$147&lt;IF(Noise!$E$147&lt;18000,4,2),  C271,  C414) -
      Noise!$F$98-Noise!$F$99))</f>
        <v/>
      </c>
      <c r="D75" s="407" t="str">
        <f>IF(Noise!F$135=0,"",
    MAXA(0,
      IF(PI()/4*Noise!$F$113^2/Noise!$E$147&lt;IF(Noise!$E$147&lt;18000,4,2),  D270,  D413) -
      Noise!$F$98-Noise!$F$99))</f>
        <v/>
      </c>
      <c r="E75" s="407" t="str">
        <f>IF(Noise!G$135=0,"",
    MAXA(0,
      IF(PI()/4*Noise!$F$113^2/Noise!$E$147&lt;IF(Noise!$E$147&lt;18000,4,2),  E270,  E413) -
      Noise!$F$98-Noise!$F$99))</f>
        <v/>
      </c>
      <c r="F75" s="407" t="str">
        <f>IF(Noise!H$135=0,"",
    MAXA(0,
      IF(PI()/4*Noise!$F$113^2/Noise!$E$147&lt;IF(Noise!$E$147&lt;18000,4,2),  F270,  F413) -
      Noise!$F$98-Noise!$F$99))</f>
        <v/>
      </c>
      <c r="G75" s="407" t="str">
        <f>IF(Noise!I$135=0,"",
    MAXA(0,
      IF(PI()/4*Noise!$F$113^2/Noise!$E$147&lt;IF(Noise!$E$147&lt;18000,4,2),  G270,  G413) -
      Noise!$F$98-Noise!$F$99))</f>
        <v/>
      </c>
    </row>
    <row r="76" spans="1:15" ht="13" outlineLevel="1" x14ac:dyDescent="0.3">
      <c r="B76" s="402">
        <v>12500</v>
      </c>
      <c r="C76" s="407" t="str">
        <f>IF(Noise!E$135=0,"",
    MAXA(0,
      IF(PI()/4*Noise!$F$113^2/Noise!$E$147&lt;IF(Noise!$E$147&lt;18000,4,2),  C272,  C415) -
      Noise!$F$98-Noise!$F$99))</f>
        <v/>
      </c>
      <c r="D76" s="407" t="str">
        <f>IF(Noise!F$135=0,"",
    MAXA(0,
      IF(PI()/4*Noise!$F$113^2/Noise!$E$147&lt;IF(Noise!$E$147&lt;18000,4,2),  D271,  D414) -
      Noise!$F$98-Noise!$F$99))</f>
        <v/>
      </c>
      <c r="E76" s="407" t="str">
        <f>IF(Noise!G$135=0,"",
    MAXA(0,
      IF(PI()/4*Noise!$F$113^2/Noise!$E$147&lt;IF(Noise!$E$147&lt;18000,4,2),  E271,  E414) -
      Noise!$F$98-Noise!$F$99))</f>
        <v/>
      </c>
      <c r="F76" s="407" t="str">
        <f>IF(Noise!H$135=0,"",
    MAXA(0,
      IF(PI()/4*Noise!$F$113^2/Noise!$E$147&lt;IF(Noise!$E$147&lt;18000,4,2),  F271,  F414) -
      Noise!$F$98-Noise!$F$99))</f>
        <v/>
      </c>
      <c r="G76" s="407" t="str">
        <f>IF(Noise!I$135=0,"",
    MAXA(0,
      IF(PI()/4*Noise!$F$113^2/Noise!$E$147&lt;IF(Noise!$E$147&lt;18000,4,2),  G271,  G414) -
      Noise!$F$98-Noise!$F$99))</f>
        <v/>
      </c>
    </row>
    <row r="77" spans="1:15" ht="13" x14ac:dyDescent="0.3">
      <c r="B77" s="457">
        <v>16000</v>
      </c>
      <c r="C77" s="407" t="str">
        <f>IF(Noise!E$135=0,"",
    MAXA(0,
      IF(PI()/4*Noise!$F$113^2/Noise!$E$147&lt;IF(Noise!$E$147&lt;18000,4,2),  C273,  C416) -
      Noise!$F$98-Noise!$F$99))</f>
        <v/>
      </c>
      <c r="D77" s="407" t="str">
        <f>IF(Noise!F$135=0,"",
    MAXA(0,
      IF(PI()/4*Noise!$F$113^2/Noise!$E$147&lt;IF(Noise!$E$147&lt;18000,4,2),  D272,  D415) -
      Noise!$F$98-Noise!$F$99))</f>
        <v/>
      </c>
      <c r="E77" s="407" t="str">
        <f>IF(Noise!G$135=0,"",
    MAXA(0,
      IF(PI()/4*Noise!$F$113^2/Noise!$E$147&lt;IF(Noise!$E$147&lt;18000,4,2),  E272,  E415) -
      Noise!$F$98-Noise!$F$99))</f>
        <v/>
      </c>
      <c r="F77" s="407" t="str">
        <f>IF(Noise!H$135=0,"",
    MAXA(0,
      IF(PI()/4*Noise!$F$113^2/Noise!$E$147&lt;IF(Noise!$E$147&lt;18000,4,2),  F272,  F415) -
      Noise!$F$98-Noise!$F$99))</f>
        <v/>
      </c>
      <c r="G77" s="407" t="str">
        <f>IF(Noise!I$135=0,"",
    MAXA(0,
      IF(PI()/4*Noise!$F$113^2/Noise!$E$147&lt;IF(Noise!$E$147&lt;18000,4,2),  G272,  G415) -
      Noise!$F$98-Noise!$F$99))</f>
        <v/>
      </c>
    </row>
    <row r="78" spans="1:15" ht="13.5" outlineLevel="1" thickBot="1" x14ac:dyDescent="0.35">
      <c r="B78" s="403">
        <v>20000</v>
      </c>
      <c r="C78" s="407" t="str">
        <f>IF(Noise!E$135=0,"",
    MAXA(0,
      IF(PI()/4*Noise!$F$113^2/Noise!$E$147&lt;IF(Noise!$E$147&lt;18000,4,2),  C274,  C417) -
      Noise!$F$98-Noise!$F$99))</f>
        <v/>
      </c>
      <c r="D78" s="407" t="str">
        <f>IF(Noise!F$135=0,"",
    MAXA(0,
      IF(PI()/4*Noise!$F$113^2/Noise!$E$147&lt;IF(Noise!$E$147&lt;18000,4,2),  D273,  D416) -
      Noise!$F$98-Noise!$F$99))</f>
        <v/>
      </c>
      <c r="E78" s="407" t="str">
        <f>IF(Noise!G$135=0,"",
    MAXA(0,
      IF(PI()/4*Noise!$F$113^2/Noise!$E$147&lt;IF(Noise!$E$147&lt;18000,4,2),  E273,  E416) -
      Noise!$F$98-Noise!$F$99))</f>
        <v/>
      </c>
      <c r="F78" s="407" t="str">
        <f>IF(Noise!H$135=0,"",
    MAXA(0,
      IF(PI()/4*Noise!$F$113^2/Noise!$E$147&lt;IF(Noise!$E$147&lt;18000,4,2),  F273,  F416) -
      Noise!$F$98-Noise!$F$99))</f>
        <v/>
      </c>
      <c r="G78" s="407" t="str">
        <f>IF(Noise!I$135=0,"",
    MAXA(0,
      IF(PI()/4*Noise!$F$113^2/Noise!$E$147&lt;IF(Noise!$E$147&lt;18000,4,2),  G273,  G416) -
      Noise!$F$98-Noise!$F$99))</f>
        <v/>
      </c>
    </row>
    <row r="79" spans="1:15" x14ac:dyDescent="0.25">
      <c r="C79" s="407"/>
    </row>
    <row r="80" spans="1:15" ht="13" x14ac:dyDescent="0.3">
      <c r="A80" s="384"/>
      <c r="B80" s="385"/>
      <c r="C80" s="407" t="str">
        <f>IF(Noise!E$135=0,"",
    MAXA(0,
      IF(PI()/4*Noise!$F$113^2/Noise!$E$147&lt;IF(Noise!$E$147&lt;18000,4,2),  C312,  C455) -
      Noise!$F$98-Noise!$F$99))</f>
        <v/>
      </c>
      <c r="D80" s="407" t="str">
        <f>IF(Noise!F$135=0,"",
    MAXA(0,
      IF(PI()/4*Noise!$F$113^2/Noise!$E$147&lt;IF(Noise!$E$147&lt;18000,4,2),  D312,  D455) -
      Noise!$F$98-Noise!$F$99))</f>
        <v/>
      </c>
      <c r="E80" s="407" t="str">
        <f>IF(Noise!G$135=0,"",
    MAXA(0,
      IF(PI()/4*Noise!$F$113^2/Noise!$E$147&lt;IF(Noise!$E$147&lt;18000,4,2),  E312,  E455) -
      Noise!$F$98-Noise!$F$99))</f>
        <v/>
      </c>
      <c r="F80" s="407" t="str">
        <f>IF(Noise!H$135=0,"",
    MAXA(0,
      IF(PI()/4*Noise!$F$113^2/Noise!$E$147&lt;IF(Noise!$E$147&lt;18000,4,2),  F312,  F455) -
      Noise!$F$98-Noise!$F$99))</f>
        <v/>
      </c>
      <c r="G80" s="407" t="str">
        <f>IF(Noise!I$135=0,"",
    MAXA(0,
      IF(PI()/4*Noise!$F$113^2/Noise!$E$147&lt;IF(Noise!$E$147&lt;18000,4,2),  G312,  G455) -
      Noise!$F$98-Noise!$F$99))</f>
        <v/>
      </c>
      <c r="K80" s="153" t="e">
        <f>10*LOG(SUM(K58:K67))</f>
        <v>#VALUE!</v>
      </c>
      <c r="L80" s="153" t="e">
        <f>10*LOG(SUM(L58:L67))</f>
        <v>#VALUE!</v>
      </c>
      <c r="M80" s="153" t="e">
        <f>10*LOG(SUM(M58:M67))</f>
        <v>#VALUE!</v>
      </c>
      <c r="N80" s="153" t="e">
        <f>10*LOG(SUM(N58:N67))</f>
        <v>#VALUE!</v>
      </c>
      <c r="O80" s="153" t="e">
        <f>10*LOG(SUM(O58:O67))</f>
        <v>#VALUE!</v>
      </c>
    </row>
    <row r="81" spans="1:3" ht="13" x14ac:dyDescent="0.3">
      <c r="A81" s="384"/>
      <c r="B81" s="385"/>
      <c r="C81" s="384"/>
    </row>
    <row r="82" spans="1:3" ht="13" x14ac:dyDescent="0.3">
      <c r="A82" s="384"/>
      <c r="B82" s="385"/>
      <c r="C82" s="384"/>
    </row>
    <row r="83" spans="1:3" ht="13" x14ac:dyDescent="0.3">
      <c r="A83" s="384"/>
      <c r="B83" s="385"/>
      <c r="C83" s="384"/>
    </row>
    <row r="84" spans="1:3" ht="13" x14ac:dyDescent="0.3">
      <c r="A84" s="384"/>
      <c r="B84" s="385"/>
      <c r="C84" s="384"/>
    </row>
    <row r="85" spans="1:3" ht="13" x14ac:dyDescent="0.3">
      <c r="A85" s="384"/>
      <c r="B85" s="385"/>
      <c r="C85" s="384"/>
    </row>
    <row r="86" spans="1:3" ht="13" x14ac:dyDescent="0.3">
      <c r="A86" s="384"/>
      <c r="B86" s="385"/>
      <c r="C86" s="384"/>
    </row>
    <row r="87" spans="1:3" ht="13" x14ac:dyDescent="0.3">
      <c r="A87" s="384"/>
      <c r="B87" s="385"/>
      <c r="C87" s="384"/>
    </row>
    <row r="88" spans="1:3" ht="13" x14ac:dyDescent="0.3">
      <c r="A88" s="384"/>
      <c r="B88" s="385"/>
      <c r="C88" s="384"/>
    </row>
    <row r="89" spans="1:3" ht="13" x14ac:dyDescent="0.3">
      <c r="A89" s="384"/>
      <c r="B89" s="385"/>
      <c r="C89" s="384"/>
    </row>
    <row r="90" spans="1:3" ht="13" x14ac:dyDescent="0.3">
      <c r="A90" s="384"/>
      <c r="B90" s="385"/>
      <c r="C90" s="384"/>
    </row>
    <row r="91" spans="1:3" ht="13" x14ac:dyDescent="0.3">
      <c r="A91" s="384"/>
      <c r="B91" s="385"/>
      <c r="C91" s="384"/>
    </row>
    <row r="92" spans="1:3" ht="13" x14ac:dyDescent="0.3">
      <c r="A92" s="384"/>
      <c r="B92" s="385"/>
      <c r="C92" s="384"/>
    </row>
    <row r="93" spans="1:3" ht="13" x14ac:dyDescent="0.3">
      <c r="A93" s="384"/>
      <c r="B93" s="385"/>
      <c r="C93" s="384"/>
    </row>
    <row r="94" spans="1:3" ht="13" x14ac:dyDescent="0.3">
      <c r="A94" s="384"/>
      <c r="B94" s="385"/>
      <c r="C94" s="384"/>
    </row>
    <row r="95" spans="1:3" ht="13" x14ac:dyDescent="0.3">
      <c r="A95" s="384"/>
      <c r="B95" s="385"/>
      <c r="C95" s="384"/>
    </row>
    <row r="96" spans="1:3" ht="13" x14ac:dyDescent="0.3">
      <c r="A96" s="384"/>
      <c r="B96" s="385"/>
      <c r="C96" s="384"/>
    </row>
    <row r="97" spans="1:21" ht="13" x14ac:dyDescent="0.3">
      <c r="A97" s="384"/>
      <c r="B97" s="385"/>
      <c r="C97" s="384"/>
    </row>
    <row r="98" spans="1:21" ht="13" x14ac:dyDescent="0.3">
      <c r="A98" s="384"/>
      <c r="B98" s="385"/>
      <c r="C98" s="384"/>
    </row>
    <row r="99" spans="1:21" ht="13" x14ac:dyDescent="0.3">
      <c r="A99" s="384"/>
      <c r="B99" s="385"/>
      <c r="C99" s="384"/>
    </row>
    <row r="100" spans="1:21" s="119" customFormat="1" ht="13" outlineLevel="1" x14ac:dyDescent="0.3">
      <c r="D100" s="120"/>
      <c r="E100" s="120"/>
      <c r="F100" s="120"/>
      <c r="G100" s="120"/>
      <c r="H100" s="386" t="s">
        <v>765</v>
      </c>
      <c r="P100" s="31"/>
      <c r="T100" s="376"/>
      <c r="U100" s="376"/>
    </row>
    <row r="101" spans="1:21" s="119" customFormat="1" ht="13" outlineLevel="1" x14ac:dyDescent="0.3">
      <c r="C101" s="492" t="s">
        <v>974</v>
      </c>
      <c r="D101" s="492"/>
      <c r="E101" s="492"/>
      <c r="F101" s="492"/>
      <c r="G101" s="492"/>
      <c r="H101" s="386" t="s">
        <v>582</v>
      </c>
      <c r="P101" s="31"/>
      <c r="T101" s="376"/>
      <c r="U101" s="376"/>
    </row>
    <row r="102" spans="1:21" s="119" customFormat="1" ht="13" outlineLevel="1" x14ac:dyDescent="0.3">
      <c r="C102" s="23" t="e">
        <f>Noise!E$249-8-10*LOG((1+($H102/(2*Noise!E$247))^2.5)*(1+(Noise!E$247/(2*$H102))^1.7))</f>
        <v>#DIV/0!</v>
      </c>
      <c r="D102" s="23" t="e">
        <f>Noise!F$249-8-10*LOG((1+($H102/(2*Noise!F$247))^2.5)*(1+(Noise!F$247/(2*$H102))^1.7))</f>
        <v>#DIV/0!</v>
      </c>
      <c r="E102" s="23" t="e">
        <f>Noise!G$249-8-10*LOG((1+($H102/(2*Noise!G$247))^2.5)*(1+(Noise!G$247/(2*$H102))^1.7))</f>
        <v>#DIV/0!</v>
      </c>
      <c r="F102" s="23" t="e">
        <f>Noise!H$249-8-10*LOG((1+($H102/(2*Noise!H$247))^2.5)*(1+(Noise!H$247/(2*$H102))^1.7))</f>
        <v>#DIV/0!</v>
      </c>
      <c r="G102" s="23" t="e">
        <f>Noise!I$249-8-10*LOG((1+($H102/(2*Noise!I$247))^2.5)*(1+(Noise!I$247/(2*$H102))^1.7))</f>
        <v>#DIV/0!</v>
      </c>
      <c r="H102" s="177">
        <v>12.5</v>
      </c>
      <c r="P102" s="31"/>
    </row>
    <row r="103" spans="1:21" s="119" customFormat="1" ht="13" outlineLevel="1" x14ac:dyDescent="0.3">
      <c r="C103" s="23" t="e">
        <f>Noise!E$249-8-10*LOG((1+($H103/(2*Noise!E$247))^2.5)*(1+(Noise!E$247/(2*$H103))^1.7))</f>
        <v>#DIV/0!</v>
      </c>
      <c r="D103" s="23" t="e">
        <f>Noise!F$249-8-10*LOG((1+($H103/(2*Noise!F$247))^2.5)*(1+(Noise!F$247/(2*$H103))^1.7))</f>
        <v>#DIV/0!</v>
      </c>
      <c r="E103" s="23" t="e">
        <f>Noise!G$249-8-10*LOG((1+($H103/(2*Noise!G$247))^2.5)*(1+(Noise!G$247/(2*$H103))^1.7))</f>
        <v>#DIV/0!</v>
      </c>
      <c r="F103" s="23" t="e">
        <f>Noise!H$249-8-10*LOG((1+($H103/(2*Noise!H$247))^2.5)*(1+(Noise!H$247/(2*$H103))^1.7))</f>
        <v>#DIV/0!</v>
      </c>
      <c r="G103" s="23" t="e">
        <f>Noise!I$249-8-10*LOG((1+($H103/(2*Noise!I$247))^2.5)*(1+(Noise!I$247/(2*$H103))^1.7))</f>
        <v>#DIV/0!</v>
      </c>
      <c r="H103" s="177">
        <v>16</v>
      </c>
      <c r="P103" s="31"/>
    </row>
    <row r="104" spans="1:21" s="119" customFormat="1" ht="13" outlineLevel="1" x14ac:dyDescent="0.3">
      <c r="C104" s="23" t="e">
        <f>Noise!E$249-8-10*LOG((1+($H104/(2*Noise!E$247))^2.5)*(1+(Noise!E$247/(2*$H104))^1.7))</f>
        <v>#DIV/0!</v>
      </c>
      <c r="D104" s="23" t="e">
        <f>Noise!F$249-8-10*LOG((1+($H104/(2*Noise!F$247))^2.5)*(1+(Noise!F$247/(2*$H104))^1.7))</f>
        <v>#DIV/0!</v>
      </c>
      <c r="E104" s="23" t="e">
        <f>Noise!G$249-8-10*LOG((1+($H104/(2*Noise!G$247))^2.5)*(1+(Noise!G$247/(2*$H104))^1.7))</f>
        <v>#DIV/0!</v>
      </c>
      <c r="F104" s="23" t="e">
        <f>Noise!H$249-8-10*LOG((1+($H104/(2*Noise!H$247))^2.5)*(1+(Noise!H$247/(2*$H104))^1.7))</f>
        <v>#DIV/0!</v>
      </c>
      <c r="G104" s="23" t="e">
        <f>Noise!I$249-8-10*LOG((1+($H104/(2*Noise!I$247))^2.5)*(1+(Noise!I$247/(2*$H104))^1.7))</f>
        <v>#DIV/0!</v>
      </c>
      <c r="H104" s="177">
        <v>20</v>
      </c>
      <c r="P104" s="31"/>
    </row>
    <row r="105" spans="1:21" s="119" customFormat="1" ht="13" outlineLevel="1" x14ac:dyDescent="0.3">
      <c r="C105" s="23" t="e">
        <f>Noise!E$249-8-10*LOG((1+($H105/(2*Noise!E$247))^2.5)*(1+(Noise!E$247/(2*$H105))^1.7))</f>
        <v>#DIV/0!</v>
      </c>
      <c r="D105" s="23" t="e">
        <f>Noise!F$249-8-10*LOG((1+($H105/(2*Noise!F$247))^2.5)*(1+(Noise!F$247/(2*$H105))^1.7))</f>
        <v>#DIV/0!</v>
      </c>
      <c r="E105" s="23" t="e">
        <f>Noise!G$249-8-10*LOG((1+($H105/(2*Noise!G$247))^2.5)*(1+(Noise!G$247/(2*$H105))^1.7))</f>
        <v>#DIV/0!</v>
      </c>
      <c r="F105" s="23" t="e">
        <f>Noise!H$249-8-10*LOG((1+($H105/(2*Noise!H$247))^2.5)*(1+(Noise!H$247/(2*$H105))^1.7))</f>
        <v>#DIV/0!</v>
      </c>
      <c r="G105" s="23" t="e">
        <f>Noise!I$249-8-10*LOG((1+($H105/(2*Noise!I$247))^2.5)*(1+(Noise!I$247/(2*$H105))^1.7))</f>
        <v>#DIV/0!</v>
      </c>
      <c r="H105" s="177">
        <v>25</v>
      </c>
      <c r="P105" s="31"/>
    </row>
    <row r="106" spans="1:21" s="119" customFormat="1" ht="13" outlineLevel="1" x14ac:dyDescent="0.3">
      <c r="C106" s="23" t="e">
        <f>Noise!E$249-8-10*LOG((1+($H106/(2*Noise!E$247))^2.5)*(1+(Noise!E$247/(2*$H106))^1.7))</f>
        <v>#DIV/0!</v>
      </c>
      <c r="D106" s="23" t="e">
        <f>Noise!F$249-8-10*LOG((1+($H106/(2*Noise!F$247))^2.5)*(1+(Noise!F$247/(2*$H106))^1.7))</f>
        <v>#DIV/0!</v>
      </c>
      <c r="E106" s="23" t="e">
        <f>Noise!G$249-8-10*LOG((1+($H106/(2*Noise!G$247))^2.5)*(1+(Noise!G$247/(2*$H106))^1.7))</f>
        <v>#DIV/0!</v>
      </c>
      <c r="F106" s="23" t="e">
        <f>Noise!H$249-8-10*LOG((1+($H106/(2*Noise!H$247))^2.5)*(1+(Noise!H$247/(2*$H106))^1.7))</f>
        <v>#DIV/0!</v>
      </c>
      <c r="G106" s="23" t="e">
        <f>Noise!I$249-8-10*LOG((1+($H106/(2*Noise!I$247))^2.5)*(1+(Noise!I$247/(2*$H106))^1.7))</f>
        <v>#DIV/0!</v>
      </c>
      <c r="H106" s="177">
        <v>31.5</v>
      </c>
      <c r="P106" s="31"/>
    </row>
    <row r="107" spans="1:21" s="119" customFormat="1" ht="13" outlineLevel="1" x14ac:dyDescent="0.3">
      <c r="C107" s="23" t="e">
        <f>Noise!E$249-8-10*LOG((1+($H107/(2*Noise!E$247))^2.5)*(1+(Noise!E$247/(2*$H107))^1.7))</f>
        <v>#DIV/0!</v>
      </c>
      <c r="D107" s="23" t="e">
        <f>Noise!F$249-8-10*LOG((1+($H107/(2*Noise!F$247))^2.5)*(1+(Noise!F$247/(2*$H107))^1.7))</f>
        <v>#DIV/0!</v>
      </c>
      <c r="E107" s="23" t="e">
        <f>Noise!G$249-8-10*LOG((1+($H107/(2*Noise!G$247))^2.5)*(1+(Noise!G$247/(2*$H107))^1.7))</f>
        <v>#DIV/0!</v>
      </c>
      <c r="F107" s="23" t="e">
        <f>Noise!H$249-8-10*LOG((1+($H107/(2*Noise!H$247))^2.5)*(1+(Noise!H$247/(2*$H107))^1.7))</f>
        <v>#DIV/0!</v>
      </c>
      <c r="G107" s="23" t="e">
        <f>Noise!I$249-8-10*LOG((1+($H107/(2*Noise!I$247))^2.5)*(1+(Noise!I$247/(2*$H107))^1.7))</f>
        <v>#DIV/0!</v>
      </c>
      <c r="H107" s="177">
        <v>40</v>
      </c>
      <c r="P107" s="31"/>
    </row>
    <row r="108" spans="1:21" s="119" customFormat="1" ht="13" outlineLevel="1" x14ac:dyDescent="0.3">
      <c r="C108" s="23" t="e">
        <f>Noise!E$249-8-10*LOG((1+($H108/(2*Noise!E$247))^2.5)*(1+(Noise!E$247/(2*$H108))^1.7))</f>
        <v>#DIV/0!</v>
      </c>
      <c r="D108" s="23" t="e">
        <f>Noise!F$249-8-10*LOG((1+($H108/(2*Noise!F$247))^2.5)*(1+(Noise!F$247/(2*$H108))^1.7))</f>
        <v>#DIV/0!</v>
      </c>
      <c r="E108" s="23" t="e">
        <f>Noise!G$249-8-10*LOG((1+($H108/(2*Noise!G$247))^2.5)*(1+(Noise!G$247/(2*$H108))^1.7))</f>
        <v>#DIV/0!</v>
      </c>
      <c r="F108" s="23" t="e">
        <f>Noise!H$249-8-10*LOG((1+($H108/(2*Noise!H$247))^2.5)*(1+(Noise!H$247/(2*$H108))^1.7))</f>
        <v>#DIV/0!</v>
      </c>
      <c r="G108" s="23" t="e">
        <f>Noise!I$249-8-10*LOG((1+($H108/(2*Noise!I$247))^2.5)*(1+(Noise!I$247/(2*$H108))^1.7))</f>
        <v>#DIV/0!</v>
      </c>
      <c r="H108" s="177">
        <v>50</v>
      </c>
      <c r="P108" s="31"/>
    </row>
    <row r="109" spans="1:21" s="119" customFormat="1" ht="13" outlineLevel="1" x14ac:dyDescent="0.3">
      <c r="C109" s="23" t="e">
        <f>Noise!E$249-8-10*LOG((1+($H109/(2*Noise!E$247))^2.5)*(1+(Noise!E$247/(2*$H109))^1.7))</f>
        <v>#DIV/0!</v>
      </c>
      <c r="D109" s="23" t="e">
        <f>Noise!F$249-8-10*LOG((1+($H109/(2*Noise!F$247))^2.5)*(1+(Noise!F$247/(2*$H109))^1.7))</f>
        <v>#DIV/0!</v>
      </c>
      <c r="E109" s="23" t="e">
        <f>Noise!G$249-8-10*LOG((1+($H109/(2*Noise!G$247))^2.5)*(1+(Noise!G$247/(2*$H109))^1.7))</f>
        <v>#DIV/0!</v>
      </c>
      <c r="F109" s="23" t="e">
        <f>Noise!H$249-8-10*LOG((1+($H109/(2*Noise!H$247))^2.5)*(1+(Noise!H$247/(2*$H109))^1.7))</f>
        <v>#DIV/0!</v>
      </c>
      <c r="G109" s="23" t="e">
        <f>Noise!I$249-8-10*LOG((1+($H109/(2*Noise!I$247))^2.5)*(1+(Noise!I$247/(2*$H109))^1.7))</f>
        <v>#DIV/0!</v>
      </c>
      <c r="H109" s="177">
        <v>63</v>
      </c>
      <c r="P109" s="31"/>
    </row>
    <row r="110" spans="1:21" s="119" customFormat="1" ht="13" outlineLevel="1" x14ac:dyDescent="0.3">
      <c r="C110" s="23" t="e">
        <f>Noise!E$249-8-10*LOG((1+($H110/(2*Noise!E$247))^2.5)*(1+(Noise!E$247/(2*$H110))^1.7))</f>
        <v>#DIV/0!</v>
      </c>
      <c r="D110" s="23" t="e">
        <f>Noise!F$249-8-10*LOG((1+($H110/(2*Noise!F$247))^2.5)*(1+(Noise!F$247/(2*$H110))^1.7))</f>
        <v>#DIV/0!</v>
      </c>
      <c r="E110" s="23" t="e">
        <f>Noise!G$249-8-10*LOG((1+($H110/(2*Noise!G$247))^2.5)*(1+(Noise!G$247/(2*$H110))^1.7))</f>
        <v>#DIV/0!</v>
      </c>
      <c r="F110" s="23" t="e">
        <f>Noise!H$249-8-10*LOG((1+($H110/(2*Noise!H$247))^2.5)*(1+(Noise!H$247/(2*$H110))^1.7))</f>
        <v>#DIV/0!</v>
      </c>
      <c r="G110" s="23" t="e">
        <f>Noise!I$249-8-10*LOG((1+($H110/(2*Noise!I$247))^2.5)*(1+(Noise!I$247/(2*$H110))^1.7))</f>
        <v>#DIV/0!</v>
      </c>
      <c r="H110" s="177">
        <v>80</v>
      </c>
      <c r="P110" s="31"/>
    </row>
    <row r="111" spans="1:21" s="119" customFormat="1" ht="13" outlineLevel="1" x14ac:dyDescent="0.3">
      <c r="C111" s="23" t="e">
        <f>Noise!E$249-8-10*LOG((1+($H111/(2*Noise!E$247))^2.5)*(1+(Noise!E$247/(2*$H111))^1.7))</f>
        <v>#DIV/0!</v>
      </c>
      <c r="D111" s="23" t="e">
        <f>Noise!F$249-8-10*LOG((1+($H111/(2*Noise!F$247))^2.5)*(1+(Noise!F$247/(2*$H111))^1.7))</f>
        <v>#DIV/0!</v>
      </c>
      <c r="E111" s="23" t="e">
        <f>Noise!G$249-8-10*LOG((1+($H111/(2*Noise!G$247))^2.5)*(1+(Noise!G$247/(2*$H111))^1.7))</f>
        <v>#DIV/0!</v>
      </c>
      <c r="F111" s="23" t="e">
        <f>Noise!H$249-8-10*LOG((1+($H111/(2*Noise!H$247))^2.5)*(1+(Noise!H$247/(2*$H111))^1.7))</f>
        <v>#DIV/0!</v>
      </c>
      <c r="G111" s="23" t="e">
        <f>Noise!I$249-8-10*LOG((1+($H111/(2*Noise!I$247))^2.5)*(1+(Noise!I$247/(2*$H111))^1.7))</f>
        <v>#DIV/0!</v>
      </c>
      <c r="H111" s="177">
        <v>100</v>
      </c>
      <c r="P111" s="31"/>
    </row>
    <row r="112" spans="1:21" s="119" customFormat="1" ht="13" outlineLevel="1" x14ac:dyDescent="0.3">
      <c r="C112" s="23" t="e">
        <f>Noise!E$249-8-10*LOG((1+($H112/(2*Noise!E$247))^2.5)*(1+(Noise!E$247/(2*$H112))^1.7))</f>
        <v>#DIV/0!</v>
      </c>
      <c r="D112" s="23" t="e">
        <f>Noise!F$249-8-10*LOG((1+($H112/(2*Noise!F$247))^2.5)*(1+(Noise!F$247/(2*$H112))^1.7))</f>
        <v>#DIV/0!</v>
      </c>
      <c r="E112" s="23" t="e">
        <f>Noise!G$249-8-10*LOG((1+($H112/(2*Noise!G$247))^2.5)*(1+(Noise!G$247/(2*$H112))^1.7))</f>
        <v>#DIV/0!</v>
      </c>
      <c r="F112" s="23" t="e">
        <f>Noise!H$249-8-10*LOG((1+($H112/(2*Noise!H$247))^2.5)*(1+(Noise!H$247/(2*$H112))^1.7))</f>
        <v>#DIV/0!</v>
      </c>
      <c r="G112" s="23" t="e">
        <f>Noise!I$249-8-10*LOG((1+($H112/(2*Noise!I$247))^2.5)*(1+(Noise!I$247/(2*$H112))^1.7))</f>
        <v>#DIV/0!</v>
      </c>
      <c r="H112" s="177">
        <v>125</v>
      </c>
      <c r="P112" s="31"/>
    </row>
    <row r="113" spans="3:16" s="119" customFormat="1" ht="13" outlineLevel="1" x14ac:dyDescent="0.3">
      <c r="C113" s="23" t="e">
        <f>Noise!E$249-8-10*LOG((1+($H113/(2*Noise!E$247))^2.5)*(1+(Noise!E$247/(2*$H113))^1.7))</f>
        <v>#DIV/0!</v>
      </c>
      <c r="D113" s="23" t="e">
        <f>Noise!F$249-8-10*LOG((1+($H113/(2*Noise!F$247))^2.5)*(1+(Noise!F$247/(2*$H113))^1.7))</f>
        <v>#DIV/0!</v>
      </c>
      <c r="E113" s="23" t="e">
        <f>Noise!G$249-8-10*LOG((1+($H113/(2*Noise!G$247))^2.5)*(1+(Noise!G$247/(2*$H113))^1.7))</f>
        <v>#DIV/0!</v>
      </c>
      <c r="F113" s="23" t="e">
        <f>Noise!H$249-8-10*LOG((1+($H113/(2*Noise!H$247))^2.5)*(1+(Noise!H$247/(2*$H113))^1.7))</f>
        <v>#DIV/0!</v>
      </c>
      <c r="G113" s="23" t="e">
        <f>Noise!I$249-8-10*LOG((1+($H113/(2*Noise!I$247))^2.5)*(1+(Noise!I$247/(2*$H113))^1.7))</f>
        <v>#DIV/0!</v>
      </c>
      <c r="H113" s="177">
        <v>160</v>
      </c>
      <c r="P113" s="31"/>
    </row>
    <row r="114" spans="3:16" s="119" customFormat="1" ht="13" outlineLevel="1" x14ac:dyDescent="0.3">
      <c r="C114" s="23" t="e">
        <f>Noise!E$249-8-10*LOG((1+($H114/(2*Noise!E$247))^2.5)*(1+(Noise!E$247/(2*$H114))^1.7))</f>
        <v>#DIV/0!</v>
      </c>
      <c r="D114" s="23" t="e">
        <f>Noise!F$249-8-10*LOG((1+($H114/(2*Noise!F$247))^2.5)*(1+(Noise!F$247/(2*$H114))^1.7))</f>
        <v>#DIV/0!</v>
      </c>
      <c r="E114" s="23" t="e">
        <f>Noise!G$249-8-10*LOG((1+($H114/(2*Noise!G$247))^2.5)*(1+(Noise!G$247/(2*$H114))^1.7))</f>
        <v>#DIV/0!</v>
      </c>
      <c r="F114" s="23" t="e">
        <f>Noise!H$249-8-10*LOG((1+($H114/(2*Noise!H$247))^2.5)*(1+(Noise!H$247/(2*$H114))^1.7))</f>
        <v>#DIV/0!</v>
      </c>
      <c r="G114" s="23" t="e">
        <f>Noise!I$249-8-10*LOG((1+($H114/(2*Noise!I$247))^2.5)*(1+(Noise!I$247/(2*$H114))^1.7))</f>
        <v>#DIV/0!</v>
      </c>
      <c r="H114" s="177">
        <v>200</v>
      </c>
      <c r="P114" s="31"/>
    </row>
    <row r="115" spans="3:16" s="119" customFormat="1" ht="13" outlineLevel="1" x14ac:dyDescent="0.3">
      <c r="C115" s="23" t="e">
        <f>Noise!E$249-8-10*LOG((1+($H115/(2*Noise!E$247))^2.5)*(1+(Noise!E$247/(2*$H115))^1.7))</f>
        <v>#DIV/0!</v>
      </c>
      <c r="D115" s="23" t="e">
        <f>Noise!F$249-8-10*LOG((1+($H115/(2*Noise!F$247))^2.5)*(1+(Noise!F$247/(2*$H115))^1.7))</f>
        <v>#DIV/0!</v>
      </c>
      <c r="E115" s="23" t="e">
        <f>Noise!G$249-8-10*LOG((1+($H115/(2*Noise!G$247))^2.5)*(1+(Noise!G$247/(2*$H115))^1.7))</f>
        <v>#DIV/0!</v>
      </c>
      <c r="F115" s="23" t="e">
        <f>Noise!H$249-8-10*LOG((1+($H115/(2*Noise!H$247))^2.5)*(1+(Noise!H$247/(2*$H115))^1.7))</f>
        <v>#DIV/0!</v>
      </c>
      <c r="G115" s="23" t="e">
        <f>Noise!I$249-8-10*LOG((1+($H115/(2*Noise!I$247))^2.5)*(1+(Noise!I$247/(2*$H115))^1.7))</f>
        <v>#DIV/0!</v>
      </c>
      <c r="H115" s="177">
        <v>250</v>
      </c>
      <c r="P115" s="31"/>
    </row>
    <row r="116" spans="3:16" s="119" customFormat="1" ht="13" outlineLevel="1" x14ac:dyDescent="0.3">
      <c r="C116" s="23" t="e">
        <f>Noise!E$249-8-10*LOG((1+($H116/(2*Noise!E$247))^2.5)*(1+(Noise!E$247/(2*$H116))^1.7))</f>
        <v>#DIV/0!</v>
      </c>
      <c r="D116" s="23" t="e">
        <f>Noise!F$249-8-10*LOG((1+($H116/(2*Noise!F$247))^2.5)*(1+(Noise!F$247/(2*$H116))^1.7))</f>
        <v>#DIV/0!</v>
      </c>
      <c r="E116" s="23" t="e">
        <f>Noise!G$249-8-10*LOG((1+($H116/(2*Noise!G$247))^2.5)*(1+(Noise!G$247/(2*$H116))^1.7))</f>
        <v>#DIV/0!</v>
      </c>
      <c r="F116" s="23" t="e">
        <f>Noise!H$249-8-10*LOG((1+($H116/(2*Noise!H$247))^2.5)*(1+(Noise!H$247/(2*$H116))^1.7))</f>
        <v>#DIV/0!</v>
      </c>
      <c r="G116" s="23" t="e">
        <f>Noise!I$249-8-10*LOG((1+($H116/(2*Noise!I$247))^2.5)*(1+(Noise!I$247/(2*$H116))^1.7))</f>
        <v>#DIV/0!</v>
      </c>
      <c r="H116" s="177">
        <v>315</v>
      </c>
      <c r="P116" s="31"/>
    </row>
    <row r="117" spans="3:16" s="119" customFormat="1" ht="13" outlineLevel="1" x14ac:dyDescent="0.3">
      <c r="C117" s="23" t="e">
        <f>Noise!E$249-8-10*LOG((1+($H117/(2*Noise!E$247))^2.5)*(1+(Noise!E$247/(2*$H117))^1.7))</f>
        <v>#DIV/0!</v>
      </c>
      <c r="D117" s="23" t="e">
        <f>Noise!F$249-8-10*LOG((1+($H117/(2*Noise!F$247))^2.5)*(1+(Noise!F$247/(2*$H117))^1.7))</f>
        <v>#DIV/0!</v>
      </c>
      <c r="E117" s="23" t="e">
        <f>Noise!G$249-8-10*LOG((1+($H117/(2*Noise!G$247))^2.5)*(1+(Noise!G$247/(2*$H117))^1.7))</f>
        <v>#DIV/0!</v>
      </c>
      <c r="F117" s="23" t="e">
        <f>Noise!H$249-8-10*LOG((1+($H117/(2*Noise!H$247))^2.5)*(1+(Noise!H$247/(2*$H117))^1.7))</f>
        <v>#DIV/0!</v>
      </c>
      <c r="G117" s="23" t="e">
        <f>Noise!I$249-8-10*LOG((1+($H117/(2*Noise!I$247))^2.5)*(1+(Noise!I$247/(2*$H117))^1.7))</f>
        <v>#DIV/0!</v>
      </c>
      <c r="H117" s="177">
        <v>400</v>
      </c>
      <c r="P117" s="31"/>
    </row>
    <row r="118" spans="3:16" s="119" customFormat="1" ht="13" outlineLevel="1" x14ac:dyDescent="0.3">
      <c r="C118" s="23" t="e">
        <f>Noise!E$249-8-10*LOG((1+($H118/(2*Noise!E$247))^2.5)*(1+(Noise!E$247/(2*$H118))^1.7))</f>
        <v>#DIV/0!</v>
      </c>
      <c r="D118" s="23" t="e">
        <f>Noise!F$249-8-10*LOG((1+($H118/(2*Noise!F$247))^2.5)*(1+(Noise!F$247/(2*$H118))^1.7))</f>
        <v>#DIV/0!</v>
      </c>
      <c r="E118" s="23" t="e">
        <f>Noise!G$249-8-10*LOG((1+($H118/(2*Noise!G$247))^2.5)*(1+(Noise!G$247/(2*$H118))^1.7))</f>
        <v>#DIV/0!</v>
      </c>
      <c r="F118" s="23" t="e">
        <f>Noise!H$249-8-10*LOG((1+($H118/(2*Noise!H$247))^2.5)*(1+(Noise!H$247/(2*$H118))^1.7))</f>
        <v>#DIV/0!</v>
      </c>
      <c r="G118" s="23" t="e">
        <f>Noise!I$249-8-10*LOG((1+($H118/(2*Noise!I$247))^2.5)*(1+(Noise!I$247/(2*$H118))^1.7))</f>
        <v>#DIV/0!</v>
      </c>
      <c r="H118" s="177">
        <v>500</v>
      </c>
      <c r="P118" s="31"/>
    </row>
    <row r="119" spans="3:16" s="119" customFormat="1" ht="13" outlineLevel="1" x14ac:dyDescent="0.3">
      <c r="C119" s="23" t="e">
        <f>Noise!E$249-8-10*LOG((1+($H119/(2*Noise!E$247))^2.5)*(1+(Noise!E$247/(2*$H119))^1.7))</f>
        <v>#DIV/0!</v>
      </c>
      <c r="D119" s="23" t="e">
        <f>Noise!F$249-8-10*LOG((1+($H119/(2*Noise!F$247))^2.5)*(1+(Noise!F$247/(2*$H119))^1.7))</f>
        <v>#DIV/0!</v>
      </c>
      <c r="E119" s="23" t="e">
        <f>Noise!G$249-8-10*LOG((1+($H119/(2*Noise!G$247))^2.5)*(1+(Noise!G$247/(2*$H119))^1.7))</f>
        <v>#DIV/0!</v>
      </c>
      <c r="F119" s="23" t="e">
        <f>Noise!H$249-8-10*LOG((1+($H119/(2*Noise!H$247))^2.5)*(1+(Noise!H$247/(2*$H119))^1.7))</f>
        <v>#DIV/0!</v>
      </c>
      <c r="G119" s="23" t="e">
        <f>Noise!I$249-8-10*LOG((1+($H119/(2*Noise!I$247))^2.5)*(1+(Noise!I$247/(2*$H119))^1.7))</f>
        <v>#DIV/0!</v>
      </c>
      <c r="H119" s="177">
        <v>630</v>
      </c>
      <c r="P119" s="31"/>
    </row>
    <row r="120" spans="3:16" s="119" customFormat="1" ht="13" outlineLevel="1" x14ac:dyDescent="0.3">
      <c r="C120" s="23" t="e">
        <f>Noise!E$249-8-10*LOG((1+($H120/(2*Noise!E$247))^2.5)*(1+(Noise!E$247/(2*$H120))^1.7))</f>
        <v>#DIV/0!</v>
      </c>
      <c r="D120" s="23" t="e">
        <f>Noise!F$249-8-10*LOG((1+($H120/(2*Noise!F$247))^2.5)*(1+(Noise!F$247/(2*$H120))^1.7))</f>
        <v>#DIV/0!</v>
      </c>
      <c r="E120" s="23" t="e">
        <f>Noise!G$249-8-10*LOG((1+($H120/(2*Noise!G$247))^2.5)*(1+(Noise!G$247/(2*$H120))^1.7))</f>
        <v>#DIV/0!</v>
      </c>
      <c r="F120" s="23" t="e">
        <f>Noise!H$249-8-10*LOG((1+($H120/(2*Noise!H$247))^2.5)*(1+(Noise!H$247/(2*$H120))^1.7))</f>
        <v>#DIV/0!</v>
      </c>
      <c r="G120" s="23" t="e">
        <f>Noise!I$249-8-10*LOG((1+($H120/(2*Noise!I$247))^2.5)*(1+(Noise!I$247/(2*$H120))^1.7))</f>
        <v>#DIV/0!</v>
      </c>
      <c r="H120" s="177">
        <v>800</v>
      </c>
      <c r="P120" s="31"/>
    </row>
    <row r="121" spans="3:16" s="119" customFormat="1" ht="13" outlineLevel="1" x14ac:dyDescent="0.3">
      <c r="C121" s="23" t="e">
        <f>Noise!E$249-8-10*LOG((1+($H121/(2*Noise!E$247))^2.5)*(1+(Noise!E$247/(2*$H121))^1.7))</f>
        <v>#DIV/0!</v>
      </c>
      <c r="D121" s="23" t="e">
        <f>Noise!F$249-8-10*LOG((1+($H121/(2*Noise!F$247))^2.5)*(1+(Noise!F$247/(2*$H121))^1.7))</f>
        <v>#DIV/0!</v>
      </c>
      <c r="E121" s="23" t="e">
        <f>Noise!G$249-8-10*LOG((1+($H121/(2*Noise!G$247))^2.5)*(1+(Noise!G$247/(2*$H121))^1.7))</f>
        <v>#DIV/0!</v>
      </c>
      <c r="F121" s="23" t="e">
        <f>Noise!H$249-8-10*LOG((1+($H121/(2*Noise!H$247))^2.5)*(1+(Noise!H$247/(2*$H121))^1.7))</f>
        <v>#DIV/0!</v>
      </c>
      <c r="G121" s="23" t="e">
        <f>Noise!I$249-8-10*LOG((1+($H121/(2*Noise!I$247))^2.5)*(1+(Noise!I$247/(2*$H121))^1.7))</f>
        <v>#DIV/0!</v>
      </c>
      <c r="H121" s="177">
        <v>1000</v>
      </c>
      <c r="P121" s="31"/>
    </row>
    <row r="122" spans="3:16" s="119" customFormat="1" ht="13" outlineLevel="1" x14ac:dyDescent="0.3">
      <c r="C122" s="23" t="e">
        <f>Noise!E$249-8-10*LOG((1+($H122/(2*Noise!E$247))^2.5)*(1+(Noise!E$247/(2*$H122))^1.7))</f>
        <v>#DIV/0!</v>
      </c>
      <c r="D122" s="23" t="e">
        <f>Noise!F$249-8-10*LOG((1+($H122/(2*Noise!F$247))^2.5)*(1+(Noise!F$247/(2*$H122))^1.7))</f>
        <v>#DIV/0!</v>
      </c>
      <c r="E122" s="23" t="e">
        <f>Noise!G$249-8-10*LOG((1+($H122/(2*Noise!G$247))^2.5)*(1+(Noise!G$247/(2*$H122))^1.7))</f>
        <v>#DIV/0!</v>
      </c>
      <c r="F122" s="23" t="e">
        <f>Noise!H$249-8-10*LOG((1+($H122/(2*Noise!H$247))^2.5)*(1+(Noise!H$247/(2*$H122))^1.7))</f>
        <v>#DIV/0!</v>
      </c>
      <c r="G122" s="23" t="e">
        <f>Noise!I$249-8-10*LOG((1+($H122/(2*Noise!I$247))^2.5)*(1+(Noise!I$247/(2*$H122))^1.7))</f>
        <v>#DIV/0!</v>
      </c>
      <c r="H122" s="177">
        <v>1250</v>
      </c>
      <c r="P122" s="31"/>
    </row>
    <row r="123" spans="3:16" s="119" customFormat="1" ht="13" outlineLevel="1" x14ac:dyDescent="0.3">
      <c r="C123" s="23" t="e">
        <f>Noise!E$249-8-10*LOG((1+($H123/(2*Noise!E$247))^2.5)*(1+(Noise!E$247/(2*$H123))^1.7))</f>
        <v>#DIV/0!</v>
      </c>
      <c r="D123" s="23" t="e">
        <f>Noise!F$249-8-10*LOG((1+($H123/(2*Noise!F$247))^2.5)*(1+(Noise!F$247/(2*$H123))^1.7))</f>
        <v>#DIV/0!</v>
      </c>
      <c r="E123" s="23" t="e">
        <f>Noise!G$249-8-10*LOG((1+($H123/(2*Noise!G$247))^2.5)*(1+(Noise!G$247/(2*$H123))^1.7))</f>
        <v>#DIV/0!</v>
      </c>
      <c r="F123" s="23" t="e">
        <f>Noise!H$249-8-10*LOG((1+($H123/(2*Noise!H$247))^2.5)*(1+(Noise!H$247/(2*$H123))^1.7))</f>
        <v>#DIV/0!</v>
      </c>
      <c r="G123" s="23" t="e">
        <f>Noise!I$249-8-10*LOG((1+($H123/(2*Noise!I$247))^2.5)*(1+(Noise!I$247/(2*$H123))^1.7))</f>
        <v>#DIV/0!</v>
      </c>
      <c r="H123" s="177">
        <v>1600</v>
      </c>
      <c r="P123" s="31"/>
    </row>
    <row r="124" spans="3:16" s="119" customFormat="1" ht="13" outlineLevel="1" x14ac:dyDescent="0.3">
      <c r="C124" s="23" t="e">
        <f>Noise!E$249-8-10*LOG((1+($H124/(2*Noise!E$247))^2.5)*(1+(Noise!E$247/(2*$H124))^1.7))</f>
        <v>#DIV/0!</v>
      </c>
      <c r="D124" s="23" t="e">
        <f>Noise!F$249-8-10*LOG((1+($H124/(2*Noise!F$247))^2.5)*(1+(Noise!F$247/(2*$H124))^1.7))</f>
        <v>#DIV/0!</v>
      </c>
      <c r="E124" s="23" t="e">
        <f>Noise!G$249-8-10*LOG((1+($H124/(2*Noise!G$247))^2.5)*(1+(Noise!G$247/(2*$H124))^1.7))</f>
        <v>#DIV/0!</v>
      </c>
      <c r="F124" s="23" t="e">
        <f>Noise!H$249-8-10*LOG((1+($H124/(2*Noise!H$247))^2.5)*(1+(Noise!H$247/(2*$H124))^1.7))</f>
        <v>#DIV/0!</v>
      </c>
      <c r="G124" s="23" t="e">
        <f>Noise!I$249-8-10*LOG((1+($H124/(2*Noise!I$247))^2.5)*(1+(Noise!I$247/(2*$H124))^1.7))</f>
        <v>#DIV/0!</v>
      </c>
      <c r="H124" s="177">
        <v>2000</v>
      </c>
      <c r="P124" s="31"/>
    </row>
    <row r="125" spans="3:16" s="119" customFormat="1" ht="13" outlineLevel="1" x14ac:dyDescent="0.3">
      <c r="C125" s="23" t="e">
        <f>Noise!E$249-8-10*LOG((1+($H125/(2*Noise!E$247))^2.5)*(1+(Noise!E$247/(2*$H125))^1.7))</f>
        <v>#DIV/0!</v>
      </c>
      <c r="D125" s="23" t="e">
        <f>Noise!F$249-8-10*LOG((1+($H125/(2*Noise!F$247))^2.5)*(1+(Noise!F$247/(2*$H125))^1.7))</f>
        <v>#DIV/0!</v>
      </c>
      <c r="E125" s="23" t="e">
        <f>Noise!G$249-8-10*LOG((1+($H125/(2*Noise!G$247))^2.5)*(1+(Noise!G$247/(2*$H125))^1.7))</f>
        <v>#DIV/0!</v>
      </c>
      <c r="F125" s="23" t="e">
        <f>Noise!H$249-8-10*LOG((1+($H125/(2*Noise!H$247))^2.5)*(1+(Noise!H$247/(2*$H125))^1.7))</f>
        <v>#DIV/0!</v>
      </c>
      <c r="G125" s="23" t="e">
        <f>Noise!I$249-8-10*LOG((1+($H125/(2*Noise!I$247))^2.5)*(1+(Noise!I$247/(2*$H125))^1.7))</f>
        <v>#DIV/0!</v>
      </c>
      <c r="H125" s="177">
        <v>2500</v>
      </c>
      <c r="P125" s="31"/>
    </row>
    <row r="126" spans="3:16" s="119" customFormat="1" ht="13" outlineLevel="1" x14ac:dyDescent="0.3">
      <c r="C126" s="23" t="e">
        <f>Noise!E$249-8-10*LOG((1+($H126/(2*Noise!E$247))^2.5)*(1+(Noise!E$247/(2*$H126))^1.7))</f>
        <v>#DIV/0!</v>
      </c>
      <c r="D126" s="23" t="e">
        <f>Noise!F$249-8-10*LOG((1+($H126/(2*Noise!F$247))^2.5)*(1+(Noise!F$247/(2*$H126))^1.7))</f>
        <v>#DIV/0!</v>
      </c>
      <c r="E126" s="23" t="e">
        <f>Noise!G$249-8-10*LOG((1+($H126/(2*Noise!G$247))^2.5)*(1+(Noise!G$247/(2*$H126))^1.7))</f>
        <v>#DIV/0!</v>
      </c>
      <c r="F126" s="23" t="e">
        <f>Noise!H$249-8-10*LOG((1+($H126/(2*Noise!H$247))^2.5)*(1+(Noise!H$247/(2*$H126))^1.7))</f>
        <v>#DIV/0!</v>
      </c>
      <c r="G126" s="23" t="e">
        <f>Noise!I$249-8-10*LOG((1+($H126/(2*Noise!I$247))^2.5)*(1+(Noise!I$247/(2*$H126))^1.7))</f>
        <v>#DIV/0!</v>
      </c>
      <c r="H126" s="177">
        <v>3150</v>
      </c>
      <c r="P126" s="31"/>
    </row>
    <row r="127" spans="3:16" s="119" customFormat="1" ht="13" outlineLevel="1" x14ac:dyDescent="0.3">
      <c r="C127" s="23" t="e">
        <f>Noise!E$249-8-10*LOG((1+($H127/(2*Noise!E$247))^2.5)*(1+(Noise!E$247/(2*$H127))^1.7))</f>
        <v>#DIV/0!</v>
      </c>
      <c r="D127" s="23" t="e">
        <f>Noise!F$249-8-10*LOG((1+($H127/(2*Noise!F$247))^2.5)*(1+(Noise!F$247/(2*$H127))^1.7))</f>
        <v>#DIV/0!</v>
      </c>
      <c r="E127" s="23" t="e">
        <f>Noise!G$249-8-10*LOG((1+($H127/(2*Noise!G$247))^2.5)*(1+(Noise!G$247/(2*$H127))^1.7))</f>
        <v>#DIV/0!</v>
      </c>
      <c r="F127" s="23" t="e">
        <f>Noise!H$249-8-10*LOG((1+($H127/(2*Noise!H$247))^2.5)*(1+(Noise!H$247/(2*$H127))^1.7))</f>
        <v>#DIV/0!</v>
      </c>
      <c r="G127" s="23" t="e">
        <f>Noise!I$249-8-10*LOG((1+($H127/(2*Noise!I$247))^2.5)*(1+(Noise!I$247/(2*$H127))^1.7))</f>
        <v>#DIV/0!</v>
      </c>
      <c r="H127" s="177">
        <v>4000</v>
      </c>
      <c r="P127" s="31"/>
    </row>
    <row r="128" spans="3:16" s="119" customFormat="1" ht="13" outlineLevel="1" x14ac:dyDescent="0.3">
      <c r="C128" s="23" t="e">
        <f>Noise!E$249-8-10*LOG((1+($H128/(2*Noise!E$247))^2.5)*(1+(Noise!E$247/(2*$H128))^1.7))</f>
        <v>#DIV/0!</v>
      </c>
      <c r="D128" s="23" t="e">
        <f>Noise!F$249-8-10*LOG((1+($H128/(2*Noise!F$247))^2.5)*(1+(Noise!F$247/(2*$H128))^1.7))</f>
        <v>#DIV/0!</v>
      </c>
      <c r="E128" s="23" t="e">
        <f>Noise!G$249-8-10*LOG((1+($H128/(2*Noise!G$247))^2.5)*(1+(Noise!G$247/(2*$H128))^1.7))</f>
        <v>#DIV/0!</v>
      </c>
      <c r="F128" s="23" t="e">
        <f>Noise!H$249-8-10*LOG((1+($H128/(2*Noise!H$247))^2.5)*(1+(Noise!H$247/(2*$H128))^1.7))</f>
        <v>#DIV/0!</v>
      </c>
      <c r="G128" s="23" t="e">
        <f>Noise!I$249-8-10*LOG((1+($H128/(2*Noise!I$247))^2.5)*(1+(Noise!I$247/(2*$H128))^1.7))</f>
        <v>#DIV/0!</v>
      </c>
      <c r="H128" s="177">
        <v>5000</v>
      </c>
      <c r="P128" s="31"/>
    </row>
    <row r="129" spans="1:21" s="119" customFormat="1" ht="13" outlineLevel="1" x14ac:dyDescent="0.3">
      <c r="C129" s="23" t="e">
        <f>Noise!E$249-8-10*LOG((1+($H129/(2*Noise!E$247))^2.5)*(1+(Noise!E$247/(2*$H129))^1.7))</f>
        <v>#DIV/0!</v>
      </c>
      <c r="D129" s="23" t="e">
        <f>Noise!F$249-8-10*LOG((1+($H129/(2*Noise!F$247))^2.5)*(1+(Noise!F$247/(2*$H129))^1.7))</f>
        <v>#DIV/0!</v>
      </c>
      <c r="E129" s="23" t="e">
        <f>Noise!G$249-8-10*LOG((1+($H129/(2*Noise!G$247))^2.5)*(1+(Noise!G$247/(2*$H129))^1.7))</f>
        <v>#DIV/0!</v>
      </c>
      <c r="F129" s="23" t="e">
        <f>Noise!H$249-8-10*LOG((1+($H129/(2*Noise!H$247))^2.5)*(1+(Noise!H$247/(2*$H129))^1.7))</f>
        <v>#DIV/0!</v>
      </c>
      <c r="G129" s="23" t="e">
        <f>Noise!I$249-8-10*LOG((1+($H129/(2*Noise!I$247))^2.5)*(1+(Noise!I$247/(2*$H129))^1.7))</f>
        <v>#DIV/0!</v>
      </c>
      <c r="H129" s="177">
        <v>6300</v>
      </c>
      <c r="P129" s="31"/>
    </row>
    <row r="130" spans="1:21" s="119" customFormat="1" ht="13" outlineLevel="1" x14ac:dyDescent="0.3">
      <c r="C130" s="23" t="e">
        <f>Noise!E$249-8-10*LOG((1+($H130/(2*Noise!E$247))^2.5)*(1+(Noise!E$247/(2*$H130))^1.7))</f>
        <v>#DIV/0!</v>
      </c>
      <c r="D130" s="23" t="e">
        <f>Noise!F$249-8-10*LOG((1+($H130/(2*Noise!F$247))^2.5)*(1+(Noise!F$247/(2*$H130))^1.7))</f>
        <v>#DIV/0!</v>
      </c>
      <c r="E130" s="23" t="e">
        <f>Noise!G$249-8-10*LOG((1+($H130/(2*Noise!G$247))^2.5)*(1+(Noise!G$247/(2*$H130))^1.7))</f>
        <v>#DIV/0!</v>
      </c>
      <c r="F130" s="23" t="e">
        <f>Noise!H$249-8-10*LOG((1+($H130/(2*Noise!H$247))^2.5)*(1+(Noise!H$247/(2*$H130))^1.7))</f>
        <v>#DIV/0!</v>
      </c>
      <c r="G130" s="23" t="e">
        <f>Noise!I$249-8-10*LOG((1+($H130/(2*Noise!I$247))^2.5)*(1+(Noise!I$247/(2*$H130))^1.7))</f>
        <v>#DIV/0!</v>
      </c>
      <c r="H130" s="177">
        <v>8000</v>
      </c>
      <c r="P130" s="31"/>
    </row>
    <row r="131" spans="1:21" s="119" customFormat="1" ht="13" outlineLevel="1" x14ac:dyDescent="0.3">
      <c r="C131" s="23" t="e">
        <f>Noise!E$249-8-10*LOG((1+($H131/(2*Noise!E$247))^2.5)*(1+(Noise!E$247/(2*$H131))^1.7))</f>
        <v>#DIV/0!</v>
      </c>
      <c r="D131" s="23" t="e">
        <f>Noise!F$249-8-10*LOG((1+($H131/(2*Noise!F$247))^2.5)*(1+(Noise!F$247/(2*$H131))^1.7))</f>
        <v>#DIV/0!</v>
      </c>
      <c r="E131" s="23" t="e">
        <f>Noise!G$249-8-10*LOG((1+($H131/(2*Noise!G$247))^2.5)*(1+(Noise!G$247/(2*$H131))^1.7))</f>
        <v>#DIV/0!</v>
      </c>
      <c r="F131" s="23" t="e">
        <f>Noise!H$249-8-10*LOG((1+($H131/(2*Noise!H$247))^2.5)*(1+(Noise!H$247/(2*$H131))^1.7))</f>
        <v>#DIV/0!</v>
      </c>
      <c r="G131" s="23" t="e">
        <f>Noise!I$249-8-10*LOG((1+($H131/(2*Noise!I$247))^2.5)*(1+(Noise!I$247/(2*$H131))^1.7))</f>
        <v>#DIV/0!</v>
      </c>
      <c r="H131" s="177">
        <v>10000</v>
      </c>
      <c r="P131" s="31"/>
    </row>
    <row r="132" spans="1:21" s="119" customFormat="1" ht="13" outlineLevel="1" x14ac:dyDescent="0.3">
      <c r="C132" s="23" t="e">
        <f>Noise!E$249-8-10*LOG((1+($H132/(2*Noise!E$247))^2.5)*(1+(Noise!E$247/(2*$H132))^1.7))</f>
        <v>#DIV/0!</v>
      </c>
      <c r="D132" s="23" t="e">
        <f>Noise!F$249-8-10*LOG((1+($H132/(2*Noise!F$247))^2.5)*(1+(Noise!F$247/(2*$H132))^1.7))</f>
        <v>#DIV/0!</v>
      </c>
      <c r="E132" s="23" t="e">
        <f>Noise!G$249-8-10*LOG((1+($H132/(2*Noise!G$247))^2.5)*(1+(Noise!G$247/(2*$H132))^1.7))</f>
        <v>#DIV/0!</v>
      </c>
      <c r="F132" s="23" t="e">
        <f>Noise!H$249-8-10*LOG((1+($H132/(2*Noise!H$247))^2.5)*(1+(Noise!H$247/(2*$H132))^1.7))</f>
        <v>#DIV/0!</v>
      </c>
      <c r="G132" s="23" t="e">
        <f>Noise!I$249-8-10*LOG((1+($H132/(2*Noise!I$247))^2.5)*(1+(Noise!I$247/(2*$H132))^1.7))</f>
        <v>#DIV/0!</v>
      </c>
      <c r="H132" s="177">
        <v>12500</v>
      </c>
      <c r="P132" s="31"/>
    </row>
    <row r="133" spans="1:21" s="119" customFormat="1" ht="13" outlineLevel="1" x14ac:dyDescent="0.3">
      <c r="C133" s="23" t="e">
        <f>Noise!E$249-8-10*LOG((1+($H133/(2*Noise!E$247))^2.5)*(1+(Noise!E$247/(2*$H133))^1.7))</f>
        <v>#DIV/0!</v>
      </c>
      <c r="D133" s="23" t="e">
        <f>Noise!F$249-8-10*LOG((1+($H133/(2*Noise!F$247))^2.5)*(1+(Noise!F$247/(2*$H133))^1.7))</f>
        <v>#DIV/0!</v>
      </c>
      <c r="E133" s="23" t="e">
        <f>Noise!G$249-8-10*LOG((1+($H133/(2*Noise!G$247))^2.5)*(1+(Noise!G$247/(2*$H133))^1.7))</f>
        <v>#DIV/0!</v>
      </c>
      <c r="F133" s="23" t="e">
        <f>Noise!H$249-8-10*LOG((1+($H133/(2*Noise!H$247))^2.5)*(1+(Noise!H$247/(2*$H133))^1.7))</f>
        <v>#DIV/0!</v>
      </c>
      <c r="G133" s="23" t="e">
        <f>Noise!I$249-8-10*LOG((1+($H133/(2*Noise!I$247))^2.5)*(1+(Noise!I$247/(2*$H133))^1.7))</f>
        <v>#DIV/0!</v>
      </c>
      <c r="H133" s="177">
        <v>16000</v>
      </c>
      <c r="P133" s="31"/>
    </row>
    <row r="134" spans="1:21" s="119" customFormat="1" ht="13" outlineLevel="1" x14ac:dyDescent="0.3">
      <c r="C134" s="23" t="e">
        <f>Noise!E$249-8-10*LOG((1+($H134/(2*Noise!E$247))^2.5)*(1+(Noise!E$247/(2*$H134))^1.7))</f>
        <v>#DIV/0!</v>
      </c>
      <c r="D134" s="23" t="e">
        <f>Noise!F$249-8-10*LOG((1+($H134/(2*Noise!F$247))^2.5)*(1+(Noise!F$247/(2*$H134))^1.7))</f>
        <v>#DIV/0!</v>
      </c>
      <c r="E134" s="23" t="e">
        <f>Noise!G$249-8-10*LOG((1+($H134/(2*Noise!G$247))^2.5)*(1+(Noise!G$247/(2*$H134))^1.7))</f>
        <v>#DIV/0!</v>
      </c>
      <c r="F134" s="23" t="e">
        <f>Noise!H$249-8-10*LOG((1+($H134/(2*Noise!H$247))^2.5)*(1+(Noise!H$247/(2*$H134))^1.7))</f>
        <v>#DIV/0!</v>
      </c>
      <c r="G134" s="23" t="e">
        <f>Noise!I$249-8-10*LOG((1+($H134/(2*Noise!I$247))^2.5)*(1+(Noise!I$247/(2*$H134))^1.7))</f>
        <v>#DIV/0!</v>
      </c>
      <c r="H134" s="177">
        <v>20000</v>
      </c>
      <c r="P134" s="31"/>
    </row>
    <row r="135" spans="1:21" s="119" customFormat="1" ht="13" outlineLevel="1" x14ac:dyDescent="0.3">
      <c r="A135" s="177"/>
      <c r="D135" s="399"/>
      <c r="E135" s="399"/>
      <c r="F135" s="399"/>
      <c r="G135" s="399"/>
      <c r="P135" s="31"/>
      <c r="Q135" s="24"/>
      <c r="R135" s="24"/>
      <c r="S135" s="24"/>
      <c r="T135" s="24"/>
      <c r="U135" s="24"/>
    </row>
    <row r="136" spans="1:21" s="119" customFormat="1" ht="13" outlineLevel="1" x14ac:dyDescent="0.3">
      <c r="A136" s="177"/>
      <c r="C136" s="491" t="s">
        <v>965</v>
      </c>
      <c r="D136" s="491"/>
      <c r="E136" s="491"/>
      <c r="F136" s="491"/>
      <c r="G136" s="491"/>
      <c r="P136" s="31"/>
      <c r="Q136" s="24"/>
      <c r="R136" s="24"/>
      <c r="S136" s="24"/>
      <c r="T136" s="24"/>
      <c r="U136" s="24"/>
    </row>
    <row r="137" spans="1:21" s="119" customFormat="1" ht="13" outlineLevel="1" x14ac:dyDescent="0.3">
      <c r="B137" s="376"/>
      <c r="C137" s="24" t="e">
        <f>IF($H102&lt;Noise!E$252,  (Noise!E$252/Noise!$E$251)^(2/3)*($H102/Noise!E$252)^4,
    IF($H102&lt;Noise!$E$251,  ($H102/Noise!$E$251)^0.5,  1))</f>
        <v>#VALUE!</v>
      </c>
      <c r="D137" s="24" t="e">
        <f>IF($H102&lt;Noise!F$252,  (Noise!F$252/Noise!$E$251)^(2/3)*($H102/Noise!F$252)^4,
    IF($H102&lt;Noise!$E$251,  ($H102/Noise!$E$251)^0.5,  1))</f>
        <v>#VALUE!</v>
      </c>
      <c r="E137" s="24" t="e">
        <f>IF($H102&lt;Noise!G$252,  (Noise!G$252/Noise!$E$251)^(2/3)*($H102/Noise!G$252)^4,
    IF($H102&lt;Noise!$E$251,  ($H102/Noise!$E$251)^0.5,  1))</f>
        <v>#VALUE!</v>
      </c>
      <c r="F137" s="24" t="e">
        <f>IF($H102&lt;Noise!H$252,  (Noise!H$252/Noise!$E$251)^(2/3)*($H102/Noise!H$252)^4,
    IF($H102&lt;Noise!$E$251,  ($H102/Noise!$E$251)^0.5,  1))</f>
        <v>#VALUE!</v>
      </c>
      <c r="G137" s="24" t="e">
        <f>IF($H102&lt;Noise!I$252,  (Noise!I$252/Noise!$E$251)^(2/3)*($H102/Noise!I$252)^4,
    IF($H102&lt;Noise!$E$251,  ($H102/Noise!$E$251)^0.5,  1))</f>
        <v>#VALUE!</v>
      </c>
      <c r="H137" s="177">
        <v>12.5</v>
      </c>
      <c r="L137" s="97"/>
      <c r="M137" s="82"/>
      <c r="N137" s="82"/>
      <c r="P137" s="31"/>
      <c r="Q137" s="31"/>
    </row>
    <row r="138" spans="1:21" s="119" customFormat="1" ht="13" outlineLevel="1" x14ac:dyDescent="0.3">
      <c r="C138" s="24" t="e">
        <f>IF($H103&lt;Noise!E$252,  (Noise!E$252/Noise!$E$251)^(2/3)*($H103/Noise!E$252)^4,
    IF($H103&lt;Noise!$E$251,  ($H103/Noise!$E$251)^0.5,  1))</f>
        <v>#VALUE!</v>
      </c>
      <c r="D138" s="24" t="e">
        <f>IF($H103&lt;Noise!F$252,  (Noise!F$252/Noise!$E$251)^(2/3)*($H103/Noise!F$252)^4,
    IF($H103&lt;Noise!$E$251,  ($H103/Noise!$E$251)^0.5,  1))</f>
        <v>#VALUE!</v>
      </c>
      <c r="E138" s="24" t="e">
        <f>IF($H103&lt;Noise!G$252,  (Noise!G$252/Noise!$E$251)^(2/3)*($H103/Noise!G$252)^4,
    IF($H103&lt;Noise!$E$251,  ($H103/Noise!$E$251)^0.5,  1))</f>
        <v>#VALUE!</v>
      </c>
      <c r="F138" s="24" t="e">
        <f>IF($H103&lt;Noise!H$252,  (Noise!H$252/Noise!$E$251)^(2/3)*($H103/Noise!H$252)^4,
    IF($H103&lt;Noise!$E$251,  ($H103/Noise!$E$251)^0.5,  1))</f>
        <v>#VALUE!</v>
      </c>
      <c r="G138" s="24" t="e">
        <f>IF($H103&lt;Noise!I$252,  (Noise!I$252/Noise!$E$251)^(2/3)*($H103/Noise!I$252)^4,
    IF($H103&lt;Noise!$E$251,  ($H103/Noise!$E$251)^0.5,  1))</f>
        <v>#VALUE!</v>
      </c>
      <c r="H138" s="177">
        <v>16</v>
      </c>
      <c r="L138" s="97"/>
      <c r="M138" s="82"/>
      <c r="N138" s="82"/>
      <c r="P138" s="31"/>
      <c r="Q138" s="31"/>
    </row>
    <row r="139" spans="1:21" s="119" customFormat="1" ht="13" outlineLevel="1" x14ac:dyDescent="0.3">
      <c r="C139" s="24" t="e">
        <f>IF($H104&lt;Noise!E$252,  (Noise!E$252/Noise!$E$251)^(2/3)*($H104/Noise!E$252)^4,
    IF($H104&lt;Noise!$E$251,  ($H104/Noise!$E$251)^0.5,  1))</f>
        <v>#VALUE!</v>
      </c>
      <c r="D139" s="24" t="e">
        <f>IF($H104&lt;Noise!F$252,  (Noise!F$252/Noise!$E$251)^(2/3)*($H104/Noise!F$252)^4,
    IF($H104&lt;Noise!$E$251,  ($H104/Noise!$E$251)^0.5,  1))</f>
        <v>#VALUE!</v>
      </c>
      <c r="E139" s="24" t="e">
        <f>IF($H104&lt;Noise!G$252,  (Noise!G$252/Noise!$E$251)^(2/3)*($H104/Noise!G$252)^4,
    IF($H104&lt;Noise!$E$251,  ($H104/Noise!$E$251)^0.5,  1))</f>
        <v>#VALUE!</v>
      </c>
      <c r="F139" s="24" t="e">
        <f>IF($H104&lt;Noise!H$252,  (Noise!H$252/Noise!$E$251)^(2/3)*($H104/Noise!H$252)^4,
    IF($H104&lt;Noise!$E$251,  ($H104/Noise!$E$251)^0.5,  1))</f>
        <v>#VALUE!</v>
      </c>
      <c r="G139" s="24" t="e">
        <f>IF($H104&lt;Noise!I$252,  (Noise!I$252/Noise!$E$251)^(2/3)*($H104/Noise!I$252)^4,
    IF($H104&lt;Noise!$E$251,  ($H104/Noise!$E$251)^0.5,  1))</f>
        <v>#VALUE!</v>
      </c>
      <c r="H139" s="177">
        <v>20</v>
      </c>
      <c r="L139" s="97"/>
      <c r="M139" s="82"/>
      <c r="N139" s="82"/>
      <c r="P139" s="31"/>
      <c r="Q139" s="31"/>
    </row>
    <row r="140" spans="1:21" s="119" customFormat="1" ht="13" outlineLevel="1" x14ac:dyDescent="0.3">
      <c r="C140" s="24" t="e">
        <f>IF($H105&lt;Noise!E$252,  (Noise!E$252/Noise!$E$251)^(2/3)*($H105/Noise!E$252)^4,
    IF($H105&lt;Noise!$E$251,  ($H105/Noise!$E$251)^0.5,  1))</f>
        <v>#VALUE!</v>
      </c>
      <c r="D140" s="24" t="e">
        <f>IF($H105&lt;Noise!F$252,  (Noise!F$252/Noise!$E$251)^(2/3)*($H105/Noise!F$252)^4,
    IF($H105&lt;Noise!$E$251,  ($H105/Noise!$E$251)^0.5,  1))</f>
        <v>#VALUE!</v>
      </c>
      <c r="E140" s="24" t="e">
        <f>IF($H105&lt;Noise!G$252,  (Noise!G$252/Noise!$E$251)^(2/3)*($H105/Noise!G$252)^4,
    IF($H105&lt;Noise!$E$251,  ($H105/Noise!$E$251)^0.5,  1))</f>
        <v>#VALUE!</v>
      </c>
      <c r="F140" s="24" t="e">
        <f>IF($H105&lt;Noise!H$252,  (Noise!H$252/Noise!$E$251)^(2/3)*($H105/Noise!H$252)^4,
    IF($H105&lt;Noise!$E$251,  ($H105/Noise!$E$251)^0.5,  1))</f>
        <v>#VALUE!</v>
      </c>
      <c r="G140" s="24" t="e">
        <f>IF($H105&lt;Noise!I$252,  (Noise!I$252/Noise!$E$251)^(2/3)*($H105/Noise!I$252)^4,
    IF($H105&lt;Noise!$E$251,  ($H105/Noise!$E$251)^0.5,  1))</f>
        <v>#VALUE!</v>
      </c>
      <c r="H140" s="177">
        <v>25</v>
      </c>
      <c r="L140" s="97"/>
      <c r="M140" s="82"/>
      <c r="N140" s="82"/>
      <c r="P140" s="31"/>
      <c r="Q140" s="31"/>
    </row>
    <row r="141" spans="1:21" s="119" customFormat="1" ht="13" outlineLevel="1" x14ac:dyDescent="0.3">
      <c r="C141" s="24" t="e">
        <f>IF($H106&lt;Noise!E$252,  (Noise!E$252/Noise!$E$251)^(2/3)*($H106/Noise!E$252)^4,
    IF($H106&lt;Noise!$E$251,  ($H106/Noise!$E$251)^0.5,  1))</f>
        <v>#VALUE!</v>
      </c>
      <c r="D141" s="24" t="e">
        <f>IF($H106&lt;Noise!F$252,  (Noise!F$252/Noise!$E$251)^(2/3)*($H106/Noise!F$252)^4,
    IF($H106&lt;Noise!$E$251,  ($H106/Noise!$E$251)^0.5,  1))</f>
        <v>#VALUE!</v>
      </c>
      <c r="E141" s="24" t="e">
        <f>IF($H106&lt;Noise!G$252,  (Noise!G$252/Noise!$E$251)^(2/3)*($H106/Noise!G$252)^4,
    IF($H106&lt;Noise!$E$251,  ($H106/Noise!$E$251)^0.5,  1))</f>
        <v>#VALUE!</v>
      </c>
      <c r="F141" s="24" t="e">
        <f>IF($H106&lt;Noise!H$252,  (Noise!H$252/Noise!$E$251)^(2/3)*($H106/Noise!H$252)^4,
    IF($H106&lt;Noise!$E$251,  ($H106/Noise!$E$251)^0.5,  1))</f>
        <v>#VALUE!</v>
      </c>
      <c r="G141" s="24" t="e">
        <f>IF($H106&lt;Noise!I$252,  (Noise!I$252/Noise!$E$251)^(2/3)*($H106/Noise!I$252)^4,
    IF($H106&lt;Noise!$E$251,  ($H106/Noise!$E$251)^0.5,  1))</f>
        <v>#VALUE!</v>
      </c>
      <c r="H141" s="177">
        <v>31.5</v>
      </c>
      <c r="L141" s="97"/>
      <c r="M141" s="82"/>
      <c r="N141" s="82"/>
      <c r="P141" s="31"/>
      <c r="Q141" s="31"/>
    </row>
    <row r="142" spans="1:21" s="119" customFormat="1" ht="13" outlineLevel="1" x14ac:dyDescent="0.3">
      <c r="C142" s="24" t="e">
        <f>IF($H107&lt;Noise!E$252,  (Noise!E$252/Noise!$E$251)^(2/3)*($H107/Noise!E$252)^4,
    IF($H107&lt;Noise!$E$251,  ($H107/Noise!$E$251)^0.5,  1))</f>
        <v>#VALUE!</v>
      </c>
      <c r="D142" s="24" t="e">
        <f>IF($H107&lt;Noise!F$252,  (Noise!F$252/Noise!$E$251)^(2/3)*($H107/Noise!F$252)^4,
    IF($H107&lt;Noise!$E$251,  ($H107/Noise!$E$251)^0.5,  1))</f>
        <v>#VALUE!</v>
      </c>
      <c r="E142" s="24" t="e">
        <f>IF($H107&lt;Noise!G$252,  (Noise!G$252/Noise!$E$251)^(2/3)*($H107/Noise!G$252)^4,
    IF($H107&lt;Noise!$E$251,  ($H107/Noise!$E$251)^0.5,  1))</f>
        <v>#VALUE!</v>
      </c>
      <c r="F142" s="24" t="e">
        <f>IF($H107&lt;Noise!H$252,  (Noise!H$252/Noise!$E$251)^(2/3)*($H107/Noise!H$252)^4,
    IF($H107&lt;Noise!$E$251,  ($H107/Noise!$E$251)^0.5,  1))</f>
        <v>#VALUE!</v>
      </c>
      <c r="G142" s="24" t="e">
        <f>IF($H107&lt;Noise!I$252,  (Noise!I$252/Noise!$E$251)^(2/3)*($H107/Noise!I$252)^4,
    IF($H107&lt;Noise!$E$251,  ($H107/Noise!$E$251)^0.5,  1))</f>
        <v>#VALUE!</v>
      </c>
      <c r="H142" s="177">
        <v>40</v>
      </c>
      <c r="L142" s="97"/>
      <c r="M142" s="82"/>
      <c r="N142" s="82"/>
      <c r="P142" s="31"/>
      <c r="Q142" s="31"/>
    </row>
    <row r="143" spans="1:21" s="119" customFormat="1" ht="13" outlineLevel="1" x14ac:dyDescent="0.3">
      <c r="C143" s="24" t="e">
        <f>IF($H108&lt;Noise!E$252,  (Noise!E$252/Noise!$E$251)^(2/3)*($H108/Noise!E$252)^4,
    IF($H108&lt;Noise!$E$251,  ($H108/Noise!$E$251)^0.5,  1))</f>
        <v>#VALUE!</v>
      </c>
      <c r="D143" s="24" t="e">
        <f>IF($H108&lt;Noise!F$252,  (Noise!F$252/Noise!$E$251)^(2/3)*($H108/Noise!F$252)^4,
    IF($H108&lt;Noise!$E$251,  ($H108/Noise!$E$251)^0.5,  1))</f>
        <v>#VALUE!</v>
      </c>
      <c r="E143" s="24" t="e">
        <f>IF($H108&lt;Noise!G$252,  (Noise!G$252/Noise!$E$251)^(2/3)*($H108/Noise!G$252)^4,
    IF($H108&lt;Noise!$E$251,  ($H108/Noise!$E$251)^0.5,  1))</f>
        <v>#VALUE!</v>
      </c>
      <c r="F143" s="24" t="e">
        <f>IF($H108&lt;Noise!H$252,  (Noise!H$252/Noise!$E$251)^(2/3)*($H108/Noise!H$252)^4,
    IF($H108&lt;Noise!$E$251,  ($H108/Noise!$E$251)^0.5,  1))</f>
        <v>#VALUE!</v>
      </c>
      <c r="G143" s="24" t="e">
        <f>IF($H108&lt;Noise!I$252,  (Noise!I$252/Noise!$E$251)^(2/3)*($H108/Noise!I$252)^4,
    IF($H108&lt;Noise!$E$251,  ($H108/Noise!$E$251)^0.5,  1))</f>
        <v>#VALUE!</v>
      </c>
      <c r="H143" s="177">
        <v>50</v>
      </c>
      <c r="L143" s="97"/>
      <c r="M143" s="82"/>
      <c r="N143" s="82"/>
      <c r="P143" s="31"/>
      <c r="Q143" s="31"/>
    </row>
    <row r="144" spans="1:21" s="119" customFormat="1" ht="13" outlineLevel="1" x14ac:dyDescent="0.3">
      <c r="C144" s="24" t="e">
        <f>IF($H109&lt;Noise!E$252,  (Noise!E$252/Noise!$E$251)^(2/3)*($H109/Noise!E$252)^4,
    IF($H109&lt;Noise!$E$251,  ($H109/Noise!$E$251)^0.5,  1))</f>
        <v>#VALUE!</v>
      </c>
      <c r="D144" s="24" t="e">
        <f>IF($H109&lt;Noise!F$252,  (Noise!F$252/Noise!$E$251)^(2/3)*($H109/Noise!F$252)^4,
    IF($H109&lt;Noise!$E$251,  ($H109/Noise!$E$251)^0.5,  1))</f>
        <v>#VALUE!</v>
      </c>
      <c r="E144" s="24" t="e">
        <f>IF($H109&lt;Noise!G$252,  (Noise!G$252/Noise!$E$251)^(2/3)*($H109/Noise!G$252)^4,
    IF($H109&lt;Noise!$E$251,  ($H109/Noise!$E$251)^0.5,  1))</f>
        <v>#VALUE!</v>
      </c>
      <c r="F144" s="24" t="e">
        <f>IF($H109&lt;Noise!H$252,  (Noise!H$252/Noise!$E$251)^(2/3)*($H109/Noise!H$252)^4,
    IF($H109&lt;Noise!$E$251,  ($H109/Noise!$E$251)^0.5,  1))</f>
        <v>#VALUE!</v>
      </c>
      <c r="G144" s="24" t="e">
        <f>IF($H109&lt;Noise!I$252,  (Noise!I$252/Noise!$E$251)^(2/3)*($H109/Noise!I$252)^4,
    IF($H109&lt;Noise!$E$251,  ($H109/Noise!$E$251)^0.5,  1))</f>
        <v>#VALUE!</v>
      </c>
      <c r="H144" s="177">
        <v>63</v>
      </c>
      <c r="L144" s="97"/>
      <c r="M144" s="82"/>
      <c r="N144" s="82"/>
      <c r="P144" s="31"/>
      <c r="Q144" s="31"/>
    </row>
    <row r="145" spans="3:17" s="119" customFormat="1" ht="13" outlineLevel="1" x14ac:dyDescent="0.3">
      <c r="C145" s="24" t="e">
        <f>IF($H110&lt;Noise!E$252,  (Noise!E$252/Noise!$E$251)^(2/3)*($H110/Noise!E$252)^4,
    IF($H110&lt;Noise!$E$251,  ($H110/Noise!$E$251)^0.5,  1))</f>
        <v>#VALUE!</v>
      </c>
      <c r="D145" s="24" t="e">
        <f>IF($H110&lt;Noise!F$252,  (Noise!F$252/Noise!$E$251)^(2/3)*($H110/Noise!F$252)^4,
    IF($H110&lt;Noise!$E$251,  ($H110/Noise!$E$251)^0.5,  1))</f>
        <v>#VALUE!</v>
      </c>
      <c r="E145" s="24" t="e">
        <f>IF($H110&lt;Noise!G$252,  (Noise!G$252/Noise!$E$251)^(2/3)*($H110/Noise!G$252)^4,
    IF($H110&lt;Noise!$E$251,  ($H110/Noise!$E$251)^0.5,  1))</f>
        <v>#VALUE!</v>
      </c>
      <c r="F145" s="24" t="e">
        <f>IF($H110&lt;Noise!H$252,  (Noise!H$252/Noise!$E$251)^(2/3)*($H110/Noise!H$252)^4,
    IF($H110&lt;Noise!$E$251,  ($H110/Noise!$E$251)^0.5,  1))</f>
        <v>#VALUE!</v>
      </c>
      <c r="G145" s="24" t="e">
        <f>IF($H110&lt;Noise!I$252,  (Noise!I$252/Noise!$E$251)^(2/3)*($H110/Noise!I$252)^4,
    IF($H110&lt;Noise!$E$251,  ($H110/Noise!$E$251)^0.5,  1))</f>
        <v>#VALUE!</v>
      </c>
      <c r="H145" s="177">
        <v>80</v>
      </c>
      <c r="L145" s="97"/>
      <c r="M145" s="82"/>
      <c r="N145" s="82"/>
      <c r="P145" s="31"/>
      <c r="Q145" s="31"/>
    </row>
    <row r="146" spans="3:17" s="119" customFormat="1" ht="13" outlineLevel="1" x14ac:dyDescent="0.3">
      <c r="C146" s="24" t="e">
        <f>IF($H111&lt;Noise!E$252,  (Noise!E$252/Noise!$E$251)^(2/3)*($H111/Noise!E$252)^4,
    IF($H111&lt;Noise!$E$251,  ($H111/Noise!$E$251)^0.5,  1))</f>
        <v>#VALUE!</v>
      </c>
      <c r="D146" s="24" t="e">
        <f>IF($H111&lt;Noise!F$252,  (Noise!F$252/Noise!$E$251)^(2/3)*($H111/Noise!F$252)^4,
    IF($H111&lt;Noise!$E$251,  ($H111/Noise!$E$251)^0.5,  1))</f>
        <v>#VALUE!</v>
      </c>
      <c r="E146" s="24" t="e">
        <f>IF($H111&lt;Noise!G$252,  (Noise!G$252/Noise!$E$251)^(2/3)*($H111/Noise!G$252)^4,
    IF($H111&lt;Noise!$E$251,  ($H111/Noise!$E$251)^0.5,  1))</f>
        <v>#VALUE!</v>
      </c>
      <c r="F146" s="24" t="e">
        <f>IF($H111&lt;Noise!H$252,  (Noise!H$252/Noise!$E$251)^(2/3)*($H111/Noise!H$252)^4,
    IF($H111&lt;Noise!$E$251,  ($H111/Noise!$E$251)^0.5,  1))</f>
        <v>#VALUE!</v>
      </c>
      <c r="G146" s="24" t="e">
        <f>IF($H111&lt;Noise!I$252,  (Noise!I$252/Noise!$E$251)^(2/3)*($H111/Noise!I$252)^4,
    IF($H111&lt;Noise!$E$251,  ($H111/Noise!$E$251)^0.5,  1))</f>
        <v>#VALUE!</v>
      </c>
      <c r="H146" s="177">
        <v>100</v>
      </c>
      <c r="L146" s="97"/>
      <c r="M146" s="82"/>
      <c r="N146" s="82"/>
      <c r="P146" s="31"/>
      <c r="Q146" s="31"/>
    </row>
    <row r="147" spans="3:17" s="119" customFormat="1" ht="13" outlineLevel="1" x14ac:dyDescent="0.3">
      <c r="C147" s="24" t="e">
        <f>IF($H112&lt;Noise!E$252,  (Noise!E$252/Noise!$E$251)^(2/3)*($H112/Noise!E$252)^4,
    IF($H112&lt;Noise!$E$251,  ($H112/Noise!$E$251)^0.5,  1))</f>
        <v>#VALUE!</v>
      </c>
      <c r="D147" s="24" t="e">
        <f>IF($H112&lt;Noise!F$252,  (Noise!F$252/Noise!$E$251)^(2/3)*($H112/Noise!F$252)^4,
    IF($H112&lt;Noise!$E$251,  ($H112/Noise!$E$251)^0.5,  1))</f>
        <v>#VALUE!</v>
      </c>
      <c r="E147" s="24" t="e">
        <f>IF($H112&lt;Noise!G$252,  (Noise!G$252/Noise!$E$251)^(2/3)*($H112/Noise!G$252)^4,
    IF($H112&lt;Noise!$E$251,  ($H112/Noise!$E$251)^0.5,  1))</f>
        <v>#VALUE!</v>
      </c>
      <c r="F147" s="24" t="e">
        <f>IF($H112&lt;Noise!H$252,  (Noise!H$252/Noise!$E$251)^(2/3)*($H112/Noise!H$252)^4,
    IF($H112&lt;Noise!$E$251,  ($H112/Noise!$E$251)^0.5,  1))</f>
        <v>#VALUE!</v>
      </c>
      <c r="G147" s="24" t="e">
        <f>IF($H112&lt;Noise!I$252,  (Noise!I$252/Noise!$E$251)^(2/3)*($H112/Noise!I$252)^4,
    IF($H112&lt;Noise!$E$251,  ($H112/Noise!$E$251)^0.5,  1))</f>
        <v>#VALUE!</v>
      </c>
      <c r="H147" s="177">
        <v>125</v>
      </c>
      <c r="L147" s="97"/>
      <c r="M147" s="82"/>
      <c r="N147" s="82"/>
      <c r="P147" s="31"/>
      <c r="Q147" s="31"/>
    </row>
    <row r="148" spans="3:17" s="119" customFormat="1" ht="13" outlineLevel="1" x14ac:dyDescent="0.3">
      <c r="C148" s="24" t="e">
        <f>IF($H113&lt;Noise!E$252,  (Noise!E$252/Noise!$E$251)^(2/3)*($H113/Noise!E$252)^4,
    IF($H113&lt;Noise!$E$251,  ($H113/Noise!$E$251)^0.5,  1))</f>
        <v>#VALUE!</v>
      </c>
      <c r="D148" s="24" t="e">
        <f>IF($H113&lt;Noise!F$252,  (Noise!F$252/Noise!$E$251)^(2/3)*($H113/Noise!F$252)^4,
    IF($H113&lt;Noise!$E$251,  ($H113/Noise!$E$251)^0.5,  1))</f>
        <v>#VALUE!</v>
      </c>
      <c r="E148" s="24" t="e">
        <f>IF($H113&lt;Noise!G$252,  (Noise!G$252/Noise!$E$251)^(2/3)*($H113/Noise!G$252)^4,
    IF($H113&lt;Noise!$E$251,  ($H113/Noise!$E$251)^0.5,  1))</f>
        <v>#VALUE!</v>
      </c>
      <c r="F148" s="24" t="e">
        <f>IF($H113&lt;Noise!H$252,  (Noise!H$252/Noise!$E$251)^(2/3)*($H113/Noise!H$252)^4,
    IF($H113&lt;Noise!$E$251,  ($H113/Noise!$E$251)^0.5,  1))</f>
        <v>#VALUE!</v>
      </c>
      <c r="G148" s="24" t="e">
        <f>IF($H113&lt;Noise!I$252,  (Noise!I$252/Noise!$E$251)^(2/3)*($H113/Noise!I$252)^4,
    IF($H113&lt;Noise!$E$251,  ($H113/Noise!$E$251)^0.5,  1))</f>
        <v>#VALUE!</v>
      </c>
      <c r="H148" s="177">
        <v>160</v>
      </c>
      <c r="L148" s="97"/>
      <c r="M148" s="82"/>
      <c r="N148" s="82"/>
      <c r="P148" s="31"/>
      <c r="Q148" s="31"/>
    </row>
    <row r="149" spans="3:17" s="119" customFormat="1" ht="13" outlineLevel="1" x14ac:dyDescent="0.3">
      <c r="C149" s="24" t="e">
        <f>IF($H114&lt;Noise!E$252,  (Noise!E$252/Noise!$E$251)^(2/3)*($H114/Noise!E$252)^4,
    IF($H114&lt;Noise!$E$251,  ($H114/Noise!$E$251)^0.5,  1))</f>
        <v>#VALUE!</v>
      </c>
      <c r="D149" s="24" t="e">
        <f>IF($H114&lt;Noise!F$252,  (Noise!F$252/Noise!$E$251)^(2/3)*($H114/Noise!F$252)^4,
    IF($H114&lt;Noise!$E$251,  ($H114/Noise!$E$251)^0.5,  1))</f>
        <v>#VALUE!</v>
      </c>
      <c r="E149" s="24" t="e">
        <f>IF($H114&lt;Noise!G$252,  (Noise!G$252/Noise!$E$251)^(2/3)*($H114/Noise!G$252)^4,
    IF($H114&lt;Noise!$E$251,  ($H114/Noise!$E$251)^0.5,  1))</f>
        <v>#VALUE!</v>
      </c>
      <c r="F149" s="24" t="e">
        <f>IF($H114&lt;Noise!H$252,  (Noise!H$252/Noise!$E$251)^(2/3)*($H114/Noise!H$252)^4,
    IF($H114&lt;Noise!$E$251,  ($H114/Noise!$E$251)^0.5,  1))</f>
        <v>#VALUE!</v>
      </c>
      <c r="G149" s="24" t="e">
        <f>IF($H114&lt;Noise!I$252,  (Noise!I$252/Noise!$E$251)^(2/3)*($H114/Noise!I$252)^4,
    IF($H114&lt;Noise!$E$251,  ($H114/Noise!$E$251)^0.5,  1))</f>
        <v>#VALUE!</v>
      </c>
      <c r="H149" s="177">
        <v>200</v>
      </c>
      <c r="L149" s="97"/>
      <c r="M149" s="82"/>
      <c r="N149" s="82"/>
      <c r="P149" s="31"/>
      <c r="Q149" s="31"/>
    </row>
    <row r="150" spans="3:17" s="119" customFormat="1" ht="13" outlineLevel="1" x14ac:dyDescent="0.3">
      <c r="C150" s="24" t="e">
        <f>IF($H115&lt;Noise!E$252,  (Noise!E$252/Noise!$E$251)^(2/3)*($H115/Noise!E$252)^4,
    IF($H115&lt;Noise!$E$251,  ($H115/Noise!$E$251)^0.5,  1))</f>
        <v>#VALUE!</v>
      </c>
      <c r="D150" s="24" t="e">
        <f>IF($H115&lt;Noise!F$252,  (Noise!F$252/Noise!$E$251)^(2/3)*($H115/Noise!F$252)^4,
    IF($H115&lt;Noise!$E$251,  ($H115/Noise!$E$251)^0.5,  1))</f>
        <v>#VALUE!</v>
      </c>
      <c r="E150" s="24" t="e">
        <f>IF($H115&lt;Noise!G$252,  (Noise!G$252/Noise!$E$251)^(2/3)*($H115/Noise!G$252)^4,
    IF($H115&lt;Noise!$E$251,  ($H115/Noise!$E$251)^0.5,  1))</f>
        <v>#VALUE!</v>
      </c>
      <c r="F150" s="24" t="e">
        <f>IF($H115&lt;Noise!H$252,  (Noise!H$252/Noise!$E$251)^(2/3)*($H115/Noise!H$252)^4,
    IF($H115&lt;Noise!$E$251,  ($H115/Noise!$E$251)^0.5,  1))</f>
        <v>#VALUE!</v>
      </c>
      <c r="G150" s="24" t="e">
        <f>IF($H115&lt;Noise!I$252,  (Noise!I$252/Noise!$E$251)^(2/3)*($H115/Noise!I$252)^4,
    IF($H115&lt;Noise!$E$251,  ($H115/Noise!$E$251)^0.5,  1))</f>
        <v>#VALUE!</v>
      </c>
      <c r="H150" s="177">
        <v>250</v>
      </c>
      <c r="L150" s="97"/>
      <c r="M150" s="82"/>
      <c r="N150" s="82"/>
      <c r="P150" s="31"/>
      <c r="Q150" s="31"/>
    </row>
    <row r="151" spans="3:17" s="119" customFormat="1" ht="13" outlineLevel="1" x14ac:dyDescent="0.3">
      <c r="C151" s="24" t="e">
        <f>IF($H116&lt;Noise!E$252,  (Noise!E$252/Noise!$E$251)^(2/3)*($H116/Noise!E$252)^4,
    IF($H116&lt;Noise!$E$251,  ($H116/Noise!$E$251)^0.5,  1))</f>
        <v>#VALUE!</v>
      </c>
      <c r="D151" s="24" t="e">
        <f>IF($H116&lt;Noise!F$252,  (Noise!F$252/Noise!$E$251)^(2/3)*($H116/Noise!F$252)^4,
    IF($H116&lt;Noise!$E$251,  ($H116/Noise!$E$251)^0.5,  1))</f>
        <v>#VALUE!</v>
      </c>
      <c r="E151" s="24" t="e">
        <f>IF($H116&lt;Noise!G$252,  (Noise!G$252/Noise!$E$251)^(2/3)*($H116/Noise!G$252)^4,
    IF($H116&lt;Noise!$E$251,  ($H116/Noise!$E$251)^0.5,  1))</f>
        <v>#VALUE!</v>
      </c>
      <c r="F151" s="24" t="e">
        <f>IF($H116&lt;Noise!H$252,  (Noise!H$252/Noise!$E$251)^(2/3)*($H116/Noise!H$252)^4,
    IF($H116&lt;Noise!$E$251,  ($H116/Noise!$E$251)^0.5,  1))</f>
        <v>#VALUE!</v>
      </c>
      <c r="G151" s="24" t="e">
        <f>IF($H116&lt;Noise!I$252,  (Noise!I$252/Noise!$E$251)^(2/3)*($H116/Noise!I$252)^4,
    IF($H116&lt;Noise!$E$251,  ($H116/Noise!$E$251)^0.5,  1))</f>
        <v>#VALUE!</v>
      </c>
      <c r="H151" s="177">
        <v>315</v>
      </c>
      <c r="L151" s="97"/>
      <c r="M151" s="82"/>
      <c r="N151" s="82"/>
      <c r="P151" s="31"/>
      <c r="Q151" s="31"/>
    </row>
    <row r="152" spans="3:17" s="119" customFormat="1" ht="13" outlineLevel="1" x14ac:dyDescent="0.3">
      <c r="C152" s="24" t="e">
        <f>IF($H117&lt;Noise!E$252,  (Noise!E$252/Noise!$E$251)^(2/3)*($H117/Noise!E$252)^4,
    IF($H117&lt;Noise!$E$251,  ($H117/Noise!$E$251)^0.5,  1))</f>
        <v>#VALUE!</v>
      </c>
      <c r="D152" s="24" t="e">
        <f>IF($H117&lt;Noise!F$252,  (Noise!F$252/Noise!$E$251)^(2/3)*($H117/Noise!F$252)^4,
    IF($H117&lt;Noise!$E$251,  ($H117/Noise!$E$251)^0.5,  1))</f>
        <v>#VALUE!</v>
      </c>
      <c r="E152" s="24" t="e">
        <f>IF($H117&lt;Noise!G$252,  (Noise!G$252/Noise!$E$251)^(2/3)*($H117/Noise!G$252)^4,
    IF($H117&lt;Noise!$E$251,  ($H117/Noise!$E$251)^0.5,  1))</f>
        <v>#VALUE!</v>
      </c>
      <c r="F152" s="24" t="e">
        <f>IF($H117&lt;Noise!H$252,  (Noise!H$252/Noise!$E$251)^(2/3)*($H117/Noise!H$252)^4,
    IF($H117&lt;Noise!$E$251,  ($H117/Noise!$E$251)^0.5,  1))</f>
        <v>#VALUE!</v>
      </c>
      <c r="G152" s="24" t="e">
        <f>IF($H117&lt;Noise!I$252,  (Noise!I$252/Noise!$E$251)^(2/3)*($H117/Noise!I$252)^4,
    IF($H117&lt;Noise!$E$251,  ($H117/Noise!$E$251)^0.5,  1))</f>
        <v>#VALUE!</v>
      </c>
      <c r="H152" s="177">
        <v>400</v>
      </c>
      <c r="L152" s="97"/>
      <c r="M152" s="82"/>
      <c r="N152" s="82"/>
      <c r="P152" s="31"/>
      <c r="Q152" s="31"/>
    </row>
    <row r="153" spans="3:17" s="119" customFormat="1" ht="13" outlineLevel="1" x14ac:dyDescent="0.3">
      <c r="C153" s="24" t="e">
        <f>IF($H118&lt;Noise!E$252,  (Noise!E$252/Noise!$E$251)^(2/3)*($H118/Noise!E$252)^4,
    IF($H118&lt;Noise!$E$251,  ($H118/Noise!$E$251)^0.5,  1))</f>
        <v>#VALUE!</v>
      </c>
      <c r="D153" s="24" t="e">
        <f>IF($H118&lt;Noise!F$252,  (Noise!F$252/Noise!$E$251)^(2/3)*($H118/Noise!F$252)^4,
    IF($H118&lt;Noise!$E$251,  ($H118/Noise!$E$251)^0.5,  1))</f>
        <v>#VALUE!</v>
      </c>
      <c r="E153" s="24" t="e">
        <f>IF($H118&lt;Noise!G$252,  (Noise!G$252/Noise!$E$251)^(2/3)*($H118/Noise!G$252)^4,
    IF($H118&lt;Noise!$E$251,  ($H118/Noise!$E$251)^0.5,  1))</f>
        <v>#VALUE!</v>
      </c>
      <c r="F153" s="24" t="e">
        <f>IF($H118&lt;Noise!H$252,  (Noise!H$252/Noise!$E$251)^(2/3)*($H118/Noise!H$252)^4,
    IF($H118&lt;Noise!$E$251,  ($H118/Noise!$E$251)^0.5,  1))</f>
        <v>#VALUE!</v>
      </c>
      <c r="G153" s="24" t="e">
        <f>IF($H118&lt;Noise!I$252,  (Noise!I$252/Noise!$E$251)^(2/3)*($H118/Noise!I$252)^4,
    IF($H118&lt;Noise!$E$251,  ($H118/Noise!$E$251)^0.5,  1))</f>
        <v>#VALUE!</v>
      </c>
      <c r="H153" s="177">
        <v>500</v>
      </c>
      <c r="L153" s="97"/>
      <c r="M153" s="82"/>
      <c r="N153" s="82"/>
      <c r="P153" s="31"/>
      <c r="Q153" s="31"/>
    </row>
    <row r="154" spans="3:17" s="119" customFormat="1" ht="13" outlineLevel="1" x14ac:dyDescent="0.3">
      <c r="C154" s="24" t="e">
        <f>IF($H119&lt;Noise!E$252,  (Noise!E$252/Noise!$E$251)^(2/3)*($H119/Noise!E$252)^4,
    IF($H119&lt;Noise!$E$251,  ($H119/Noise!$E$251)^0.5,  1))</f>
        <v>#VALUE!</v>
      </c>
      <c r="D154" s="24" t="e">
        <f>IF($H119&lt;Noise!F$252,  (Noise!F$252/Noise!$E$251)^(2/3)*($H119/Noise!F$252)^4,
    IF($H119&lt;Noise!$E$251,  ($H119/Noise!$E$251)^0.5,  1))</f>
        <v>#VALUE!</v>
      </c>
      <c r="E154" s="24" t="e">
        <f>IF($H119&lt;Noise!G$252,  (Noise!G$252/Noise!$E$251)^(2/3)*($H119/Noise!G$252)^4,
    IF($H119&lt;Noise!$E$251,  ($H119/Noise!$E$251)^0.5,  1))</f>
        <v>#VALUE!</v>
      </c>
      <c r="F154" s="24" t="e">
        <f>IF($H119&lt;Noise!H$252,  (Noise!H$252/Noise!$E$251)^(2/3)*($H119/Noise!H$252)^4,
    IF($H119&lt;Noise!$E$251,  ($H119/Noise!$E$251)^0.5,  1))</f>
        <v>#VALUE!</v>
      </c>
      <c r="G154" s="24" t="e">
        <f>IF($H119&lt;Noise!I$252,  (Noise!I$252/Noise!$E$251)^(2/3)*($H119/Noise!I$252)^4,
    IF($H119&lt;Noise!$E$251,  ($H119/Noise!$E$251)^0.5,  1))</f>
        <v>#VALUE!</v>
      </c>
      <c r="H154" s="177">
        <v>630</v>
      </c>
      <c r="L154" s="97"/>
      <c r="M154" s="82"/>
      <c r="N154" s="82"/>
      <c r="P154" s="31"/>
      <c r="Q154" s="31"/>
    </row>
    <row r="155" spans="3:17" s="119" customFormat="1" ht="13" outlineLevel="1" x14ac:dyDescent="0.3">
      <c r="C155" s="24" t="e">
        <f>IF($H120&lt;Noise!E$252,  (Noise!E$252/Noise!$E$251)^(2/3)*($H120/Noise!E$252)^4,
    IF($H120&lt;Noise!$E$251,  ($H120/Noise!$E$251)^0.5,  1))</f>
        <v>#VALUE!</v>
      </c>
      <c r="D155" s="24" t="e">
        <f>IF($H120&lt;Noise!F$252,  (Noise!F$252/Noise!$E$251)^(2/3)*($H120/Noise!F$252)^4,
    IF($H120&lt;Noise!$E$251,  ($H120/Noise!$E$251)^0.5,  1))</f>
        <v>#VALUE!</v>
      </c>
      <c r="E155" s="24" t="e">
        <f>IF($H120&lt;Noise!G$252,  (Noise!G$252/Noise!$E$251)^(2/3)*($H120/Noise!G$252)^4,
    IF($H120&lt;Noise!$E$251,  ($H120/Noise!$E$251)^0.5,  1))</f>
        <v>#VALUE!</v>
      </c>
      <c r="F155" s="24" t="e">
        <f>IF($H120&lt;Noise!H$252,  (Noise!H$252/Noise!$E$251)^(2/3)*($H120/Noise!H$252)^4,
    IF($H120&lt;Noise!$E$251,  ($H120/Noise!$E$251)^0.5,  1))</f>
        <v>#VALUE!</v>
      </c>
      <c r="G155" s="24" t="e">
        <f>IF($H120&lt;Noise!I$252,  (Noise!I$252/Noise!$E$251)^(2/3)*($H120/Noise!I$252)^4,
    IF($H120&lt;Noise!$E$251,  ($H120/Noise!$E$251)^0.5,  1))</f>
        <v>#VALUE!</v>
      </c>
      <c r="H155" s="177">
        <v>800</v>
      </c>
      <c r="L155" s="97"/>
      <c r="M155" s="82"/>
      <c r="N155" s="82"/>
      <c r="P155" s="31"/>
      <c r="Q155" s="31"/>
    </row>
    <row r="156" spans="3:17" s="119" customFormat="1" ht="13" outlineLevel="1" x14ac:dyDescent="0.3">
      <c r="C156" s="24" t="e">
        <f>IF($H121&lt;Noise!E$252,  (Noise!E$252/Noise!$E$251)^(2/3)*($H121/Noise!E$252)^4,
    IF($H121&lt;Noise!$E$251,  ($H121/Noise!$E$251)^0.5,  1))</f>
        <v>#VALUE!</v>
      </c>
      <c r="D156" s="24" t="e">
        <f>IF($H121&lt;Noise!F$252,  (Noise!F$252/Noise!$E$251)^(2/3)*($H121/Noise!F$252)^4,
    IF($H121&lt;Noise!$E$251,  ($H121/Noise!$E$251)^0.5,  1))</f>
        <v>#VALUE!</v>
      </c>
      <c r="E156" s="24" t="e">
        <f>IF($H121&lt;Noise!G$252,  (Noise!G$252/Noise!$E$251)^(2/3)*($H121/Noise!G$252)^4,
    IF($H121&lt;Noise!$E$251,  ($H121/Noise!$E$251)^0.5,  1))</f>
        <v>#VALUE!</v>
      </c>
      <c r="F156" s="24" t="e">
        <f>IF($H121&lt;Noise!H$252,  (Noise!H$252/Noise!$E$251)^(2/3)*($H121/Noise!H$252)^4,
    IF($H121&lt;Noise!$E$251,  ($H121/Noise!$E$251)^0.5,  1))</f>
        <v>#VALUE!</v>
      </c>
      <c r="G156" s="24" t="e">
        <f>IF($H121&lt;Noise!I$252,  (Noise!I$252/Noise!$E$251)^(2/3)*($H121/Noise!I$252)^4,
    IF($H121&lt;Noise!$E$251,  ($H121/Noise!$E$251)^0.5,  1))</f>
        <v>#VALUE!</v>
      </c>
      <c r="H156" s="177">
        <v>1000</v>
      </c>
      <c r="L156" s="97"/>
      <c r="M156" s="82"/>
      <c r="N156" s="82"/>
      <c r="P156" s="31"/>
      <c r="Q156" s="31"/>
    </row>
    <row r="157" spans="3:17" s="119" customFormat="1" ht="13" outlineLevel="1" x14ac:dyDescent="0.3">
      <c r="C157" s="24" t="e">
        <f>IF($H122&lt;Noise!E$252,  (Noise!E$252/Noise!$E$251)^(2/3)*($H122/Noise!E$252)^4,
    IF($H122&lt;Noise!$E$251,  ($H122/Noise!$E$251)^0.5,  1))</f>
        <v>#VALUE!</v>
      </c>
      <c r="D157" s="24" t="e">
        <f>IF($H122&lt;Noise!F$252,  (Noise!F$252/Noise!$E$251)^(2/3)*($H122/Noise!F$252)^4,
    IF($H122&lt;Noise!$E$251,  ($H122/Noise!$E$251)^0.5,  1))</f>
        <v>#VALUE!</v>
      </c>
      <c r="E157" s="24" t="e">
        <f>IF($H122&lt;Noise!G$252,  (Noise!G$252/Noise!$E$251)^(2/3)*($H122/Noise!G$252)^4,
    IF($H122&lt;Noise!$E$251,  ($H122/Noise!$E$251)^0.5,  1))</f>
        <v>#VALUE!</v>
      </c>
      <c r="F157" s="24" t="e">
        <f>IF($H122&lt;Noise!H$252,  (Noise!H$252/Noise!$E$251)^(2/3)*($H122/Noise!H$252)^4,
    IF($H122&lt;Noise!$E$251,  ($H122/Noise!$E$251)^0.5,  1))</f>
        <v>#VALUE!</v>
      </c>
      <c r="G157" s="24" t="e">
        <f>IF($H122&lt;Noise!I$252,  (Noise!I$252/Noise!$E$251)^(2/3)*($H122/Noise!I$252)^4,
    IF($H122&lt;Noise!$E$251,  ($H122/Noise!$E$251)^0.5,  1))</f>
        <v>#VALUE!</v>
      </c>
      <c r="H157" s="177">
        <v>1250</v>
      </c>
      <c r="L157" s="97"/>
      <c r="M157" s="82"/>
      <c r="N157" s="82"/>
      <c r="P157" s="31"/>
      <c r="Q157" s="31"/>
    </row>
    <row r="158" spans="3:17" s="119" customFormat="1" ht="13" outlineLevel="1" x14ac:dyDescent="0.3">
      <c r="C158" s="24" t="e">
        <f>IF($H123&lt;Noise!E$252,  (Noise!E$252/Noise!$E$251)^(2/3)*($H123/Noise!E$252)^4,
    IF($H123&lt;Noise!$E$251,  ($H123/Noise!$E$251)^0.5,  1))</f>
        <v>#VALUE!</v>
      </c>
      <c r="D158" s="24" t="e">
        <f>IF($H123&lt;Noise!F$252,  (Noise!F$252/Noise!$E$251)^(2/3)*($H123/Noise!F$252)^4,
    IF($H123&lt;Noise!$E$251,  ($H123/Noise!$E$251)^0.5,  1))</f>
        <v>#VALUE!</v>
      </c>
      <c r="E158" s="24" t="e">
        <f>IF($H123&lt;Noise!G$252,  (Noise!G$252/Noise!$E$251)^(2/3)*($H123/Noise!G$252)^4,
    IF($H123&lt;Noise!$E$251,  ($H123/Noise!$E$251)^0.5,  1))</f>
        <v>#VALUE!</v>
      </c>
      <c r="F158" s="24" t="e">
        <f>IF($H123&lt;Noise!H$252,  (Noise!H$252/Noise!$E$251)^(2/3)*($H123/Noise!H$252)^4,
    IF($H123&lt;Noise!$E$251,  ($H123/Noise!$E$251)^0.5,  1))</f>
        <v>#VALUE!</v>
      </c>
      <c r="G158" s="24" t="e">
        <f>IF($H123&lt;Noise!I$252,  (Noise!I$252/Noise!$E$251)^(2/3)*($H123/Noise!I$252)^4,
    IF($H123&lt;Noise!$E$251,  ($H123/Noise!$E$251)^0.5,  1))</f>
        <v>#VALUE!</v>
      </c>
      <c r="H158" s="177">
        <v>1600</v>
      </c>
      <c r="L158" s="97"/>
      <c r="M158" s="82"/>
      <c r="N158" s="82"/>
      <c r="P158" s="31"/>
      <c r="Q158" s="31"/>
    </row>
    <row r="159" spans="3:17" s="119" customFormat="1" ht="13" outlineLevel="1" x14ac:dyDescent="0.3">
      <c r="C159" s="24" t="e">
        <f>IF($H124&lt;Noise!E$252,  (Noise!E$252/Noise!$E$251)^(2/3)*($H124/Noise!E$252)^4,
    IF($H124&lt;Noise!$E$251,  ($H124/Noise!$E$251)^0.5,  1))</f>
        <v>#VALUE!</v>
      </c>
      <c r="D159" s="24" t="e">
        <f>IF($H124&lt;Noise!F$252,  (Noise!F$252/Noise!$E$251)^(2/3)*($H124/Noise!F$252)^4,
    IF($H124&lt;Noise!$E$251,  ($H124/Noise!$E$251)^0.5,  1))</f>
        <v>#VALUE!</v>
      </c>
      <c r="E159" s="24" t="e">
        <f>IF($H124&lt;Noise!G$252,  (Noise!G$252/Noise!$E$251)^(2/3)*($H124/Noise!G$252)^4,
    IF($H124&lt;Noise!$E$251,  ($H124/Noise!$E$251)^0.5,  1))</f>
        <v>#VALUE!</v>
      </c>
      <c r="F159" s="24" t="e">
        <f>IF($H124&lt;Noise!H$252,  (Noise!H$252/Noise!$E$251)^(2/3)*($H124/Noise!H$252)^4,
    IF($H124&lt;Noise!$E$251,  ($H124/Noise!$E$251)^0.5,  1))</f>
        <v>#VALUE!</v>
      </c>
      <c r="G159" s="24" t="e">
        <f>IF($H124&lt;Noise!I$252,  (Noise!I$252/Noise!$E$251)^(2/3)*($H124/Noise!I$252)^4,
    IF($H124&lt;Noise!$E$251,  ($H124/Noise!$E$251)^0.5,  1))</f>
        <v>#VALUE!</v>
      </c>
      <c r="H159" s="177">
        <v>2000</v>
      </c>
      <c r="L159" s="97"/>
      <c r="M159" s="82"/>
      <c r="N159" s="82"/>
      <c r="P159" s="31"/>
      <c r="Q159" s="31"/>
    </row>
    <row r="160" spans="3:17" s="119" customFormat="1" ht="13" outlineLevel="1" x14ac:dyDescent="0.3">
      <c r="C160" s="24" t="e">
        <f>IF($H125&lt;Noise!E$252,  (Noise!E$252/Noise!$E$251)^(2/3)*($H125/Noise!E$252)^4,
    IF($H125&lt;Noise!$E$251,  ($H125/Noise!$E$251)^0.5,  1))</f>
        <v>#VALUE!</v>
      </c>
      <c r="D160" s="24" t="e">
        <f>IF($H125&lt;Noise!F$252,  (Noise!F$252/Noise!$E$251)^(2/3)*($H125/Noise!F$252)^4,
    IF($H125&lt;Noise!$E$251,  ($H125/Noise!$E$251)^0.5,  1))</f>
        <v>#VALUE!</v>
      </c>
      <c r="E160" s="24" t="e">
        <f>IF($H125&lt;Noise!G$252,  (Noise!G$252/Noise!$E$251)^(2/3)*($H125/Noise!G$252)^4,
    IF($H125&lt;Noise!$E$251,  ($H125/Noise!$E$251)^0.5,  1))</f>
        <v>#VALUE!</v>
      </c>
      <c r="F160" s="24" t="e">
        <f>IF($H125&lt;Noise!H$252,  (Noise!H$252/Noise!$E$251)^(2/3)*($H125/Noise!H$252)^4,
    IF($H125&lt;Noise!$E$251,  ($H125/Noise!$E$251)^0.5,  1))</f>
        <v>#VALUE!</v>
      </c>
      <c r="G160" s="24" t="e">
        <f>IF($H125&lt;Noise!I$252,  (Noise!I$252/Noise!$E$251)^(2/3)*($H125/Noise!I$252)^4,
    IF($H125&lt;Noise!$E$251,  ($H125/Noise!$E$251)^0.5,  1))</f>
        <v>#VALUE!</v>
      </c>
      <c r="H160" s="177">
        <v>2500</v>
      </c>
      <c r="L160" s="97"/>
      <c r="M160" s="82"/>
      <c r="N160" s="82"/>
      <c r="P160" s="31"/>
      <c r="Q160" s="31"/>
    </row>
    <row r="161" spans="1:17" s="119" customFormat="1" ht="13" outlineLevel="1" x14ac:dyDescent="0.3">
      <c r="C161" s="24" t="e">
        <f>IF($H126&lt;Noise!E$252,  (Noise!E$252/Noise!$E$251)^(2/3)*($H126/Noise!E$252)^4,
    IF($H126&lt;Noise!$E$251,  ($H126/Noise!$E$251)^0.5,  1))</f>
        <v>#VALUE!</v>
      </c>
      <c r="D161" s="24" t="e">
        <f>IF($H126&lt;Noise!F$252,  (Noise!F$252/Noise!$E$251)^(2/3)*($H126/Noise!F$252)^4,
    IF($H126&lt;Noise!$E$251,  ($H126/Noise!$E$251)^0.5,  1))</f>
        <v>#VALUE!</v>
      </c>
      <c r="E161" s="24" t="e">
        <f>IF($H126&lt;Noise!G$252,  (Noise!G$252/Noise!$E$251)^(2/3)*($H126/Noise!G$252)^4,
    IF($H126&lt;Noise!$E$251,  ($H126/Noise!$E$251)^0.5,  1))</f>
        <v>#VALUE!</v>
      </c>
      <c r="F161" s="24" t="e">
        <f>IF($H126&lt;Noise!H$252,  (Noise!H$252/Noise!$E$251)^(2/3)*($H126/Noise!H$252)^4,
    IF($H126&lt;Noise!$E$251,  ($H126/Noise!$E$251)^0.5,  1))</f>
        <v>#VALUE!</v>
      </c>
      <c r="G161" s="24" t="e">
        <f>IF($H126&lt;Noise!I$252,  (Noise!I$252/Noise!$E$251)^(2/3)*($H126/Noise!I$252)^4,
    IF($H126&lt;Noise!$E$251,  ($H126/Noise!$E$251)^0.5,  1))</f>
        <v>#VALUE!</v>
      </c>
      <c r="H161" s="177">
        <v>3150</v>
      </c>
      <c r="L161" s="97"/>
      <c r="M161" s="82"/>
      <c r="N161" s="82"/>
      <c r="P161" s="31"/>
      <c r="Q161" s="31"/>
    </row>
    <row r="162" spans="1:17" s="119" customFormat="1" ht="13" outlineLevel="1" x14ac:dyDescent="0.3">
      <c r="C162" s="24" t="e">
        <f>IF($H127&lt;Noise!E$252,  (Noise!E$252/Noise!$E$251)^(2/3)*($H127/Noise!E$252)^4,
    IF($H127&lt;Noise!$E$251,  ($H127/Noise!$E$251)^0.5,  1))</f>
        <v>#VALUE!</v>
      </c>
      <c r="D162" s="24" t="e">
        <f>IF($H127&lt;Noise!F$252,  (Noise!F$252/Noise!$E$251)^(2/3)*($H127/Noise!F$252)^4,
    IF($H127&lt;Noise!$E$251,  ($H127/Noise!$E$251)^0.5,  1))</f>
        <v>#VALUE!</v>
      </c>
      <c r="E162" s="24" t="e">
        <f>IF($H127&lt;Noise!G$252,  (Noise!G$252/Noise!$E$251)^(2/3)*($H127/Noise!G$252)^4,
    IF($H127&lt;Noise!$E$251,  ($H127/Noise!$E$251)^0.5,  1))</f>
        <v>#VALUE!</v>
      </c>
      <c r="F162" s="24" t="e">
        <f>IF($H127&lt;Noise!H$252,  (Noise!H$252/Noise!$E$251)^(2/3)*($H127/Noise!H$252)^4,
    IF($H127&lt;Noise!$E$251,  ($H127/Noise!$E$251)^0.5,  1))</f>
        <v>#VALUE!</v>
      </c>
      <c r="G162" s="24" t="e">
        <f>IF($H127&lt;Noise!I$252,  (Noise!I$252/Noise!$E$251)^(2/3)*($H127/Noise!I$252)^4,
    IF($H127&lt;Noise!$E$251,  ($H127/Noise!$E$251)^0.5,  1))</f>
        <v>#VALUE!</v>
      </c>
      <c r="H162" s="177">
        <v>4000</v>
      </c>
      <c r="L162" s="97"/>
      <c r="M162" s="82"/>
      <c r="N162" s="82"/>
      <c r="P162" s="31"/>
      <c r="Q162" s="31"/>
    </row>
    <row r="163" spans="1:17" s="119" customFormat="1" ht="13" outlineLevel="1" x14ac:dyDescent="0.3">
      <c r="C163" s="24" t="e">
        <f>IF($H128&lt;Noise!E$252,  (Noise!E$252/Noise!$E$251)^(2/3)*($H128/Noise!E$252)^4,
    IF($H128&lt;Noise!$E$251,  ($H128/Noise!$E$251)^0.5,  1))</f>
        <v>#VALUE!</v>
      </c>
      <c r="D163" s="24" t="e">
        <f>IF($H128&lt;Noise!F$252,  (Noise!F$252/Noise!$E$251)^(2/3)*($H128/Noise!F$252)^4,
    IF($H128&lt;Noise!$E$251,  ($H128/Noise!$E$251)^0.5,  1))</f>
        <v>#VALUE!</v>
      </c>
      <c r="E163" s="24" t="e">
        <f>IF($H128&lt;Noise!G$252,  (Noise!G$252/Noise!$E$251)^(2/3)*($H128/Noise!G$252)^4,
    IF($H128&lt;Noise!$E$251,  ($H128/Noise!$E$251)^0.5,  1))</f>
        <v>#VALUE!</v>
      </c>
      <c r="F163" s="24" t="e">
        <f>IF($H128&lt;Noise!H$252,  (Noise!H$252/Noise!$E$251)^(2/3)*($H128/Noise!H$252)^4,
    IF($H128&lt;Noise!$E$251,  ($H128/Noise!$E$251)^0.5,  1))</f>
        <v>#VALUE!</v>
      </c>
      <c r="G163" s="24" t="e">
        <f>IF($H128&lt;Noise!I$252,  (Noise!I$252/Noise!$E$251)^(2/3)*($H128/Noise!I$252)^4,
    IF($H128&lt;Noise!$E$251,  ($H128/Noise!$E$251)^0.5,  1))</f>
        <v>#VALUE!</v>
      </c>
      <c r="H163" s="177">
        <v>5000</v>
      </c>
      <c r="L163" s="97"/>
      <c r="M163" s="82"/>
      <c r="N163" s="82"/>
      <c r="P163" s="31"/>
      <c r="Q163" s="31"/>
    </row>
    <row r="164" spans="1:17" s="119" customFormat="1" ht="13" outlineLevel="1" x14ac:dyDescent="0.3">
      <c r="C164" s="24" t="e">
        <f>IF($H129&lt;Noise!E$252,  (Noise!E$252/Noise!$E$251)^(2/3)*($H129/Noise!E$252)^4,
    IF($H129&lt;Noise!$E$251,  ($H129/Noise!$E$251)^0.5,  1))</f>
        <v>#VALUE!</v>
      </c>
      <c r="D164" s="24" t="e">
        <f>IF($H129&lt;Noise!F$252,  (Noise!F$252/Noise!$E$251)^(2/3)*($H129/Noise!F$252)^4,
    IF($H129&lt;Noise!$E$251,  ($H129/Noise!$E$251)^0.5,  1))</f>
        <v>#VALUE!</v>
      </c>
      <c r="E164" s="24" t="e">
        <f>IF($H129&lt;Noise!G$252,  (Noise!G$252/Noise!$E$251)^(2/3)*($H129/Noise!G$252)^4,
    IF($H129&lt;Noise!$E$251,  ($H129/Noise!$E$251)^0.5,  1))</f>
        <v>#VALUE!</v>
      </c>
      <c r="F164" s="24" t="e">
        <f>IF($H129&lt;Noise!H$252,  (Noise!H$252/Noise!$E$251)^(2/3)*($H129/Noise!H$252)^4,
    IF($H129&lt;Noise!$E$251,  ($H129/Noise!$E$251)^0.5,  1))</f>
        <v>#VALUE!</v>
      </c>
      <c r="G164" s="24" t="e">
        <f>IF($H129&lt;Noise!I$252,  (Noise!I$252/Noise!$E$251)^(2/3)*($H129/Noise!I$252)^4,
    IF($H129&lt;Noise!$E$251,  ($H129/Noise!$E$251)^0.5,  1))</f>
        <v>#VALUE!</v>
      </c>
      <c r="H164" s="177">
        <v>6300</v>
      </c>
      <c r="L164" s="97"/>
      <c r="M164" s="82"/>
      <c r="N164" s="82"/>
      <c r="P164" s="31"/>
      <c r="Q164" s="31"/>
    </row>
    <row r="165" spans="1:17" s="119" customFormat="1" ht="13" outlineLevel="1" x14ac:dyDescent="0.3">
      <c r="C165" s="24" t="e">
        <f>IF($H130&lt;Noise!E$252,  (Noise!E$252/Noise!$E$251)^(2/3)*($H130/Noise!E$252)^4,
    IF($H130&lt;Noise!$E$251,  ($H130/Noise!$E$251)^0.5,  1))</f>
        <v>#VALUE!</v>
      </c>
      <c r="D165" s="24" t="e">
        <f>IF($H130&lt;Noise!F$252,  (Noise!F$252/Noise!$E$251)^(2/3)*($H130/Noise!F$252)^4,
    IF($H130&lt;Noise!$E$251,  ($H130/Noise!$E$251)^0.5,  1))</f>
        <v>#VALUE!</v>
      </c>
      <c r="E165" s="24" t="e">
        <f>IF($H130&lt;Noise!G$252,  (Noise!G$252/Noise!$E$251)^(2/3)*($H130/Noise!G$252)^4,
    IF($H130&lt;Noise!$E$251,  ($H130/Noise!$E$251)^0.5,  1))</f>
        <v>#VALUE!</v>
      </c>
      <c r="F165" s="24" t="e">
        <f>IF($H130&lt;Noise!H$252,  (Noise!H$252/Noise!$E$251)^(2/3)*($H130/Noise!H$252)^4,
    IF($H130&lt;Noise!$E$251,  ($H130/Noise!$E$251)^0.5,  1))</f>
        <v>#VALUE!</v>
      </c>
      <c r="G165" s="24" t="e">
        <f>IF($H130&lt;Noise!I$252,  (Noise!I$252/Noise!$E$251)^(2/3)*($H130/Noise!I$252)^4,
    IF($H130&lt;Noise!$E$251,  ($H130/Noise!$E$251)^0.5,  1))</f>
        <v>#VALUE!</v>
      </c>
      <c r="H165" s="177">
        <v>8000</v>
      </c>
      <c r="L165" s="97"/>
      <c r="M165" s="82"/>
      <c r="N165" s="82"/>
      <c r="P165" s="31"/>
      <c r="Q165" s="31"/>
    </row>
    <row r="166" spans="1:17" s="119" customFormat="1" ht="13" outlineLevel="1" x14ac:dyDescent="0.3">
      <c r="C166" s="24" t="e">
        <f>IF($H131&lt;Noise!E$252,  (Noise!E$252/Noise!$E$251)^(2/3)*($H131/Noise!E$252)^4,
    IF($H131&lt;Noise!$E$251,  ($H131/Noise!$E$251)^0.5,  1))</f>
        <v>#VALUE!</v>
      </c>
      <c r="D166" s="24" t="e">
        <f>IF($H131&lt;Noise!F$252,  (Noise!F$252/Noise!$E$251)^(2/3)*($H131/Noise!F$252)^4,
    IF($H131&lt;Noise!$E$251,  ($H131/Noise!$E$251)^0.5,  1))</f>
        <v>#VALUE!</v>
      </c>
      <c r="E166" s="24" t="e">
        <f>IF($H131&lt;Noise!G$252,  (Noise!G$252/Noise!$E$251)^(2/3)*($H131/Noise!G$252)^4,
    IF($H131&lt;Noise!$E$251,  ($H131/Noise!$E$251)^0.5,  1))</f>
        <v>#VALUE!</v>
      </c>
      <c r="F166" s="24" t="e">
        <f>IF($H131&lt;Noise!H$252,  (Noise!H$252/Noise!$E$251)^(2/3)*($H131/Noise!H$252)^4,
    IF($H131&lt;Noise!$E$251,  ($H131/Noise!$E$251)^0.5,  1))</f>
        <v>#VALUE!</v>
      </c>
      <c r="G166" s="24" t="e">
        <f>IF($H131&lt;Noise!I$252,  (Noise!I$252/Noise!$E$251)^(2/3)*($H131/Noise!I$252)^4,
    IF($H131&lt;Noise!$E$251,  ($H131/Noise!$E$251)^0.5,  1))</f>
        <v>#VALUE!</v>
      </c>
      <c r="H166" s="177">
        <v>10000</v>
      </c>
      <c r="L166" s="97"/>
      <c r="M166" s="82"/>
      <c r="N166" s="82"/>
      <c r="P166" s="31"/>
      <c r="Q166" s="31"/>
    </row>
    <row r="167" spans="1:17" s="119" customFormat="1" ht="13" outlineLevel="1" x14ac:dyDescent="0.3">
      <c r="C167" s="24" t="e">
        <f>IF($H132&lt;Noise!E$252,  (Noise!E$252/Noise!$E$251)^(2/3)*($H132/Noise!E$252)^4,
    IF($H132&lt;Noise!$E$251,  ($H132/Noise!$E$251)^0.5,  1))</f>
        <v>#VALUE!</v>
      </c>
      <c r="D167" s="24" t="e">
        <f>IF($H132&lt;Noise!F$252,  (Noise!F$252/Noise!$E$251)^(2/3)*($H132/Noise!F$252)^4,
    IF($H132&lt;Noise!$E$251,  ($H132/Noise!$E$251)^0.5,  1))</f>
        <v>#VALUE!</v>
      </c>
      <c r="E167" s="24" t="e">
        <f>IF($H132&lt;Noise!G$252,  (Noise!G$252/Noise!$E$251)^(2/3)*($H132/Noise!G$252)^4,
    IF($H132&lt;Noise!$E$251,  ($H132/Noise!$E$251)^0.5,  1))</f>
        <v>#VALUE!</v>
      </c>
      <c r="F167" s="24" t="e">
        <f>IF($H132&lt;Noise!H$252,  (Noise!H$252/Noise!$E$251)^(2/3)*($H132/Noise!H$252)^4,
    IF($H132&lt;Noise!$E$251,  ($H132/Noise!$E$251)^0.5,  1))</f>
        <v>#VALUE!</v>
      </c>
      <c r="G167" s="24" t="e">
        <f>IF($H132&lt;Noise!I$252,  (Noise!I$252/Noise!$E$251)^(2/3)*($H132/Noise!I$252)^4,
    IF($H132&lt;Noise!$E$251,  ($H132/Noise!$E$251)^0.5,  1))</f>
        <v>#VALUE!</v>
      </c>
      <c r="H167" s="177">
        <v>12500</v>
      </c>
      <c r="L167" s="97"/>
      <c r="M167" s="82"/>
      <c r="N167" s="82"/>
      <c r="P167" s="31"/>
      <c r="Q167" s="31"/>
    </row>
    <row r="168" spans="1:17" s="119" customFormat="1" ht="13" outlineLevel="1" x14ac:dyDescent="0.3">
      <c r="C168" s="24" t="e">
        <f>IF($H133&lt;Noise!E$252,  (Noise!E$252/Noise!$E$251)^(2/3)*($H133/Noise!E$252)^4,
    IF($H133&lt;Noise!$E$251,  ($H133/Noise!$E$251)^0.5,  1))</f>
        <v>#VALUE!</v>
      </c>
      <c r="D168" s="24" t="e">
        <f>IF($H133&lt;Noise!F$252,  (Noise!F$252/Noise!$E$251)^(2/3)*($H133/Noise!F$252)^4,
    IF($H133&lt;Noise!$E$251,  ($H133/Noise!$E$251)^0.5,  1))</f>
        <v>#VALUE!</v>
      </c>
      <c r="E168" s="24" t="e">
        <f>IF($H133&lt;Noise!G$252,  (Noise!G$252/Noise!$E$251)^(2/3)*($H133/Noise!G$252)^4,
    IF($H133&lt;Noise!$E$251,  ($H133/Noise!$E$251)^0.5,  1))</f>
        <v>#VALUE!</v>
      </c>
      <c r="F168" s="24" t="e">
        <f>IF($H133&lt;Noise!H$252,  (Noise!H$252/Noise!$E$251)^(2/3)*($H133/Noise!H$252)^4,
    IF($H133&lt;Noise!$E$251,  ($H133/Noise!$E$251)^0.5,  1))</f>
        <v>#VALUE!</v>
      </c>
      <c r="G168" s="24" t="e">
        <f>IF($H133&lt;Noise!I$252,  (Noise!I$252/Noise!$E$251)^(2/3)*($H133/Noise!I$252)^4,
    IF($H133&lt;Noise!$E$251,  ($H133/Noise!$E$251)^0.5,  1))</f>
        <v>#VALUE!</v>
      </c>
      <c r="H168" s="177">
        <v>16000</v>
      </c>
      <c r="L168" s="97"/>
      <c r="M168" s="82"/>
      <c r="N168" s="82"/>
      <c r="P168" s="31"/>
      <c r="Q168" s="31"/>
    </row>
    <row r="169" spans="1:17" s="119" customFormat="1" ht="13" outlineLevel="1" x14ac:dyDescent="0.3">
      <c r="C169" s="24" t="e">
        <f>IF($H134&lt;Noise!E$252,  (Noise!E$252/Noise!$E$251)^(2/3)*($H134/Noise!E$252)^4,
    IF($H134&lt;Noise!$E$251,  ($H134/Noise!$E$251)^0.5,  1))</f>
        <v>#VALUE!</v>
      </c>
      <c r="D169" s="24" t="e">
        <f>IF($H134&lt;Noise!F$252,  (Noise!F$252/Noise!$E$251)^(2/3)*($H134/Noise!F$252)^4,
    IF($H134&lt;Noise!$E$251,  ($H134/Noise!$E$251)^0.5,  1))</f>
        <v>#VALUE!</v>
      </c>
      <c r="E169" s="24" t="e">
        <f>IF($H134&lt;Noise!G$252,  (Noise!G$252/Noise!$E$251)^(2/3)*($H134/Noise!G$252)^4,
    IF($H134&lt;Noise!$E$251,  ($H134/Noise!$E$251)^0.5,  1))</f>
        <v>#VALUE!</v>
      </c>
      <c r="F169" s="24" t="e">
        <f>IF($H134&lt;Noise!H$252,  (Noise!H$252/Noise!$E$251)^(2/3)*($H134/Noise!H$252)^4,
    IF($H134&lt;Noise!$E$251,  ($H134/Noise!$E$251)^0.5,  1))</f>
        <v>#VALUE!</v>
      </c>
      <c r="G169" s="24" t="e">
        <f>IF($H134&lt;Noise!I$252,  (Noise!I$252/Noise!$E$251)^(2/3)*($H134/Noise!I$252)^4,
    IF($H134&lt;Noise!$E$251,  ($H134/Noise!$E$251)^0.5,  1))</f>
        <v>#VALUE!</v>
      </c>
      <c r="H169" s="177">
        <v>20000</v>
      </c>
      <c r="L169" s="97"/>
      <c r="M169" s="82"/>
      <c r="N169" s="82"/>
      <c r="P169" s="31"/>
      <c r="Q169" s="31"/>
    </row>
    <row r="170" spans="1:17" s="119" customFormat="1" ht="13" outlineLevel="1" x14ac:dyDescent="0.3">
      <c r="H170" s="177"/>
      <c r="L170" s="97"/>
      <c r="M170" s="82"/>
      <c r="N170" s="82"/>
      <c r="P170" s="31"/>
      <c r="Q170" s="31"/>
    </row>
    <row r="171" spans="1:17" s="119" customFormat="1" ht="13" outlineLevel="1" x14ac:dyDescent="0.3">
      <c r="C171" s="491" t="s">
        <v>966</v>
      </c>
      <c r="D171" s="491"/>
      <c r="E171" s="491"/>
      <c r="F171" s="491"/>
      <c r="G171" s="491"/>
      <c r="H171" s="177"/>
      <c r="I171" s="387" t="s">
        <v>967</v>
      </c>
      <c r="M171" s="82"/>
      <c r="N171" s="82"/>
      <c r="P171" s="31"/>
      <c r="Q171" s="31"/>
    </row>
    <row r="172" spans="1:17" s="119" customFormat="1" ht="13" outlineLevel="1" x14ac:dyDescent="0.3">
      <c r="A172" s="376"/>
      <c r="B172" s="376"/>
      <c r="C172" s="24" t="e">
        <f>IF($H102&lt;Noise!E$252,
    IF(Noise!E$252&lt;Noise!$E$253,  Noise!E$252/Noise!$E$253,  1),
    IF($H102&lt;Noise!$E$253,  $H102/Noise!$E$253,  1))</f>
        <v>#VALUE!</v>
      </c>
      <c r="D172" s="24" t="e">
        <f>IF($H102&lt;Noise!F$252,
    IF(Noise!F$252&lt;Noise!$E$253,  Noise!F$252/Noise!$E$253,  1),
    IF($H102&lt;Noise!$E$253,  $H102/Noise!$E$253,  1))</f>
        <v>#VALUE!</v>
      </c>
      <c r="E172" s="24" t="e">
        <f>IF($H102&lt;Noise!G$252,
    IF(Noise!G$252&lt;Noise!$E$253,  Noise!G$252/Noise!$E$253,  1),
    IF($H102&lt;Noise!$E$253,  $H102/Noise!$E$253,  1))</f>
        <v>#VALUE!</v>
      </c>
      <c r="F172" s="24" t="e">
        <f>IF($H102&lt;Noise!H$252,
    IF(Noise!H$252&lt;Noise!$E$253,  Noise!H$252/Noise!$E$253,  1),
    IF($H102&lt;Noise!$E$253,  $H102/Noise!$E$253,  1))</f>
        <v>#VALUE!</v>
      </c>
      <c r="G172" s="24" t="e">
        <f>IF($H102&lt;Noise!I$252,
    IF(Noise!I$252&lt;Noise!$E$253,  Noise!I$252/Noise!$E$253,  1),
    IF($H102&lt;Noise!$E$253,  $H102/Noise!$E$253,  1))</f>
        <v>#VALUE!</v>
      </c>
      <c r="H172" s="177">
        <v>12.5</v>
      </c>
      <c r="I172" s="97">
        <f t="shared" ref="I172:I204" si="3">(1/(100*H172))^0.5</f>
        <v>2.8284271247461901E-2</v>
      </c>
      <c r="M172" s="82"/>
      <c r="N172" s="82"/>
      <c r="P172" s="31"/>
      <c r="Q172" s="31"/>
    </row>
    <row r="173" spans="1:17" s="119" customFormat="1" ht="13" outlineLevel="1" x14ac:dyDescent="0.3">
      <c r="A173" s="31"/>
      <c r="C173" s="24" t="e">
        <f>IF($H103&lt;Noise!E$252,
    IF(Noise!E$252&lt;Noise!$E$253,  Noise!E$252/Noise!$E$253,  1),
    IF($H103&lt;Noise!$E$253,  $H103/Noise!$E$253,  1))</f>
        <v>#VALUE!</v>
      </c>
      <c r="D173" s="24" t="e">
        <f>IF($H103&lt;Noise!F$252,
    IF(Noise!F$252&lt;Noise!$E$253,  Noise!F$252/Noise!$E$253,  1),
    IF($H103&lt;Noise!$E$253,  $H103/Noise!$E$253,  1))</f>
        <v>#VALUE!</v>
      </c>
      <c r="E173" s="24" t="e">
        <f>IF($H103&lt;Noise!G$252,
    IF(Noise!G$252&lt;Noise!$E$253,  Noise!G$252/Noise!$E$253,  1),
    IF($H103&lt;Noise!$E$253,  $H103/Noise!$E$253,  1))</f>
        <v>#VALUE!</v>
      </c>
      <c r="F173" s="24" t="e">
        <f>IF($H103&lt;Noise!H$252,
    IF(Noise!H$252&lt;Noise!$E$253,  Noise!H$252/Noise!$E$253,  1),
    IF($H103&lt;Noise!$E$253,  $H103/Noise!$E$253,  1))</f>
        <v>#VALUE!</v>
      </c>
      <c r="G173" s="24" t="e">
        <f>IF($H103&lt;Noise!I$252,
    IF(Noise!I$252&lt;Noise!$E$253,  Noise!I$252/Noise!$E$253,  1),
    IF($H103&lt;Noise!$E$253,  $H103/Noise!$E$253,  1))</f>
        <v>#VALUE!</v>
      </c>
      <c r="H173" s="177">
        <v>16</v>
      </c>
      <c r="I173" s="97">
        <f t="shared" si="3"/>
        <v>2.5000000000000001E-2</v>
      </c>
      <c r="M173" s="82"/>
      <c r="N173" s="82"/>
      <c r="P173" s="31"/>
      <c r="Q173" s="31"/>
    </row>
    <row r="174" spans="1:17" s="119" customFormat="1" ht="13" outlineLevel="1" x14ac:dyDescent="0.3">
      <c r="C174" s="24" t="e">
        <f>IF($H104&lt;Noise!E$252,
    IF(Noise!E$252&lt;Noise!$E$253,  Noise!E$252/Noise!$E$253,  1),
    IF($H104&lt;Noise!$E$253,  $H104/Noise!$E$253,  1))</f>
        <v>#VALUE!</v>
      </c>
      <c r="D174" s="24" t="e">
        <f>IF($H104&lt;Noise!F$252,
    IF(Noise!F$252&lt;Noise!$E$253,  Noise!F$252/Noise!$E$253,  1),
    IF($H104&lt;Noise!$E$253,  $H104/Noise!$E$253,  1))</f>
        <v>#VALUE!</v>
      </c>
      <c r="E174" s="24" t="e">
        <f>IF($H104&lt;Noise!G$252,
    IF(Noise!G$252&lt;Noise!$E$253,  Noise!G$252/Noise!$E$253,  1),
    IF($H104&lt;Noise!$E$253,  $H104/Noise!$E$253,  1))</f>
        <v>#VALUE!</v>
      </c>
      <c r="F174" s="24" t="e">
        <f>IF($H104&lt;Noise!H$252,
    IF(Noise!H$252&lt;Noise!$E$253,  Noise!H$252/Noise!$E$253,  1),
    IF($H104&lt;Noise!$E$253,  $H104/Noise!$E$253,  1))</f>
        <v>#VALUE!</v>
      </c>
      <c r="G174" s="24" t="e">
        <f>IF($H104&lt;Noise!I$252,
    IF(Noise!I$252&lt;Noise!$E$253,  Noise!I$252/Noise!$E$253,  1),
    IF($H104&lt;Noise!$E$253,  $H104/Noise!$E$253,  1))</f>
        <v>#VALUE!</v>
      </c>
      <c r="H174" s="177">
        <v>20</v>
      </c>
      <c r="I174" s="97">
        <f t="shared" si="3"/>
        <v>2.2360679774997897E-2</v>
      </c>
      <c r="M174" s="82"/>
      <c r="N174" s="82"/>
      <c r="P174" s="31"/>
      <c r="Q174" s="31"/>
    </row>
    <row r="175" spans="1:17" s="119" customFormat="1" ht="13" outlineLevel="1" x14ac:dyDescent="0.3">
      <c r="C175" s="24" t="e">
        <f>IF($H105&lt;Noise!E$252,
    IF(Noise!E$252&lt;Noise!$E$253,  Noise!E$252/Noise!$E$253,  1),
    IF($H105&lt;Noise!$E$253,  $H105/Noise!$E$253,  1))</f>
        <v>#VALUE!</v>
      </c>
      <c r="D175" s="24" t="e">
        <f>IF($H105&lt;Noise!F$252,
    IF(Noise!F$252&lt;Noise!$E$253,  Noise!F$252/Noise!$E$253,  1),
    IF($H105&lt;Noise!$E$253,  $H105/Noise!$E$253,  1))</f>
        <v>#VALUE!</v>
      </c>
      <c r="E175" s="24" t="e">
        <f>IF($H105&lt;Noise!G$252,
    IF(Noise!G$252&lt;Noise!$E$253,  Noise!G$252/Noise!$E$253,  1),
    IF($H105&lt;Noise!$E$253,  $H105/Noise!$E$253,  1))</f>
        <v>#VALUE!</v>
      </c>
      <c r="F175" s="24" t="e">
        <f>IF($H105&lt;Noise!H$252,
    IF(Noise!H$252&lt;Noise!$E$253,  Noise!H$252/Noise!$E$253,  1),
    IF($H105&lt;Noise!$E$253,  $H105/Noise!$E$253,  1))</f>
        <v>#VALUE!</v>
      </c>
      <c r="G175" s="24" t="e">
        <f>IF($H105&lt;Noise!I$252,
    IF(Noise!I$252&lt;Noise!$E$253,  Noise!I$252/Noise!$E$253,  1),
    IF($H105&lt;Noise!$E$253,  $H105/Noise!$E$253,  1))</f>
        <v>#VALUE!</v>
      </c>
      <c r="H175" s="177">
        <v>25</v>
      </c>
      <c r="I175" s="97">
        <f t="shared" si="3"/>
        <v>0.02</v>
      </c>
      <c r="M175" s="82"/>
      <c r="N175" s="82"/>
      <c r="P175" s="31"/>
      <c r="Q175" s="31"/>
    </row>
    <row r="176" spans="1:17" s="119" customFormat="1" ht="13" outlineLevel="1" x14ac:dyDescent="0.3">
      <c r="C176" s="24" t="e">
        <f>IF($H106&lt;Noise!E$252,
    IF(Noise!E$252&lt;Noise!$E$253,  Noise!E$252/Noise!$E$253,  1),
    IF($H106&lt;Noise!$E$253,  $H106/Noise!$E$253,  1))</f>
        <v>#VALUE!</v>
      </c>
      <c r="D176" s="24" t="e">
        <f>IF($H106&lt;Noise!F$252,
    IF(Noise!F$252&lt;Noise!$E$253,  Noise!F$252/Noise!$E$253,  1),
    IF($H106&lt;Noise!$E$253,  $H106/Noise!$E$253,  1))</f>
        <v>#VALUE!</v>
      </c>
      <c r="E176" s="24" t="e">
        <f>IF($H106&lt;Noise!G$252,
    IF(Noise!G$252&lt;Noise!$E$253,  Noise!G$252/Noise!$E$253,  1),
    IF($H106&lt;Noise!$E$253,  $H106/Noise!$E$253,  1))</f>
        <v>#VALUE!</v>
      </c>
      <c r="F176" s="24" t="e">
        <f>IF($H106&lt;Noise!H$252,
    IF(Noise!H$252&lt;Noise!$E$253,  Noise!H$252/Noise!$E$253,  1),
    IF($H106&lt;Noise!$E$253,  $H106/Noise!$E$253,  1))</f>
        <v>#VALUE!</v>
      </c>
      <c r="G176" s="24" t="e">
        <f>IF($H106&lt;Noise!I$252,
    IF(Noise!I$252&lt;Noise!$E$253,  Noise!I$252/Noise!$E$253,  1),
    IF($H106&lt;Noise!$E$253,  $H106/Noise!$E$253,  1))</f>
        <v>#VALUE!</v>
      </c>
      <c r="H176" s="177">
        <v>31.5</v>
      </c>
      <c r="I176" s="97">
        <f t="shared" si="3"/>
        <v>1.7817416127494958E-2</v>
      </c>
      <c r="M176" s="82"/>
      <c r="N176" s="82"/>
      <c r="P176" s="31"/>
      <c r="Q176" s="31"/>
    </row>
    <row r="177" spans="3:17" s="119" customFormat="1" ht="13" outlineLevel="1" x14ac:dyDescent="0.3">
      <c r="C177" s="24" t="e">
        <f>IF($H107&lt;Noise!E$252,
    IF(Noise!E$252&lt;Noise!$E$253,  Noise!E$252/Noise!$E$253,  1),
    IF($H107&lt;Noise!$E$253,  $H107/Noise!$E$253,  1))</f>
        <v>#VALUE!</v>
      </c>
      <c r="D177" s="24" t="e">
        <f>IF($H107&lt;Noise!F$252,
    IF(Noise!F$252&lt;Noise!$E$253,  Noise!F$252/Noise!$E$253,  1),
    IF($H107&lt;Noise!$E$253,  $H107/Noise!$E$253,  1))</f>
        <v>#VALUE!</v>
      </c>
      <c r="E177" s="24" t="e">
        <f>IF($H107&lt;Noise!G$252,
    IF(Noise!G$252&lt;Noise!$E$253,  Noise!G$252/Noise!$E$253,  1),
    IF($H107&lt;Noise!$E$253,  $H107/Noise!$E$253,  1))</f>
        <v>#VALUE!</v>
      </c>
      <c r="F177" s="24" t="e">
        <f>IF($H107&lt;Noise!H$252,
    IF(Noise!H$252&lt;Noise!$E$253,  Noise!H$252/Noise!$E$253,  1),
    IF($H107&lt;Noise!$E$253,  $H107/Noise!$E$253,  1))</f>
        <v>#VALUE!</v>
      </c>
      <c r="G177" s="24" t="e">
        <f>IF($H107&lt;Noise!I$252,
    IF(Noise!I$252&lt;Noise!$E$253,  Noise!I$252/Noise!$E$253,  1),
    IF($H107&lt;Noise!$E$253,  $H107/Noise!$E$253,  1))</f>
        <v>#VALUE!</v>
      </c>
      <c r="H177" s="177">
        <v>40</v>
      </c>
      <c r="I177" s="97">
        <f t="shared" si="3"/>
        <v>1.5811388300841896E-2</v>
      </c>
      <c r="M177" s="82"/>
      <c r="N177" s="82"/>
      <c r="P177" s="31"/>
      <c r="Q177" s="31"/>
    </row>
    <row r="178" spans="3:17" s="119" customFormat="1" ht="13" outlineLevel="1" x14ac:dyDescent="0.3">
      <c r="C178" s="24" t="e">
        <f>IF($H108&lt;Noise!E$252,
    IF(Noise!E$252&lt;Noise!$E$253,  Noise!E$252/Noise!$E$253,  1),
    IF($H108&lt;Noise!$E$253,  $H108/Noise!$E$253,  1))</f>
        <v>#VALUE!</v>
      </c>
      <c r="D178" s="24" t="e">
        <f>IF($H108&lt;Noise!F$252,
    IF(Noise!F$252&lt;Noise!$E$253,  Noise!F$252/Noise!$E$253,  1),
    IF($H108&lt;Noise!$E$253,  $H108/Noise!$E$253,  1))</f>
        <v>#VALUE!</v>
      </c>
      <c r="E178" s="24" t="e">
        <f>IF($H108&lt;Noise!G$252,
    IF(Noise!G$252&lt;Noise!$E$253,  Noise!G$252/Noise!$E$253,  1),
    IF($H108&lt;Noise!$E$253,  $H108/Noise!$E$253,  1))</f>
        <v>#VALUE!</v>
      </c>
      <c r="F178" s="24" t="e">
        <f>IF($H108&lt;Noise!H$252,
    IF(Noise!H$252&lt;Noise!$E$253,  Noise!H$252/Noise!$E$253,  1),
    IF($H108&lt;Noise!$E$253,  $H108/Noise!$E$253,  1))</f>
        <v>#VALUE!</v>
      </c>
      <c r="G178" s="24" t="e">
        <f>IF($H108&lt;Noise!I$252,
    IF(Noise!I$252&lt;Noise!$E$253,  Noise!I$252/Noise!$E$253,  1),
    IF($H108&lt;Noise!$E$253,  $H108/Noise!$E$253,  1))</f>
        <v>#VALUE!</v>
      </c>
      <c r="H178" s="177">
        <v>50</v>
      </c>
      <c r="I178" s="97">
        <f t="shared" si="3"/>
        <v>1.4142135623730951E-2</v>
      </c>
      <c r="M178" s="82"/>
      <c r="N178" s="82"/>
      <c r="P178" s="31"/>
      <c r="Q178" s="31"/>
    </row>
    <row r="179" spans="3:17" s="119" customFormat="1" ht="13" outlineLevel="1" x14ac:dyDescent="0.3">
      <c r="C179" s="24" t="e">
        <f>IF($H109&lt;Noise!E$252,
    IF(Noise!E$252&lt;Noise!$E$253,  Noise!E$252/Noise!$E$253,  1),
    IF($H109&lt;Noise!$E$253,  $H109/Noise!$E$253,  1))</f>
        <v>#VALUE!</v>
      </c>
      <c r="D179" s="24" t="e">
        <f>IF($H109&lt;Noise!F$252,
    IF(Noise!F$252&lt;Noise!$E$253,  Noise!F$252/Noise!$E$253,  1),
    IF($H109&lt;Noise!$E$253,  $H109/Noise!$E$253,  1))</f>
        <v>#VALUE!</v>
      </c>
      <c r="E179" s="24" t="e">
        <f>IF($H109&lt;Noise!G$252,
    IF(Noise!G$252&lt;Noise!$E$253,  Noise!G$252/Noise!$E$253,  1),
    IF($H109&lt;Noise!$E$253,  $H109/Noise!$E$253,  1))</f>
        <v>#VALUE!</v>
      </c>
      <c r="F179" s="24" t="e">
        <f>IF($H109&lt;Noise!H$252,
    IF(Noise!H$252&lt;Noise!$E$253,  Noise!H$252/Noise!$E$253,  1),
    IF($H109&lt;Noise!$E$253,  $H109/Noise!$E$253,  1))</f>
        <v>#VALUE!</v>
      </c>
      <c r="G179" s="24" t="e">
        <f>IF($H109&lt;Noise!I$252,
    IF(Noise!I$252&lt;Noise!$E$253,  Noise!I$252/Noise!$E$253,  1),
    IF($H109&lt;Noise!$E$253,  $H109/Noise!$E$253,  1))</f>
        <v>#VALUE!</v>
      </c>
      <c r="H179" s="177">
        <v>63</v>
      </c>
      <c r="I179" s="97">
        <f t="shared" si="3"/>
        <v>1.259881576697424E-2</v>
      </c>
      <c r="M179" s="82"/>
      <c r="N179" s="82"/>
      <c r="P179" s="31"/>
      <c r="Q179" s="31"/>
    </row>
    <row r="180" spans="3:17" s="119" customFormat="1" ht="13" outlineLevel="1" x14ac:dyDescent="0.3">
      <c r="C180" s="24" t="e">
        <f>IF($H110&lt;Noise!E$252,
    IF(Noise!E$252&lt;Noise!$E$253,  Noise!E$252/Noise!$E$253,  1),
    IF($H110&lt;Noise!$E$253,  $H110/Noise!$E$253,  1))</f>
        <v>#VALUE!</v>
      </c>
      <c r="D180" s="24" t="e">
        <f>IF($H110&lt;Noise!F$252,
    IF(Noise!F$252&lt;Noise!$E$253,  Noise!F$252/Noise!$E$253,  1),
    IF($H110&lt;Noise!$E$253,  $H110/Noise!$E$253,  1))</f>
        <v>#VALUE!</v>
      </c>
      <c r="E180" s="24" t="e">
        <f>IF($H110&lt;Noise!G$252,
    IF(Noise!G$252&lt;Noise!$E$253,  Noise!G$252/Noise!$E$253,  1),
    IF($H110&lt;Noise!$E$253,  $H110/Noise!$E$253,  1))</f>
        <v>#VALUE!</v>
      </c>
      <c r="F180" s="24" t="e">
        <f>IF($H110&lt;Noise!H$252,
    IF(Noise!H$252&lt;Noise!$E$253,  Noise!H$252/Noise!$E$253,  1),
    IF($H110&lt;Noise!$E$253,  $H110/Noise!$E$253,  1))</f>
        <v>#VALUE!</v>
      </c>
      <c r="G180" s="24" t="e">
        <f>IF($H110&lt;Noise!I$252,
    IF(Noise!I$252&lt;Noise!$E$253,  Noise!I$252/Noise!$E$253,  1),
    IF($H110&lt;Noise!$E$253,  $H110/Noise!$E$253,  1))</f>
        <v>#VALUE!</v>
      </c>
      <c r="H180" s="177">
        <v>80</v>
      </c>
      <c r="I180" s="97">
        <f t="shared" si="3"/>
        <v>1.1180339887498949E-2</v>
      </c>
      <c r="M180" s="82"/>
      <c r="N180" s="82"/>
      <c r="P180" s="31"/>
      <c r="Q180" s="31"/>
    </row>
    <row r="181" spans="3:17" s="119" customFormat="1" ht="13" outlineLevel="1" x14ac:dyDescent="0.3">
      <c r="C181" s="24" t="e">
        <f>IF($H111&lt;Noise!E$252,
    IF(Noise!E$252&lt;Noise!$E$253,  Noise!E$252/Noise!$E$253,  1),
    IF($H111&lt;Noise!$E$253,  $H111/Noise!$E$253,  1))</f>
        <v>#VALUE!</v>
      </c>
      <c r="D181" s="24" t="e">
        <f>IF($H111&lt;Noise!F$252,
    IF(Noise!F$252&lt;Noise!$E$253,  Noise!F$252/Noise!$E$253,  1),
    IF($H111&lt;Noise!$E$253,  $H111/Noise!$E$253,  1))</f>
        <v>#VALUE!</v>
      </c>
      <c r="E181" s="24" t="e">
        <f>IF($H111&lt;Noise!G$252,
    IF(Noise!G$252&lt;Noise!$E$253,  Noise!G$252/Noise!$E$253,  1),
    IF($H111&lt;Noise!$E$253,  $H111/Noise!$E$253,  1))</f>
        <v>#VALUE!</v>
      </c>
      <c r="F181" s="24" t="e">
        <f>IF($H111&lt;Noise!H$252,
    IF(Noise!H$252&lt;Noise!$E$253,  Noise!H$252/Noise!$E$253,  1),
    IF($H111&lt;Noise!$E$253,  $H111/Noise!$E$253,  1))</f>
        <v>#VALUE!</v>
      </c>
      <c r="G181" s="24" t="e">
        <f>IF($H111&lt;Noise!I$252,
    IF(Noise!I$252&lt;Noise!$E$253,  Noise!I$252/Noise!$E$253,  1),
    IF($H111&lt;Noise!$E$253,  $H111/Noise!$E$253,  1))</f>
        <v>#VALUE!</v>
      </c>
      <c r="H181" s="177">
        <v>100</v>
      </c>
      <c r="I181" s="97">
        <f t="shared" si="3"/>
        <v>0.01</v>
      </c>
      <c r="M181" s="82"/>
      <c r="N181" s="82"/>
      <c r="P181" s="31"/>
      <c r="Q181" s="31"/>
    </row>
    <row r="182" spans="3:17" s="119" customFormat="1" ht="13" outlineLevel="1" x14ac:dyDescent="0.3">
      <c r="C182" s="24" t="e">
        <f>IF($H112&lt;Noise!E$252,
    IF(Noise!E$252&lt;Noise!$E$253,  Noise!E$252/Noise!$E$253,  1),
    IF($H112&lt;Noise!$E$253,  $H112/Noise!$E$253,  1))</f>
        <v>#VALUE!</v>
      </c>
      <c r="D182" s="24" t="e">
        <f>IF($H112&lt;Noise!F$252,
    IF(Noise!F$252&lt;Noise!$E$253,  Noise!F$252/Noise!$E$253,  1),
    IF($H112&lt;Noise!$E$253,  $H112/Noise!$E$253,  1))</f>
        <v>#VALUE!</v>
      </c>
      <c r="E182" s="24" t="e">
        <f>IF($H112&lt;Noise!G$252,
    IF(Noise!G$252&lt;Noise!$E$253,  Noise!G$252/Noise!$E$253,  1),
    IF($H112&lt;Noise!$E$253,  $H112/Noise!$E$253,  1))</f>
        <v>#VALUE!</v>
      </c>
      <c r="F182" s="24" t="e">
        <f>IF($H112&lt;Noise!H$252,
    IF(Noise!H$252&lt;Noise!$E$253,  Noise!H$252/Noise!$E$253,  1),
    IF($H112&lt;Noise!$E$253,  $H112/Noise!$E$253,  1))</f>
        <v>#VALUE!</v>
      </c>
      <c r="G182" s="24" t="e">
        <f>IF($H112&lt;Noise!I$252,
    IF(Noise!I$252&lt;Noise!$E$253,  Noise!I$252/Noise!$E$253,  1),
    IF($H112&lt;Noise!$E$253,  $H112/Noise!$E$253,  1))</f>
        <v>#VALUE!</v>
      </c>
      <c r="H182" s="177">
        <v>125</v>
      </c>
      <c r="I182" s="97">
        <f t="shared" si="3"/>
        <v>8.9442719099991595E-3</v>
      </c>
      <c r="M182" s="82"/>
      <c r="N182" s="82"/>
      <c r="P182" s="31"/>
      <c r="Q182" s="31"/>
    </row>
    <row r="183" spans="3:17" s="119" customFormat="1" ht="13" outlineLevel="1" x14ac:dyDescent="0.3">
      <c r="C183" s="24" t="e">
        <f>IF($H113&lt;Noise!E$252,
    IF(Noise!E$252&lt;Noise!$E$253,  Noise!E$252/Noise!$E$253,  1),
    IF($H113&lt;Noise!$E$253,  $H113/Noise!$E$253,  1))</f>
        <v>#VALUE!</v>
      </c>
      <c r="D183" s="24" t="e">
        <f>IF($H113&lt;Noise!F$252,
    IF(Noise!F$252&lt;Noise!$E$253,  Noise!F$252/Noise!$E$253,  1),
    IF($H113&lt;Noise!$E$253,  $H113/Noise!$E$253,  1))</f>
        <v>#VALUE!</v>
      </c>
      <c r="E183" s="24" t="e">
        <f>IF($H113&lt;Noise!G$252,
    IF(Noise!G$252&lt;Noise!$E$253,  Noise!G$252/Noise!$E$253,  1),
    IF($H113&lt;Noise!$E$253,  $H113/Noise!$E$253,  1))</f>
        <v>#VALUE!</v>
      </c>
      <c r="F183" s="24" t="e">
        <f>IF($H113&lt;Noise!H$252,
    IF(Noise!H$252&lt;Noise!$E$253,  Noise!H$252/Noise!$E$253,  1),
    IF($H113&lt;Noise!$E$253,  $H113/Noise!$E$253,  1))</f>
        <v>#VALUE!</v>
      </c>
      <c r="G183" s="24" t="e">
        <f>IF($H113&lt;Noise!I$252,
    IF(Noise!I$252&lt;Noise!$E$253,  Noise!I$252/Noise!$E$253,  1),
    IF($H113&lt;Noise!$E$253,  $H113/Noise!$E$253,  1))</f>
        <v>#VALUE!</v>
      </c>
      <c r="H183" s="177">
        <v>160</v>
      </c>
      <c r="I183" s="97">
        <f t="shared" si="3"/>
        <v>7.9056941504209478E-3</v>
      </c>
      <c r="M183" s="82"/>
      <c r="N183" s="82"/>
      <c r="P183" s="31"/>
      <c r="Q183" s="31"/>
    </row>
    <row r="184" spans="3:17" s="119" customFormat="1" ht="13" outlineLevel="1" x14ac:dyDescent="0.3">
      <c r="C184" s="24" t="e">
        <f>IF($H114&lt;Noise!E$252,
    IF(Noise!E$252&lt;Noise!$E$253,  Noise!E$252/Noise!$E$253,  1),
    IF($H114&lt;Noise!$E$253,  $H114/Noise!$E$253,  1))</f>
        <v>#VALUE!</v>
      </c>
      <c r="D184" s="24" t="e">
        <f>IF($H114&lt;Noise!F$252,
    IF(Noise!F$252&lt;Noise!$E$253,  Noise!F$252/Noise!$E$253,  1),
    IF($H114&lt;Noise!$E$253,  $H114/Noise!$E$253,  1))</f>
        <v>#VALUE!</v>
      </c>
      <c r="E184" s="24" t="e">
        <f>IF($H114&lt;Noise!G$252,
    IF(Noise!G$252&lt;Noise!$E$253,  Noise!G$252/Noise!$E$253,  1),
    IF($H114&lt;Noise!$E$253,  $H114/Noise!$E$253,  1))</f>
        <v>#VALUE!</v>
      </c>
      <c r="F184" s="24" t="e">
        <f>IF($H114&lt;Noise!H$252,
    IF(Noise!H$252&lt;Noise!$E$253,  Noise!H$252/Noise!$E$253,  1),
    IF($H114&lt;Noise!$E$253,  $H114/Noise!$E$253,  1))</f>
        <v>#VALUE!</v>
      </c>
      <c r="G184" s="24" t="e">
        <f>IF($H114&lt;Noise!I$252,
    IF(Noise!I$252&lt;Noise!$E$253,  Noise!I$252/Noise!$E$253,  1),
    IF($H114&lt;Noise!$E$253,  $H114/Noise!$E$253,  1))</f>
        <v>#VALUE!</v>
      </c>
      <c r="H184" s="177">
        <v>200</v>
      </c>
      <c r="I184" s="97">
        <f t="shared" si="3"/>
        <v>7.0710678118654753E-3</v>
      </c>
      <c r="M184" s="82"/>
      <c r="N184" s="82"/>
      <c r="P184" s="31"/>
      <c r="Q184" s="31"/>
    </row>
    <row r="185" spans="3:17" s="119" customFormat="1" ht="13" outlineLevel="1" x14ac:dyDescent="0.3">
      <c r="C185" s="24" t="e">
        <f>IF($H115&lt;Noise!E$252,
    IF(Noise!E$252&lt;Noise!$E$253,  Noise!E$252/Noise!$E$253,  1),
    IF($H115&lt;Noise!$E$253,  $H115/Noise!$E$253,  1))</f>
        <v>#VALUE!</v>
      </c>
      <c r="D185" s="24" t="e">
        <f>IF($H115&lt;Noise!F$252,
    IF(Noise!F$252&lt;Noise!$E$253,  Noise!F$252/Noise!$E$253,  1),
    IF($H115&lt;Noise!$E$253,  $H115/Noise!$E$253,  1))</f>
        <v>#VALUE!</v>
      </c>
      <c r="E185" s="24" t="e">
        <f>IF($H115&lt;Noise!G$252,
    IF(Noise!G$252&lt;Noise!$E$253,  Noise!G$252/Noise!$E$253,  1),
    IF($H115&lt;Noise!$E$253,  $H115/Noise!$E$253,  1))</f>
        <v>#VALUE!</v>
      </c>
      <c r="F185" s="24" t="e">
        <f>IF($H115&lt;Noise!H$252,
    IF(Noise!H$252&lt;Noise!$E$253,  Noise!H$252/Noise!$E$253,  1),
    IF($H115&lt;Noise!$E$253,  $H115/Noise!$E$253,  1))</f>
        <v>#VALUE!</v>
      </c>
      <c r="G185" s="24" t="e">
        <f>IF($H115&lt;Noise!I$252,
    IF(Noise!I$252&lt;Noise!$E$253,  Noise!I$252/Noise!$E$253,  1),
    IF($H115&lt;Noise!$E$253,  $H115/Noise!$E$253,  1))</f>
        <v>#VALUE!</v>
      </c>
      <c r="H185" s="177">
        <v>250</v>
      </c>
      <c r="I185" s="97">
        <f t="shared" si="3"/>
        <v>6.3245553203367588E-3</v>
      </c>
      <c r="M185" s="82"/>
      <c r="N185" s="82"/>
      <c r="P185" s="31"/>
      <c r="Q185" s="31"/>
    </row>
    <row r="186" spans="3:17" s="119" customFormat="1" ht="13" outlineLevel="1" x14ac:dyDescent="0.3">
      <c r="C186" s="24" t="e">
        <f>IF($H116&lt;Noise!E$252,
    IF(Noise!E$252&lt;Noise!$E$253,  Noise!E$252/Noise!$E$253,  1),
    IF($H116&lt;Noise!$E$253,  $H116/Noise!$E$253,  1))</f>
        <v>#VALUE!</v>
      </c>
      <c r="D186" s="24" t="e">
        <f>IF($H116&lt;Noise!F$252,
    IF(Noise!F$252&lt;Noise!$E$253,  Noise!F$252/Noise!$E$253,  1),
    IF($H116&lt;Noise!$E$253,  $H116/Noise!$E$253,  1))</f>
        <v>#VALUE!</v>
      </c>
      <c r="E186" s="24" t="e">
        <f>IF($H116&lt;Noise!G$252,
    IF(Noise!G$252&lt;Noise!$E$253,  Noise!G$252/Noise!$E$253,  1),
    IF($H116&lt;Noise!$E$253,  $H116/Noise!$E$253,  1))</f>
        <v>#VALUE!</v>
      </c>
      <c r="F186" s="24" t="e">
        <f>IF($H116&lt;Noise!H$252,
    IF(Noise!H$252&lt;Noise!$E$253,  Noise!H$252/Noise!$E$253,  1),
    IF($H116&lt;Noise!$E$253,  $H116/Noise!$E$253,  1))</f>
        <v>#VALUE!</v>
      </c>
      <c r="G186" s="24" t="e">
        <f>IF($H116&lt;Noise!I$252,
    IF(Noise!I$252&lt;Noise!$E$253,  Noise!I$252/Noise!$E$253,  1),
    IF($H116&lt;Noise!$E$253,  $H116/Noise!$E$253,  1))</f>
        <v>#VALUE!</v>
      </c>
      <c r="H186" s="177">
        <v>315</v>
      </c>
      <c r="I186" s="97">
        <f t="shared" si="3"/>
        <v>5.6343616981901108E-3</v>
      </c>
      <c r="M186" s="82"/>
      <c r="N186" s="82"/>
      <c r="P186" s="31"/>
      <c r="Q186" s="31"/>
    </row>
    <row r="187" spans="3:17" s="119" customFormat="1" ht="13" outlineLevel="1" x14ac:dyDescent="0.3">
      <c r="C187" s="24" t="e">
        <f>IF($H117&lt;Noise!E$252,
    IF(Noise!E$252&lt;Noise!$E$253,  Noise!E$252/Noise!$E$253,  1),
    IF($H117&lt;Noise!$E$253,  $H117/Noise!$E$253,  1))</f>
        <v>#VALUE!</v>
      </c>
      <c r="D187" s="24" t="e">
        <f>IF($H117&lt;Noise!F$252,
    IF(Noise!F$252&lt;Noise!$E$253,  Noise!F$252/Noise!$E$253,  1),
    IF($H117&lt;Noise!$E$253,  $H117/Noise!$E$253,  1))</f>
        <v>#VALUE!</v>
      </c>
      <c r="E187" s="24" t="e">
        <f>IF($H117&lt;Noise!G$252,
    IF(Noise!G$252&lt;Noise!$E$253,  Noise!G$252/Noise!$E$253,  1),
    IF($H117&lt;Noise!$E$253,  $H117/Noise!$E$253,  1))</f>
        <v>#VALUE!</v>
      </c>
      <c r="F187" s="24" t="e">
        <f>IF($H117&lt;Noise!H$252,
    IF(Noise!H$252&lt;Noise!$E$253,  Noise!H$252/Noise!$E$253,  1),
    IF($H117&lt;Noise!$E$253,  $H117/Noise!$E$253,  1))</f>
        <v>#VALUE!</v>
      </c>
      <c r="G187" s="24" t="e">
        <f>IF($H117&lt;Noise!I$252,
    IF(Noise!I$252&lt;Noise!$E$253,  Noise!I$252/Noise!$E$253,  1),
    IF($H117&lt;Noise!$E$253,  $H117/Noise!$E$253,  1))</f>
        <v>#VALUE!</v>
      </c>
      <c r="H187" s="177">
        <v>400</v>
      </c>
      <c r="I187" s="97">
        <f t="shared" si="3"/>
        <v>5.0000000000000001E-3</v>
      </c>
      <c r="M187" s="82"/>
      <c r="N187" s="82"/>
      <c r="P187" s="31"/>
      <c r="Q187" s="31"/>
    </row>
    <row r="188" spans="3:17" s="119" customFormat="1" ht="13" outlineLevel="1" x14ac:dyDescent="0.3">
      <c r="C188" s="24" t="e">
        <f>IF($H118&lt;Noise!E$252,
    IF(Noise!E$252&lt;Noise!$E$253,  Noise!E$252/Noise!$E$253,  1),
    IF($H118&lt;Noise!$E$253,  $H118/Noise!$E$253,  1))</f>
        <v>#VALUE!</v>
      </c>
      <c r="D188" s="24" t="e">
        <f>IF($H118&lt;Noise!F$252,
    IF(Noise!F$252&lt;Noise!$E$253,  Noise!F$252/Noise!$E$253,  1),
    IF($H118&lt;Noise!$E$253,  $H118/Noise!$E$253,  1))</f>
        <v>#VALUE!</v>
      </c>
      <c r="E188" s="24" t="e">
        <f>IF($H118&lt;Noise!G$252,
    IF(Noise!G$252&lt;Noise!$E$253,  Noise!G$252/Noise!$E$253,  1),
    IF($H118&lt;Noise!$E$253,  $H118/Noise!$E$253,  1))</f>
        <v>#VALUE!</v>
      </c>
      <c r="F188" s="24" t="e">
        <f>IF($H118&lt;Noise!H$252,
    IF(Noise!H$252&lt;Noise!$E$253,  Noise!H$252/Noise!$E$253,  1),
    IF($H118&lt;Noise!$E$253,  $H118/Noise!$E$253,  1))</f>
        <v>#VALUE!</v>
      </c>
      <c r="G188" s="24" t="e">
        <f>IF($H118&lt;Noise!I$252,
    IF(Noise!I$252&lt;Noise!$E$253,  Noise!I$252/Noise!$E$253,  1),
    IF($H118&lt;Noise!$E$253,  $H118/Noise!$E$253,  1))</f>
        <v>#VALUE!</v>
      </c>
      <c r="H188" s="177">
        <v>500</v>
      </c>
      <c r="I188" s="97">
        <f t="shared" si="3"/>
        <v>4.4721359549995798E-3</v>
      </c>
      <c r="M188" s="82"/>
      <c r="N188" s="82"/>
      <c r="P188" s="31"/>
      <c r="Q188" s="31"/>
    </row>
    <row r="189" spans="3:17" s="119" customFormat="1" ht="13" outlineLevel="1" x14ac:dyDescent="0.3">
      <c r="C189" s="24" t="e">
        <f>IF($H119&lt;Noise!E$252,
    IF(Noise!E$252&lt;Noise!$E$253,  Noise!E$252/Noise!$E$253,  1),
    IF($H119&lt;Noise!$E$253,  $H119/Noise!$E$253,  1))</f>
        <v>#VALUE!</v>
      </c>
      <c r="D189" s="24" t="e">
        <f>IF($H119&lt;Noise!F$252,
    IF(Noise!F$252&lt;Noise!$E$253,  Noise!F$252/Noise!$E$253,  1),
    IF($H119&lt;Noise!$E$253,  $H119/Noise!$E$253,  1))</f>
        <v>#VALUE!</v>
      </c>
      <c r="E189" s="24" t="e">
        <f>IF($H119&lt;Noise!G$252,
    IF(Noise!G$252&lt;Noise!$E$253,  Noise!G$252/Noise!$E$253,  1),
    IF($H119&lt;Noise!$E$253,  $H119/Noise!$E$253,  1))</f>
        <v>#VALUE!</v>
      </c>
      <c r="F189" s="24" t="e">
        <f>IF($H119&lt;Noise!H$252,
    IF(Noise!H$252&lt;Noise!$E$253,  Noise!H$252/Noise!$E$253,  1),
    IF($H119&lt;Noise!$E$253,  $H119/Noise!$E$253,  1))</f>
        <v>#VALUE!</v>
      </c>
      <c r="G189" s="24" t="e">
        <f>IF($H119&lt;Noise!I$252,
    IF(Noise!I$252&lt;Noise!$E$253,  Noise!I$252/Noise!$E$253,  1),
    IF($H119&lt;Noise!$E$253,  $H119/Noise!$E$253,  1))</f>
        <v>#VALUE!</v>
      </c>
      <c r="H189" s="177">
        <v>630</v>
      </c>
      <c r="I189" s="97">
        <f t="shared" si="3"/>
        <v>3.9840953644479787E-3</v>
      </c>
      <c r="M189" s="82"/>
      <c r="N189" s="82"/>
      <c r="P189" s="31"/>
      <c r="Q189" s="31"/>
    </row>
    <row r="190" spans="3:17" s="119" customFormat="1" ht="13" outlineLevel="1" x14ac:dyDescent="0.3">
      <c r="C190" s="24" t="e">
        <f>IF($H120&lt;Noise!E$252,
    IF(Noise!E$252&lt;Noise!$E$253,  Noise!E$252/Noise!$E$253,  1),
    IF($H120&lt;Noise!$E$253,  $H120/Noise!$E$253,  1))</f>
        <v>#VALUE!</v>
      </c>
      <c r="D190" s="24" t="e">
        <f>IF($H120&lt;Noise!F$252,
    IF(Noise!F$252&lt;Noise!$E$253,  Noise!F$252/Noise!$E$253,  1),
    IF($H120&lt;Noise!$E$253,  $H120/Noise!$E$253,  1))</f>
        <v>#VALUE!</v>
      </c>
      <c r="E190" s="24" t="e">
        <f>IF($H120&lt;Noise!G$252,
    IF(Noise!G$252&lt;Noise!$E$253,  Noise!G$252/Noise!$E$253,  1),
    IF($H120&lt;Noise!$E$253,  $H120/Noise!$E$253,  1))</f>
        <v>#VALUE!</v>
      </c>
      <c r="F190" s="24" t="e">
        <f>IF($H120&lt;Noise!H$252,
    IF(Noise!H$252&lt;Noise!$E$253,  Noise!H$252/Noise!$E$253,  1),
    IF($H120&lt;Noise!$E$253,  $H120/Noise!$E$253,  1))</f>
        <v>#VALUE!</v>
      </c>
      <c r="G190" s="24" t="e">
        <f>IF($H120&lt;Noise!I$252,
    IF(Noise!I$252&lt;Noise!$E$253,  Noise!I$252/Noise!$E$253,  1),
    IF($H120&lt;Noise!$E$253,  $H120/Noise!$E$253,  1))</f>
        <v>#VALUE!</v>
      </c>
      <c r="H190" s="177">
        <v>800</v>
      </c>
      <c r="I190" s="97">
        <f t="shared" si="3"/>
        <v>3.5355339059327377E-3</v>
      </c>
      <c r="M190" s="82"/>
      <c r="N190" s="82"/>
      <c r="P190" s="31"/>
      <c r="Q190" s="31"/>
    </row>
    <row r="191" spans="3:17" s="119" customFormat="1" ht="13" outlineLevel="1" x14ac:dyDescent="0.3">
      <c r="C191" s="24" t="e">
        <f>IF($H121&lt;Noise!E$252,
    IF(Noise!E$252&lt;Noise!$E$253,  Noise!E$252/Noise!$E$253,  1),
    IF($H121&lt;Noise!$E$253,  $H121/Noise!$E$253,  1))</f>
        <v>#VALUE!</v>
      </c>
      <c r="D191" s="24" t="e">
        <f>IF($H121&lt;Noise!F$252,
    IF(Noise!F$252&lt;Noise!$E$253,  Noise!F$252/Noise!$E$253,  1),
    IF($H121&lt;Noise!$E$253,  $H121/Noise!$E$253,  1))</f>
        <v>#VALUE!</v>
      </c>
      <c r="E191" s="24" t="e">
        <f>IF($H121&lt;Noise!G$252,
    IF(Noise!G$252&lt;Noise!$E$253,  Noise!G$252/Noise!$E$253,  1),
    IF($H121&lt;Noise!$E$253,  $H121/Noise!$E$253,  1))</f>
        <v>#VALUE!</v>
      </c>
      <c r="F191" s="24" t="e">
        <f>IF($H121&lt;Noise!H$252,
    IF(Noise!H$252&lt;Noise!$E$253,  Noise!H$252/Noise!$E$253,  1),
    IF($H121&lt;Noise!$E$253,  $H121/Noise!$E$253,  1))</f>
        <v>#VALUE!</v>
      </c>
      <c r="G191" s="24" t="e">
        <f>IF($H121&lt;Noise!I$252,
    IF(Noise!I$252&lt;Noise!$E$253,  Noise!I$252/Noise!$E$253,  1),
    IF($H121&lt;Noise!$E$253,  $H121/Noise!$E$253,  1))</f>
        <v>#VALUE!</v>
      </c>
      <c r="H191" s="177">
        <v>1000</v>
      </c>
      <c r="I191" s="97">
        <f t="shared" si="3"/>
        <v>3.1622776601683794E-3</v>
      </c>
      <c r="M191" s="82"/>
      <c r="N191" s="82"/>
      <c r="P191" s="31"/>
      <c r="Q191" s="31"/>
    </row>
    <row r="192" spans="3:17" s="119" customFormat="1" ht="13" outlineLevel="1" x14ac:dyDescent="0.3">
      <c r="C192" s="24" t="e">
        <f>IF($H122&lt;Noise!E$252,
    IF(Noise!E$252&lt;Noise!$E$253,  Noise!E$252/Noise!$E$253,  1),
    IF($H122&lt;Noise!$E$253,  $H122/Noise!$E$253,  1))</f>
        <v>#VALUE!</v>
      </c>
      <c r="D192" s="24" t="e">
        <f>IF($H122&lt;Noise!F$252,
    IF(Noise!F$252&lt;Noise!$E$253,  Noise!F$252/Noise!$E$253,  1),
    IF($H122&lt;Noise!$E$253,  $H122/Noise!$E$253,  1))</f>
        <v>#VALUE!</v>
      </c>
      <c r="E192" s="24" t="e">
        <f>IF($H122&lt;Noise!G$252,
    IF(Noise!G$252&lt;Noise!$E$253,  Noise!G$252/Noise!$E$253,  1),
    IF($H122&lt;Noise!$E$253,  $H122/Noise!$E$253,  1))</f>
        <v>#VALUE!</v>
      </c>
      <c r="F192" s="24" t="e">
        <f>IF($H122&lt;Noise!H$252,
    IF(Noise!H$252&lt;Noise!$E$253,  Noise!H$252/Noise!$E$253,  1),
    IF($H122&lt;Noise!$E$253,  $H122/Noise!$E$253,  1))</f>
        <v>#VALUE!</v>
      </c>
      <c r="G192" s="24" t="e">
        <f>IF($H122&lt;Noise!I$252,
    IF(Noise!I$252&lt;Noise!$E$253,  Noise!I$252/Noise!$E$253,  1),
    IF($H122&lt;Noise!$E$253,  $H122/Noise!$E$253,  1))</f>
        <v>#VALUE!</v>
      </c>
      <c r="H192" s="177">
        <v>1250</v>
      </c>
      <c r="I192" s="97">
        <f t="shared" si="3"/>
        <v>2.8284271247461901E-3</v>
      </c>
      <c r="M192" s="82"/>
      <c r="N192" s="82"/>
      <c r="P192" s="31"/>
      <c r="Q192" s="31"/>
    </row>
    <row r="193" spans="1:17" s="119" customFormat="1" ht="13" outlineLevel="1" x14ac:dyDescent="0.3">
      <c r="C193" s="24" t="e">
        <f>IF($H123&lt;Noise!E$252,
    IF(Noise!E$252&lt;Noise!$E$253,  Noise!E$252/Noise!$E$253,  1),
    IF($H123&lt;Noise!$E$253,  $H123/Noise!$E$253,  1))</f>
        <v>#VALUE!</v>
      </c>
      <c r="D193" s="24" t="e">
        <f>IF($H123&lt;Noise!F$252,
    IF(Noise!F$252&lt;Noise!$E$253,  Noise!F$252/Noise!$E$253,  1),
    IF($H123&lt;Noise!$E$253,  $H123/Noise!$E$253,  1))</f>
        <v>#VALUE!</v>
      </c>
      <c r="E193" s="24" t="e">
        <f>IF($H123&lt;Noise!G$252,
    IF(Noise!G$252&lt;Noise!$E$253,  Noise!G$252/Noise!$E$253,  1),
    IF($H123&lt;Noise!$E$253,  $H123/Noise!$E$253,  1))</f>
        <v>#VALUE!</v>
      </c>
      <c r="F193" s="24" t="e">
        <f>IF($H123&lt;Noise!H$252,
    IF(Noise!H$252&lt;Noise!$E$253,  Noise!H$252/Noise!$E$253,  1),
    IF($H123&lt;Noise!$E$253,  $H123/Noise!$E$253,  1))</f>
        <v>#VALUE!</v>
      </c>
      <c r="G193" s="24" t="e">
        <f>IF($H123&lt;Noise!I$252,
    IF(Noise!I$252&lt;Noise!$E$253,  Noise!I$252/Noise!$E$253,  1),
    IF($H123&lt;Noise!$E$253,  $H123/Noise!$E$253,  1))</f>
        <v>#VALUE!</v>
      </c>
      <c r="H193" s="177">
        <v>1600</v>
      </c>
      <c r="I193" s="97">
        <f t="shared" si="3"/>
        <v>2.5000000000000001E-3</v>
      </c>
      <c r="M193" s="82"/>
      <c r="N193" s="82"/>
      <c r="P193" s="31"/>
      <c r="Q193" s="31"/>
    </row>
    <row r="194" spans="1:17" s="119" customFormat="1" ht="13" outlineLevel="1" x14ac:dyDescent="0.3">
      <c r="C194" s="24" t="e">
        <f>IF($H124&lt;Noise!E$252,
    IF(Noise!E$252&lt;Noise!$E$253,  Noise!E$252/Noise!$E$253,  1),
    IF($H124&lt;Noise!$E$253,  $H124/Noise!$E$253,  1))</f>
        <v>#VALUE!</v>
      </c>
      <c r="D194" s="24" t="e">
        <f>IF($H124&lt;Noise!F$252,
    IF(Noise!F$252&lt;Noise!$E$253,  Noise!F$252/Noise!$E$253,  1),
    IF($H124&lt;Noise!$E$253,  $H124/Noise!$E$253,  1))</f>
        <v>#VALUE!</v>
      </c>
      <c r="E194" s="24" t="e">
        <f>IF($H124&lt;Noise!G$252,
    IF(Noise!G$252&lt;Noise!$E$253,  Noise!G$252/Noise!$E$253,  1),
    IF($H124&lt;Noise!$E$253,  $H124/Noise!$E$253,  1))</f>
        <v>#VALUE!</v>
      </c>
      <c r="F194" s="24" t="e">
        <f>IF($H124&lt;Noise!H$252,
    IF(Noise!H$252&lt;Noise!$E$253,  Noise!H$252/Noise!$E$253,  1),
    IF($H124&lt;Noise!$E$253,  $H124/Noise!$E$253,  1))</f>
        <v>#VALUE!</v>
      </c>
      <c r="G194" s="24" t="e">
        <f>IF($H124&lt;Noise!I$252,
    IF(Noise!I$252&lt;Noise!$E$253,  Noise!I$252/Noise!$E$253,  1),
    IF($H124&lt;Noise!$E$253,  $H124/Noise!$E$253,  1))</f>
        <v>#VALUE!</v>
      </c>
      <c r="H194" s="177">
        <v>2000</v>
      </c>
      <c r="I194" s="97">
        <f t="shared" si="3"/>
        <v>2.2360679774997899E-3</v>
      </c>
      <c r="M194" s="82"/>
      <c r="N194" s="82"/>
      <c r="P194" s="31"/>
      <c r="Q194" s="31"/>
    </row>
    <row r="195" spans="1:17" s="119" customFormat="1" ht="13" outlineLevel="1" x14ac:dyDescent="0.3">
      <c r="C195" s="24" t="e">
        <f>IF($H125&lt;Noise!E$252,
    IF(Noise!E$252&lt;Noise!$E$253,  Noise!E$252/Noise!$E$253,  1),
    IF($H125&lt;Noise!$E$253,  $H125/Noise!$E$253,  1))</f>
        <v>#VALUE!</v>
      </c>
      <c r="D195" s="24" t="e">
        <f>IF($H125&lt;Noise!F$252,
    IF(Noise!F$252&lt;Noise!$E$253,  Noise!F$252/Noise!$E$253,  1),
    IF($H125&lt;Noise!$E$253,  $H125/Noise!$E$253,  1))</f>
        <v>#VALUE!</v>
      </c>
      <c r="E195" s="24" t="e">
        <f>IF($H125&lt;Noise!G$252,
    IF(Noise!G$252&lt;Noise!$E$253,  Noise!G$252/Noise!$E$253,  1),
    IF($H125&lt;Noise!$E$253,  $H125/Noise!$E$253,  1))</f>
        <v>#VALUE!</v>
      </c>
      <c r="F195" s="24" t="e">
        <f>IF($H125&lt;Noise!H$252,
    IF(Noise!H$252&lt;Noise!$E$253,  Noise!H$252/Noise!$E$253,  1),
    IF($H125&lt;Noise!$E$253,  $H125/Noise!$E$253,  1))</f>
        <v>#VALUE!</v>
      </c>
      <c r="G195" s="24" t="e">
        <f>IF($H125&lt;Noise!I$252,
    IF(Noise!I$252&lt;Noise!$E$253,  Noise!I$252/Noise!$E$253,  1),
    IF($H125&lt;Noise!$E$253,  $H125/Noise!$E$253,  1))</f>
        <v>#VALUE!</v>
      </c>
      <c r="H195" s="177">
        <v>2500</v>
      </c>
      <c r="I195" s="97">
        <f t="shared" si="3"/>
        <v>2E-3</v>
      </c>
      <c r="M195" s="82"/>
      <c r="N195" s="82"/>
      <c r="P195" s="31"/>
      <c r="Q195" s="31"/>
    </row>
    <row r="196" spans="1:17" s="119" customFormat="1" ht="13" outlineLevel="1" x14ac:dyDescent="0.3">
      <c r="C196" s="24" t="e">
        <f>IF($H126&lt;Noise!E$252,
    IF(Noise!E$252&lt;Noise!$E$253,  Noise!E$252/Noise!$E$253,  1),
    IF($H126&lt;Noise!$E$253,  $H126/Noise!$E$253,  1))</f>
        <v>#VALUE!</v>
      </c>
      <c r="D196" s="24" t="e">
        <f>IF($H126&lt;Noise!F$252,
    IF(Noise!F$252&lt;Noise!$E$253,  Noise!F$252/Noise!$E$253,  1),
    IF($H126&lt;Noise!$E$253,  $H126/Noise!$E$253,  1))</f>
        <v>#VALUE!</v>
      </c>
      <c r="E196" s="24" t="e">
        <f>IF($H126&lt;Noise!G$252,
    IF(Noise!G$252&lt;Noise!$E$253,  Noise!G$252/Noise!$E$253,  1),
    IF($H126&lt;Noise!$E$253,  $H126/Noise!$E$253,  1))</f>
        <v>#VALUE!</v>
      </c>
      <c r="F196" s="24" t="e">
        <f>IF($H126&lt;Noise!H$252,
    IF(Noise!H$252&lt;Noise!$E$253,  Noise!H$252/Noise!$E$253,  1),
    IF($H126&lt;Noise!$E$253,  $H126/Noise!$E$253,  1))</f>
        <v>#VALUE!</v>
      </c>
      <c r="G196" s="24" t="e">
        <f>IF($H126&lt;Noise!I$252,
    IF(Noise!I$252&lt;Noise!$E$253,  Noise!I$252/Noise!$E$253,  1),
    IF($H126&lt;Noise!$E$253,  $H126/Noise!$E$253,  1))</f>
        <v>#VALUE!</v>
      </c>
      <c r="H196" s="177">
        <v>3150</v>
      </c>
      <c r="I196" s="97">
        <f t="shared" si="3"/>
        <v>1.781741612749496E-3</v>
      </c>
      <c r="M196" s="82"/>
      <c r="N196" s="82"/>
      <c r="P196" s="31"/>
      <c r="Q196" s="31"/>
    </row>
    <row r="197" spans="1:17" s="119" customFormat="1" ht="13" outlineLevel="1" x14ac:dyDescent="0.3">
      <c r="C197" s="24" t="e">
        <f>IF($H127&lt;Noise!E$252,
    IF(Noise!E$252&lt;Noise!$E$253,  Noise!E$252/Noise!$E$253,  1),
    IF($H127&lt;Noise!$E$253,  $H127/Noise!$E$253,  1))</f>
        <v>#VALUE!</v>
      </c>
      <c r="D197" s="24" t="e">
        <f>IF($H127&lt;Noise!F$252,
    IF(Noise!F$252&lt;Noise!$E$253,  Noise!F$252/Noise!$E$253,  1),
    IF($H127&lt;Noise!$E$253,  $H127/Noise!$E$253,  1))</f>
        <v>#VALUE!</v>
      </c>
      <c r="E197" s="24" t="e">
        <f>IF($H127&lt;Noise!G$252,
    IF(Noise!G$252&lt;Noise!$E$253,  Noise!G$252/Noise!$E$253,  1),
    IF($H127&lt;Noise!$E$253,  $H127/Noise!$E$253,  1))</f>
        <v>#VALUE!</v>
      </c>
      <c r="F197" s="24" t="e">
        <f>IF($H127&lt;Noise!H$252,
    IF(Noise!H$252&lt;Noise!$E$253,  Noise!H$252/Noise!$E$253,  1),
    IF($H127&lt;Noise!$E$253,  $H127/Noise!$E$253,  1))</f>
        <v>#VALUE!</v>
      </c>
      <c r="G197" s="24" t="e">
        <f>IF($H127&lt;Noise!I$252,
    IF(Noise!I$252&lt;Noise!$E$253,  Noise!I$252/Noise!$E$253,  1),
    IF($H127&lt;Noise!$E$253,  $H127/Noise!$E$253,  1))</f>
        <v>#VALUE!</v>
      </c>
      <c r="H197" s="177">
        <v>4000</v>
      </c>
      <c r="I197" s="97">
        <f t="shared" si="3"/>
        <v>1.5811388300841897E-3</v>
      </c>
      <c r="M197" s="82"/>
      <c r="N197" s="82"/>
      <c r="P197" s="31"/>
      <c r="Q197" s="31"/>
    </row>
    <row r="198" spans="1:17" s="119" customFormat="1" ht="13" outlineLevel="1" x14ac:dyDescent="0.3">
      <c r="C198" s="24" t="e">
        <f>IF($H128&lt;Noise!E$252,
    IF(Noise!E$252&lt;Noise!$E$253,  Noise!E$252/Noise!$E$253,  1),
    IF($H128&lt;Noise!$E$253,  $H128/Noise!$E$253,  1))</f>
        <v>#VALUE!</v>
      </c>
      <c r="D198" s="24" t="e">
        <f>IF($H128&lt;Noise!F$252,
    IF(Noise!F$252&lt;Noise!$E$253,  Noise!F$252/Noise!$E$253,  1),
    IF($H128&lt;Noise!$E$253,  $H128/Noise!$E$253,  1))</f>
        <v>#VALUE!</v>
      </c>
      <c r="E198" s="24" t="e">
        <f>IF($H128&lt;Noise!G$252,
    IF(Noise!G$252&lt;Noise!$E$253,  Noise!G$252/Noise!$E$253,  1),
    IF($H128&lt;Noise!$E$253,  $H128/Noise!$E$253,  1))</f>
        <v>#VALUE!</v>
      </c>
      <c r="F198" s="24" t="e">
        <f>IF($H128&lt;Noise!H$252,
    IF(Noise!H$252&lt;Noise!$E$253,  Noise!H$252/Noise!$E$253,  1),
    IF($H128&lt;Noise!$E$253,  $H128/Noise!$E$253,  1))</f>
        <v>#VALUE!</v>
      </c>
      <c r="G198" s="24" t="e">
        <f>IF($H128&lt;Noise!I$252,
    IF(Noise!I$252&lt;Noise!$E$253,  Noise!I$252/Noise!$E$253,  1),
    IF($H128&lt;Noise!$E$253,  $H128/Noise!$E$253,  1))</f>
        <v>#VALUE!</v>
      </c>
      <c r="H198" s="177">
        <v>5000</v>
      </c>
      <c r="I198" s="97">
        <f t="shared" si="3"/>
        <v>1.414213562373095E-3</v>
      </c>
      <c r="M198" s="82"/>
      <c r="N198" s="82"/>
      <c r="P198" s="31"/>
      <c r="Q198" s="31"/>
    </row>
    <row r="199" spans="1:17" s="119" customFormat="1" ht="13" outlineLevel="1" x14ac:dyDescent="0.3">
      <c r="C199" s="24" t="e">
        <f>IF($H129&lt;Noise!E$252,
    IF(Noise!E$252&lt;Noise!$E$253,  Noise!E$252/Noise!$E$253,  1),
    IF($H129&lt;Noise!$E$253,  $H129/Noise!$E$253,  1))</f>
        <v>#VALUE!</v>
      </c>
      <c r="D199" s="24" t="e">
        <f>IF($H129&lt;Noise!F$252,
    IF(Noise!F$252&lt;Noise!$E$253,  Noise!F$252/Noise!$E$253,  1),
    IF($H129&lt;Noise!$E$253,  $H129/Noise!$E$253,  1))</f>
        <v>#VALUE!</v>
      </c>
      <c r="E199" s="24" t="e">
        <f>IF($H129&lt;Noise!G$252,
    IF(Noise!G$252&lt;Noise!$E$253,  Noise!G$252/Noise!$E$253,  1),
    IF($H129&lt;Noise!$E$253,  $H129/Noise!$E$253,  1))</f>
        <v>#VALUE!</v>
      </c>
      <c r="F199" s="24" t="e">
        <f>IF($H129&lt;Noise!H$252,
    IF(Noise!H$252&lt;Noise!$E$253,  Noise!H$252/Noise!$E$253,  1),
    IF($H129&lt;Noise!$E$253,  $H129/Noise!$E$253,  1))</f>
        <v>#VALUE!</v>
      </c>
      <c r="G199" s="24" t="e">
        <f>IF($H129&lt;Noise!I$252,
    IF(Noise!I$252&lt;Noise!$E$253,  Noise!I$252/Noise!$E$253,  1),
    IF($H129&lt;Noise!$E$253,  $H129/Noise!$E$253,  1))</f>
        <v>#VALUE!</v>
      </c>
      <c r="H199" s="177">
        <v>6300</v>
      </c>
      <c r="I199" s="97">
        <f t="shared" si="3"/>
        <v>1.259881576697424E-3</v>
      </c>
      <c r="M199" s="82"/>
      <c r="N199" s="82"/>
      <c r="P199" s="31"/>
      <c r="Q199" s="31"/>
    </row>
    <row r="200" spans="1:17" s="119" customFormat="1" ht="13" outlineLevel="1" x14ac:dyDescent="0.3">
      <c r="C200" s="24" t="e">
        <f>IF($H130&lt;Noise!E$252,
    IF(Noise!E$252&lt;Noise!$E$253,  Noise!E$252/Noise!$E$253,  1),
    IF($H130&lt;Noise!$E$253,  $H130/Noise!$E$253,  1))</f>
        <v>#VALUE!</v>
      </c>
      <c r="D200" s="24" t="e">
        <f>IF($H130&lt;Noise!F$252,
    IF(Noise!F$252&lt;Noise!$E$253,  Noise!F$252/Noise!$E$253,  1),
    IF($H130&lt;Noise!$E$253,  $H130/Noise!$E$253,  1))</f>
        <v>#VALUE!</v>
      </c>
      <c r="E200" s="24" t="e">
        <f>IF($H130&lt;Noise!G$252,
    IF(Noise!G$252&lt;Noise!$E$253,  Noise!G$252/Noise!$E$253,  1),
    IF($H130&lt;Noise!$E$253,  $H130/Noise!$E$253,  1))</f>
        <v>#VALUE!</v>
      </c>
      <c r="F200" s="24" t="e">
        <f>IF($H130&lt;Noise!H$252,
    IF(Noise!H$252&lt;Noise!$E$253,  Noise!H$252/Noise!$E$253,  1),
    IF($H130&lt;Noise!$E$253,  $H130/Noise!$E$253,  1))</f>
        <v>#VALUE!</v>
      </c>
      <c r="G200" s="24" t="e">
        <f>IF($H130&lt;Noise!I$252,
    IF(Noise!I$252&lt;Noise!$E$253,  Noise!I$252/Noise!$E$253,  1),
    IF($H130&lt;Noise!$E$253,  $H130/Noise!$E$253,  1))</f>
        <v>#VALUE!</v>
      </c>
      <c r="H200" s="177">
        <v>8000</v>
      </c>
      <c r="I200" s="97">
        <f t="shared" si="3"/>
        <v>1.1180339887498949E-3</v>
      </c>
      <c r="M200" s="82"/>
      <c r="N200" s="82"/>
      <c r="P200" s="31"/>
      <c r="Q200" s="31"/>
    </row>
    <row r="201" spans="1:17" s="119" customFormat="1" ht="13" outlineLevel="1" x14ac:dyDescent="0.3">
      <c r="C201" s="24" t="e">
        <f>IF($H131&lt;Noise!E$252,
    IF(Noise!E$252&lt;Noise!$E$253,  Noise!E$252/Noise!$E$253,  1),
    IF($H131&lt;Noise!$E$253,  $H131/Noise!$E$253,  1))</f>
        <v>#VALUE!</v>
      </c>
      <c r="D201" s="24" t="e">
        <f>IF($H131&lt;Noise!F$252,
    IF(Noise!F$252&lt;Noise!$E$253,  Noise!F$252/Noise!$E$253,  1),
    IF($H131&lt;Noise!$E$253,  $H131/Noise!$E$253,  1))</f>
        <v>#VALUE!</v>
      </c>
      <c r="E201" s="24" t="e">
        <f>IF($H131&lt;Noise!G$252,
    IF(Noise!G$252&lt;Noise!$E$253,  Noise!G$252/Noise!$E$253,  1),
    IF($H131&lt;Noise!$E$253,  $H131/Noise!$E$253,  1))</f>
        <v>#VALUE!</v>
      </c>
      <c r="F201" s="24" t="e">
        <f>IF($H131&lt;Noise!H$252,
    IF(Noise!H$252&lt;Noise!$E$253,  Noise!H$252/Noise!$E$253,  1),
    IF($H131&lt;Noise!$E$253,  $H131/Noise!$E$253,  1))</f>
        <v>#VALUE!</v>
      </c>
      <c r="G201" s="24" t="e">
        <f>IF($H131&lt;Noise!I$252,
    IF(Noise!I$252&lt;Noise!$E$253,  Noise!I$252/Noise!$E$253,  1),
    IF($H131&lt;Noise!$E$253,  $H131/Noise!$E$253,  1))</f>
        <v>#VALUE!</v>
      </c>
      <c r="H201" s="177">
        <v>10000</v>
      </c>
      <c r="I201" s="97">
        <f t="shared" si="3"/>
        <v>1E-3</v>
      </c>
      <c r="M201" s="82"/>
      <c r="N201" s="82"/>
      <c r="P201" s="31"/>
      <c r="Q201" s="31"/>
    </row>
    <row r="202" spans="1:17" s="119" customFormat="1" ht="13" outlineLevel="1" x14ac:dyDescent="0.3">
      <c r="C202" s="24" t="e">
        <f>IF($H132&lt;Noise!E$252,
    IF(Noise!E$252&lt;Noise!$E$253,  Noise!E$252/Noise!$E$253,  1),
    IF($H132&lt;Noise!$E$253,  $H132/Noise!$E$253,  1))</f>
        <v>#VALUE!</v>
      </c>
      <c r="D202" s="24" t="e">
        <f>IF($H132&lt;Noise!F$252,
    IF(Noise!F$252&lt;Noise!$E$253,  Noise!F$252/Noise!$E$253,  1),
    IF($H132&lt;Noise!$E$253,  $H132/Noise!$E$253,  1))</f>
        <v>#VALUE!</v>
      </c>
      <c r="E202" s="24" t="e">
        <f>IF($H132&lt;Noise!G$252,
    IF(Noise!G$252&lt;Noise!$E$253,  Noise!G$252/Noise!$E$253,  1),
    IF($H132&lt;Noise!$E$253,  $H132/Noise!$E$253,  1))</f>
        <v>#VALUE!</v>
      </c>
      <c r="F202" s="24" t="e">
        <f>IF($H132&lt;Noise!H$252,
    IF(Noise!H$252&lt;Noise!$E$253,  Noise!H$252/Noise!$E$253,  1),
    IF($H132&lt;Noise!$E$253,  $H132/Noise!$E$253,  1))</f>
        <v>#VALUE!</v>
      </c>
      <c r="G202" s="24" t="e">
        <f>IF($H132&lt;Noise!I$252,
    IF(Noise!I$252&lt;Noise!$E$253,  Noise!I$252/Noise!$E$253,  1),
    IF($H132&lt;Noise!$E$253,  $H132/Noise!$E$253,  1))</f>
        <v>#VALUE!</v>
      </c>
      <c r="H202" s="177">
        <v>12500</v>
      </c>
      <c r="I202" s="97">
        <f t="shared" si="3"/>
        <v>8.9442719099991591E-4</v>
      </c>
      <c r="M202" s="82"/>
      <c r="N202" s="82"/>
      <c r="P202" s="31"/>
      <c r="Q202" s="31"/>
    </row>
    <row r="203" spans="1:17" s="119" customFormat="1" ht="13" outlineLevel="1" x14ac:dyDescent="0.3">
      <c r="C203" s="24" t="e">
        <f>IF($H133&lt;Noise!E$252,
    IF(Noise!E$252&lt;Noise!$E$253,  Noise!E$252/Noise!$E$253,  1),
    IF($H133&lt;Noise!$E$253,  $H133/Noise!$E$253,  1))</f>
        <v>#VALUE!</v>
      </c>
      <c r="D203" s="24" t="e">
        <f>IF($H133&lt;Noise!F$252,
    IF(Noise!F$252&lt;Noise!$E$253,  Noise!F$252/Noise!$E$253,  1),
    IF($H133&lt;Noise!$E$253,  $H133/Noise!$E$253,  1))</f>
        <v>#VALUE!</v>
      </c>
      <c r="E203" s="24" t="e">
        <f>IF($H133&lt;Noise!G$252,
    IF(Noise!G$252&lt;Noise!$E$253,  Noise!G$252/Noise!$E$253,  1),
    IF($H133&lt;Noise!$E$253,  $H133/Noise!$E$253,  1))</f>
        <v>#VALUE!</v>
      </c>
      <c r="F203" s="24" t="e">
        <f>IF($H133&lt;Noise!H$252,
    IF(Noise!H$252&lt;Noise!$E$253,  Noise!H$252/Noise!$E$253,  1),
    IF($H133&lt;Noise!$E$253,  $H133/Noise!$E$253,  1))</f>
        <v>#VALUE!</v>
      </c>
      <c r="G203" s="24" t="e">
        <f>IF($H133&lt;Noise!I$252,
    IF(Noise!I$252&lt;Noise!$E$253,  Noise!I$252/Noise!$E$253,  1),
    IF($H133&lt;Noise!$E$253,  $H133/Noise!$E$253,  1))</f>
        <v>#VALUE!</v>
      </c>
      <c r="H203" s="177">
        <v>16000</v>
      </c>
      <c r="I203" s="97">
        <f t="shared" si="3"/>
        <v>7.9056941504209485E-4</v>
      </c>
      <c r="M203" s="82"/>
      <c r="N203" s="82"/>
      <c r="P203" s="31"/>
      <c r="Q203" s="31"/>
    </row>
    <row r="204" spans="1:17" s="119" customFormat="1" ht="13" outlineLevel="1" x14ac:dyDescent="0.3">
      <c r="C204" s="24" t="e">
        <f>IF($H134&lt;Noise!E$252,
    IF(Noise!E$252&lt;Noise!$E$253,  Noise!E$252/Noise!$E$253,  1),
    IF($H134&lt;Noise!$E$253,  $H134/Noise!$E$253,  1))</f>
        <v>#VALUE!</v>
      </c>
      <c r="D204" s="24" t="e">
        <f>IF($H134&lt;Noise!F$252,
    IF(Noise!F$252&lt;Noise!$E$253,  Noise!F$252/Noise!$E$253,  1),
    IF($H134&lt;Noise!$E$253,  $H134/Noise!$E$253,  1))</f>
        <v>#VALUE!</v>
      </c>
      <c r="E204" s="24" t="e">
        <f>IF($H134&lt;Noise!G$252,
    IF(Noise!G$252&lt;Noise!$E$253,  Noise!G$252/Noise!$E$253,  1),
    IF($H134&lt;Noise!$E$253,  $H134/Noise!$E$253,  1))</f>
        <v>#VALUE!</v>
      </c>
      <c r="F204" s="24" t="e">
        <f>IF($H134&lt;Noise!H$252,
    IF(Noise!H$252&lt;Noise!$E$253,  Noise!H$252/Noise!$E$253,  1),
    IF($H134&lt;Noise!$E$253,  $H134/Noise!$E$253,  1))</f>
        <v>#VALUE!</v>
      </c>
      <c r="G204" s="24" t="e">
        <f>IF($H134&lt;Noise!I$252,
    IF(Noise!I$252&lt;Noise!$E$253,  Noise!I$252/Noise!$E$253,  1),
    IF($H134&lt;Noise!$E$253,  $H134/Noise!$E$253,  1))</f>
        <v>#VALUE!</v>
      </c>
      <c r="H204" s="177">
        <v>20000</v>
      </c>
      <c r="I204" s="97">
        <f t="shared" si="3"/>
        <v>7.0710678118654751E-4</v>
      </c>
      <c r="M204" s="82"/>
      <c r="N204" s="82"/>
      <c r="P204" s="31"/>
      <c r="Q204" s="31"/>
    </row>
    <row r="205" spans="1:17" s="119" customFormat="1" ht="13" outlineLevel="1" x14ac:dyDescent="0.3">
      <c r="A205" s="177"/>
      <c r="H205" s="177"/>
      <c r="L205" s="97"/>
      <c r="M205" s="82"/>
      <c r="N205" s="82"/>
      <c r="P205" s="31"/>
      <c r="Q205" s="31"/>
    </row>
    <row r="206" spans="1:17" s="119" customFormat="1" ht="13" outlineLevel="1" x14ac:dyDescent="0.3">
      <c r="A206" s="177"/>
      <c r="C206" s="491" t="s">
        <v>968</v>
      </c>
      <c r="D206" s="491"/>
      <c r="E206" s="491"/>
      <c r="F206" s="491"/>
      <c r="G206" s="491"/>
      <c r="H206" s="177"/>
      <c r="L206" s="97"/>
      <c r="M206" s="82"/>
      <c r="N206" s="82"/>
      <c r="P206" s="31"/>
      <c r="Q206" s="31"/>
    </row>
    <row r="207" spans="1:17" s="119" customFormat="1" ht="13" outlineLevel="1" x14ac:dyDescent="0.3">
      <c r="C207" s="23" t="e">
        <f>10*LOG10(8.25*10^-7*(Noise!E$240/((Noise!$F$112/1000)*$H102))^2*C137/((Noise!E$239*Noise!E$240+2*PI()*(Noise!$F$112/1000)*$H102*8000*$I172)/(415*C172)+1))+Noise!$E$250</f>
        <v>#VALUE!</v>
      </c>
      <c r="D207" s="23" t="e">
        <f>10*LOG10(8.25*10^-7*(Noise!F$240/((Noise!$F$112/1000)*$H102))^2*D137/((Noise!F$239*Noise!F$240+2*PI()*(Noise!$F$112/1000)*$H102*8000*$I172)/(415*D172)+1))+Noise!$E$250</f>
        <v>#VALUE!</v>
      </c>
      <c r="E207" s="23" t="e">
        <f>10*LOG10(8.25*10^-7*(Noise!G$240/((Noise!$F$112/1000)*$H102))^2*E137/((Noise!G$239*Noise!G$240+2*PI()*(Noise!$F$112/1000)*$H102*8000*$I172)/(415*E172)+1))+Noise!$E$250</f>
        <v>#VALUE!</v>
      </c>
      <c r="F207" s="23" t="e">
        <f>10*LOG10(8.25*10^-7*(Noise!H$240/((Noise!$F$112/1000)*$H102))^2*F137/((Noise!H$239*Noise!H$240+2*PI()*(Noise!$F$112/1000)*$H102*8000*$I172)/(415*F172)+1))+Noise!$E$250</f>
        <v>#VALUE!</v>
      </c>
      <c r="G207" s="23" t="e">
        <f>10*LOG10(8.25*10^-7*(Noise!I$240/((Noise!$F$112/1000)*$H102))^2*G137/((Noise!I$239*Noise!I$240+2*PI()*(Noise!$F$112/1000)*$H102*8000*$I172)/(415*G172)+1))+Noise!$E$250</f>
        <v>#VALUE!</v>
      </c>
      <c r="H207" s="177">
        <v>12.5</v>
      </c>
      <c r="L207" s="97"/>
      <c r="M207" s="82"/>
      <c r="N207" s="82"/>
      <c r="P207" s="31"/>
      <c r="Q207" s="31"/>
    </row>
    <row r="208" spans="1:17" s="119" customFormat="1" ht="13" outlineLevel="1" x14ac:dyDescent="0.3">
      <c r="A208" s="177"/>
      <c r="C208" s="23" t="e">
        <f>10*LOG10(8.25*10^-7*(Noise!E$240/((Noise!$F$112/1000)*$H103))^2*C138/((Noise!E$239*Noise!E$240+2*PI()*(Noise!$F$112/1000)*$H103*8000*$I173)/(415*C173)+1))+Noise!$E$250</f>
        <v>#VALUE!</v>
      </c>
      <c r="D208" s="23" t="e">
        <f>10*LOG10(8.25*10^-7*(Noise!F$240/((Noise!$F$112/1000)*$H103))^2*D138/((Noise!F$239*Noise!F$240+2*PI()*(Noise!$F$112/1000)*$H103*8000*$I173)/(415*D173)+1))+Noise!$E$250</f>
        <v>#VALUE!</v>
      </c>
      <c r="E208" s="23" t="e">
        <f>10*LOG10(8.25*10^-7*(Noise!G$240/((Noise!$F$112/1000)*$H103))^2*E138/((Noise!G$239*Noise!G$240+2*PI()*(Noise!$F$112/1000)*$H103*8000*$I173)/(415*E173)+1))+Noise!$E$250</f>
        <v>#VALUE!</v>
      </c>
      <c r="F208" s="23" t="e">
        <f>10*LOG10(8.25*10^-7*(Noise!H$240/((Noise!$F$112/1000)*$H103))^2*F138/((Noise!H$239*Noise!H$240+2*PI()*(Noise!$F$112/1000)*$H103*8000*$I173)/(415*F173)+1))+Noise!$E$250</f>
        <v>#VALUE!</v>
      </c>
      <c r="G208" s="23" t="e">
        <f>10*LOG10(8.25*10^-7*(Noise!I$240/((Noise!$F$112/1000)*$H103))^2*G138/((Noise!I$239*Noise!I$240+2*PI()*(Noise!$F$112/1000)*$H103*8000*$I173)/(415*G173)+1))+Noise!$E$250</f>
        <v>#VALUE!</v>
      </c>
      <c r="H208" s="177">
        <v>16</v>
      </c>
      <c r="L208" s="97"/>
      <c r="M208" s="82"/>
      <c r="N208" s="82"/>
      <c r="P208" s="31"/>
      <c r="Q208" s="31"/>
    </row>
    <row r="209" spans="1:17" s="119" customFormat="1" ht="13" outlineLevel="1" x14ac:dyDescent="0.3">
      <c r="A209" s="177"/>
      <c r="C209" s="23" t="e">
        <f>10*LOG10(8.25*10^-7*(Noise!E$240/((Noise!$F$112/1000)*$H104))^2*C139/((Noise!E$239*Noise!E$240+2*PI()*(Noise!$F$112/1000)*$H104*8000*$I174)/(415*C174)+1))+Noise!$E$250</f>
        <v>#VALUE!</v>
      </c>
      <c r="D209" s="23" t="e">
        <f>10*LOG10(8.25*10^-7*(Noise!F$240/((Noise!$F$112/1000)*$H104))^2*D139/((Noise!F$239*Noise!F$240+2*PI()*(Noise!$F$112/1000)*$H104*8000*$I174)/(415*D174)+1))+Noise!$E$250</f>
        <v>#VALUE!</v>
      </c>
      <c r="E209" s="23" t="e">
        <f>10*LOG10(8.25*10^-7*(Noise!G$240/((Noise!$F$112/1000)*$H104))^2*E139/((Noise!G$239*Noise!G$240+2*PI()*(Noise!$F$112/1000)*$H104*8000*$I174)/(415*E174)+1))+Noise!$E$250</f>
        <v>#VALUE!</v>
      </c>
      <c r="F209" s="23" t="e">
        <f>10*LOG10(8.25*10^-7*(Noise!H$240/((Noise!$F$112/1000)*$H104))^2*F139/((Noise!H$239*Noise!H$240+2*PI()*(Noise!$F$112/1000)*$H104*8000*$I174)/(415*F174)+1))+Noise!$E$250</f>
        <v>#VALUE!</v>
      </c>
      <c r="G209" s="23" t="e">
        <f>10*LOG10(8.25*10^-7*(Noise!I$240/((Noise!$F$112/1000)*$H104))^2*G139/((Noise!I$239*Noise!I$240+2*PI()*(Noise!$F$112/1000)*$H104*8000*$I174)/(415*G174)+1))+Noise!$E$250</f>
        <v>#VALUE!</v>
      </c>
      <c r="H209" s="177">
        <v>20</v>
      </c>
      <c r="L209" s="97"/>
      <c r="M209" s="82"/>
      <c r="N209" s="82"/>
      <c r="P209" s="31"/>
      <c r="Q209" s="31"/>
    </row>
    <row r="210" spans="1:17" s="119" customFormat="1" ht="13" outlineLevel="1" x14ac:dyDescent="0.3">
      <c r="A210" s="177"/>
      <c r="C210" s="23" t="e">
        <f>10*LOG10(8.25*10^-7*(Noise!E$240/((Noise!$F$112/1000)*$H105))^2*C140/((Noise!E$239*Noise!E$240+2*PI()*(Noise!$F$112/1000)*$H105*8000*$I175)/(415*C175)+1))+Noise!$E$250</f>
        <v>#VALUE!</v>
      </c>
      <c r="D210" s="23" t="e">
        <f>10*LOG10(8.25*10^-7*(Noise!F$240/((Noise!$F$112/1000)*$H105))^2*D140/((Noise!F$239*Noise!F$240+2*PI()*(Noise!$F$112/1000)*$H105*8000*$I175)/(415*D175)+1))+Noise!$E$250</f>
        <v>#VALUE!</v>
      </c>
      <c r="E210" s="23" t="e">
        <f>10*LOG10(8.25*10^-7*(Noise!G$240/((Noise!$F$112/1000)*$H105))^2*E140/((Noise!G$239*Noise!G$240+2*PI()*(Noise!$F$112/1000)*$H105*8000*$I175)/(415*E175)+1))+Noise!$E$250</f>
        <v>#VALUE!</v>
      </c>
      <c r="F210" s="23" t="e">
        <f>10*LOG10(8.25*10^-7*(Noise!H$240/((Noise!$F$112/1000)*$H105))^2*F140/((Noise!H$239*Noise!H$240+2*PI()*(Noise!$F$112/1000)*$H105*8000*$I175)/(415*F175)+1))+Noise!$E$250</f>
        <v>#VALUE!</v>
      </c>
      <c r="G210" s="23" t="e">
        <f>10*LOG10(8.25*10^-7*(Noise!I$240/((Noise!$F$112/1000)*$H105))^2*G140/((Noise!I$239*Noise!I$240+2*PI()*(Noise!$F$112/1000)*$H105*8000*$I175)/(415*G175)+1))+Noise!$E$250</f>
        <v>#VALUE!</v>
      </c>
      <c r="H210" s="177">
        <v>25</v>
      </c>
      <c r="L210" s="97"/>
      <c r="M210" s="82"/>
      <c r="N210" s="82"/>
      <c r="P210" s="31"/>
      <c r="Q210" s="31"/>
    </row>
    <row r="211" spans="1:17" s="119" customFormat="1" ht="13" outlineLevel="1" x14ac:dyDescent="0.3">
      <c r="A211" s="177"/>
      <c r="C211" s="23" t="e">
        <f>10*LOG10(8.25*10^-7*(Noise!E$240/((Noise!$F$112/1000)*$H106))^2*C141/((Noise!E$239*Noise!E$240+2*PI()*(Noise!$F$112/1000)*$H106*8000*$I176)/(415*C176)+1))+Noise!$E$250</f>
        <v>#VALUE!</v>
      </c>
      <c r="D211" s="23" t="e">
        <f>10*LOG10(8.25*10^-7*(Noise!F$240/((Noise!$F$112/1000)*$H106))^2*D141/((Noise!F$239*Noise!F$240+2*PI()*(Noise!$F$112/1000)*$H106*8000*$I176)/(415*D176)+1))+Noise!$E$250</f>
        <v>#VALUE!</v>
      </c>
      <c r="E211" s="23" t="e">
        <f>10*LOG10(8.25*10^-7*(Noise!G$240/((Noise!$F$112/1000)*$H106))^2*E141/((Noise!G$239*Noise!G$240+2*PI()*(Noise!$F$112/1000)*$H106*8000*$I176)/(415*E176)+1))+Noise!$E$250</f>
        <v>#VALUE!</v>
      </c>
      <c r="F211" s="23" t="e">
        <f>10*LOG10(8.25*10^-7*(Noise!H$240/((Noise!$F$112/1000)*$H106))^2*F141/((Noise!H$239*Noise!H$240+2*PI()*(Noise!$F$112/1000)*$H106*8000*$I176)/(415*F176)+1))+Noise!$E$250</f>
        <v>#VALUE!</v>
      </c>
      <c r="G211" s="23" t="e">
        <f>10*LOG10(8.25*10^-7*(Noise!I$240/((Noise!$F$112/1000)*$H106))^2*G141/((Noise!I$239*Noise!I$240+2*PI()*(Noise!$F$112/1000)*$H106*8000*$I176)/(415*G176)+1))+Noise!$E$250</f>
        <v>#VALUE!</v>
      </c>
      <c r="H211" s="177">
        <v>31.5</v>
      </c>
      <c r="L211" s="97"/>
      <c r="M211" s="82"/>
      <c r="N211" s="82"/>
      <c r="P211" s="31"/>
      <c r="Q211" s="31"/>
    </row>
    <row r="212" spans="1:17" s="119" customFormat="1" ht="13" outlineLevel="1" x14ac:dyDescent="0.3">
      <c r="A212" s="177"/>
      <c r="C212" s="23" t="e">
        <f>10*LOG10(8.25*10^-7*(Noise!E$240/((Noise!$F$112/1000)*$H107))^2*C142/((Noise!E$239*Noise!E$240+2*PI()*(Noise!$F$112/1000)*$H107*8000*$I177)/(415*C177)+1))+Noise!$E$250</f>
        <v>#VALUE!</v>
      </c>
      <c r="D212" s="23" t="e">
        <f>10*LOG10(8.25*10^-7*(Noise!F$240/((Noise!$F$112/1000)*$H107))^2*D142/((Noise!F$239*Noise!F$240+2*PI()*(Noise!$F$112/1000)*$H107*8000*$I177)/(415*D177)+1))+Noise!$E$250</f>
        <v>#VALUE!</v>
      </c>
      <c r="E212" s="23" t="e">
        <f>10*LOG10(8.25*10^-7*(Noise!G$240/((Noise!$F$112/1000)*$H107))^2*E142/((Noise!G$239*Noise!G$240+2*PI()*(Noise!$F$112/1000)*$H107*8000*$I177)/(415*E177)+1))+Noise!$E$250</f>
        <v>#VALUE!</v>
      </c>
      <c r="F212" s="23" t="e">
        <f>10*LOG10(8.25*10^-7*(Noise!H$240/((Noise!$F$112/1000)*$H107))^2*F142/((Noise!H$239*Noise!H$240+2*PI()*(Noise!$F$112/1000)*$H107*8000*$I177)/(415*F177)+1))+Noise!$E$250</f>
        <v>#VALUE!</v>
      </c>
      <c r="G212" s="23" t="e">
        <f>10*LOG10(8.25*10^-7*(Noise!I$240/((Noise!$F$112/1000)*$H107))^2*G142/((Noise!I$239*Noise!I$240+2*PI()*(Noise!$F$112/1000)*$H107*8000*$I177)/(415*G177)+1))+Noise!$E$250</f>
        <v>#VALUE!</v>
      </c>
      <c r="H212" s="177">
        <v>40</v>
      </c>
      <c r="L212" s="97"/>
      <c r="M212" s="82"/>
      <c r="N212" s="82"/>
      <c r="P212" s="31"/>
      <c r="Q212" s="31"/>
    </row>
    <row r="213" spans="1:17" s="119" customFormat="1" ht="13" outlineLevel="1" x14ac:dyDescent="0.3">
      <c r="A213" s="177"/>
      <c r="C213" s="23" t="e">
        <f>10*LOG10(8.25*10^-7*(Noise!E$240/((Noise!$F$112/1000)*$H108))^2*C143/((Noise!E$239*Noise!E$240+2*PI()*(Noise!$F$112/1000)*$H108*8000*$I178)/(415*C178)+1))+Noise!$E$250</f>
        <v>#VALUE!</v>
      </c>
      <c r="D213" s="23" t="e">
        <f>10*LOG10(8.25*10^-7*(Noise!F$240/((Noise!$F$112/1000)*$H108))^2*D143/((Noise!F$239*Noise!F$240+2*PI()*(Noise!$F$112/1000)*$H108*8000*$I178)/(415*D178)+1))+Noise!$E$250</f>
        <v>#VALUE!</v>
      </c>
      <c r="E213" s="23" t="e">
        <f>10*LOG10(8.25*10^-7*(Noise!G$240/((Noise!$F$112/1000)*$H108))^2*E143/((Noise!G$239*Noise!G$240+2*PI()*(Noise!$F$112/1000)*$H108*8000*$I178)/(415*E178)+1))+Noise!$E$250</f>
        <v>#VALUE!</v>
      </c>
      <c r="F213" s="23" t="e">
        <f>10*LOG10(8.25*10^-7*(Noise!H$240/((Noise!$F$112/1000)*$H108))^2*F143/((Noise!H$239*Noise!H$240+2*PI()*(Noise!$F$112/1000)*$H108*8000*$I178)/(415*F178)+1))+Noise!$E$250</f>
        <v>#VALUE!</v>
      </c>
      <c r="G213" s="23" t="e">
        <f>10*LOG10(8.25*10^-7*(Noise!I$240/((Noise!$F$112/1000)*$H108))^2*G143/((Noise!I$239*Noise!I$240+2*PI()*(Noise!$F$112/1000)*$H108*8000*$I178)/(415*G178)+1))+Noise!$E$250</f>
        <v>#VALUE!</v>
      </c>
      <c r="H213" s="177">
        <v>50</v>
      </c>
      <c r="L213" s="97"/>
      <c r="M213" s="82"/>
      <c r="N213" s="82"/>
      <c r="P213" s="31"/>
      <c r="Q213" s="31"/>
    </row>
    <row r="214" spans="1:17" s="119" customFormat="1" ht="13" outlineLevel="1" x14ac:dyDescent="0.3">
      <c r="C214" s="23" t="e">
        <f>10*LOG10(8.25*10^-7*(Noise!E$240/((Noise!$F$112/1000)*$H109))^2*C144/((Noise!E$239*Noise!E$240+2*PI()*(Noise!$F$112/1000)*$H109*8000*$I179)/(415*C179)+1))+Noise!$E$250</f>
        <v>#VALUE!</v>
      </c>
      <c r="D214" s="23" t="e">
        <f>10*LOG10(8.25*10^-7*(Noise!F$240/((Noise!$F$112/1000)*$H109))^2*D144/((Noise!F$239*Noise!F$240+2*PI()*(Noise!$F$112/1000)*$H109*8000*$I179)/(415*D179)+1))+Noise!$E$250</f>
        <v>#VALUE!</v>
      </c>
      <c r="E214" s="23" t="e">
        <f>10*LOG10(8.25*10^-7*(Noise!G$240/((Noise!$F$112/1000)*$H109))^2*E144/((Noise!G$239*Noise!G$240+2*PI()*(Noise!$F$112/1000)*$H109*8000*$I179)/(415*E179)+1))+Noise!$E$250</f>
        <v>#VALUE!</v>
      </c>
      <c r="F214" s="23" t="e">
        <f>10*LOG10(8.25*10^-7*(Noise!H$240/((Noise!$F$112/1000)*$H109))^2*F144/((Noise!H$239*Noise!H$240+2*PI()*(Noise!$F$112/1000)*$H109*8000*$I179)/(415*F179)+1))+Noise!$E$250</f>
        <v>#VALUE!</v>
      </c>
      <c r="G214" s="23" t="e">
        <f>10*LOG10(8.25*10^-7*(Noise!I$240/((Noise!$F$112/1000)*$H109))^2*G144/((Noise!I$239*Noise!I$240+2*PI()*(Noise!$F$112/1000)*$H109*8000*$I179)/(415*G179)+1))+Noise!$E$250</f>
        <v>#VALUE!</v>
      </c>
      <c r="H214" s="177">
        <v>63</v>
      </c>
      <c r="L214" s="97"/>
      <c r="M214" s="82"/>
      <c r="N214" s="82"/>
      <c r="P214" s="31"/>
      <c r="Q214" s="31"/>
    </row>
    <row r="215" spans="1:17" s="119" customFormat="1" ht="13" outlineLevel="1" x14ac:dyDescent="0.3">
      <c r="A215" s="177"/>
      <c r="C215" s="23" t="e">
        <f>10*LOG10(8.25*10^-7*(Noise!E$240/((Noise!$F$112/1000)*$H110))^2*C145/((Noise!E$239*Noise!E$240+2*PI()*(Noise!$F$112/1000)*$H110*8000*$I180)/(415*C180)+1))+Noise!$E$250</f>
        <v>#VALUE!</v>
      </c>
      <c r="D215" s="23" t="e">
        <f>10*LOG10(8.25*10^-7*(Noise!F$240/((Noise!$F$112/1000)*$H110))^2*D145/((Noise!F$239*Noise!F$240+2*PI()*(Noise!$F$112/1000)*$H110*8000*$I180)/(415*D180)+1))+Noise!$E$250</f>
        <v>#VALUE!</v>
      </c>
      <c r="E215" s="23" t="e">
        <f>10*LOG10(8.25*10^-7*(Noise!G$240/((Noise!$F$112/1000)*$H110))^2*E145/((Noise!G$239*Noise!G$240+2*PI()*(Noise!$F$112/1000)*$H110*8000*$I180)/(415*E180)+1))+Noise!$E$250</f>
        <v>#VALUE!</v>
      </c>
      <c r="F215" s="23" t="e">
        <f>10*LOG10(8.25*10^-7*(Noise!H$240/((Noise!$F$112/1000)*$H110))^2*F145/((Noise!H$239*Noise!H$240+2*PI()*(Noise!$F$112/1000)*$H110*8000*$I180)/(415*F180)+1))+Noise!$E$250</f>
        <v>#VALUE!</v>
      </c>
      <c r="G215" s="23" t="e">
        <f>10*LOG10(8.25*10^-7*(Noise!I$240/((Noise!$F$112/1000)*$H110))^2*G145/((Noise!I$239*Noise!I$240+2*PI()*(Noise!$F$112/1000)*$H110*8000*$I180)/(415*G180)+1))+Noise!$E$250</f>
        <v>#VALUE!</v>
      </c>
      <c r="H215" s="177">
        <v>80</v>
      </c>
      <c r="L215" s="97"/>
      <c r="M215" s="82"/>
      <c r="N215" s="82"/>
      <c r="P215" s="31"/>
      <c r="Q215" s="31"/>
    </row>
    <row r="216" spans="1:17" s="119" customFormat="1" ht="13" outlineLevel="1" x14ac:dyDescent="0.3">
      <c r="A216" s="177"/>
      <c r="C216" s="23" t="e">
        <f>10*LOG10(8.25*10^-7*(Noise!E$240/((Noise!$F$112/1000)*$H111))^2*C146/((Noise!E$239*Noise!E$240+2*PI()*(Noise!$F$112/1000)*$H111*8000*$I181)/(415*C181)+1))+Noise!$E$250</f>
        <v>#VALUE!</v>
      </c>
      <c r="D216" s="23" t="e">
        <f>10*LOG10(8.25*10^-7*(Noise!F$240/((Noise!$F$112/1000)*$H111))^2*D146/((Noise!F$239*Noise!F$240+2*PI()*(Noise!$F$112/1000)*$H111*8000*$I181)/(415*D181)+1))+Noise!$E$250</f>
        <v>#VALUE!</v>
      </c>
      <c r="E216" s="23" t="e">
        <f>10*LOG10(8.25*10^-7*(Noise!G$240/((Noise!$F$112/1000)*$H111))^2*E146/((Noise!G$239*Noise!G$240+2*PI()*(Noise!$F$112/1000)*$H111*8000*$I181)/(415*E181)+1))+Noise!$E$250</f>
        <v>#VALUE!</v>
      </c>
      <c r="F216" s="23" t="e">
        <f>10*LOG10(8.25*10^-7*(Noise!H$240/((Noise!$F$112/1000)*$H111))^2*F146/((Noise!H$239*Noise!H$240+2*PI()*(Noise!$F$112/1000)*$H111*8000*$I181)/(415*F181)+1))+Noise!$E$250</f>
        <v>#VALUE!</v>
      </c>
      <c r="G216" s="23" t="e">
        <f>10*LOG10(8.25*10^-7*(Noise!I$240/((Noise!$F$112/1000)*$H111))^2*G146/((Noise!I$239*Noise!I$240+2*PI()*(Noise!$F$112/1000)*$H111*8000*$I181)/(415*G181)+1))+Noise!$E$250</f>
        <v>#VALUE!</v>
      </c>
      <c r="H216" s="177">
        <v>100</v>
      </c>
      <c r="L216" s="97"/>
      <c r="M216" s="82"/>
      <c r="N216" s="82"/>
      <c r="P216" s="31"/>
      <c r="Q216" s="31"/>
    </row>
    <row r="217" spans="1:17" s="119" customFormat="1" ht="13" outlineLevel="1" x14ac:dyDescent="0.3">
      <c r="A217" s="177"/>
      <c r="C217" s="23" t="e">
        <f>10*LOG10(8.25*10^-7*(Noise!E$240/((Noise!$F$112/1000)*$H112))^2*C147/((Noise!E$239*Noise!E$240+2*PI()*(Noise!$F$112/1000)*$H112*8000*$I182)/(415*C182)+1))+Noise!$E$250</f>
        <v>#VALUE!</v>
      </c>
      <c r="D217" s="23" t="e">
        <f>10*LOG10(8.25*10^-7*(Noise!F$240/((Noise!$F$112/1000)*$H112))^2*D147/((Noise!F$239*Noise!F$240+2*PI()*(Noise!$F$112/1000)*$H112*8000*$I182)/(415*D182)+1))+Noise!$E$250</f>
        <v>#VALUE!</v>
      </c>
      <c r="E217" s="23" t="e">
        <f>10*LOG10(8.25*10^-7*(Noise!G$240/((Noise!$F$112/1000)*$H112))^2*E147/((Noise!G$239*Noise!G$240+2*PI()*(Noise!$F$112/1000)*$H112*8000*$I182)/(415*E182)+1))+Noise!$E$250</f>
        <v>#VALUE!</v>
      </c>
      <c r="F217" s="23" t="e">
        <f>10*LOG10(8.25*10^-7*(Noise!H$240/((Noise!$F$112/1000)*$H112))^2*F147/((Noise!H$239*Noise!H$240+2*PI()*(Noise!$F$112/1000)*$H112*8000*$I182)/(415*F182)+1))+Noise!$E$250</f>
        <v>#VALUE!</v>
      </c>
      <c r="G217" s="23" t="e">
        <f>10*LOG10(8.25*10^-7*(Noise!I$240/((Noise!$F$112/1000)*$H112))^2*G147/((Noise!I$239*Noise!I$240+2*PI()*(Noise!$F$112/1000)*$H112*8000*$I182)/(415*G182)+1))+Noise!$E$250</f>
        <v>#VALUE!</v>
      </c>
      <c r="H217" s="177">
        <v>125</v>
      </c>
      <c r="L217" s="97"/>
      <c r="M217" s="82"/>
      <c r="N217" s="82"/>
      <c r="P217" s="31"/>
      <c r="Q217" s="31"/>
    </row>
    <row r="218" spans="1:17" s="119" customFormat="1" ht="13" outlineLevel="1" x14ac:dyDescent="0.3">
      <c r="A218" s="177"/>
      <c r="C218" s="23" t="e">
        <f>10*LOG10(8.25*10^-7*(Noise!E$240/((Noise!$F$112/1000)*$H113))^2*C148/((Noise!E$239*Noise!E$240+2*PI()*(Noise!$F$112/1000)*$H113*8000*$I183)/(415*C183)+1))+Noise!$E$250</f>
        <v>#VALUE!</v>
      </c>
      <c r="D218" s="23" t="e">
        <f>10*LOG10(8.25*10^-7*(Noise!F$240/((Noise!$F$112/1000)*$H113))^2*D148/((Noise!F$239*Noise!F$240+2*PI()*(Noise!$F$112/1000)*$H113*8000*$I183)/(415*D183)+1))+Noise!$E$250</f>
        <v>#VALUE!</v>
      </c>
      <c r="E218" s="23" t="e">
        <f>10*LOG10(8.25*10^-7*(Noise!G$240/((Noise!$F$112/1000)*$H113))^2*E148/((Noise!G$239*Noise!G$240+2*PI()*(Noise!$F$112/1000)*$H113*8000*$I183)/(415*E183)+1))+Noise!$E$250</f>
        <v>#VALUE!</v>
      </c>
      <c r="F218" s="23" t="e">
        <f>10*LOG10(8.25*10^-7*(Noise!H$240/((Noise!$F$112/1000)*$H113))^2*F148/((Noise!H$239*Noise!H$240+2*PI()*(Noise!$F$112/1000)*$H113*8000*$I183)/(415*F183)+1))+Noise!$E$250</f>
        <v>#VALUE!</v>
      </c>
      <c r="G218" s="23" t="e">
        <f>10*LOG10(8.25*10^-7*(Noise!I$240/((Noise!$F$112/1000)*$H113))^2*G148/((Noise!I$239*Noise!I$240+2*PI()*(Noise!$F$112/1000)*$H113*8000*$I183)/(415*G183)+1))+Noise!$E$250</f>
        <v>#VALUE!</v>
      </c>
      <c r="H218" s="177">
        <v>160</v>
      </c>
      <c r="L218" s="97"/>
      <c r="M218" s="82"/>
      <c r="N218" s="82"/>
      <c r="P218" s="31"/>
      <c r="Q218" s="31"/>
    </row>
    <row r="219" spans="1:17" s="119" customFormat="1" ht="13" outlineLevel="1" x14ac:dyDescent="0.3">
      <c r="A219" s="177"/>
      <c r="C219" s="23" t="e">
        <f>10*LOG10(8.25*10^-7*(Noise!E$240/((Noise!$F$112/1000)*$H114))^2*C149/((Noise!E$239*Noise!E$240+2*PI()*(Noise!$F$112/1000)*$H114*8000*$I184)/(415*C184)+1))+Noise!$E$250</f>
        <v>#VALUE!</v>
      </c>
      <c r="D219" s="23" t="e">
        <f>10*LOG10(8.25*10^-7*(Noise!F$240/((Noise!$F$112/1000)*$H114))^2*D149/((Noise!F$239*Noise!F$240+2*PI()*(Noise!$F$112/1000)*$H114*8000*$I184)/(415*D184)+1))+Noise!$E$250</f>
        <v>#VALUE!</v>
      </c>
      <c r="E219" s="23" t="e">
        <f>10*LOG10(8.25*10^-7*(Noise!G$240/((Noise!$F$112/1000)*$H114))^2*E149/((Noise!G$239*Noise!G$240+2*PI()*(Noise!$F$112/1000)*$H114*8000*$I184)/(415*E184)+1))+Noise!$E$250</f>
        <v>#VALUE!</v>
      </c>
      <c r="F219" s="23" t="e">
        <f>10*LOG10(8.25*10^-7*(Noise!H$240/((Noise!$F$112/1000)*$H114))^2*F149/((Noise!H$239*Noise!H$240+2*PI()*(Noise!$F$112/1000)*$H114*8000*$I184)/(415*F184)+1))+Noise!$E$250</f>
        <v>#VALUE!</v>
      </c>
      <c r="G219" s="23" t="e">
        <f>10*LOG10(8.25*10^-7*(Noise!I$240/((Noise!$F$112/1000)*$H114))^2*G149/((Noise!I$239*Noise!I$240+2*PI()*(Noise!$F$112/1000)*$H114*8000*$I184)/(415*G184)+1))+Noise!$E$250</f>
        <v>#VALUE!</v>
      </c>
      <c r="H219" s="177">
        <v>200</v>
      </c>
      <c r="L219" s="97"/>
      <c r="M219" s="82"/>
      <c r="N219" s="82"/>
      <c r="P219" s="31"/>
      <c r="Q219" s="31"/>
    </row>
    <row r="220" spans="1:17" s="119" customFormat="1" ht="13" outlineLevel="1" x14ac:dyDescent="0.3">
      <c r="A220" s="177"/>
      <c r="C220" s="23" t="e">
        <f>10*LOG10(8.25*10^-7*(Noise!E$240/((Noise!$F$112/1000)*$H115))^2*C150/((Noise!E$239*Noise!E$240+2*PI()*(Noise!$F$112/1000)*$H115*8000*$I185)/(415*C185)+1))+Noise!$E$250</f>
        <v>#VALUE!</v>
      </c>
      <c r="D220" s="23" t="e">
        <f>10*LOG10(8.25*10^-7*(Noise!F$240/((Noise!$F$112/1000)*$H115))^2*D150/((Noise!F$239*Noise!F$240+2*PI()*(Noise!$F$112/1000)*$H115*8000*$I185)/(415*D185)+1))+Noise!$E$250</f>
        <v>#VALUE!</v>
      </c>
      <c r="E220" s="23" t="e">
        <f>10*LOG10(8.25*10^-7*(Noise!G$240/((Noise!$F$112/1000)*$H115))^2*E150/((Noise!G$239*Noise!G$240+2*PI()*(Noise!$F$112/1000)*$H115*8000*$I185)/(415*E185)+1))+Noise!$E$250</f>
        <v>#VALUE!</v>
      </c>
      <c r="F220" s="23" t="e">
        <f>10*LOG10(8.25*10^-7*(Noise!H$240/((Noise!$F$112/1000)*$H115))^2*F150/((Noise!H$239*Noise!H$240+2*PI()*(Noise!$F$112/1000)*$H115*8000*$I185)/(415*F185)+1))+Noise!$E$250</f>
        <v>#VALUE!</v>
      </c>
      <c r="G220" s="23" t="e">
        <f>10*LOG10(8.25*10^-7*(Noise!I$240/((Noise!$F$112/1000)*$H115))^2*G150/((Noise!I$239*Noise!I$240+2*PI()*(Noise!$F$112/1000)*$H115*8000*$I185)/(415*G185)+1))+Noise!$E$250</f>
        <v>#VALUE!</v>
      </c>
      <c r="H220" s="177">
        <v>250</v>
      </c>
      <c r="L220" s="97"/>
      <c r="M220" s="82"/>
      <c r="N220" s="82"/>
      <c r="P220" s="31"/>
      <c r="Q220" s="31"/>
    </row>
    <row r="221" spans="1:17" s="119" customFormat="1" ht="13" outlineLevel="1" x14ac:dyDescent="0.3">
      <c r="A221" s="177"/>
      <c r="C221" s="23" t="e">
        <f>10*LOG10(8.25*10^-7*(Noise!E$240/((Noise!$F$112/1000)*$H116))^2*C151/((Noise!E$239*Noise!E$240+2*PI()*(Noise!$F$112/1000)*$H116*8000*$I186)/(415*C186)+1))+Noise!$E$250</f>
        <v>#VALUE!</v>
      </c>
      <c r="D221" s="23" t="e">
        <f>10*LOG10(8.25*10^-7*(Noise!F$240/((Noise!$F$112/1000)*$H116))^2*D151/((Noise!F$239*Noise!F$240+2*PI()*(Noise!$F$112/1000)*$H116*8000*$I186)/(415*D186)+1))+Noise!$E$250</f>
        <v>#VALUE!</v>
      </c>
      <c r="E221" s="23" t="e">
        <f>10*LOG10(8.25*10^-7*(Noise!G$240/((Noise!$F$112/1000)*$H116))^2*E151/((Noise!G$239*Noise!G$240+2*PI()*(Noise!$F$112/1000)*$H116*8000*$I186)/(415*E186)+1))+Noise!$E$250</f>
        <v>#VALUE!</v>
      </c>
      <c r="F221" s="23" t="e">
        <f>10*LOG10(8.25*10^-7*(Noise!H$240/((Noise!$F$112/1000)*$H116))^2*F151/((Noise!H$239*Noise!H$240+2*PI()*(Noise!$F$112/1000)*$H116*8000*$I186)/(415*F186)+1))+Noise!$E$250</f>
        <v>#VALUE!</v>
      </c>
      <c r="G221" s="23" t="e">
        <f>10*LOG10(8.25*10^-7*(Noise!I$240/((Noise!$F$112/1000)*$H116))^2*G151/((Noise!I$239*Noise!I$240+2*PI()*(Noise!$F$112/1000)*$H116*8000*$I186)/(415*G186)+1))+Noise!$E$250</f>
        <v>#VALUE!</v>
      </c>
      <c r="H221" s="177">
        <v>315</v>
      </c>
      <c r="L221" s="97"/>
      <c r="M221" s="82"/>
      <c r="N221" s="82"/>
      <c r="P221" s="31"/>
      <c r="Q221" s="31"/>
    </row>
    <row r="222" spans="1:17" s="119" customFormat="1" ht="13" outlineLevel="1" x14ac:dyDescent="0.3">
      <c r="A222" s="177"/>
      <c r="C222" s="23" t="e">
        <f>10*LOG10(8.25*10^-7*(Noise!E$240/((Noise!$F$112/1000)*$H117))^2*C152/((Noise!E$239*Noise!E$240+2*PI()*(Noise!$F$112/1000)*$H117*8000*$I187)/(415*C187)+1))+Noise!$E$250</f>
        <v>#VALUE!</v>
      </c>
      <c r="D222" s="23" t="e">
        <f>10*LOG10(8.25*10^-7*(Noise!F$240/((Noise!$F$112/1000)*$H117))^2*D152/((Noise!F$239*Noise!F$240+2*PI()*(Noise!$F$112/1000)*$H117*8000*$I187)/(415*D187)+1))+Noise!$E$250</f>
        <v>#VALUE!</v>
      </c>
      <c r="E222" s="23" t="e">
        <f>10*LOG10(8.25*10^-7*(Noise!G$240/((Noise!$F$112/1000)*$H117))^2*E152/((Noise!G$239*Noise!G$240+2*PI()*(Noise!$F$112/1000)*$H117*8000*$I187)/(415*E187)+1))+Noise!$E$250</f>
        <v>#VALUE!</v>
      </c>
      <c r="F222" s="23" t="e">
        <f>10*LOG10(8.25*10^-7*(Noise!H$240/((Noise!$F$112/1000)*$H117))^2*F152/((Noise!H$239*Noise!H$240+2*PI()*(Noise!$F$112/1000)*$H117*8000*$I187)/(415*F187)+1))+Noise!$E$250</f>
        <v>#VALUE!</v>
      </c>
      <c r="G222" s="23" t="e">
        <f>10*LOG10(8.25*10^-7*(Noise!I$240/((Noise!$F$112/1000)*$H117))^2*G152/((Noise!I$239*Noise!I$240+2*PI()*(Noise!$F$112/1000)*$H117*8000*$I187)/(415*G187)+1))+Noise!$E$250</f>
        <v>#VALUE!</v>
      </c>
      <c r="H222" s="177">
        <v>400</v>
      </c>
      <c r="L222" s="97"/>
      <c r="M222" s="82"/>
      <c r="N222" s="82"/>
      <c r="P222" s="31"/>
      <c r="Q222" s="31"/>
    </row>
    <row r="223" spans="1:17" s="119" customFormat="1" ht="13" outlineLevel="1" x14ac:dyDescent="0.3">
      <c r="A223" s="177"/>
      <c r="C223" s="23" t="e">
        <f>10*LOG10(8.25*10^-7*(Noise!E$240/((Noise!$F$112/1000)*$H118))^2*C153/((Noise!E$239*Noise!E$240+2*PI()*(Noise!$F$112/1000)*$H118*8000*$I188)/(415*C188)+1))+Noise!$E$250</f>
        <v>#VALUE!</v>
      </c>
      <c r="D223" s="23" t="e">
        <f>10*LOG10(8.25*10^-7*(Noise!F$240/((Noise!$F$112/1000)*$H118))^2*D153/((Noise!F$239*Noise!F$240+2*PI()*(Noise!$F$112/1000)*$H118*8000*$I188)/(415*D188)+1))+Noise!$E$250</f>
        <v>#VALUE!</v>
      </c>
      <c r="E223" s="23" t="e">
        <f>10*LOG10(8.25*10^-7*(Noise!G$240/((Noise!$F$112/1000)*$H118))^2*E153/((Noise!G$239*Noise!G$240+2*PI()*(Noise!$F$112/1000)*$H118*8000*$I188)/(415*E188)+1))+Noise!$E$250</f>
        <v>#VALUE!</v>
      </c>
      <c r="F223" s="23" t="e">
        <f>10*LOG10(8.25*10^-7*(Noise!H$240/((Noise!$F$112/1000)*$H118))^2*F153/((Noise!H$239*Noise!H$240+2*PI()*(Noise!$F$112/1000)*$H118*8000*$I188)/(415*F188)+1))+Noise!$E$250</f>
        <v>#VALUE!</v>
      </c>
      <c r="G223" s="23" t="e">
        <f>10*LOG10(8.25*10^-7*(Noise!I$240/((Noise!$F$112/1000)*$H118))^2*G153/((Noise!I$239*Noise!I$240+2*PI()*(Noise!$F$112/1000)*$H118*8000*$I188)/(415*G188)+1))+Noise!$E$250</f>
        <v>#VALUE!</v>
      </c>
      <c r="H223" s="177">
        <v>500</v>
      </c>
      <c r="L223" s="97"/>
      <c r="M223" s="82"/>
      <c r="N223" s="82"/>
      <c r="P223" s="31"/>
      <c r="Q223" s="31"/>
    </row>
    <row r="224" spans="1:17" s="119" customFormat="1" ht="13" outlineLevel="1" x14ac:dyDescent="0.3">
      <c r="A224" s="177"/>
      <c r="C224" s="23" t="e">
        <f>10*LOG10(8.25*10^-7*(Noise!E$240/((Noise!$F$112/1000)*$H119))^2*C154/((Noise!E$239*Noise!E$240+2*PI()*(Noise!$F$112/1000)*$H119*8000*$I189)/(415*C189)+1))+Noise!$E$250</f>
        <v>#VALUE!</v>
      </c>
      <c r="D224" s="23" t="e">
        <f>10*LOG10(8.25*10^-7*(Noise!F$240/((Noise!$F$112/1000)*$H119))^2*D154/((Noise!F$239*Noise!F$240+2*PI()*(Noise!$F$112/1000)*$H119*8000*$I189)/(415*D189)+1))+Noise!$E$250</f>
        <v>#VALUE!</v>
      </c>
      <c r="E224" s="23" t="e">
        <f>10*LOG10(8.25*10^-7*(Noise!G$240/((Noise!$F$112/1000)*$H119))^2*E154/((Noise!G$239*Noise!G$240+2*PI()*(Noise!$F$112/1000)*$H119*8000*$I189)/(415*E189)+1))+Noise!$E$250</f>
        <v>#VALUE!</v>
      </c>
      <c r="F224" s="23" t="e">
        <f>10*LOG10(8.25*10^-7*(Noise!H$240/((Noise!$F$112/1000)*$H119))^2*F154/((Noise!H$239*Noise!H$240+2*PI()*(Noise!$F$112/1000)*$H119*8000*$I189)/(415*F189)+1))+Noise!$E$250</f>
        <v>#VALUE!</v>
      </c>
      <c r="G224" s="23" t="e">
        <f>10*LOG10(8.25*10^-7*(Noise!I$240/((Noise!$F$112/1000)*$H119))^2*G154/((Noise!I$239*Noise!I$240+2*PI()*(Noise!$F$112/1000)*$H119*8000*$I189)/(415*G189)+1))+Noise!$E$250</f>
        <v>#VALUE!</v>
      </c>
      <c r="H224" s="177">
        <v>630</v>
      </c>
      <c r="L224" s="97"/>
      <c r="M224" s="82"/>
      <c r="N224" s="82"/>
      <c r="P224" s="31"/>
      <c r="Q224" s="31"/>
    </row>
    <row r="225" spans="1:17" s="119" customFormat="1" ht="13" outlineLevel="1" x14ac:dyDescent="0.3">
      <c r="A225" s="177"/>
      <c r="C225" s="23" t="e">
        <f>10*LOG10(8.25*10^-7*(Noise!E$240/((Noise!$F$112/1000)*$H120))^2*C155/((Noise!E$239*Noise!E$240+2*PI()*(Noise!$F$112/1000)*$H120*8000*$I190)/(415*C190)+1))+Noise!$E$250</f>
        <v>#VALUE!</v>
      </c>
      <c r="D225" s="23" t="e">
        <f>10*LOG10(8.25*10^-7*(Noise!F$240/((Noise!$F$112/1000)*$H120))^2*D155/((Noise!F$239*Noise!F$240+2*PI()*(Noise!$F$112/1000)*$H120*8000*$I190)/(415*D190)+1))+Noise!$E$250</f>
        <v>#VALUE!</v>
      </c>
      <c r="E225" s="23" t="e">
        <f>10*LOG10(8.25*10^-7*(Noise!G$240/((Noise!$F$112/1000)*$H120))^2*E155/((Noise!G$239*Noise!G$240+2*PI()*(Noise!$F$112/1000)*$H120*8000*$I190)/(415*E190)+1))+Noise!$E$250</f>
        <v>#VALUE!</v>
      </c>
      <c r="F225" s="23" t="e">
        <f>10*LOG10(8.25*10^-7*(Noise!H$240/((Noise!$F$112/1000)*$H120))^2*F155/((Noise!H$239*Noise!H$240+2*PI()*(Noise!$F$112/1000)*$H120*8000*$I190)/(415*F190)+1))+Noise!$E$250</f>
        <v>#VALUE!</v>
      </c>
      <c r="G225" s="23" t="e">
        <f>10*LOG10(8.25*10^-7*(Noise!I$240/((Noise!$F$112/1000)*$H120))^2*G155/((Noise!I$239*Noise!I$240+2*PI()*(Noise!$F$112/1000)*$H120*8000*$I190)/(415*G190)+1))+Noise!$E$250</f>
        <v>#VALUE!</v>
      </c>
      <c r="H225" s="177">
        <v>800</v>
      </c>
      <c r="L225" s="97"/>
      <c r="M225" s="82"/>
      <c r="N225" s="82"/>
      <c r="P225" s="31"/>
      <c r="Q225" s="31"/>
    </row>
    <row r="226" spans="1:17" s="119" customFormat="1" ht="13" outlineLevel="1" x14ac:dyDescent="0.3">
      <c r="A226" s="177"/>
      <c r="C226" s="23" t="e">
        <f>10*LOG10(8.25*10^-7*(Noise!E$240/((Noise!$F$112/1000)*$H121))^2*C156/((Noise!E$239*Noise!E$240+2*PI()*(Noise!$F$112/1000)*$H121*8000*$I191)/(415*C191)+1))+Noise!$E$250</f>
        <v>#VALUE!</v>
      </c>
      <c r="D226" s="23" t="e">
        <f>10*LOG10(8.25*10^-7*(Noise!F$240/((Noise!$F$112/1000)*$H121))^2*D156/((Noise!F$239*Noise!F$240+2*PI()*(Noise!$F$112/1000)*$H121*8000*$I191)/(415*D191)+1))+Noise!$E$250</f>
        <v>#VALUE!</v>
      </c>
      <c r="E226" s="23" t="e">
        <f>10*LOG10(8.25*10^-7*(Noise!G$240/((Noise!$F$112/1000)*$H121))^2*E156/((Noise!G$239*Noise!G$240+2*PI()*(Noise!$F$112/1000)*$H121*8000*$I191)/(415*E191)+1))+Noise!$E$250</f>
        <v>#VALUE!</v>
      </c>
      <c r="F226" s="23" t="e">
        <f>10*LOG10(8.25*10^-7*(Noise!H$240/((Noise!$F$112/1000)*$H121))^2*F156/((Noise!H$239*Noise!H$240+2*PI()*(Noise!$F$112/1000)*$H121*8000*$I191)/(415*F191)+1))+Noise!$E$250</f>
        <v>#VALUE!</v>
      </c>
      <c r="G226" s="23" t="e">
        <f>10*LOG10(8.25*10^-7*(Noise!I$240/((Noise!$F$112/1000)*$H121))^2*G156/((Noise!I$239*Noise!I$240+2*PI()*(Noise!$F$112/1000)*$H121*8000*$I191)/(415*G191)+1))+Noise!$E$250</f>
        <v>#VALUE!</v>
      </c>
      <c r="H226" s="177">
        <v>1000</v>
      </c>
      <c r="L226" s="97"/>
      <c r="M226" s="82"/>
      <c r="N226" s="82"/>
      <c r="P226" s="31"/>
      <c r="Q226" s="31"/>
    </row>
    <row r="227" spans="1:17" s="119" customFormat="1" ht="13" outlineLevel="1" x14ac:dyDescent="0.3">
      <c r="A227" s="177"/>
      <c r="C227" s="23" t="e">
        <f>10*LOG10(8.25*10^-7*(Noise!E$240/((Noise!$F$112/1000)*$H122))^2*C157/((Noise!E$239*Noise!E$240+2*PI()*(Noise!$F$112/1000)*$H122*8000*$I192)/(415*C192)+1))+Noise!$E$250</f>
        <v>#VALUE!</v>
      </c>
      <c r="D227" s="23" t="e">
        <f>10*LOG10(8.25*10^-7*(Noise!F$240/((Noise!$F$112/1000)*$H122))^2*D157/((Noise!F$239*Noise!F$240+2*PI()*(Noise!$F$112/1000)*$H122*8000*$I192)/(415*D192)+1))+Noise!$E$250</f>
        <v>#VALUE!</v>
      </c>
      <c r="E227" s="23" t="e">
        <f>10*LOG10(8.25*10^-7*(Noise!G$240/((Noise!$F$112/1000)*$H122))^2*E157/((Noise!G$239*Noise!G$240+2*PI()*(Noise!$F$112/1000)*$H122*8000*$I192)/(415*E192)+1))+Noise!$E$250</f>
        <v>#VALUE!</v>
      </c>
      <c r="F227" s="23" t="e">
        <f>10*LOG10(8.25*10^-7*(Noise!H$240/((Noise!$F$112/1000)*$H122))^2*F157/((Noise!H$239*Noise!H$240+2*PI()*(Noise!$F$112/1000)*$H122*8000*$I192)/(415*F192)+1))+Noise!$E$250</f>
        <v>#VALUE!</v>
      </c>
      <c r="G227" s="23" t="e">
        <f>10*LOG10(8.25*10^-7*(Noise!I$240/((Noise!$F$112/1000)*$H122))^2*G157/((Noise!I$239*Noise!I$240+2*PI()*(Noise!$F$112/1000)*$H122*8000*$I192)/(415*G192)+1))+Noise!$E$250</f>
        <v>#VALUE!</v>
      </c>
      <c r="H227" s="177">
        <v>1250</v>
      </c>
      <c r="L227" s="97"/>
      <c r="M227" s="82"/>
      <c r="N227" s="82"/>
      <c r="P227" s="31"/>
      <c r="Q227" s="31"/>
    </row>
    <row r="228" spans="1:17" s="119" customFormat="1" ht="13" outlineLevel="1" x14ac:dyDescent="0.3">
      <c r="A228" s="177"/>
      <c r="C228" s="23" t="e">
        <f>10*LOG10(8.25*10^-7*(Noise!E$240/((Noise!$F$112/1000)*$H123))^2*C158/((Noise!E$239*Noise!E$240+2*PI()*(Noise!$F$112/1000)*$H123*8000*$I193)/(415*C193)+1))+Noise!$E$250</f>
        <v>#VALUE!</v>
      </c>
      <c r="D228" s="23" t="e">
        <f>10*LOG10(8.25*10^-7*(Noise!F$240/((Noise!$F$112/1000)*$H123))^2*D158/((Noise!F$239*Noise!F$240+2*PI()*(Noise!$F$112/1000)*$H123*8000*$I193)/(415*D193)+1))+Noise!$E$250</f>
        <v>#VALUE!</v>
      </c>
      <c r="E228" s="23" t="e">
        <f>10*LOG10(8.25*10^-7*(Noise!G$240/((Noise!$F$112/1000)*$H123))^2*E158/((Noise!G$239*Noise!G$240+2*PI()*(Noise!$F$112/1000)*$H123*8000*$I193)/(415*E193)+1))+Noise!$E$250</f>
        <v>#VALUE!</v>
      </c>
      <c r="F228" s="23" t="e">
        <f>10*LOG10(8.25*10^-7*(Noise!H$240/((Noise!$F$112/1000)*$H123))^2*F158/((Noise!H$239*Noise!H$240+2*PI()*(Noise!$F$112/1000)*$H123*8000*$I193)/(415*F193)+1))+Noise!$E$250</f>
        <v>#VALUE!</v>
      </c>
      <c r="G228" s="23" t="e">
        <f>10*LOG10(8.25*10^-7*(Noise!I$240/((Noise!$F$112/1000)*$H123))^2*G158/((Noise!I$239*Noise!I$240+2*PI()*(Noise!$F$112/1000)*$H123*8000*$I193)/(415*G193)+1))+Noise!$E$250</f>
        <v>#VALUE!</v>
      </c>
      <c r="H228" s="177">
        <v>1600</v>
      </c>
      <c r="L228" s="97"/>
      <c r="M228" s="82"/>
      <c r="N228" s="82"/>
      <c r="P228" s="31"/>
      <c r="Q228" s="31"/>
    </row>
    <row r="229" spans="1:17" s="119" customFormat="1" ht="13" outlineLevel="1" x14ac:dyDescent="0.3">
      <c r="A229" s="177"/>
      <c r="C229" s="23" t="e">
        <f>10*LOG10(8.25*10^-7*(Noise!E$240/((Noise!$F$112/1000)*$H124))^2*C159/((Noise!E$239*Noise!E$240+2*PI()*(Noise!$F$112/1000)*$H124*8000*$I194)/(415*C194)+1))+Noise!$E$250</f>
        <v>#VALUE!</v>
      </c>
      <c r="D229" s="23" t="e">
        <f>10*LOG10(8.25*10^-7*(Noise!F$240/((Noise!$F$112/1000)*$H124))^2*D159/((Noise!F$239*Noise!F$240+2*PI()*(Noise!$F$112/1000)*$H124*8000*$I194)/(415*D194)+1))+Noise!$E$250</f>
        <v>#VALUE!</v>
      </c>
      <c r="E229" s="23" t="e">
        <f>10*LOG10(8.25*10^-7*(Noise!G$240/((Noise!$F$112/1000)*$H124))^2*E159/((Noise!G$239*Noise!G$240+2*PI()*(Noise!$F$112/1000)*$H124*8000*$I194)/(415*E194)+1))+Noise!$E$250</f>
        <v>#VALUE!</v>
      </c>
      <c r="F229" s="23" t="e">
        <f>10*LOG10(8.25*10^-7*(Noise!H$240/((Noise!$F$112/1000)*$H124))^2*F159/((Noise!H$239*Noise!H$240+2*PI()*(Noise!$F$112/1000)*$H124*8000*$I194)/(415*F194)+1))+Noise!$E$250</f>
        <v>#VALUE!</v>
      </c>
      <c r="G229" s="23" t="e">
        <f>10*LOG10(8.25*10^-7*(Noise!I$240/((Noise!$F$112/1000)*$H124))^2*G159/((Noise!I$239*Noise!I$240+2*PI()*(Noise!$F$112/1000)*$H124*8000*$I194)/(415*G194)+1))+Noise!$E$250</f>
        <v>#VALUE!</v>
      </c>
      <c r="H229" s="177">
        <v>2000</v>
      </c>
      <c r="L229" s="97"/>
      <c r="M229" s="82"/>
      <c r="N229" s="82"/>
      <c r="P229" s="31"/>
      <c r="Q229" s="31"/>
    </row>
    <row r="230" spans="1:17" s="119" customFormat="1" ht="13" outlineLevel="1" x14ac:dyDescent="0.3">
      <c r="A230" s="177"/>
      <c r="C230" s="23" t="e">
        <f>10*LOG10(8.25*10^-7*(Noise!E$240/((Noise!$F$112/1000)*$H125))^2*C160/((Noise!E$239*Noise!E$240+2*PI()*(Noise!$F$112/1000)*$H125*8000*$I195)/(415*C195)+1))+Noise!$E$250</f>
        <v>#VALUE!</v>
      </c>
      <c r="D230" s="23" t="e">
        <f>10*LOG10(8.25*10^-7*(Noise!F$240/((Noise!$F$112/1000)*$H125))^2*D160/((Noise!F$239*Noise!F$240+2*PI()*(Noise!$F$112/1000)*$H125*8000*$I195)/(415*D195)+1))+Noise!$E$250</f>
        <v>#VALUE!</v>
      </c>
      <c r="E230" s="23" t="e">
        <f>10*LOG10(8.25*10^-7*(Noise!G$240/((Noise!$F$112/1000)*$H125))^2*E160/((Noise!G$239*Noise!G$240+2*PI()*(Noise!$F$112/1000)*$H125*8000*$I195)/(415*E195)+1))+Noise!$E$250</f>
        <v>#VALUE!</v>
      </c>
      <c r="F230" s="23" t="e">
        <f>10*LOG10(8.25*10^-7*(Noise!H$240/((Noise!$F$112/1000)*$H125))^2*F160/((Noise!H$239*Noise!H$240+2*PI()*(Noise!$F$112/1000)*$H125*8000*$I195)/(415*F195)+1))+Noise!$E$250</f>
        <v>#VALUE!</v>
      </c>
      <c r="G230" s="23" t="e">
        <f>10*LOG10(8.25*10^-7*(Noise!I$240/((Noise!$F$112/1000)*$H125))^2*G160/((Noise!I$239*Noise!I$240+2*PI()*(Noise!$F$112/1000)*$H125*8000*$I195)/(415*G195)+1))+Noise!$E$250</f>
        <v>#VALUE!</v>
      </c>
      <c r="H230" s="177">
        <v>2500</v>
      </c>
      <c r="L230" s="97"/>
      <c r="M230" s="82"/>
      <c r="N230" s="82"/>
      <c r="P230" s="31"/>
      <c r="Q230" s="31"/>
    </row>
    <row r="231" spans="1:17" s="119" customFormat="1" ht="13" outlineLevel="1" x14ac:dyDescent="0.3">
      <c r="A231" s="177"/>
      <c r="C231" s="23" t="e">
        <f>10*LOG10(8.25*10^-7*(Noise!E$240/((Noise!$F$112/1000)*$H126))^2*C161/((Noise!E$239*Noise!E$240+2*PI()*(Noise!$F$112/1000)*$H126*8000*$I196)/(415*C196)+1))+Noise!$E$250</f>
        <v>#VALUE!</v>
      </c>
      <c r="D231" s="23" t="e">
        <f>10*LOG10(8.25*10^-7*(Noise!F$240/((Noise!$F$112/1000)*$H126))^2*D161/((Noise!F$239*Noise!F$240+2*PI()*(Noise!$F$112/1000)*$H126*8000*$I196)/(415*D196)+1))+Noise!$E$250</f>
        <v>#VALUE!</v>
      </c>
      <c r="E231" s="23" t="e">
        <f>10*LOG10(8.25*10^-7*(Noise!G$240/((Noise!$F$112/1000)*$H126))^2*E161/((Noise!G$239*Noise!G$240+2*PI()*(Noise!$F$112/1000)*$H126*8000*$I196)/(415*E196)+1))+Noise!$E$250</f>
        <v>#VALUE!</v>
      </c>
      <c r="F231" s="23" t="e">
        <f>10*LOG10(8.25*10^-7*(Noise!H$240/((Noise!$F$112/1000)*$H126))^2*F161/((Noise!H$239*Noise!H$240+2*PI()*(Noise!$F$112/1000)*$H126*8000*$I196)/(415*F196)+1))+Noise!$E$250</f>
        <v>#VALUE!</v>
      </c>
      <c r="G231" s="23" t="e">
        <f>10*LOG10(8.25*10^-7*(Noise!I$240/((Noise!$F$112/1000)*$H126))^2*G161/((Noise!I$239*Noise!I$240+2*PI()*(Noise!$F$112/1000)*$H126*8000*$I196)/(415*G196)+1))+Noise!$E$250</f>
        <v>#VALUE!</v>
      </c>
      <c r="H231" s="177">
        <v>3150</v>
      </c>
      <c r="L231" s="97"/>
      <c r="M231" s="82"/>
      <c r="N231" s="82"/>
      <c r="P231" s="31"/>
      <c r="Q231" s="31"/>
    </row>
    <row r="232" spans="1:17" s="119" customFormat="1" ht="13" outlineLevel="1" x14ac:dyDescent="0.3">
      <c r="A232" s="177"/>
      <c r="C232" s="23" t="e">
        <f>10*LOG10(8.25*10^-7*(Noise!E$240/((Noise!$F$112/1000)*$H127))^2*C162/((Noise!E$239*Noise!E$240+2*PI()*(Noise!$F$112/1000)*$H127*8000*$I197)/(415*C197)+1))+Noise!$E$250</f>
        <v>#VALUE!</v>
      </c>
      <c r="D232" s="23" t="e">
        <f>10*LOG10(8.25*10^-7*(Noise!F$240/((Noise!$F$112/1000)*$H127))^2*D162/((Noise!F$239*Noise!F$240+2*PI()*(Noise!$F$112/1000)*$H127*8000*$I197)/(415*D197)+1))+Noise!$E$250</f>
        <v>#VALUE!</v>
      </c>
      <c r="E232" s="23" t="e">
        <f>10*LOG10(8.25*10^-7*(Noise!G$240/((Noise!$F$112/1000)*$H127))^2*E162/((Noise!G$239*Noise!G$240+2*PI()*(Noise!$F$112/1000)*$H127*8000*$I197)/(415*E197)+1))+Noise!$E$250</f>
        <v>#VALUE!</v>
      </c>
      <c r="F232" s="23" t="e">
        <f>10*LOG10(8.25*10^-7*(Noise!H$240/((Noise!$F$112/1000)*$H127))^2*F162/((Noise!H$239*Noise!H$240+2*PI()*(Noise!$F$112/1000)*$H127*8000*$I197)/(415*F197)+1))+Noise!$E$250</f>
        <v>#VALUE!</v>
      </c>
      <c r="G232" s="23" t="e">
        <f>10*LOG10(8.25*10^-7*(Noise!I$240/((Noise!$F$112/1000)*$H127))^2*G162/((Noise!I$239*Noise!I$240+2*PI()*(Noise!$F$112/1000)*$H127*8000*$I197)/(415*G197)+1))+Noise!$E$250</f>
        <v>#VALUE!</v>
      </c>
      <c r="H232" s="177">
        <v>4000</v>
      </c>
      <c r="L232" s="97"/>
      <c r="M232" s="82"/>
      <c r="N232" s="82"/>
      <c r="P232" s="31"/>
      <c r="Q232" s="31"/>
    </row>
    <row r="233" spans="1:17" s="119" customFormat="1" ht="13" outlineLevel="1" x14ac:dyDescent="0.3">
      <c r="A233" s="177"/>
      <c r="C233" s="23" t="e">
        <f>10*LOG10(8.25*10^-7*(Noise!E$240/((Noise!$F$112/1000)*$H128))^2*C163/((Noise!E$239*Noise!E$240+2*PI()*(Noise!$F$112/1000)*$H128*8000*$I198)/(415*C198)+1))+Noise!$E$250</f>
        <v>#VALUE!</v>
      </c>
      <c r="D233" s="23" t="e">
        <f>10*LOG10(8.25*10^-7*(Noise!F$240/((Noise!$F$112/1000)*$H128))^2*D163/((Noise!F$239*Noise!F$240+2*PI()*(Noise!$F$112/1000)*$H128*8000*$I198)/(415*D198)+1))+Noise!$E$250</f>
        <v>#VALUE!</v>
      </c>
      <c r="E233" s="23" t="e">
        <f>10*LOG10(8.25*10^-7*(Noise!G$240/((Noise!$F$112/1000)*$H128))^2*E163/((Noise!G$239*Noise!G$240+2*PI()*(Noise!$F$112/1000)*$H128*8000*$I198)/(415*E198)+1))+Noise!$E$250</f>
        <v>#VALUE!</v>
      </c>
      <c r="F233" s="23" t="e">
        <f>10*LOG10(8.25*10^-7*(Noise!H$240/((Noise!$F$112/1000)*$H128))^2*F163/((Noise!H$239*Noise!H$240+2*PI()*(Noise!$F$112/1000)*$H128*8000*$I198)/(415*F198)+1))+Noise!$E$250</f>
        <v>#VALUE!</v>
      </c>
      <c r="G233" s="23" t="e">
        <f>10*LOG10(8.25*10^-7*(Noise!I$240/((Noise!$F$112/1000)*$H128))^2*G163/((Noise!I$239*Noise!I$240+2*PI()*(Noise!$F$112/1000)*$H128*8000*$I198)/(415*G198)+1))+Noise!$E$250</f>
        <v>#VALUE!</v>
      </c>
      <c r="H233" s="177">
        <v>5000</v>
      </c>
      <c r="L233" s="97"/>
      <c r="M233" s="82"/>
      <c r="N233" s="82"/>
      <c r="P233" s="31"/>
      <c r="Q233" s="31"/>
    </row>
    <row r="234" spans="1:17" s="119" customFormat="1" ht="13" outlineLevel="1" x14ac:dyDescent="0.3">
      <c r="A234" s="177"/>
      <c r="C234" s="23" t="e">
        <f>10*LOG10(8.25*10^-7*(Noise!E$240/((Noise!$F$112/1000)*$H129))^2*C164/((Noise!E$239*Noise!E$240+2*PI()*(Noise!$F$112/1000)*$H129*8000*$I199)/(415*C199)+1))+Noise!$E$250</f>
        <v>#VALUE!</v>
      </c>
      <c r="D234" s="23" t="e">
        <f>10*LOG10(8.25*10^-7*(Noise!F$240/((Noise!$F$112/1000)*$H129))^2*D164/((Noise!F$239*Noise!F$240+2*PI()*(Noise!$F$112/1000)*$H129*8000*$I199)/(415*D199)+1))+Noise!$E$250</f>
        <v>#VALUE!</v>
      </c>
      <c r="E234" s="23" t="e">
        <f>10*LOG10(8.25*10^-7*(Noise!G$240/((Noise!$F$112/1000)*$H129))^2*E164/((Noise!G$239*Noise!G$240+2*PI()*(Noise!$F$112/1000)*$H129*8000*$I199)/(415*E199)+1))+Noise!$E$250</f>
        <v>#VALUE!</v>
      </c>
      <c r="F234" s="23" t="e">
        <f>10*LOG10(8.25*10^-7*(Noise!H$240/((Noise!$F$112/1000)*$H129))^2*F164/((Noise!H$239*Noise!H$240+2*PI()*(Noise!$F$112/1000)*$H129*8000*$I199)/(415*F199)+1))+Noise!$E$250</f>
        <v>#VALUE!</v>
      </c>
      <c r="G234" s="23" t="e">
        <f>10*LOG10(8.25*10^-7*(Noise!I$240/((Noise!$F$112/1000)*$H129))^2*G164/((Noise!I$239*Noise!I$240+2*PI()*(Noise!$F$112/1000)*$H129*8000*$I199)/(415*G199)+1))+Noise!$E$250</f>
        <v>#VALUE!</v>
      </c>
      <c r="H234" s="177">
        <v>6300</v>
      </c>
      <c r="L234" s="97"/>
      <c r="M234" s="82"/>
      <c r="N234" s="82"/>
      <c r="P234" s="31"/>
      <c r="Q234" s="31"/>
    </row>
    <row r="235" spans="1:17" s="119" customFormat="1" ht="13" outlineLevel="1" x14ac:dyDescent="0.3">
      <c r="A235" s="177"/>
      <c r="C235" s="23" t="e">
        <f>10*LOG10(8.25*10^-7*(Noise!E$240/((Noise!$F$112/1000)*$H130))^2*C165/((Noise!E$239*Noise!E$240+2*PI()*(Noise!$F$112/1000)*$H130*8000*$I200)/(415*C200)+1))+Noise!$E$250</f>
        <v>#VALUE!</v>
      </c>
      <c r="D235" s="23" t="e">
        <f>10*LOG10(8.25*10^-7*(Noise!F$240/((Noise!$F$112/1000)*$H130))^2*D165/((Noise!F$239*Noise!F$240+2*PI()*(Noise!$F$112/1000)*$H130*8000*$I200)/(415*D200)+1))+Noise!$E$250</f>
        <v>#VALUE!</v>
      </c>
      <c r="E235" s="23" t="e">
        <f>10*LOG10(8.25*10^-7*(Noise!G$240/((Noise!$F$112/1000)*$H130))^2*E165/((Noise!G$239*Noise!G$240+2*PI()*(Noise!$F$112/1000)*$H130*8000*$I200)/(415*E200)+1))+Noise!$E$250</f>
        <v>#VALUE!</v>
      </c>
      <c r="F235" s="23" t="e">
        <f>10*LOG10(8.25*10^-7*(Noise!H$240/((Noise!$F$112/1000)*$H130))^2*F165/((Noise!H$239*Noise!H$240+2*PI()*(Noise!$F$112/1000)*$H130*8000*$I200)/(415*F200)+1))+Noise!$E$250</f>
        <v>#VALUE!</v>
      </c>
      <c r="G235" s="23" t="e">
        <f>10*LOG10(8.25*10^-7*(Noise!I$240/((Noise!$F$112/1000)*$H130))^2*G165/((Noise!I$239*Noise!I$240+2*PI()*(Noise!$F$112/1000)*$H130*8000*$I200)/(415*G200)+1))+Noise!$E$250</f>
        <v>#VALUE!</v>
      </c>
      <c r="H235" s="177">
        <v>8000</v>
      </c>
      <c r="L235" s="97"/>
      <c r="M235" s="82"/>
      <c r="N235" s="82"/>
      <c r="P235" s="31"/>
      <c r="Q235" s="31"/>
    </row>
    <row r="236" spans="1:17" s="119" customFormat="1" ht="13" outlineLevel="1" x14ac:dyDescent="0.3">
      <c r="A236" s="177"/>
      <c r="C236" s="23" t="e">
        <f>10*LOG10(8.25*10^-7*(Noise!E$240/((Noise!$F$112/1000)*$H131))^2*C166/((Noise!E$239*Noise!E$240+2*PI()*(Noise!$F$112/1000)*$H131*8000*$I201)/(415*C201)+1))+Noise!$E$250</f>
        <v>#VALUE!</v>
      </c>
      <c r="D236" s="23" t="e">
        <f>10*LOG10(8.25*10^-7*(Noise!F$240/((Noise!$F$112/1000)*$H131))^2*D166/((Noise!F$239*Noise!F$240+2*PI()*(Noise!$F$112/1000)*$H131*8000*$I201)/(415*D201)+1))+Noise!$E$250</f>
        <v>#VALUE!</v>
      </c>
      <c r="E236" s="23" t="e">
        <f>10*LOG10(8.25*10^-7*(Noise!G$240/((Noise!$F$112/1000)*$H131))^2*E166/((Noise!G$239*Noise!G$240+2*PI()*(Noise!$F$112/1000)*$H131*8000*$I201)/(415*E201)+1))+Noise!$E$250</f>
        <v>#VALUE!</v>
      </c>
      <c r="F236" s="23" t="e">
        <f>10*LOG10(8.25*10^-7*(Noise!H$240/((Noise!$F$112/1000)*$H131))^2*F166/((Noise!H$239*Noise!H$240+2*PI()*(Noise!$F$112/1000)*$H131*8000*$I201)/(415*F201)+1))+Noise!$E$250</f>
        <v>#VALUE!</v>
      </c>
      <c r="G236" s="23" t="e">
        <f>10*LOG10(8.25*10^-7*(Noise!I$240/((Noise!$F$112/1000)*$H131))^2*G166/((Noise!I$239*Noise!I$240+2*PI()*(Noise!$F$112/1000)*$H131*8000*$I201)/(415*G201)+1))+Noise!$E$250</f>
        <v>#VALUE!</v>
      </c>
      <c r="H236" s="177">
        <v>10000</v>
      </c>
      <c r="L236" s="97"/>
      <c r="M236" s="82"/>
      <c r="N236" s="82"/>
      <c r="P236" s="31"/>
      <c r="Q236" s="31"/>
    </row>
    <row r="237" spans="1:17" s="119" customFormat="1" ht="13" outlineLevel="1" x14ac:dyDescent="0.3">
      <c r="A237" s="177"/>
      <c r="C237" s="23" t="e">
        <f>10*LOG10(8.25*10^-7*(Noise!E$240/((Noise!$F$112/1000)*$H132))^2*C167/((Noise!E$239*Noise!E$240+2*PI()*(Noise!$F$112/1000)*$H132*8000*$I202)/(415*C202)+1))+Noise!$E$250</f>
        <v>#VALUE!</v>
      </c>
      <c r="D237" s="23" t="e">
        <f>10*LOG10(8.25*10^-7*(Noise!F$240/((Noise!$F$112/1000)*$H132))^2*D167/((Noise!F$239*Noise!F$240+2*PI()*(Noise!$F$112/1000)*$H132*8000*$I202)/(415*D202)+1))+Noise!$E$250</f>
        <v>#VALUE!</v>
      </c>
      <c r="E237" s="23" t="e">
        <f>10*LOG10(8.25*10^-7*(Noise!G$240/((Noise!$F$112/1000)*$H132))^2*E167/((Noise!G$239*Noise!G$240+2*PI()*(Noise!$F$112/1000)*$H132*8000*$I202)/(415*E202)+1))+Noise!$E$250</f>
        <v>#VALUE!</v>
      </c>
      <c r="F237" s="23" t="e">
        <f>10*LOG10(8.25*10^-7*(Noise!H$240/((Noise!$F$112/1000)*$H132))^2*F167/((Noise!H$239*Noise!H$240+2*PI()*(Noise!$F$112/1000)*$H132*8000*$I202)/(415*F202)+1))+Noise!$E$250</f>
        <v>#VALUE!</v>
      </c>
      <c r="G237" s="23" t="e">
        <f>10*LOG10(8.25*10^-7*(Noise!I$240/((Noise!$F$112/1000)*$H132))^2*G167/((Noise!I$239*Noise!I$240+2*PI()*(Noise!$F$112/1000)*$H132*8000*$I202)/(415*G202)+1))+Noise!$E$250</f>
        <v>#VALUE!</v>
      </c>
      <c r="H237" s="177">
        <v>12500</v>
      </c>
      <c r="L237" s="97"/>
      <c r="M237" s="82"/>
      <c r="N237" s="82"/>
      <c r="P237" s="31"/>
      <c r="Q237" s="31"/>
    </row>
    <row r="238" spans="1:17" s="119" customFormat="1" ht="13" outlineLevel="1" x14ac:dyDescent="0.3">
      <c r="A238" s="177"/>
      <c r="C238" s="23" t="e">
        <f>10*LOG10(8.25*10^-7*(Noise!E$240/((Noise!$F$112/1000)*$H133))^2*C168/((Noise!E$239*Noise!E$240+2*PI()*(Noise!$F$112/1000)*$H133*8000*$I203)/(415*C203)+1))+Noise!$E$250</f>
        <v>#VALUE!</v>
      </c>
      <c r="D238" s="23" t="e">
        <f>10*LOG10(8.25*10^-7*(Noise!F$240/((Noise!$F$112/1000)*$H133))^2*D168/((Noise!F$239*Noise!F$240+2*PI()*(Noise!$F$112/1000)*$H133*8000*$I203)/(415*D203)+1))+Noise!$E$250</f>
        <v>#VALUE!</v>
      </c>
      <c r="E238" s="23" t="e">
        <f>10*LOG10(8.25*10^-7*(Noise!G$240/((Noise!$F$112/1000)*$H133))^2*E168/((Noise!G$239*Noise!G$240+2*PI()*(Noise!$F$112/1000)*$H133*8000*$I203)/(415*E203)+1))+Noise!$E$250</f>
        <v>#VALUE!</v>
      </c>
      <c r="F238" s="23" t="e">
        <f>10*LOG10(8.25*10^-7*(Noise!H$240/((Noise!$F$112/1000)*$H133))^2*F168/((Noise!H$239*Noise!H$240+2*PI()*(Noise!$F$112/1000)*$H133*8000*$I203)/(415*F203)+1))+Noise!$E$250</f>
        <v>#VALUE!</v>
      </c>
      <c r="G238" s="23" t="e">
        <f>10*LOG10(8.25*10^-7*(Noise!I$240/((Noise!$F$112/1000)*$H133))^2*G168/((Noise!I$239*Noise!I$240+2*PI()*(Noise!$F$112/1000)*$H133*8000*$I203)/(415*G203)+1))+Noise!$E$250</f>
        <v>#VALUE!</v>
      </c>
      <c r="H238" s="177">
        <v>16000</v>
      </c>
      <c r="L238" s="97"/>
      <c r="M238" s="82"/>
      <c r="N238" s="82"/>
      <c r="P238" s="31"/>
      <c r="Q238" s="31"/>
    </row>
    <row r="239" spans="1:17" s="119" customFormat="1" ht="13" outlineLevel="1" x14ac:dyDescent="0.3">
      <c r="A239" s="177"/>
      <c r="C239" s="23" t="e">
        <f>10*LOG10(8.25*10^-7*(Noise!E$240/((Noise!$F$112/1000)*$H134))^2*C169/((Noise!E$239*Noise!E$240+2*PI()*(Noise!$F$112/1000)*$H134*8000*$I204)/(415*C204)+1))+Noise!$E$250</f>
        <v>#VALUE!</v>
      </c>
      <c r="D239" s="23" t="e">
        <f>10*LOG10(8.25*10^-7*(Noise!F$240/((Noise!$F$112/1000)*$H134))^2*D169/((Noise!F$239*Noise!F$240+2*PI()*(Noise!$F$112/1000)*$H134*8000*$I204)/(415*D204)+1))+Noise!$E$250</f>
        <v>#VALUE!</v>
      </c>
      <c r="E239" s="23" t="e">
        <f>10*LOG10(8.25*10^-7*(Noise!G$240/((Noise!$F$112/1000)*$H134))^2*E169/((Noise!G$239*Noise!G$240+2*PI()*(Noise!$F$112/1000)*$H134*8000*$I204)/(415*E204)+1))+Noise!$E$250</f>
        <v>#VALUE!</v>
      </c>
      <c r="F239" s="23" t="e">
        <f>10*LOG10(8.25*10^-7*(Noise!H$240/((Noise!$F$112/1000)*$H134))^2*F169/((Noise!H$239*Noise!H$240+2*PI()*(Noise!$F$112/1000)*$H134*8000*$I204)/(415*F204)+1))+Noise!$E$250</f>
        <v>#VALUE!</v>
      </c>
      <c r="G239" s="23" t="e">
        <f>10*LOG10(8.25*10^-7*(Noise!I$240/((Noise!$F$112/1000)*$H134))^2*G169/((Noise!I$239*Noise!I$240+2*PI()*(Noise!$F$112/1000)*$H134*8000*$I204)/(415*G204)+1))+Noise!$E$250</f>
        <v>#VALUE!</v>
      </c>
      <c r="H239" s="177">
        <v>20000</v>
      </c>
      <c r="L239" s="97"/>
      <c r="M239" s="82"/>
      <c r="N239" s="82"/>
      <c r="P239" s="31"/>
      <c r="Q239" s="31"/>
    </row>
    <row r="240" spans="1:17" s="119" customFormat="1" ht="13" outlineLevel="1" x14ac:dyDescent="0.3">
      <c r="A240" s="177"/>
      <c r="C240" s="23"/>
      <c r="D240" s="23"/>
      <c r="E240" s="23"/>
      <c r="F240" s="23"/>
      <c r="G240" s="23"/>
      <c r="H240" s="177"/>
      <c r="L240" s="97"/>
      <c r="M240" s="82"/>
      <c r="N240" s="82"/>
      <c r="P240" s="31"/>
      <c r="Q240" s="31"/>
    </row>
    <row r="241" spans="1:17" s="119" customFormat="1" ht="13" outlineLevel="1" x14ac:dyDescent="0.3">
      <c r="A241" s="177"/>
      <c r="C241" s="492" t="s">
        <v>973</v>
      </c>
      <c r="D241" s="492"/>
      <c r="E241" s="492"/>
      <c r="F241" s="492"/>
      <c r="G241" s="492"/>
      <c r="H241" s="177"/>
      <c r="L241" s="97"/>
      <c r="M241" s="82"/>
      <c r="N241" s="82"/>
      <c r="P241" s="31"/>
      <c r="Q241" s="31"/>
    </row>
    <row r="242" spans="1:17" s="119" customFormat="1" ht="13" outlineLevel="1" x14ac:dyDescent="0.3">
      <c r="C242" s="23" t="e">
        <f>C102+C207-10*LOG((Noise!$F$113/1000+2*Noise!$F$112/1000+2)/(Noise!$F$113/1000+2*Noise!$F$112/1000))+Noise!$E$254</f>
        <v>#DIV/0!</v>
      </c>
      <c r="D242" s="23" t="e">
        <f>D102+D207-10*LOG((Noise!$F$113/1000+2*Noise!$F$112/1000+2)/(Noise!$F$113/1000+2*Noise!$F$112/1000))+Noise!$E$254</f>
        <v>#DIV/0!</v>
      </c>
      <c r="E242" s="23" t="e">
        <f>E102+E207-10*LOG((Noise!$F$113/1000+2*Noise!$F$112/1000+2)/(Noise!$F$113/1000+2*Noise!$F$112/1000))+Noise!$E$254</f>
        <v>#DIV/0!</v>
      </c>
      <c r="F242" s="23" t="e">
        <f>F102+F207-10*LOG((Noise!$F$113/1000+2*Noise!$F$112/1000+2)/(Noise!$F$113/1000+2*Noise!$F$112/1000))+Noise!$E$254</f>
        <v>#DIV/0!</v>
      </c>
      <c r="G242" s="23" t="e">
        <f>G102+G207-10*LOG((Noise!$F$113/1000+2*Noise!$F$112/1000+2)/(Noise!$F$113/1000+2*Noise!$F$112/1000))+Noise!$E$254</f>
        <v>#DIV/0!</v>
      </c>
      <c r="H242" s="177">
        <v>12.5</v>
      </c>
      <c r="L242" s="97"/>
      <c r="M242" s="82"/>
      <c r="N242" s="82"/>
      <c r="P242" s="31"/>
      <c r="Q242" s="31"/>
    </row>
    <row r="243" spans="1:17" s="119" customFormat="1" ht="13" outlineLevel="1" x14ac:dyDescent="0.3">
      <c r="C243" s="23" t="e">
        <f>C103+C208-10*LOG((Noise!$F$113/1000+2*Noise!$F$112/1000+2)/(Noise!$F$113/1000+2*Noise!$F$112/1000))+Noise!$E$254</f>
        <v>#DIV/0!</v>
      </c>
      <c r="D243" s="23" t="e">
        <f>D103+D208-10*LOG((Noise!$F$113/1000+2*Noise!$F$112/1000+2)/(Noise!$F$113/1000+2*Noise!$F$112/1000))+Noise!$E$254</f>
        <v>#DIV/0!</v>
      </c>
      <c r="E243" s="23" t="e">
        <f>E103+E208-10*LOG((Noise!$F$113/1000+2*Noise!$F$112/1000+2)/(Noise!$F$113/1000+2*Noise!$F$112/1000))+Noise!$E$254</f>
        <v>#DIV/0!</v>
      </c>
      <c r="F243" s="23" t="e">
        <f>F103+F208-10*LOG((Noise!$F$113/1000+2*Noise!$F$112/1000+2)/(Noise!$F$113/1000+2*Noise!$F$112/1000))+Noise!$E$254</f>
        <v>#DIV/0!</v>
      </c>
      <c r="G243" s="23" t="e">
        <f>G103+G208-10*LOG((Noise!$F$113/1000+2*Noise!$F$112/1000+2)/(Noise!$F$113/1000+2*Noise!$F$112/1000))+Noise!$E$254</f>
        <v>#DIV/0!</v>
      </c>
      <c r="H243" s="177">
        <v>16</v>
      </c>
      <c r="L243" s="97"/>
      <c r="M243" s="82"/>
      <c r="N243" s="82"/>
      <c r="P243" s="31"/>
      <c r="Q243" s="31"/>
    </row>
    <row r="244" spans="1:17" s="119" customFormat="1" ht="13" outlineLevel="1" x14ac:dyDescent="0.3">
      <c r="C244" s="23" t="e">
        <f>C104+C209-10*LOG((Noise!$F$113/1000+2*Noise!$F$112/1000+2)/(Noise!$F$113/1000+2*Noise!$F$112/1000))+Noise!$E$254</f>
        <v>#DIV/0!</v>
      </c>
      <c r="D244" s="23" t="e">
        <f>D104+D209-10*LOG((Noise!$F$113/1000+2*Noise!$F$112/1000+2)/(Noise!$F$113/1000+2*Noise!$F$112/1000))+Noise!$E$254</f>
        <v>#DIV/0!</v>
      </c>
      <c r="E244" s="23" t="e">
        <f>E104+E209-10*LOG((Noise!$F$113/1000+2*Noise!$F$112/1000+2)/(Noise!$F$113/1000+2*Noise!$F$112/1000))+Noise!$E$254</f>
        <v>#DIV/0!</v>
      </c>
      <c r="F244" s="23" t="e">
        <f>F104+F209-10*LOG((Noise!$F$113/1000+2*Noise!$F$112/1000+2)/(Noise!$F$113/1000+2*Noise!$F$112/1000))+Noise!$E$254</f>
        <v>#DIV/0!</v>
      </c>
      <c r="G244" s="23" t="e">
        <f>G104+G209-10*LOG((Noise!$F$113/1000+2*Noise!$F$112/1000+2)/(Noise!$F$113/1000+2*Noise!$F$112/1000))+Noise!$E$254</f>
        <v>#DIV/0!</v>
      </c>
      <c r="H244" s="177">
        <v>20</v>
      </c>
      <c r="L244" s="97"/>
      <c r="M244" s="82"/>
      <c r="N244" s="82"/>
      <c r="P244" s="31"/>
      <c r="Q244" s="31"/>
    </row>
    <row r="245" spans="1:17" s="119" customFormat="1" ht="13" outlineLevel="1" x14ac:dyDescent="0.3">
      <c r="C245" s="23" t="e">
        <f>C105+C210-10*LOG((Noise!$F$113/1000+2*Noise!$F$112/1000+2)/(Noise!$F$113/1000+2*Noise!$F$112/1000))+Noise!$E$254</f>
        <v>#DIV/0!</v>
      </c>
      <c r="D245" s="23" t="e">
        <f>D105+D210-10*LOG((Noise!$F$113/1000+2*Noise!$F$112/1000+2)/(Noise!$F$113/1000+2*Noise!$F$112/1000))+Noise!$E$254</f>
        <v>#DIV/0!</v>
      </c>
      <c r="E245" s="23" t="e">
        <f>E105+E210-10*LOG((Noise!$F$113/1000+2*Noise!$F$112/1000+2)/(Noise!$F$113/1000+2*Noise!$F$112/1000))+Noise!$E$254</f>
        <v>#DIV/0!</v>
      </c>
      <c r="F245" s="23" t="e">
        <f>F105+F210-10*LOG((Noise!$F$113/1000+2*Noise!$F$112/1000+2)/(Noise!$F$113/1000+2*Noise!$F$112/1000))+Noise!$E$254</f>
        <v>#DIV/0!</v>
      </c>
      <c r="G245" s="23" t="e">
        <f>G105+G210-10*LOG((Noise!$F$113/1000+2*Noise!$F$112/1000+2)/(Noise!$F$113/1000+2*Noise!$F$112/1000))+Noise!$E$254</f>
        <v>#DIV/0!</v>
      </c>
      <c r="H245" s="177">
        <v>25</v>
      </c>
      <c r="L245" s="97"/>
      <c r="M245" s="82"/>
      <c r="N245" s="82"/>
      <c r="P245" s="31"/>
      <c r="Q245" s="31"/>
    </row>
    <row r="246" spans="1:17" s="119" customFormat="1" ht="13" outlineLevel="1" x14ac:dyDescent="0.3">
      <c r="A246" s="177"/>
      <c r="C246" s="23" t="e">
        <f>C106+C211-10*LOG((Noise!$F$113/1000+2*Noise!$F$112/1000+2)/(Noise!$F$113/1000+2*Noise!$F$112/1000))+Noise!$E$254</f>
        <v>#DIV/0!</v>
      </c>
      <c r="D246" s="23" t="e">
        <f>D106+D211-10*LOG((Noise!$F$113/1000+2*Noise!$F$112/1000+2)/(Noise!$F$113/1000+2*Noise!$F$112/1000))+Noise!$E$254</f>
        <v>#DIV/0!</v>
      </c>
      <c r="E246" s="23" t="e">
        <f>E106+E211-10*LOG((Noise!$F$113/1000+2*Noise!$F$112/1000+2)/(Noise!$F$113/1000+2*Noise!$F$112/1000))+Noise!$E$254</f>
        <v>#DIV/0!</v>
      </c>
      <c r="F246" s="23" t="e">
        <f>F106+F211-10*LOG((Noise!$F$113/1000+2*Noise!$F$112/1000+2)/(Noise!$F$113/1000+2*Noise!$F$112/1000))+Noise!$E$254</f>
        <v>#DIV/0!</v>
      </c>
      <c r="G246" s="23" t="e">
        <f>G106+G211-10*LOG((Noise!$F$113/1000+2*Noise!$F$112/1000+2)/(Noise!$F$113/1000+2*Noise!$F$112/1000))+Noise!$E$254</f>
        <v>#DIV/0!</v>
      </c>
      <c r="H246" s="177">
        <v>31.5</v>
      </c>
      <c r="L246" s="97"/>
      <c r="M246" s="82"/>
      <c r="N246" s="82"/>
      <c r="P246" s="31"/>
      <c r="Q246" s="31"/>
    </row>
    <row r="247" spans="1:17" s="119" customFormat="1" ht="13" outlineLevel="1" x14ac:dyDescent="0.3">
      <c r="A247" s="177"/>
      <c r="C247" s="23" t="e">
        <f>C107+C212-10*LOG((Noise!$F$113/1000+2*Noise!$F$112/1000+2)/(Noise!$F$113/1000+2*Noise!$F$112/1000))+Noise!$E$254</f>
        <v>#DIV/0!</v>
      </c>
      <c r="D247" s="23" t="e">
        <f>D107+D212-10*LOG((Noise!$F$113/1000+2*Noise!$F$112/1000+2)/(Noise!$F$113/1000+2*Noise!$F$112/1000))+Noise!$E$254</f>
        <v>#DIV/0!</v>
      </c>
      <c r="E247" s="23" t="e">
        <f>E107+E212-10*LOG((Noise!$F$113/1000+2*Noise!$F$112/1000+2)/(Noise!$F$113/1000+2*Noise!$F$112/1000))+Noise!$E$254</f>
        <v>#DIV/0!</v>
      </c>
      <c r="F247" s="23" t="e">
        <f>F107+F212-10*LOG((Noise!$F$113/1000+2*Noise!$F$112/1000+2)/(Noise!$F$113/1000+2*Noise!$F$112/1000))+Noise!$E$254</f>
        <v>#DIV/0!</v>
      </c>
      <c r="G247" s="23" t="e">
        <f>G107+G212-10*LOG((Noise!$F$113/1000+2*Noise!$F$112/1000+2)/(Noise!$F$113/1000+2*Noise!$F$112/1000))+Noise!$E$254</f>
        <v>#DIV/0!</v>
      </c>
      <c r="H247" s="177">
        <v>40</v>
      </c>
      <c r="L247" s="97"/>
      <c r="M247" s="82"/>
      <c r="N247" s="82"/>
      <c r="P247" s="31"/>
      <c r="Q247" s="31"/>
    </row>
    <row r="248" spans="1:17" s="119" customFormat="1" ht="13" outlineLevel="1" x14ac:dyDescent="0.3">
      <c r="A248" s="177"/>
      <c r="C248" s="23" t="e">
        <f>C108+C213-10*LOG((Noise!$F$113/1000+2*Noise!$F$112/1000+2)/(Noise!$F$113/1000+2*Noise!$F$112/1000))+Noise!$E$254</f>
        <v>#DIV/0!</v>
      </c>
      <c r="D248" s="23" t="e">
        <f>D108+D213-10*LOG((Noise!$F$113/1000+2*Noise!$F$112/1000+2)/(Noise!$F$113/1000+2*Noise!$F$112/1000))+Noise!$E$254</f>
        <v>#DIV/0!</v>
      </c>
      <c r="E248" s="23" t="e">
        <f>E108+E213-10*LOG((Noise!$F$113/1000+2*Noise!$F$112/1000+2)/(Noise!$F$113/1000+2*Noise!$F$112/1000))+Noise!$E$254</f>
        <v>#DIV/0!</v>
      </c>
      <c r="F248" s="23" t="e">
        <f>F108+F213-10*LOG((Noise!$F$113/1000+2*Noise!$F$112/1000+2)/(Noise!$F$113/1000+2*Noise!$F$112/1000))+Noise!$E$254</f>
        <v>#DIV/0!</v>
      </c>
      <c r="G248" s="23" t="e">
        <f>G108+G213-10*LOG((Noise!$F$113/1000+2*Noise!$F$112/1000+2)/(Noise!$F$113/1000+2*Noise!$F$112/1000))+Noise!$E$254</f>
        <v>#DIV/0!</v>
      </c>
      <c r="H248" s="177">
        <v>50</v>
      </c>
      <c r="L248" s="97"/>
      <c r="M248" s="82"/>
      <c r="N248" s="82"/>
      <c r="P248" s="31"/>
      <c r="Q248" s="31"/>
    </row>
    <row r="249" spans="1:17" s="119" customFormat="1" ht="13" outlineLevel="1" x14ac:dyDescent="0.3">
      <c r="A249" s="17"/>
      <c r="C249" s="23" t="e">
        <f>C109+C214-10*LOG((Noise!$F$113/1000+2*Noise!$F$112/1000+2)/(Noise!$F$113/1000+2*Noise!$F$112/1000))+Noise!$E$254</f>
        <v>#DIV/0!</v>
      </c>
      <c r="D249" s="23" t="e">
        <f>D109+D214-10*LOG((Noise!$F$113/1000+2*Noise!$F$112/1000+2)/(Noise!$F$113/1000+2*Noise!$F$112/1000))+Noise!$E$254</f>
        <v>#DIV/0!</v>
      </c>
      <c r="E249" s="23" t="e">
        <f>E109+E214-10*LOG((Noise!$F$113/1000+2*Noise!$F$112/1000+2)/(Noise!$F$113/1000+2*Noise!$F$112/1000))+Noise!$E$254</f>
        <v>#DIV/0!</v>
      </c>
      <c r="F249" s="23" t="e">
        <f>F109+F214-10*LOG((Noise!$F$113/1000+2*Noise!$F$112/1000+2)/(Noise!$F$113/1000+2*Noise!$F$112/1000))+Noise!$E$254</f>
        <v>#DIV/0!</v>
      </c>
      <c r="G249" s="23" t="e">
        <f>G109+G214-10*LOG((Noise!$F$113/1000+2*Noise!$F$112/1000+2)/(Noise!$F$113/1000+2*Noise!$F$112/1000))+Noise!$E$254</f>
        <v>#DIV/0!</v>
      </c>
      <c r="H249" s="177">
        <v>63</v>
      </c>
      <c r="L249" s="97"/>
      <c r="M249" s="82"/>
      <c r="N249" s="82"/>
      <c r="P249" s="31"/>
      <c r="Q249" s="31"/>
    </row>
    <row r="250" spans="1:17" s="119" customFormat="1" ht="13" outlineLevel="1" x14ac:dyDescent="0.3">
      <c r="A250" s="17"/>
      <c r="C250" s="23" t="e">
        <f>C110+C215-10*LOG((Noise!$F$113/1000+2*Noise!$F$112/1000+2)/(Noise!$F$113/1000+2*Noise!$F$112/1000))+Noise!$E$254</f>
        <v>#DIV/0!</v>
      </c>
      <c r="D250" s="23" t="e">
        <f>D110+D215-10*LOG((Noise!$F$113/1000+2*Noise!$F$112/1000+2)/(Noise!$F$113/1000+2*Noise!$F$112/1000))+Noise!$E$254</f>
        <v>#DIV/0!</v>
      </c>
      <c r="E250" s="23" t="e">
        <f>E110+E215-10*LOG((Noise!$F$113/1000+2*Noise!$F$112/1000+2)/(Noise!$F$113/1000+2*Noise!$F$112/1000))+Noise!$E$254</f>
        <v>#DIV/0!</v>
      </c>
      <c r="F250" s="23" t="e">
        <f>F110+F215-10*LOG((Noise!$F$113/1000+2*Noise!$F$112/1000+2)/(Noise!$F$113/1000+2*Noise!$F$112/1000))+Noise!$E$254</f>
        <v>#DIV/0!</v>
      </c>
      <c r="G250" s="23" t="e">
        <f>G110+G215-10*LOG((Noise!$F$113/1000+2*Noise!$F$112/1000+2)/(Noise!$F$113/1000+2*Noise!$F$112/1000))+Noise!$E$254</f>
        <v>#DIV/0!</v>
      </c>
      <c r="H250" s="177">
        <v>80</v>
      </c>
      <c r="L250" s="97"/>
      <c r="M250" s="82"/>
      <c r="N250" s="82"/>
      <c r="P250" s="31"/>
      <c r="Q250" s="31"/>
    </row>
    <row r="251" spans="1:17" s="119" customFormat="1" ht="13" outlineLevel="1" x14ac:dyDescent="0.3">
      <c r="A251" s="17"/>
      <c r="C251" s="23" t="e">
        <f>C111+C216-10*LOG((Noise!$F$113/1000+2*Noise!$F$112/1000+2)/(Noise!$F$113/1000+2*Noise!$F$112/1000))+Noise!$E$254</f>
        <v>#DIV/0!</v>
      </c>
      <c r="D251" s="23" t="e">
        <f>D111+D216-10*LOG((Noise!$F$113/1000+2*Noise!$F$112/1000+2)/(Noise!$F$113/1000+2*Noise!$F$112/1000))+Noise!$E$254</f>
        <v>#DIV/0!</v>
      </c>
      <c r="E251" s="23" t="e">
        <f>E111+E216-10*LOG((Noise!$F$113/1000+2*Noise!$F$112/1000+2)/(Noise!$F$113/1000+2*Noise!$F$112/1000))+Noise!$E$254</f>
        <v>#DIV/0!</v>
      </c>
      <c r="F251" s="23" t="e">
        <f>F111+F216-10*LOG((Noise!$F$113/1000+2*Noise!$F$112/1000+2)/(Noise!$F$113/1000+2*Noise!$F$112/1000))+Noise!$E$254</f>
        <v>#DIV/0!</v>
      </c>
      <c r="G251" s="23" t="e">
        <f>G111+G216-10*LOG((Noise!$F$113/1000+2*Noise!$F$112/1000+2)/(Noise!$F$113/1000+2*Noise!$F$112/1000))+Noise!$E$254</f>
        <v>#DIV/0!</v>
      </c>
      <c r="H251" s="177">
        <v>100</v>
      </c>
      <c r="L251" s="97"/>
      <c r="M251" s="82"/>
      <c r="N251" s="82"/>
      <c r="P251" s="31"/>
      <c r="Q251" s="31"/>
    </row>
    <row r="252" spans="1:17" s="119" customFormat="1" ht="13" outlineLevel="1" x14ac:dyDescent="0.3">
      <c r="A252" s="17"/>
      <c r="C252" s="23" t="e">
        <f>C112+C217-10*LOG((Noise!$F$113/1000+2*Noise!$F$112/1000+2)/(Noise!$F$113/1000+2*Noise!$F$112/1000))+Noise!$E$254</f>
        <v>#DIV/0!</v>
      </c>
      <c r="D252" s="23" t="e">
        <f>D112+D217-10*LOG((Noise!$F$113/1000+2*Noise!$F$112/1000+2)/(Noise!$F$113/1000+2*Noise!$F$112/1000))+Noise!$E$254</f>
        <v>#DIV/0!</v>
      </c>
      <c r="E252" s="23" t="e">
        <f>E112+E217-10*LOG((Noise!$F$113/1000+2*Noise!$F$112/1000+2)/(Noise!$F$113/1000+2*Noise!$F$112/1000))+Noise!$E$254</f>
        <v>#DIV/0!</v>
      </c>
      <c r="F252" s="23" t="e">
        <f>F112+F217-10*LOG((Noise!$F$113/1000+2*Noise!$F$112/1000+2)/(Noise!$F$113/1000+2*Noise!$F$112/1000))+Noise!$E$254</f>
        <v>#DIV/0!</v>
      </c>
      <c r="G252" s="23" t="e">
        <f>G112+G217-10*LOG((Noise!$F$113/1000+2*Noise!$F$112/1000+2)/(Noise!$F$113/1000+2*Noise!$F$112/1000))+Noise!$E$254</f>
        <v>#DIV/0!</v>
      </c>
      <c r="H252" s="177">
        <v>125</v>
      </c>
      <c r="L252" s="97"/>
      <c r="M252" s="82"/>
      <c r="N252" s="82"/>
      <c r="P252" s="31"/>
      <c r="Q252" s="31"/>
    </row>
    <row r="253" spans="1:17" s="119" customFormat="1" ht="13" outlineLevel="1" x14ac:dyDescent="0.3">
      <c r="A253" s="17"/>
      <c r="C253" s="23" t="e">
        <f>C113+C218-10*LOG((Noise!$F$113/1000+2*Noise!$F$112/1000+2)/(Noise!$F$113/1000+2*Noise!$F$112/1000))+Noise!$E$254</f>
        <v>#DIV/0!</v>
      </c>
      <c r="D253" s="23" t="e">
        <f>D113+D218-10*LOG((Noise!$F$113/1000+2*Noise!$F$112/1000+2)/(Noise!$F$113/1000+2*Noise!$F$112/1000))+Noise!$E$254</f>
        <v>#DIV/0!</v>
      </c>
      <c r="E253" s="23" t="e">
        <f>E113+E218-10*LOG((Noise!$F$113/1000+2*Noise!$F$112/1000+2)/(Noise!$F$113/1000+2*Noise!$F$112/1000))+Noise!$E$254</f>
        <v>#DIV/0!</v>
      </c>
      <c r="F253" s="23" t="e">
        <f>F113+F218-10*LOG((Noise!$F$113/1000+2*Noise!$F$112/1000+2)/(Noise!$F$113/1000+2*Noise!$F$112/1000))+Noise!$E$254</f>
        <v>#DIV/0!</v>
      </c>
      <c r="G253" s="23" t="e">
        <f>G113+G218-10*LOG((Noise!$F$113/1000+2*Noise!$F$112/1000+2)/(Noise!$F$113/1000+2*Noise!$F$112/1000))+Noise!$E$254</f>
        <v>#DIV/0!</v>
      </c>
      <c r="H253" s="177">
        <v>160</v>
      </c>
      <c r="L253" s="97"/>
      <c r="M253" s="82"/>
      <c r="N253" s="82"/>
      <c r="P253" s="31"/>
      <c r="Q253" s="31"/>
    </row>
    <row r="254" spans="1:17" s="119" customFormat="1" ht="13" outlineLevel="1" x14ac:dyDescent="0.3">
      <c r="A254" s="17"/>
      <c r="C254" s="23" t="e">
        <f>C114+C219-10*LOG((Noise!$F$113/1000+2*Noise!$F$112/1000+2)/(Noise!$F$113/1000+2*Noise!$F$112/1000))+Noise!$E$254</f>
        <v>#DIV/0!</v>
      </c>
      <c r="D254" s="23" t="e">
        <f>D114+D219-10*LOG((Noise!$F$113/1000+2*Noise!$F$112/1000+2)/(Noise!$F$113/1000+2*Noise!$F$112/1000))+Noise!$E$254</f>
        <v>#DIV/0!</v>
      </c>
      <c r="E254" s="23" t="e">
        <f>E114+E219-10*LOG((Noise!$F$113/1000+2*Noise!$F$112/1000+2)/(Noise!$F$113/1000+2*Noise!$F$112/1000))+Noise!$E$254</f>
        <v>#DIV/0!</v>
      </c>
      <c r="F254" s="23" t="e">
        <f>F114+F219-10*LOG((Noise!$F$113/1000+2*Noise!$F$112/1000+2)/(Noise!$F$113/1000+2*Noise!$F$112/1000))+Noise!$E$254</f>
        <v>#DIV/0!</v>
      </c>
      <c r="G254" s="23" t="e">
        <f>G114+G219-10*LOG((Noise!$F$113/1000+2*Noise!$F$112/1000+2)/(Noise!$F$113/1000+2*Noise!$F$112/1000))+Noise!$E$254</f>
        <v>#DIV/0!</v>
      </c>
      <c r="H254" s="177">
        <v>200</v>
      </c>
      <c r="L254" s="97"/>
      <c r="M254" s="82"/>
      <c r="N254" s="82"/>
      <c r="P254" s="31"/>
      <c r="Q254" s="31"/>
    </row>
    <row r="255" spans="1:17" s="119" customFormat="1" ht="13" outlineLevel="1" x14ac:dyDescent="0.3">
      <c r="A255" s="17"/>
      <c r="C255" s="23" t="e">
        <f>C115+C220-10*LOG((Noise!$F$113/1000+2*Noise!$F$112/1000+2)/(Noise!$F$113/1000+2*Noise!$F$112/1000))+Noise!$E$254</f>
        <v>#DIV/0!</v>
      </c>
      <c r="D255" s="23" t="e">
        <f>D115+D220-10*LOG((Noise!$F$113/1000+2*Noise!$F$112/1000+2)/(Noise!$F$113/1000+2*Noise!$F$112/1000))+Noise!$E$254</f>
        <v>#DIV/0!</v>
      </c>
      <c r="E255" s="23" t="e">
        <f>E115+E220-10*LOG((Noise!$F$113/1000+2*Noise!$F$112/1000+2)/(Noise!$F$113/1000+2*Noise!$F$112/1000))+Noise!$E$254</f>
        <v>#DIV/0!</v>
      </c>
      <c r="F255" s="23" t="e">
        <f>F115+F220-10*LOG((Noise!$F$113/1000+2*Noise!$F$112/1000+2)/(Noise!$F$113/1000+2*Noise!$F$112/1000))+Noise!$E$254</f>
        <v>#DIV/0!</v>
      </c>
      <c r="G255" s="23" t="e">
        <f>G115+G220-10*LOG((Noise!$F$113/1000+2*Noise!$F$112/1000+2)/(Noise!$F$113/1000+2*Noise!$F$112/1000))+Noise!$E$254</f>
        <v>#DIV/0!</v>
      </c>
      <c r="H255" s="177">
        <v>250</v>
      </c>
      <c r="L255" s="97"/>
      <c r="M255" s="82"/>
      <c r="N255" s="82"/>
      <c r="P255" s="31"/>
      <c r="Q255" s="31"/>
    </row>
    <row r="256" spans="1:17" s="119" customFormat="1" ht="13" outlineLevel="1" x14ac:dyDescent="0.3">
      <c r="A256" s="17"/>
      <c r="C256" s="23" t="e">
        <f>C116+C221-10*LOG((Noise!$F$113/1000+2*Noise!$F$112/1000+2)/(Noise!$F$113/1000+2*Noise!$F$112/1000))+Noise!$E$254</f>
        <v>#DIV/0!</v>
      </c>
      <c r="D256" s="23" t="e">
        <f>D116+D221-10*LOG((Noise!$F$113/1000+2*Noise!$F$112/1000+2)/(Noise!$F$113/1000+2*Noise!$F$112/1000))+Noise!$E$254</f>
        <v>#DIV/0!</v>
      </c>
      <c r="E256" s="23" t="e">
        <f>E116+E221-10*LOG((Noise!$F$113/1000+2*Noise!$F$112/1000+2)/(Noise!$F$113/1000+2*Noise!$F$112/1000))+Noise!$E$254</f>
        <v>#DIV/0!</v>
      </c>
      <c r="F256" s="23" t="e">
        <f>F116+F221-10*LOG((Noise!$F$113/1000+2*Noise!$F$112/1000+2)/(Noise!$F$113/1000+2*Noise!$F$112/1000))+Noise!$E$254</f>
        <v>#DIV/0!</v>
      </c>
      <c r="G256" s="23" t="e">
        <f>G116+G221-10*LOG((Noise!$F$113/1000+2*Noise!$F$112/1000+2)/(Noise!$F$113/1000+2*Noise!$F$112/1000))+Noise!$E$254</f>
        <v>#DIV/0!</v>
      </c>
      <c r="H256" s="177">
        <v>315</v>
      </c>
      <c r="L256" s="97"/>
      <c r="M256" s="82"/>
      <c r="N256" s="82"/>
      <c r="P256" s="31"/>
      <c r="Q256" s="31"/>
    </row>
    <row r="257" spans="1:17" s="119" customFormat="1" ht="13" outlineLevel="1" x14ac:dyDescent="0.3">
      <c r="A257" s="17"/>
      <c r="C257" s="23" t="e">
        <f>C117+C222-10*LOG((Noise!$F$113/1000+2*Noise!$F$112/1000+2)/(Noise!$F$113/1000+2*Noise!$F$112/1000))+Noise!$E$254</f>
        <v>#DIV/0!</v>
      </c>
      <c r="D257" s="23" t="e">
        <f>D117+D222-10*LOG((Noise!$F$113/1000+2*Noise!$F$112/1000+2)/(Noise!$F$113/1000+2*Noise!$F$112/1000))+Noise!$E$254</f>
        <v>#DIV/0!</v>
      </c>
      <c r="E257" s="23" t="e">
        <f>E117+E222-10*LOG((Noise!$F$113/1000+2*Noise!$F$112/1000+2)/(Noise!$F$113/1000+2*Noise!$F$112/1000))+Noise!$E$254</f>
        <v>#DIV/0!</v>
      </c>
      <c r="F257" s="23" t="e">
        <f>F117+F222-10*LOG((Noise!$F$113/1000+2*Noise!$F$112/1000+2)/(Noise!$F$113/1000+2*Noise!$F$112/1000))+Noise!$E$254</f>
        <v>#DIV/0!</v>
      </c>
      <c r="G257" s="23" t="e">
        <f>G117+G222-10*LOG((Noise!$F$113/1000+2*Noise!$F$112/1000+2)/(Noise!$F$113/1000+2*Noise!$F$112/1000))+Noise!$E$254</f>
        <v>#DIV/0!</v>
      </c>
      <c r="H257" s="177">
        <v>400</v>
      </c>
      <c r="L257" s="97"/>
      <c r="M257" s="82"/>
      <c r="N257" s="82"/>
      <c r="P257" s="31"/>
      <c r="Q257" s="31"/>
    </row>
    <row r="258" spans="1:17" s="119" customFormat="1" ht="13" outlineLevel="1" x14ac:dyDescent="0.3">
      <c r="A258" s="17"/>
      <c r="C258" s="23" t="e">
        <f>C118+C223-10*LOG((Noise!$F$113/1000+2*Noise!$F$112/1000+2)/(Noise!$F$113/1000+2*Noise!$F$112/1000))+Noise!$E$254</f>
        <v>#DIV/0!</v>
      </c>
      <c r="D258" s="23" t="e">
        <f>D118+D223-10*LOG((Noise!$F$113/1000+2*Noise!$F$112/1000+2)/(Noise!$F$113/1000+2*Noise!$F$112/1000))+Noise!$E$254</f>
        <v>#DIV/0!</v>
      </c>
      <c r="E258" s="23" t="e">
        <f>E118+E223-10*LOG((Noise!$F$113/1000+2*Noise!$F$112/1000+2)/(Noise!$F$113/1000+2*Noise!$F$112/1000))+Noise!$E$254</f>
        <v>#DIV/0!</v>
      </c>
      <c r="F258" s="23" t="e">
        <f>F118+F223-10*LOG((Noise!$F$113/1000+2*Noise!$F$112/1000+2)/(Noise!$F$113/1000+2*Noise!$F$112/1000))+Noise!$E$254</f>
        <v>#DIV/0!</v>
      </c>
      <c r="G258" s="23" t="e">
        <f>G118+G223-10*LOG((Noise!$F$113/1000+2*Noise!$F$112/1000+2)/(Noise!$F$113/1000+2*Noise!$F$112/1000))+Noise!$E$254</f>
        <v>#DIV/0!</v>
      </c>
      <c r="H258" s="177">
        <v>500</v>
      </c>
      <c r="L258" s="97"/>
      <c r="M258" s="82"/>
      <c r="N258" s="82"/>
      <c r="P258" s="31"/>
      <c r="Q258" s="31"/>
    </row>
    <row r="259" spans="1:17" s="119" customFormat="1" ht="13" outlineLevel="1" x14ac:dyDescent="0.3">
      <c r="A259" s="17"/>
      <c r="C259" s="23" t="e">
        <f>C119+C224-10*LOG((Noise!$F$113/1000+2*Noise!$F$112/1000+2)/(Noise!$F$113/1000+2*Noise!$F$112/1000))+Noise!$E$254</f>
        <v>#DIV/0!</v>
      </c>
      <c r="D259" s="23" t="e">
        <f>D119+D224-10*LOG((Noise!$F$113/1000+2*Noise!$F$112/1000+2)/(Noise!$F$113/1000+2*Noise!$F$112/1000))+Noise!$E$254</f>
        <v>#DIV/0!</v>
      </c>
      <c r="E259" s="23" t="e">
        <f>E119+E224-10*LOG((Noise!$F$113/1000+2*Noise!$F$112/1000+2)/(Noise!$F$113/1000+2*Noise!$F$112/1000))+Noise!$E$254</f>
        <v>#DIV/0!</v>
      </c>
      <c r="F259" s="23" t="e">
        <f>F119+F224-10*LOG((Noise!$F$113/1000+2*Noise!$F$112/1000+2)/(Noise!$F$113/1000+2*Noise!$F$112/1000))+Noise!$E$254</f>
        <v>#DIV/0!</v>
      </c>
      <c r="G259" s="23" t="e">
        <f>G119+G224-10*LOG((Noise!$F$113/1000+2*Noise!$F$112/1000+2)/(Noise!$F$113/1000+2*Noise!$F$112/1000))+Noise!$E$254</f>
        <v>#DIV/0!</v>
      </c>
      <c r="H259" s="177">
        <v>630</v>
      </c>
      <c r="L259" s="97"/>
      <c r="M259" s="82"/>
      <c r="N259" s="82"/>
      <c r="P259" s="31"/>
      <c r="Q259" s="31"/>
    </row>
    <row r="260" spans="1:17" s="119" customFormat="1" ht="13" outlineLevel="1" x14ac:dyDescent="0.3">
      <c r="A260" s="17"/>
      <c r="C260" s="23" t="e">
        <f>C120+C225-10*LOG((Noise!$F$113/1000+2*Noise!$F$112/1000+2)/(Noise!$F$113/1000+2*Noise!$F$112/1000))+Noise!$E$254</f>
        <v>#DIV/0!</v>
      </c>
      <c r="D260" s="23" t="e">
        <f>D120+D225-10*LOG((Noise!$F$113/1000+2*Noise!$F$112/1000+2)/(Noise!$F$113/1000+2*Noise!$F$112/1000))+Noise!$E$254</f>
        <v>#DIV/0!</v>
      </c>
      <c r="E260" s="23" t="e">
        <f>E120+E225-10*LOG((Noise!$F$113/1000+2*Noise!$F$112/1000+2)/(Noise!$F$113/1000+2*Noise!$F$112/1000))+Noise!$E$254</f>
        <v>#DIV/0!</v>
      </c>
      <c r="F260" s="23" t="e">
        <f>F120+F225-10*LOG((Noise!$F$113/1000+2*Noise!$F$112/1000+2)/(Noise!$F$113/1000+2*Noise!$F$112/1000))+Noise!$E$254</f>
        <v>#DIV/0!</v>
      </c>
      <c r="G260" s="23" t="e">
        <f>G120+G225-10*LOG((Noise!$F$113/1000+2*Noise!$F$112/1000+2)/(Noise!$F$113/1000+2*Noise!$F$112/1000))+Noise!$E$254</f>
        <v>#DIV/0!</v>
      </c>
      <c r="H260" s="177">
        <v>800</v>
      </c>
      <c r="L260" s="97"/>
      <c r="M260" s="82"/>
      <c r="N260" s="82"/>
      <c r="P260" s="31"/>
      <c r="Q260" s="31"/>
    </row>
    <row r="261" spans="1:17" s="119" customFormat="1" ht="13" outlineLevel="1" x14ac:dyDescent="0.3">
      <c r="A261" s="17"/>
      <c r="C261" s="23" t="e">
        <f>C121+C226-10*LOG((Noise!$F$113/1000+2*Noise!$F$112/1000+2)/(Noise!$F$113/1000+2*Noise!$F$112/1000))+Noise!$E$254</f>
        <v>#DIV/0!</v>
      </c>
      <c r="D261" s="23" t="e">
        <f>D121+D226-10*LOG((Noise!$F$113/1000+2*Noise!$F$112/1000+2)/(Noise!$F$113/1000+2*Noise!$F$112/1000))+Noise!$E$254</f>
        <v>#DIV/0!</v>
      </c>
      <c r="E261" s="23" t="e">
        <f>E121+E226-10*LOG((Noise!$F$113/1000+2*Noise!$F$112/1000+2)/(Noise!$F$113/1000+2*Noise!$F$112/1000))+Noise!$E$254</f>
        <v>#DIV/0!</v>
      </c>
      <c r="F261" s="23" t="e">
        <f>F121+F226-10*LOG((Noise!$F$113/1000+2*Noise!$F$112/1000+2)/(Noise!$F$113/1000+2*Noise!$F$112/1000))+Noise!$E$254</f>
        <v>#DIV/0!</v>
      </c>
      <c r="G261" s="23" t="e">
        <f>G121+G226-10*LOG((Noise!$F$113/1000+2*Noise!$F$112/1000+2)/(Noise!$F$113/1000+2*Noise!$F$112/1000))+Noise!$E$254</f>
        <v>#DIV/0!</v>
      </c>
      <c r="H261" s="177">
        <v>1000</v>
      </c>
      <c r="L261" s="97"/>
      <c r="M261" s="82"/>
      <c r="N261" s="82"/>
      <c r="P261" s="31"/>
      <c r="Q261" s="31"/>
    </row>
    <row r="262" spans="1:17" s="119" customFormat="1" ht="13" outlineLevel="1" x14ac:dyDescent="0.3">
      <c r="A262" s="17"/>
      <c r="C262" s="23" t="e">
        <f>C122+C227-10*LOG((Noise!$F$113/1000+2*Noise!$F$112/1000+2)/(Noise!$F$113/1000+2*Noise!$F$112/1000))+Noise!$E$254</f>
        <v>#DIV/0!</v>
      </c>
      <c r="D262" s="23" t="e">
        <f>D122+D227-10*LOG((Noise!$F$113/1000+2*Noise!$F$112/1000+2)/(Noise!$F$113/1000+2*Noise!$F$112/1000))+Noise!$E$254</f>
        <v>#DIV/0!</v>
      </c>
      <c r="E262" s="23" t="e">
        <f>E122+E227-10*LOG((Noise!$F$113/1000+2*Noise!$F$112/1000+2)/(Noise!$F$113/1000+2*Noise!$F$112/1000))+Noise!$E$254</f>
        <v>#DIV/0!</v>
      </c>
      <c r="F262" s="23" t="e">
        <f>F122+F227-10*LOG((Noise!$F$113/1000+2*Noise!$F$112/1000+2)/(Noise!$F$113/1000+2*Noise!$F$112/1000))+Noise!$E$254</f>
        <v>#DIV/0!</v>
      </c>
      <c r="G262" s="23" t="e">
        <f>G122+G227-10*LOG((Noise!$F$113/1000+2*Noise!$F$112/1000+2)/(Noise!$F$113/1000+2*Noise!$F$112/1000))+Noise!$E$254</f>
        <v>#DIV/0!</v>
      </c>
      <c r="H262" s="177">
        <v>1250</v>
      </c>
      <c r="L262" s="97"/>
      <c r="M262" s="82"/>
      <c r="N262" s="82"/>
      <c r="P262" s="31"/>
      <c r="Q262" s="31"/>
    </row>
    <row r="263" spans="1:17" s="119" customFormat="1" ht="13" outlineLevel="1" x14ac:dyDescent="0.3">
      <c r="A263" s="17"/>
      <c r="C263" s="23" t="e">
        <f>C123+C228-10*LOG((Noise!$F$113/1000+2*Noise!$F$112/1000+2)/(Noise!$F$113/1000+2*Noise!$F$112/1000))+Noise!$E$254</f>
        <v>#DIV/0!</v>
      </c>
      <c r="D263" s="23" t="e">
        <f>D123+D228-10*LOG((Noise!$F$113/1000+2*Noise!$F$112/1000+2)/(Noise!$F$113/1000+2*Noise!$F$112/1000))+Noise!$E$254</f>
        <v>#DIV/0!</v>
      </c>
      <c r="E263" s="23" t="e">
        <f>E123+E228-10*LOG((Noise!$F$113/1000+2*Noise!$F$112/1000+2)/(Noise!$F$113/1000+2*Noise!$F$112/1000))+Noise!$E$254</f>
        <v>#DIV/0!</v>
      </c>
      <c r="F263" s="23" t="e">
        <f>F123+F228-10*LOG((Noise!$F$113/1000+2*Noise!$F$112/1000+2)/(Noise!$F$113/1000+2*Noise!$F$112/1000))+Noise!$E$254</f>
        <v>#DIV/0!</v>
      </c>
      <c r="G263" s="23" t="e">
        <f>G123+G228-10*LOG((Noise!$F$113/1000+2*Noise!$F$112/1000+2)/(Noise!$F$113/1000+2*Noise!$F$112/1000))+Noise!$E$254</f>
        <v>#DIV/0!</v>
      </c>
      <c r="H263" s="177">
        <v>1600</v>
      </c>
      <c r="L263" s="97"/>
      <c r="M263" s="82"/>
      <c r="N263" s="82"/>
      <c r="P263" s="31"/>
      <c r="Q263" s="31"/>
    </row>
    <row r="264" spans="1:17" s="119" customFormat="1" ht="13" outlineLevel="1" x14ac:dyDescent="0.3">
      <c r="A264" s="17"/>
      <c r="C264" s="23" t="e">
        <f>C124+C229-10*LOG((Noise!$F$113/1000+2*Noise!$F$112/1000+2)/(Noise!$F$113/1000+2*Noise!$F$112/1000))+Noise!$E$254</f>
        <v>#DIV/0!</v>
      </c>
      <c r="D264" s="23" t="e">
        <f>D124+D229-10*LOG((Noise!$F$113/1000+2*Noise!$F$112/1000+2)/(Noise!$F$113/1000+2*Noise!$F$112/1000))+Noise!$E$254</f>
        <v>#DIV/0!</v>
      </c>
      <c r="E264" s="23" t="e">
        <f>E124+E229-10*LOG((Noise!$F$113/1000+2*Noise!$F$112/1000+2)/(Noise!$F$113/1000+2*Noise!$F$112/1000))+Noise!$E$254</f>
        <v>#DIV/0!</v>
      </c>
      <c r="F264" s="23" t="e">
        <f>F124+F229-10*LOG((Noise!$F$113/1000+2*Noise!$F$112/1000+2)/(Noise!$F$113/1000+2*Noise!$F$112/1000))+Noise!$E$254</f>
        <v>#DIV/0!</v>
      </c>
      <c r="G264" s="23" t="e">
        <f>G124+G229-10*LOG((Noise!$F$113/1000+2*Noise!$F$112/1000+2)/(Noise!$F$113/1000+2*Noise!$F$112/1000))+Noise!$E$254</f>
        <v>#DIV/0!</v>
      </c>
      <c r="H264" s="177">
        <v>2000</v>
      </c>
      <c r="L264" s="97"/>
      <c r="M264" s="82"/>
      <c r="N264" s="82"/>
      <c r="P264" s="31"/>
      <c r="Q264" s="31"/>
    </row>
    <row r="265" spans="1:17" s="119" customFormat="1" ht="13" outlineLevel="1" x14ac:dyDescent="0.3">
      <c r="A265" s="17"/>
      <c r="C265" s="23" t="e">
        <f>C125+C230-10*LOG((Noise!$F$113/1000+2*Noise!$F$112/1000+2)/(Noise!$F$113/1000+2*Noise!$F$112/1000))+Noise!$E$254</f>
        <v>#DIV/0!</v>
      </c>
      <c r="D265" s="23" t="e">
        <f>D125+D230-10*LOG((Noise!$F$113/1000+2*Noise!$F$112/1000+2)/(Noise!$F$113/1000+2*Noise!$F$112/1000))+Noise!$E$254</f>
        <v>#DIV/0!</v>
      </c>
      <c r="E265" s="23" t="e">
        <f>E125+E230-10*LOG((Noise!$F$113/1000+2*Noise!$F$112/1000+2)/(Noise!$F$113/1000+2*Noise!$F$112/1000))+Noise!$E$254</f>
        <v>#DIV/0!</v>
      </c>
      <c r="F265" s="23" t="e">
        <f>F125+F230-10*LOG((Noise!$F$113/1000+2*Noise!$F$112/1000+2)/(Noise!$F$113/1000+2*Noise!$F$112/1000))+Noise!$E$254</f>
        <v>#DIV/0!</v>
      </c>
      <c r="G265" s="23" t="e">
        <f>G125+G230-10*LOG((Noise!$F$113/1000+2*Noise!$F$112/1000+2)/(Noise!$F$113/1000+2*Noise!$F$112/1000))+Noise!$E$254</f>
        <v>#DIV/0!</v>
      </c>
      <c r="H265" s="177">
        <v>2500</v>
      </c>
      <c r="L265" s="97"/>
      <c r="M265" s="82"/>
      <c r="N265" s="82"/>
      <c r="P265" s="31"/>
      <c r="Q265" s="31"/>
    </row>
    <row r="266" spans="1:17" s="119" customFormat="1" ht="13" outlineLevel="1" x14ac:dyDescent="0.3">
      <c r="A266" s="17"/>
      <c r="C266" s="23" t="e">
        <f>C126+C231-10*LOG((Noise!$F$113/1000+2*Noise!$F$112/1000+2)/(Noise!$F$113/1000+2*Noise!$F$112/1000))+Noise!$E$254</f>
        <v>#DIV/0!</v>
      </c>
      <c r="D266" s="23" t="e">
        <f>D126+D231-10*LOG((Noise!$F$113/1000+2*Noise!$F$112/1000+2)/(Noise!$F$113/1000+2*Noise!$F$112/1000))+Noise!$E$254</f>
        <v>#DIV/0!</v>
      </c>
      <c r="E266" s="23" t="e">
        <f>E126+E231-10*LOG((Noise!$F$113/1000+2*Noise!$F$112/1000+2)/(Noise!$F$113/1000+2*Noise!$F$112/1000))+Noise!$E$254</f>
        <v>#DIV/0!</v>
      </c>
      <c r="F266" s="23" t="e">
        <f>F126+F231-10*LOG((Noise!$F$113/1000+2*Noise!$F$112/1000+2)/(Noise!$F$113/1000+2*Noise!$F$112/1000))+Noise!$E$254</f>
        <v>#DIV/0!</v>
      </c>
      <c r="G266" s="23" t="e">
        <f>G126+G231-10*LOG((Noise!$F$113/1000+2*Noise!$F$112/1000+2)/(Noise!$F$113/1000+2*Noise!$F$112/1000))+Noise!$E$254</f>
        <v>#DIV/0!</v>
      </c>
      <c r="H266" s="177">
        <v>3150</v>
      </c>
      <c r="L266" s="97"/>
      <c r="M266" s="82"/>
      <c r="N266" s="82"/>
      <c r="P266" s="31"/>
      <c r="Q266" s="31"/>
    </row>
    <row r="267" spans="1:17" s="119" customFormat="1" ht="13" outlineLevel="1" x14ac:dyDescent="0.3">
      <c r="A267" s="17"/>
      <c r="C267" s="23" t="e">
        <f>C127+C232-10*LOG((Noise!$F$113/1000+2*Noise!$F$112/1000+2)/(Noise!$F$113/1000+2*Noise!$F$112/1000))+Noise!$E$254</f>
        <v>#DIV/0!</v>
      </c>
      <c r="D267" s="23" t="e">
        <f>D127+D232-10*LOG((Noise!$F$113/1000+2*Noise!$F$112/1000+2)/(Noise!$F$113/1000+2*Noise!$F$112/1000))+Noise!$E$254</f>
        <v>#DIV/0!</v>
      </c>
      <c r="E267" s="23" t="e">
        <f>E127+E232-10*LOG((Noise!$F$113/1000+2*Noise!$F$112/1000+2)/(Noise!$F$113/1000+2*Noise!$F$112/1000))+Noise!$E$254</f>
        <v>#DIV/0!</v>
      </c>
      <c r="F267" s="23" t="e">
        <f>F127+F232-10*LOG((Noise!$F$113/1000+2*Noise!$F$112/1000+2)/(Noise!$F$113/1000+2*Noise!$F$112/1000))+Noise!$E$254</f>
        <v>#DIV/0!</v>
      </c>
      <c r="G267" s="23" t="e">
        <f>G127+G232-10*LOG((Noise!$F$113/1000+2*Noise!$F$112/1000+2)/(Noise!$F$113/1000+2*Noise!$F$112/1000))+Noise!$E$254</f>
        <v>#DIV/0!</v>
      </c>
      <c r="H267" s="177">
        <v>4000</v>
      </c>
      <c r="L267" s="97"/>
      <c r="M267" s="82"/>
      <c r="N267" s="82"/>
      <c r="P267" s="31"/>
      <c r="Q267" s="31"/>
    </row>
    <row r="268" spans="1:17" s="119" customFormat="1" ht="13" outlineLevel="1" x14ac:dyDescent="0.3">
      <c r="A268" s="17"/>
      <c r="C268" s="23" t="e">
        <f>C128+C233-10*LOG((Noise!$F$113/1000+2*Noise!$F$112/1000+2)/(Noise!$F$113/1000+2*Noise!$F$112/1000))+Noise!$E$254</f>
        <v>#DIV/0!</v>
      </c>
      <c r="D268" s="23" t="e">
        <f>D128+D233-10*LOG((Noise!$F$113/1000+2*Noise!$F$112/1000+2)/(Noise!$F$113/1000+2*Noise!$F$112/1000))+Noise!$E$254</f>
        <v>#DIV/0!</v>
      </c>
      <c r="E268" s="23" t="e">
        <f>E128+E233-10*LOG((Noise!$F$113/1000+2*Noise!$F$112/1000+2)/(Noise!$F$113/1000+2*Noise!$F$112/1000))+Noise!$E$254</f>
        <v>#DIV/0!</v>
      </c>
      <c r="F268" s="23" t="e">
        <f>F128+F233-10*LOG((Noise!$F$113/1000+2*Noise!$F$112/1000+2)/(Noise!$F$113/1000+2*Noise!$F$112/1000))+Noise!$E$254</f>
        <v>#DIV/0!</v>
      </c>
      <c r="G268" s="23" t="e">
        <f>G128+G233-10*LOG((Noise!$F$113/1000+2*Noise!$F$112/1000+2)/(Noise!$F$113/1000+2*Noise!$F$112/1000))+Noise!$E$254</f>
        <v>#DIV/0!</v>
      </c>
      <c r="H268" s="177">
        <v>5000</v>
      </c>
      <c r="L268" s="97"/>
      <c r="M268" s="82"/>
      <c r="N268" s="82"/>
      <c r="P268" s="31"/>
      <c r="Q268" s="31"/>
    </row>
    <row r="269" spans="1:17" s="119" customFormat="1" ht="13" outlineLevel="1" x14ac:dyDescent="0.3">
      <c r="A269" s="17"/>
      <c r="C269" s="23" t="e">
        <f>C129+C234-10*LOG((Noise!$F$113/1000+2*Noise!$F$112/1000+2)/(Noise!$F$113/1000+2*Noise!$F$112/1000))+Noise!$E$254</f>
        <v>#DIV/0!</v>
      </c>
      <c r="D269" s="23" t="e">
        <f>D129+D234-10*LOG((Noise!$F$113/1000+2*Noise!$F$112/1000+2)/(Noise!$F$113/1000+2*Noise!$F$112/1000))+Noise!$E$254</f>
        <v>#DIV/0!</v>
      </c>
      <c r="E269" s="23" t="e">
        <f>E129+E234-10*LOG((Noise!$F$113/1000+2*Noise!$F$112/1000+2)/(Noise!$F$113/1000+2*Noise!$F$112/1000))+Noise!$E$254</f>
        <v>#DIV/0!</v>
      </c>
      <c r="F269" s="23" t="e">
        <f>F129+F234-10*LOG((Noise!$F$113/1000+2*Noise!$F$112/1000+2)/(Noise!$F$113/1000+2*Noise!$F$112/1000))+Noise!$E$254</f>
        <v>#DIV/0!</v>
      </c>
      <c r="G269" s="23" t="e">
        <f>G129+G234-10*LOG((Noise!$F$113/1000+2*Noise!$F$112/1000+2)/(Noise!$F$113/1000+2*Noise!$F$112/1000))+Noise!$E$254</f>
        <v>#DIV/0!</v>
      </c>
      <c r="H269" s="177">
        <v>6300</v>
      </c>
      <c r="L269" s="97"/>
      <c r="M269" s="82"/>
      <c r="N269" s="82"/>
      <c r="P269" s="31"/>
      <c r="Q269" s="31"/>
    </row>
    <row r="270" spans="1:17" s="119" customFormat="1" ht="13" outlineLevel="1" x14ac:dyDescent="0.3">
      <c r="A270" s="17"/>
      <c r="C270" s="23" t="e">
        <f>C130+C235-10*LOG((Noise!$F$113/1000+2*Noise!$F$112/1000+2)/(Noise!$F$113/1000+2*Noise!$F$112/1000))+Noise!$E$254</f>
        <v>#DIV/0!</v>
      </c>
      <c r="D270" s="23" t="e">
        <f>D130+D235-10*LOG((Noise!$F$113/1000+2*Noise!$F$112/1000+2)/(Noise!$F$113/1000+2*Noise!$F$112/1000))+Noise!$E$254</f>
        <v>#DIV/0!</v>
      </c>
      <c r="E270" s="23" t="e">
        <f>E130+E235-10*LOG((Noise!$F$113/1000+2*Noise!$F$112/1000+2)/(Noise!$F$113/1000+2*Noise!$F$112/1000))+Noise!$E$254</f>
        <v>#DIV/0!</v>
      </c>
      <c r="F270" s="23" t="e">
        <f>F130+F235-10*LOG((Noise!$F$113/1000+2*Noise!$F$112/1000+2)/(Noise!$F$113/1000+2*Noise!$F$112/1000))+Noise!$E$254</f>
        <v>#DIV/0!</v>
      </c>
      <c r="G270" s="23" t="e">
        <f>G130+G235-10*LOG((Noise!$F$113/1000+2*Noise!$F$112/1000+2)/(Noise!$F$113/1000+2*Noise!$F$112/1000))+Noise!$E$254</f>
        <v>#DIV/0!</v>
      </c>
      <c r="H270" s="177">
        <v>8000</v>
      </c>
      <c r="L270" s="97"/>
      <c r="M270" s="82"/>
      <c r="N270" s="82"/>
      <c r="P270" s="31"/>
      <c r="Q270" s="31"/>
    </row>
    <row r="271" spans="1:17" s="119" customFormat="1" ht="13" outlineLevel="1" x14ac:dyDescent="0.3">
      <c r="A271" s="17"/>
      <c r="C271" s="23" t="e">
        <f>C131+C236-10*LOG((Noise!$F$113/1000+2*Noise!$F$112/1000+2)/(Noise!$F$113/1000+2*Noise!$F$112/1000))+Noise!$E$254</f>
        <v>#DIV/0!</v>
      </c>
      <c r="D271" s="23" t="e">
        <f>D131+D236-10*LOG((Noise!$F$113/1000+2*Noise!$F$112/1000+2)/(Noise!$F$113/1000+2*Noise!$F$112/1000))+Noise!$E$254</f>
        <v>#DIV/0!</v>
      </c>
      <c r="E271" s="23" t="e">
        <f>E131+E236-10*LOG((Noise!$F$113/1000+2*Noise!$F$112/1000+2)/(Noise!$F$113/1000+2*Noise!$F$112/1000))+Noise!$E$254</f>
        <v>#DIV/0!</v>
      </c>
      <c r="F271" s="23" t="e">
        <f>F131+F236-10*LOG((Noise!$F$113/1000+2*Noise!$F$112/1000+2)/(Noise!$F$113/1000+2*Noise!$F$112/1000))+Noise!$E$254</f>
        <v>#DIV/0!</v>
      </c>
      <c r="G271" s="23" t="e">
        <f>G131+G236-10*LOG((Noise!$F$113/1000+2*Noise!$F$112/1000+2)/(Noise!$F$113/1000+2*Noise!$F$112/1000))+Noise!$E$254</f>
        <v>#DIV/0!</v>
      </c>
      <c r="H271" s="177">
        <v>10000</v>
      </c>
      <c r="L271" s="97"/>
      <c r="M271" s="82"/>
      <c r="N271" s="82"/>
      <c r="P271" s="31"/>
      <c r="Q271" s="31"/>
    </row>
    <row r="272" spans="1:17" s="119" customFormat="1" ht="13" outlineLevel="1" x14ac:dyDescent="0.3">
      <c r="A272" s="17"/>
      <c r="C272" s="23" t="e">
        <f>C132+C237-10*LOG((Noise!$F$113/1000+2*Noise!$F$112/1000+2)/(Noise!$F$113/1000+2*Noise!$F$112/1000))+Noise!$E$254</f>
        <v>#DIV/0!</v>
      </c>
      <c r="D272" s="23" t="e">
        <f>D132+D237-10*LOG((Noise!$F$113/1000+2*Noise!$F$112/1000+2)/(Noise!$F$113/1000+2*Noise!$F$112/1000))+Noise!$E$254</f>
        <v>#DIV/0!</v>
      </c>
      <c r="E272" s="23" t="e">
        <f>E132+E237-10*LOG((Noise!$F$113/1000+2*Noise!$F$112/1000+2)/(Noise!$F$113/1000+2*Noise!$F$112/1000))+Noise!$E$254</f>
        <v>#DIV/0!</v>
      </c>
      <c r="F272" s="23" t="e">
        <f>F132+F237-10*LOG((Noise!$F$113/1000+2*Noise!$F$112/1000+2)/(Noise!$F$113/1000+2*Noise!$F$112/1000))+Noise!$E$254</f>
        <v>#DIV/0!</v>
      </c>
      <c r="G272" s="23" t="e">
        <f>G132+G237-10*LOG((Noise!$F$113/1000+2*Noise!$F$112/1000+2)/(Noise!$F$113/1000+2*Noise!$F$112/1000))+Noise!$E$254</f>
        <v>#DIV/0!</v>
      </c>
      <c r="H272" s="177">
        <v>12500</v>
      </c>
      <c r="L272" s="97"/>
      <c r="M272" s="82"/>
      <c r="N272" s="82"/>
      <c r="P272" s="31"/>
      <c r="Q272" s="31"/>
    </row>
    <row r="273" spans="1:17" s="119" customFormat="1" ht="13" outlineLevel="1" x14ac:dyDescent="0.3">
      <c r="A273" s="17"/>
      <c r="C273" s="23" t="e">
        <f>C133+C238-10*LOG((Noise!$F$113/1000+2*Noise!$F$112/1000+2)/(Noise!$F$113/1000+2*Noise!$F$112/1000))+Noise!$E$254</f>
        <v>#DIV/0!</v>
      </c>
      <c r="D273" s="23" t="e">
        <f>D133+D238-10*LOG((Noise!$F$113/1000+2*Noise!$F$112/1000+2)/(Noise!$F$113/1000+2*Noise!$F$112/1000))+Noise!$E$254</f>
        <v>#DIV/0!</v>
      </c>
      <c r="E273" s="23" t="e">
        <f>E133+E238-10*LOG((Noise!$F$113/1000+2*Noise!$F$112/1000+2)/(Noise!$F$113/1000+2*Noise!$F$112/1000))+Noise!$E$254</f>
        <v>#DIV/0!</v>
      </c>
      <c r="F273" s="23" t="e">
        <f>F133+F238-10*LOG((Noise!$F$113/1000+2*Noise!$F$112/1000+2)/(Noise!$F$113/1000+2*Noise!$F$112/1000))+Noise!$E$254</f>
        <v>#DIV/0!</v>
      </c>
      <c r="G273" s="23" t="e">
        <f>G133+G238-10*LOG((Noise!$F$113/1000+2*Noise!$F$112/1000+2)/(Noise!$F$113/1000+2*Noise!$F$112/1000))+Noise!$E$254</f>
        <v>#DIV/0!</v>
      </c>
      <c r="H273" s="177">
        <v>16000</v>
      </c>
      <c r="L273" s="97"/>
      <c r="M273" s="82"/>
      <c r="N273" s="82"/>
      <c r="P273" s="31"/>
      <c r="Q273" s="31"/>
    </row>
    <row r="274" spans="1:17" s="119" customFormat="1" ht="13" outlineLevel="1" x14ac:dyDescent="0.3">
      <c r="A274" s="17"/>
      <c r="C274" s="23" t="e">
        <f>C134+C239-10*LOG((Noise!$F$113/1000+2*Noise!$F$112/1000+2)/(Noise!$F$113/1000+2*Noise!$F$112/1000))+Noise!$E$254</f>
        <v>#DIV/0!</v>
      </c>
      <c r="D274" s="23" t="e">
        <f>D134+D239-10*LOG((Noise!$F$113/1000+2*Noise!$F$112/1000+2)/(Noise!$F$113/1000+2*Noise!$F$112/1000))+Noise!$E$254</f>
        <v>#DIV/0!</v>
      </c>
      <c r="E274" s="23" t="e">
        <f>E134+E239-10*LOG((Noise!$F$113/1000+2*Noise!$F$112/1000+2)/(Noise!$F$113/1000+2*Noise!$F$112/1000))+Noise!$E$254</f>
        <v>#DIV/0!</v>
      </c>
      <c r="F274" s="23" t="e">
        <f>F134+F239-10*LOG((Noise!$F$113/1000+2*Noise!$F$112/1000+2)/(Noise!$F$113/1000+2*Noise!$F$112/1000))+Noise!$E$254</f>
        <v>#DIV/0!</v>
      </c>
      <c r="G274" s="23" t="e">
        <f>G134+G239-10*LOG((Noise!$F$113/1000+2*Noise!$F$112/1000+2)/(Noise!$F$113/1000+2*Noise!$F$112/1000))+Noise!$E$254</f>
        <v>#DIV/0!</v>
      </c>
      <c r="H274" s="177">
        <v>20000</v>
      </c>
      <c r="L274" s="97"/>
      <c r="M274" s="82"/>
      <c r="N274" s="82"/>
      <c r="P274" s="31"/>
      <c r="Q274" s="31"/>
    </row>
    <row r="275" spans="1:17" s="119" customFormat="1" ht="13" outlineLevel="1" x14ac:dyDescent="0.3">
      <c r="A275" s="17"/>
      <c r="C275" s="23"/>
      <c r="D275" s="23"/>
      <c r="E275" s="23"/>
      <c r="F275" s="23"/>
      <c r="G275" s="23"/>
      <c r="H275" s="177"/>
      <c r="L275" s="97"/>
      <c r="M275" s="82"/>
      <c r="N275" s="82"/>
      <c r="P275" s="31"/>
      <c r="Q275" s="31"/>
    </row>
    <row r="276" spans="1:17" s="119" customFormat="1" ht="13" outlineLevel="1" x14ac:dyDescent="0.3">
      <c r="A276" s="17"/>
      <c r="C276" s="491" t="s">
        <v>869</v>
      </c>
      <c r="D276" s="491"/>
      <c r="E276" s="491"/>
      <c r="F276" s="491"/>
      <c r="G276" s="491"/>
      <c r="H276" s="177"/>
      <c r="I276" s="388" t="s">
        <v>764</v>
      </c>
      <c r="L276" s="97"/>
      <c r="M276" s="82"/>
      <c r="N276" s="82"/>
      <c r="P276" s="31"/>
      <c r="Q276" s="31"/>
    </row>
    <row r="277" spans="1:17" s="119" customFormat="1" ht="13" outlineLevel="1" x14ac:dyDescent="0.3">
      <c r="C277" s="23" t="e">
        <f t="shared" ref="C277:G286" si="4">10^((C242+$I277)/10)</f>
        <v>#DIV/0!</v>
      </c>
      <c r="D277" s="23" t="e">
        <f t="shared" si="4"/>
        <v>#DIV/0!</v>
      </c>
      <c r="E277" s="23" t="e">
        <f t="shared" si="4"/>
        <v>#DIV/0!</v>
      </c>
      <c r="F277" s="23" t="e">
        <f t="shared" si="4"/>
        <v>#DIV/0!</v>
      </c>
      <c r="G277" s="23" t="e">
        <f t="shared" si="4"/>
        <v>#DIV/0!</v>
      </c>
      <c r="H277" s="177">
        <v>12.5</v>
      </c>
      <c r="I277" s="177">
        <v>-63.4</v>
      </c>
      <c r="L277" s="97"/>
      <c r="M277" s="82"/>
      <c r="N277" s="82"/>
      <c r="P277" s="31"/>
      <c r="Q277" s="31"/>
    </row>
    <row r="278" spans="1:17" s="119" customFormat="1" ht="13" outlineLevel="1" x14ac:dyDescent="0.3">
      <c r="A278" s="17"/>
      <c r="C278" s="23" t="e">
        <f t="shared" si="4"/>
        <v>#DIV/0!</v>
      </c>
      <c r="D278" s="23" t="e">
        <f t="shared" si="4"/>
        <v>#DIV/0!</v>
      </c>
      <c r="E278" s="23" t="e">
        <f t="shared" si="4"/>
        <v>#DIV/0!</v>
      </c>
      <c r="F278" s="23" t="e">
        <f t="shared" si="4"/>
        <v>#DIV/0!</v>
      </c>
      <c r="G278" s="23" t="e">
        <f t="shared" si="4"/>
        <v>#DIV/0!</v>
      </c>
      <c r="H278" s="177">
        <v>16</v>
      </c>
      <c r="I278" s="177">
        <v>-56.7</v>
      </c>
      <c r="L278" s="97"/>
      <c r="M278" s="82"/>
      <c r="N278" s="82"/>
      <c r="P278" s="31"/>
      <c r="Q278" s="31"/>
    </row>
    <row r="279" spans="1:17" s="119" customFormat="1" ht="13" outlineLevel="1" x14ac:dyDescent="0.3">
      <c r="A279" s="17"/>
      <c r="C279" s="23" t="e">
        <f t="shared" si="4"/>
        <v>#DIV/0!</v>
      </c>
      <c r="D279" s="23" t="e">
        <f t="shared" si="4"/>
        <v>#DIV/0!</v>
      </c>
      <c r="E279" s="23" t="e">
        <f t="shared" si="4"/>
        <v>#DIV/0!</v>
      </c>
      <c r="F279" s="23" t="e">
        <f t="shared" si="4"/>
        <v>#DIV/0!</v>
      </c>
      <c r="G279" s="23" t="e">
        <f t="shared" si="4"/>
        <v>#DIV/0!</v>
      </c>
      <c r="H279" s="177">
        <v>20</v>
      </c>
      <c r="I279" s="177">
        <v>-50.5</v>
      </c>
      <c r="L279" s="97"/>
      <c r="M279" s="82"/>
      <c r="N279" s="82"/>
      <c r="P279" s="31"/>
      <c r="Q279" s="31"/>
    </row>
    <row r="280" spans="1:17" s="119" customFormat="1" ht="13" outlineLevel="1" x14ac:dyDescent="0.3">
      <c r="A280" s="17"/>
      <c r="C280" s="23" t="e">
        <f t="shared" si="4"/>
        <v>#DIV/0!</v>
      </c>
      <c r="D280" s="23" t="e">
        <f t="shared" si="4"/>
        <v>#DIV/0!</v>
      </c>
      <c r="E280" s="23" t="e">
        <f t="shared" si="4"/>
        <v>#DIV/0!</v>
      </c>
      <c r="F280" s="23" t="e">
        <f t="shared" si="4"/>
        <v>#DIV/0!</v>
      </c>
      <c r="G280" s="23" t="e">
        <f t="shared" si="4"/>
        <v>#DIV/0!</v>
      </c>
      <c r="H280" s="177">
        <v>25</v>
      </c>
      <c r="I280" s="177">
        <v>-44.7</v>
      </c>
      <c r="L280" s="97"/>
      <c r="M280" s="82"/>
      <c r="N280" s="82"/>
      <c r="P280" s="31"/>
      <c r="Q280" s="31"/>
    </row>
    <row r="281" spans="1:17" s="119" customFormat="1" ht="13" outlineLevel="1" x14ac:dyDescent="0.3">
      <c r="A281" s="17"/>
      <c r="C281" s="23" t="e">
        <f t="shared" si="4"/>
        <v>#DIV/0!</v>
      </c>
      <c r="D281" s="23" t="e">
        <f t="shared" si="4"/>
        <v>#DIV/0!</v>
      </c>
      <c r="E281" s="23" t="e">
        <f t="shared" si="4"/>
        <v>#DIV/0!</v>
      </c>
      <c r="F281" s="23" t="e">
        <f t="shared" si="4"/>
        <v>#DIV/0!</v>
      </c>
      <c r="G281" s="23" t="e">
        <f t="shared" si="4"/>
        <v>#DIV/0!</v>
      </c>
      <c r="H281" s="177">
        <v>31.5</v>
      </c>
      <c r="I281" s="177">
        <v>-39.4</v>
      </c>
      <c r="L281" s="97"/>
      <c r="M281" s="82"/>
      <c r="N281" s="82"/>
      <c r="P281" s="31"/>
      <c r="Q281" s="31"/>
    </row>
    <row r="282" spans="1:17" s="119" customFormat="1" ht="13" outlineLevel="1" x14ac:dyDescent="0.3">
      <c r="A282" s="17"/>
      <c r="C282" s="23" t="e">
        <f t="shared" si="4"/>
        <v>#DIV/0!</v>
      </c>
      <c r="D282" s="23" t="e">
        <f t="shared" si="4"/>
        <v>#DIV/0!</v>
      </c>
      <c r="E282" s="23" t="e">
        <f t="shared" si="4"/>
        <v>#DIV/0!</v>
      </c>
      <c r="F282" s="23" t="e">
        <f t="shared" si="4"/>
        <v>#DIV/0!</v>
      </c>
      <c r="G282" s="23" t="e">
        <f t="shared" si="4"/>
        <v>#DIV/0!</v>
      </c>
      <c r="H282" s="177">
        <v>40</v>
      </c>
      <c r="I282" s="177">
        <v>-34.6</v>
      </c>
      <c r="L282" s="97"/>
      <c r="M282" s="82"/>
      <c r="N282" s="82"/>
      <c r="P282" s="31"/>
      <c r="Q282" s="31"/>
    </row>
    <row r="283" spans="1:17" s="119" customFormat="1" ht="13" outlineLevel="1" x14ac:dyDescent="0.3">
      <c r="A283" s="17"/>
      <c r="C283" s="23" t="e">
        <f t="shared" si="4"/>
        <v>#DIV/0!</v>
      </c>
      <c r="D283" s="23" t="e">
        <f t="shared" si="4"/>
        <v>#DIV/0!</v>
      </c>
      <c r="E283" s="23" t="e">
        <f t="shared" si="4"/>
        <v>#DIV/0!</v>
      </c>
      <c r="F283" s="23" t="e">
        <f t="shared" si="4"/>
        <v>#DIV/0!</v>
      </c>
      <c r="G283" s="23" t="e">
        <f t="shared" si="4"/>
        <v>#DIV/0!</v>
      </c>
      <c r="H283" s="177">
        <v>50</v>
      </c>
      <c r="I283" s="177">
        <v>-30.2</v>
      </c>
      <c r="L283" s="97"/>
      <c r="M283" s="82"/>
      <c r="N283" s="82"/>
      <c r="P283" s="31"/>
      <c r="Q283" s="31"/>
    </row>
    <row r="284" spans="1:17" s="119" customFormat="1" ht="13" outlineLevel="1" x14ac:dyDescent="0.3">
      <c r="A284" s="17"/>
      <c r="C284" s="23" t="e">
        <f t="shared" si="4"/>
        <v>#DIV/0!</v>
      </c>
      <c r="D284" s="23" t="e">
        <f t="shared" si="4"/>
        <v>#DIV/0!</v>
      </c>
      <c r="E284" s="23" t="e">
        <f t="shared" si="4"/>
        <v>#DIV/0!</v>
      </c>
      <c r="F284" s="23" t="e">
        <f t="shared" si="4"/>
        <v>#DIV/0!</v>
      </c>
      <c r="G284" s="23" t="e">
        <f t="shared" si="4"/>
        <v>#DIV/0!</v>
      </c>
      <c r="H284" s="177">
        <v>63</v>
      </c>
      <c r="I284" s="177">
        <v>-26.2</v>
      </c>
      <c r="L284" s="97"/>
      <c r="M284" s="82"/>
      <c r="N284" s="82"/>
      <c r="P284" s="31"/>
      <c r="Q284" s="31"/>
    </row>
    <row r="285" spans="1:17" s="119" customFormat="1" ht="13" outlineLevel="1" x14ac:dyDescent="0.3">
      <c r="A285" s="17"/>
      <c r="C285" s="23" t="e">
        <f t="shared" si="4"/>
        <v>#DIV/0!</v>
      </c>
      <c r="D285" s="23" t="e">
        <f t="shared" si="4"/>
        <v>#DIV/0!</v>
      </c>
      <c r="E285" s="23" t="e">
        <f t="shared" si="4"/>
        <v>#DIV/0!</v>
      </c>
      <c r="F285" s="23" t="e">
        <f t="shared" si="4"/>
        <v>#DIV/0!</v>
      </c>
      <c r="G285" s="23" t="e">
        <f t="shared" si="4"/>
        <v>#DIV/0!</v>
      </c>
      <c r="H285" s="177">
        <v>80</v>
      </c>
      <c r="I285" s="177">
        <v>-22.5</v>
      </c>
      <c r="L285" s="97"/>
      <c r="M285" s="82"/>
      <c r="N285" s="82"/>
      <c r="P285" s="31"/>
      <c r="Q285" s="31"/>
    </row>
    <row r="286" spans="1:17" s="119" customFormat="1" ht="13" outlineLevel="1" x14ac:dyDescent="0.3">
      <c r="A286" s="17"/>
      <c r="C286" s="23" t="e">
        <f t="shared" si="4"/>
        <v>#DIV/0!</v>
      </c>
      <c r="D286" s="23" t="e">
        <f t="shared" si="4"/>
        <v>#DIV/0!</v>
      </c>
      <c r="E286" s="23" t="e">
        <f t="shared" si="4"/>
        <v>#DIV/0!</v>
      </c>
      <c r="F286" s="23" t="e">
        <f t="shared" si="4"/>
        <v>#DIV/0!</v>
      </c>
      <c r="G286" s="23" t="e">
        <f t="shared" si="4"/>
        <v>#DIV/0!</v>
      </c>
      <c r="H286" s="177">
        <v>100</v>
      </c>
      <c r="I286" s="177">
        <v>-19.100000000000001</v>
      </c>
      <c r="L286" s="97"/>
      <c r="M286" s="82"/>
      <c r="N286" s="82"/>
      <c r="P286" s="31"/>
      <c r="Q286" s="31"/>
    </row>
    <row r="287" spans="1:17" s="119" customFormat="1" ht="13" outlineLevel="1" x14ac:dyDescent="0.3">
      <c r="A287" s="17"/>
      <c r="C287" s="23" t="e">
        <f t="shared" ref="C287:G296" si="5">10^((C252+$I287)/10)</f>
        <v>#DIV/0!</v>
      </c>
      <c r="D287" s="23" t="e">
        <f t="shared" si="5"/>
        <v>#DIV/0!</v>
      </c>
      <c r="E287" s="23" t="e">
        <f t="shared" si="5"/>
        <v>#DIV/0!</v>
      </c>
      <c r="F287" s="23" t="e">
        <f t="shared" si="5"/>
        <v>#DIV/0!</v>
      </c>
      <c r="G287" s="23" t="e">
        <f t="shared" si="5"/>
        <v>#DIV/0!</v>
      </c>
      <c r="H287" s="177">
        <v>125</v>
      </c>
      <c r="I287" s="177">
        <v>-16.100000000000001</v>
      </c>
      <c r="L287" s="97"/>
      <c r="M287" s="82"/>
      <c r="N287" s="82"/>
      <c r="P287" s="31"/>
      <c r="Q287" s="31"/>
    </row>
    <row r="288" spans="1:17" s="119" customFormat="1" ht="13" outlineLevel="1" x14ac:dyDescent="0.3">
      <c r="A288" s="17"/>
      <c r="C288" s="23" t="e">
        <f t="shared" si="5"/>
        <v>#DIV/0!</v>
      </c>
      <c r="D288" s="23" t="e">
        <f t="shared" si="5"/>
        <v>#DIV/0!</v>
      </c>
      <c r="E288" s="23" t="e">
        <f t="shared" si="5"/>
        <v>#DIV/0!</v>
      </c>
      <c r="F288" s="23" t="e">
        <f t="shared" si="5"/>
        <v>#DIV/0!</v>
      </c>
      <c r="G288" s="23" t="e">
        <f t="shared" si="5"/>
        <v>#DIV/0!</v>
      </c>
      <c r="H288" s="177">
        <v>160</v>
      </c>
      <c r="I288" s="177">
        <v>-13.4</v>
      </c>
      <c r="L288" s="97"/>
      <c r="M288" s="82"/>
      <c r="N288" s="82"/>
      <c r="P288" s="31"/>
      <c r="Q288" s="31"/>
    </row>
    <row r="289" spans="1:17" s="119" customFormat="1" ht="13" outlineLevel="1" x14ac:dyDescent="0.3">
      <c r="A289" s="17"/>
      <c r="C289" s="23" t="e">
        <f t="shared" si="5"/>
        <v>#DIV/0!</v>
      </c>
      <c r="D289" s="23" t="e">
        <f t="shared" si="5"/>
        <v>#DIV/0!</v>
      </c>
      <c r="E289" s="23" t="e">
        <f t="shared" si="5"/>
        <v>#DIV/0!</v>
      </c>
      <c r="F289" s="23" t="e">
        <f t="shared" si="5"/>
        <v>#DIV/0!</v>
      </c>
      <c r="G289" s="23" t="e">
        <f t="shared" si="5"/>
        <v>#DIV/0!</v>
      </c>
      <c r="H289" s="177">
        <v>200</v>
      </c>
      <c r="I289" s="177">
        <v>-10.9</v>
      </c>
      <c r="L289" s="97"/>
      <c r="M289" s="82"/>
      <c r="N289" s="82"/>
      <c r="P289" s="31"/>
      <c r="Q289" s="31"/>
    </row>
    <row r="290" spans="1:17" s="119" customFormat="1" ht="13" outlineLevel="1" x14ac:dyDescent="0.3">
      <c r="A290" s="17"/>
      <c r="C290" s="23" t="e">
        <f t="shared" si="5"/>
        <v>#DIV/0!</v>
      </c>
      <c r="D290" s="23" t="e">
        <f t="shared" si="5"/>
        <v>#DIV/0!</v>
      </c>
      <c r="E290" s="23" t="e">
        <f t="shared" si="5"/>
        <v>#DIV/0!</v>
      </c>
      <c r="F290" s="23" t="e">
        <f t="shared" si="5"/>
        <v>#DIV/0!</v>
      </c>
      <c r="G290" s="23" t="e">
        <f t="shared" si="5"/>
        <v>#DIV/0!</v>
      </c>
      <c r="H290" s="177">
        <v>250</v>
      </c>
      <c r="I290" s="177">
        <v>-8.6</v>
      </c>
      <c r="L290" s="97"/>
      <c r="M290" s="82"/>
      <c r="N290" s="82"/>
      <c r="P290" s="31"/>
      <c r="Q290" s="31"/>
    </row>
    <row r="291" spans="1:17" s="119" customFormat="1" ht="13" outlineLevel="1" x14ac:dyDescent="0.3">
      <c r="A291" s="17"/>
      <c r="C291" s="23" t="e">
        <f t="shared" si="5"/>
        <v>#DIV/0!</v>
      </c>
      <c r="D291" s="23" t="e">
        <f t="shared" si="5"/>
        <v>#DIV/0!</v>
      </c>
      <c r="E291" s="23" t="e">
        <f t="shared" si="5"/>
        <v>#DIV/0!</v>
      </c>
      <c r="F291" s="23" t="e">
        <f t="shared" si="5"/>
        <v>#DIV/0!</v>
      </c>
      <c r="G291" s="23" t="e">
        <f t="shared" si="5"/>
        <v>#DIV/0!</v>
      </c>
      <c r="H291" s="177">
        <v>315</v>
      </c>
      <c r="I291" s="177">
        <v>-6.6</v>
      </c>
      <c r="L291" s="97"/>
      <c r="M291" s="82"/>
      <c r="N291" s="82"/>
      <c r="P291" s="31"/>
      <c r="Q291" s="31"/>
    </row>
    <row r="292" spans="1:17" s="119" customFormat="1" ht="13" outlineLevel="1" x14ac:dyDescent="0.3">
      <c r="A292" s="17"/>
      <c r="C292" s="23" t="e">
        <f t="shared" si="5"/>
        <v>#DIV/0!</v>
      </c>
      <c r="D292" s="23" t="e">
        <f t="shared" si="5"/>
        <v>#DIV/0!</v>
      </c>
      <c r="E292" s="23" t="e">
        <f t="shared" si="5"/>
        <v>#DIV/0!</v>
      </c>
      <c r="F292" s="23" t="e">
        <f t="shared" si="5"/>
        <v>#DIV/0!</v>
      </c>
      <c r="G292" s="23" t="e">
        <f t="shared" si="5"/>
        <v>#DIV/0!</v>
      </c>
      <c r="H292" s="177">
        <v>400</v>
      </c>
      <c r="I292" s="177">
        <v>-4.8</v>
      </c>
      <c r="L292" s="97"/>
      <c r="M292" s="82"/>
      <c r="N292" s="82"/>
      <c r="P292" s="31"/>
      <c r="Q292" s="31"/>
    </row>
    <row r="293" spans="1:17" s="119" customFormat="1" ht="13" outlineLevel="1" x14ac:dyDescent="0.3">
      <c r="A293" s="17"/>
      <c r="C293" s="23" t="e">
        <f t="shared" si="5"/>
        <v>#DIV/0!</v>
      </c>
      <c r="D293" s="23" t="e">
        <f t="shared" si="5"/>
        <v>#DIV/0!</v>
      </c>
      <c r="E293" s="23" t="e">
        <f t="shared" si="5"/>
        <v>#DIV/0!</v>
      </c>
      <c r="F293" s="23" t="e">
        <f t="shared" si="5"/>
        <v>#DIV/0!</v>
      </c>
      <c r="G293" s="23" t="e">
        <f t="shared" si="5"/>
        <v>#DIV/0!</v>
      </c>
      <c r="H293" s="177">
        <v>500</v>
      </c>
      <c r="I293" s="177">
        <v>-3.2</v>
      </c>
      <c r="L293" s="97"/>
      <c r="M293" s="82"/>
      <c r="N293" s="82"/>
      <c r="P293" s="31"/>
      <c r="Q293" s="31"/>
    </row>
    <row r="294" spans="1:17" s="119" customFormat="1" ht="13" outlineLevel="1" x14ac:dyDescent="0.3">
      <c r="A294" s="17"/>
      <c r="C294" s="23" t="e">
        <f t="shared" si="5"/>
        <v>#DIV/0!</v>
      </c>
      <c r="D294" s="23" t="e">
        <f t="shared" si="5"/>
        <v>#DIV/0!</v>
      </c>
      <c r="E294" s="23" t="e">
        <f t="shared" si="5"/>
        <v>#DIV/0!</v>
      </c>
      <c r="F294" s="23" t="e">
        <f t="shared" si="5"/>
        <v>#DIV/0!</v>
      </c>
      <c r="G294" s="23" t="e">
        <f t="shared" si="5"/>
        <v>#DIV/0!</v>
      </c>
      <c r="H294" s="177">
        <v>630</v>
      </c>
      <c r="I294" s="177">
        <v>-1.9</v>
      </c>
      <c r="L294" s="97"/>
      <c r="M294" s="82"/>
      <c r="N294" s="82"/>
      <c r="P294" s="31"/>
      <c r="Q294" s="31"/>
    </row>
    <row r="295" spans="1:17" s="119" customFormat="1" ht="13" outlineLevel="1" x14ac:dyDescent="0.3">
      <c r="A295" s="17"/>
      <c r="C295" s="23" t="e">
        <f t="shared" si="5"/>
        <v>#DIV/0!</v>
      </c>
      <c r="D295" s="23" t="e">
        <f t="shared" si="5"/>
        <v>#DIV/0!</v>
      </c>
      <c r="E295" s="23" t="e">
        <f t="shared" si="5"/>
        <v>#DIV/0!</v>
      </c>
      <c r="F295" s="23" t="e">
        <f t="shared" si="5"/>
        <v>#DIV/0!</v>
      </c>
      <c r="G295" s="23" t="e">
        <f t="shared" si="5"/>
        <v>#DIV/0!</v>
      </c>
      <c r="H295" s="177">
        <v>800</v>
      </c>
      <c r="I295" s="177">
        <v>-0.8</v>
      </c>
      <c r="L295" s="97"/>
      <c r="M295" s="82"/>
      <c r="N295" s="82"/>
      <c r="P295" s="31"/>
      <c r="Q295" s="31"/>
    </row>
    <row r="296" spans="1:17" s="119" customFormat="1" ht="13" outlineLevel="1" x14ac:dyDescent="0.3">
      <c r="A296" s="17"/>
      <c r="C296" s="23" t="e">
        <f t="shared" si="5"/>
        <v>#DIV/0!</v>
      </c>
      <c r="D296" s="23" t="e">
        <f t="shared" si="5"/>
        <v>#DIV/0!</v>
      </c>
      <c r="E296" s="23" t="e">
        <f t="shared" si="5"/>
        <v>#DIV/0!</v>
      </c>
      <c r="F296" s="23" t="e">
        <f t="shared" si="5"/>
        <v>#DIV/0!</v>
      </c>
      <c r="G296" s="23" t="e">
        <f t="shared" si="5"/>
        <v>#DIV/0!</v>
      </c>
      <c r="H296" s="177">
        <v>1000</v>
      </c>
      <c r="I296" s="177">
        <v>0</v>
      </c>
      <c r="L296" s="97"/>
      <c r="M296" s="82"/>
      <c r="N296" s="82"/>
      <c r="P296" s="31"/>
      <c r="Q296" s="31"/>
    </row>
    <row r="297" spans="1:17" s="119" customFormat="1" ht="13" outlineLevel="1" x14ac:dyDescent="0.3">
      <c r="A297" s="17"/>
      <c r="C297" s="23" t="e">
        <f t="shared" ref="C297:G306" si="6">10^((C262+$I297)/10)</f>
        <v>#DIV/0!</v>
      </c>
      <c r="D297" s="23" t="e">
        <f t="shared" si="6"/>
        <v>#DIV/0!</v>
      </c>
      <c r="E297" s="23" t="e">
        <f t="shared" si="6"/>
        <v>#DIV/0!</v>
      </c>
      <c r="F297" s="23" t="e">
        <f t="shared" si="6"/>
        <v>#DIV/0!</v>
      </c>
      <c r="G297" s="23" t="e">
        <f t="shared" si="6"/>
        <v>#DIV/0!</v>
      </c>
      <c r="H297" s="177">
        <v>1250</v>
      </c>
      <c r="I297" s="177">
        <v>0.6</v>
      </c>
      <c r="L297" s="97"/>
      <c r="M297" s="82"/>
      <c r="N297" s="82"/>
      <c r="P297" s="31"/>
      <c r="Q297" s="31"/>
    </row>
    <row r="298" spans="1:17" s="119" customFormat="1" ht="13" outlineLevel="1" x14ac:dyDescent="0.3">
      <c r="A298" s="17"/>
      <c r="C298" s="23" t="e">
        <f t="shared" si="6"/>
        <v>#DIV/0!</v>
      </c>
      <c r="D298" s="23" t="e">
        <f t="shared" si="6"/>
        <v>#DIV/0!</v>
      </c>
      <c r="E298" s="23" t="e">
        <f t="shared" si="6"/>
        <v>#DIV/0!</v>
      </c>
      <c r="F298" s="23" t="e">
        <f t="shared" si="6"/>
        <v>#DIV/0!</v>
      </c>
      <c r="G298" s="23" t="e">
        <f t="shared" si="6"/>
        <v>#DIV/0!</v>
      </c>
      <c r="H298" s="177">
        <v>1600</v>
      </c>
      <c r="I298" s="177">
        <v>1</v>
      </c>
      <c r="L298" s="97"/>
      <c r="M298" s="82"/>
      <c r="N298" s="82"/>
      <c r="P298" s="31"/>
      <c r="Q298" s="31"/>
    </row>
    <row r="299" spans="1:17" s="119" customFormat="1" ht="13" outlineLevel="1" x14ac:dyDescent="0.3">
      <c r="A299" s="17"/>
      <c r="C299" s="23" t="e">
        <f t="shared" si="6"/>
        <v>#DIV/0!</v>
      </c>
      <c r="D299" s="23" t="e">
        <f t="shared" si="6"/>
        <v>#DIV/0!</v>
      </c>
      <c r="E299" s="23" t="e">
        <f t="shared" si="6"/>
        <v>#DIV/0!</v>
      </c>
      <c r="F299" s="23" t="e">
        <f t="shared" si="6"/>
        <v>#DIV/0!</v>
      </c>
      <c r="G299" s="23" t="e">
        <f t="shared" si="6"/>
        <v>#DIV/0!</v>
      </c>
      <c r="H299" s="177">
        <v>2000</v>
      </c>
      <c r="I299" s="177">
        <v>1.2</v>
      </c>
      <c r="L299" s="97"/>
      <c r="M299" s="82"/>
      <c r="N299" s="82"/>
      <c r="P299" s="31"/>
      <c r="Q299" s="31"/>
    </row>
    <row r="300" spans="1:17" s="119" customFormat="1" ht="13" outlineLevel="1" x14ac:dyDescent="0.3">
      <c r="A300" s="17"/>
      <c r="C300" s="23" t="e">
        <f t="shared" si="6"/>
        <v>#DIV/0!</v>
      </c>
      <c r="D300" s="23" t="e">
        <f t="shared" si="6"/>
        <v>#DIV/0!</v>
      </c>
      <c r="E300" s="23" t="e">
        <f t="shared" si="6"/>
        <v>#DIV/0!</v>
      </c>
      <c r="F300" s="23" t="e">
        <f t="shared" si="6"/>
        <v>#DIV/0!</v>
      </c>
      <c r="G300" s="23" t="e">
        <f t="shared" si="6"/>
        <v>#DIV/0!</v>
      </c>
      <c r="H300" s="177">
        <v>2500</v>
      </c>
      <c r="I300" s="177">
        <v>1.3</v>
      </c>
      <c r="L300" s="97"/>
      <c r="M300" s="82"/>
      <c r="N300" s="82"/>
      <c r="P300" s="31"/>
      <c r="Q300" s="31"/>
    </row>
    <row r="301" spans="1:17" s="119" customFormat="1" ht="13" outlineLevel="1" x14ac:dyDescent="0.3">
      <c r="A301" s="17"/>
      <c r="C301" s="23" t="e">
        <f t="shared" si="6"/>
        <v>#DIV/0!</v>
      </c>
      <c r="D301" s="23" t="e">
        <f t="shared" si="6"/>
        <v>#DIV/0!</v>
      </c>
      <c r="E301" s="23" t="e">
        <f t="shared" si="6"/>
        <v>#DIV/0!</v>
      </c>
      <c r="F301" s="23" t="e">
        <f t="shared" si="6"/>
        <v>#DIV/0!</v>
      </c>
      <c r="G301" s="23" t="e">
        <f t="shared" si="6"/>
        <v>#DIV/0!</v>
      </c>
      <c r="H301" s="177">
        <v>3150</v>
      </c>
      <c r="I301" s="177">
        <v>1.2</v>
      </c>
      <c r="L301" s="97"/>
      <c r="M301" s="82"/>
      <c r="N301" s="82"/>
      <c r="P301" s="31"/>
      <c r="Q301" s="31"/>
    </row>
    <row r="302" spans="1:17" s="119" customFormat="1" ht="13" outlineLevel="1" x14ac:dyDescent="0.3">
      <c r="A302" s="17"/>
      <c r="C302" s="23" t="e">
        <f t="shared" si="6"/>
        <v>#DIV/0!</v>
      </c>
      <c r="D302" s="23" t="e">
        <f t="shared" si="6"/>
        <v>#DIV/0!</v>
      </c>
      <c r="E302" s="23" t="e">
        <f t="shared" si="6"/>
        <v>#DIV/0!</v>
      </c>
      <c r="F302" s="23" t="e">
        <f t="shared" si="6"/>
        <v>#DIV/0!</v>
      </c>
      <c r="G302" s="23" t="e">
        <f t="shared" si="6"/>
        <v>#DIV/0!</v>
      </c>
      <c r="H302" s="177">
        <v>4000</v>
      </c>
      <c r="I302" s="177">
        <v>1</v>
      </c>
      <c r="L302" s="97"/>
      <c r="M302" s="82"/>
      <c r="N302" s="82"/>
      <c r="P302" s="31"/>
      <c r="Q302" s="31"/>
    </row>
    <row r="303" spans="1:17" s="119" customFormat="1" ht="13" outlineLevel="1" x14ac:dyDescent="0.3">
      <c r="A303" s="17"/>
      <c r="C303" s="23" t="e">
        <f t="shared" si="6"/>
        <v>#DIV/0!</v>
      </c>
      <c r="D303" s="23" t="e">
        <f t="shared" si="6"/>
        <v>#DIV/0!</v>
      </c>
      <c r="E303" s="23" t="e">
        <f t="shared" si="6"/>
        <v>#DIV/0!</v>
      </c>
      <c r="F303" s="23" t="e">
        <f t="shared" si="6"/>
        <v>#DIV/0!</v>
      </c>
      <c r="G303" s="23" t="e">
        <f t="shared" si="6"/>
        <v>#DIV/0!</v>
      </c>
      <c r="H303" s="177">
        <v>5000</v>
      </c>
      <c r="I303" s="177">
        <v>0.5</v>
      </c>
      <c r="L303" s="97"/>
      <c r="M303" s="82"/>
      <c r="N303" s="82"/>
      <c r="P303" s="31"/>
      <c r="Q303" s="31"/>
    </row>
    <row r="304" spans="1:17" s="119" customFormat="1" ht="13" outlineLevel="1" x14ac:dyDescent="0.3">
      <c r="A304" s="17"/>
      <c r="C304" s="23" t="e">
        <f t="shared" si="6"/>
        <v>#DIV/0!</v>
      </c>
      <c r="D304" s="23" t="e">
        <f t="shared" si="6"/>
        <v>#DIV/0!</v>
      </c>
      <c r="E304" s="23" t="e">
        <f t="shared" si="6"/>
        <v>#DIV/0!</v>
      </c>
      <c r="F304" s="23" t="e">
        <f t="shared" si="6"/>
        <v>#DIV/0!</v>
      </c>
      <c r="G304" s="23" t="e">
        <f t="shared" si="6"/>
        <v>#DIV/0!</v>
      </c>
      <c r="H304" s="177">
        <v>6300</v>
      </c>
      <c r="I304" s="177">
        <v>-0.1</v>
      </c>
      <c r="L304" s="97"/>
      <c r="M304" s="82"/>
      <c r="N304" s="82"/>
      <c r="P304" s="31"/>
      <c r="Q304" s="31"/>
    </row>
    <row r="305" spans="1:17" s="119" customFormat="1" ht="13" outlineLevel="1" x14ac:dyDescent="0.3">
      <c r="A305" s="17"/>
      <c r="C305" s="23" t="e">
        <f t="shared" si="6"/>
        <v>#DIV/0!</v>
      </c>
      <c r="D305" s="23" t="e">
        <f t="shared" si="6"/>
        <v>#DIV/0!</v>
      </c>
      <c r="E305" s="23" t="e">
        <f t="shared" si="6"/>
        <v>#DIV/0!</v>
      </c>
      <c r="F305" s="23" t="e">
        <f t="shared" si="6"/>
        <v>#DIV/0!</v>
      </c>
      <c r="G305" s="23" t="e">
        <f t="shared" si="6"/>
        <v>#DIV/0!</v>
      </c>
      <c r="H305" s="177">
        <v>8000</v>
      </c>
      <c r="I305" s="177">
        <v>-1.1000000000000001</v>
      </c>
      <c r="L305" s="97"/>
      <c r="M305" s="82"/>
      <c r="N305" s="82"/>
      <c r="P305" s="31"/>
      <c r="Q305" s="31"/>
    </row>
    <row r="306" spans="1:17" s="119" customFormat="1" ht="13" outlineLevel="1" x14ac:dyDescent="0.3">
      <c r="A306" s="17"/>
      <c r="C306" s="23" t="e">
        <f t="shared" si="6"/>
        <v>#DIV/0!</v>
      </c>
      <c r="D306" s="23" t="e">
        <f t="shared" si="6"/>
        <v>#DIV/0!</v>
      </c>
      <c r="E306" s="23" t="e">
        <f t="shared" si="6"/>
        <v>#DIV/0!</v>
      </c>
      <c r="F306" s="23" t="e">
        <f t="shared" si="6"/>
        <v>#DIV/0!</v>
      </c>
      <c r="G306" s="23" t="e">
        <f t="shared" si="6"/>
        <v>#DIV/0!</v>
      </c>
      <c r="H306" s="177">
        <v>10000</v>
      </c>
      <c r="I306" s="177">
        <v>-2.5</v>
      </c>
      <c r="L306" s="97"/>
      <c r="M306" s="82"/>
      <c r="N306" s="82"/>
      <c r="P306" s="31"/>
      <c r="Q306" s="31"/>
    </row>
    <row r="307" spans="1:17" s="119" customFormat="1" ht="13" outlineLevel="1" x14ac:dyDescent="0.3">
      <c r="A307" s="17"/>
      <c r="C307" s="23" t="e">
        <f t="shared" ref="C307:G309" si="7">10^((C272+$I307)/10)</f>
        <v>#DIV/0!</v>
      </c>
      <c r="D307" s="23" t="e">
        <f t="shared" si="7"/>
        <v>#DIV/0!</v>
      </c>
      <c r="E307" s="23" t="e">
        <f t="shared" si="7"/>
        <v>#DIV/0!</v>
      </c>
      <c r="F307" s="23" t="e">
        <f t="shared" si="7"/>
        <v>#DIV/0!</v>
      </c>
      <c r="G307" s="23" t="e">
        <f t="shared" si="7"/>
        <v>#DIV/0!</v>
      </c>
      <c r="H307" s="177">
        <v>12500</v>
      </c>
      <c r="I307" s="177">
        <v>-4.3</v>
      </c>
      <c r="L307" s="97"/>
      <c r="M307" s="82"/>
      <c r="N307" s="82"/>
      <c r="P307" s="31"/>
      <c r="Q307" s="31"/>
    </row>
    <row r="308" spans="1:17" s="119" customFormat="1" ht="13" outlineLevel="1" x14ac:dyDescent="0.3">
      <c r="A308" s="17"/>
      <c r="C308" s="23" t="e">
        <f t="shared" si="7"/>
        <v>#DIV/0!</v>
      </c>
      <c r="D308" s="23" t="e">
        <f t="shared" si="7"/>
        <v>#DIV/0!</v>
      </c>
      <c r="E308" s="23" t="e">
        <f t="shared" si="7"/>
        <v>#DIV/0!</v>
      </c>
      <c r="F308" s="23" t="e">
        <f t="shared" si="7"/>
        <v>#DIV/0!</v>
      </c>
      <c r="G308" s="23" t="e">
        <f t="shared" si="7"/>
        <v>#DIV/0!</v>
      </c>
      <c r="H308" s="177">
        <v>16000</v>
      </c>
      <c r="I308" s="177">
        <v>-6.6</v>
      </c>
      <c r="L308" s="97"/>
      <c r="M308" s="82"/>
      <c r="N308" s="82"/>
      <c r="P308" s="31"/>
      <c r="Q308" s="31"/>
    </row>
    <row r="309" spans="1:17" s="119" customFormat="1" ht="13" outlineLevel="1" x14ac:dyDescent="0.3">
      <c r="A309" s="17"/>
      <c r="C309" s="23" t="e">
        <f t="shared" si="7"/>
        <v>#DIV/0!</v>
      </c>
      <c r="D309" s="23" t="e">
        <f t="shared" si="7"/>
        <v>#DIV/0!</v>
      </c>
      <c r="E309" s="23" t="e">
        <f t="shared" si="7"/>
        <v>#DIV/0!</v>
      </c>
      <c r="F309" s="23" t="e">
        <f t="shared" si="7"/>
        <v>#DIV/0!</v>
      </c>
      <c r="G309" s="23" t="e">
        <f t="shared" si="7"/>
        <v>#DIV/0!</v>
      </c>
      <c r="H309" s="177">
        <v>20000</v>
      </c>
      <c r="I309" s="177">
        <v>-9.3000000000000007</v>
      </c>
      <c r="L309" s="97"/>
      <c r="M309" s="82"/>
      <c r="N309" s="82"/>
      <c r="P309" s="31"/>
      <c r="Q309" s="31"/>
    </row>
    <row r="310" spans="1:17" s="119" customFormat="1" ht="13" outlineLevel="1" x14ac:dyDescent="0.3">
      <c r="A310" s="17"/>
      <c r="C310" s="23"/>
      <c r="D310" s="23"/>
      <c r="E310" s="23"/>
      <c r="F310" s="23"/>
      <c r="G310" s="23"/>
      <c r="H310" s="177"/>
      <c r="L310" s="97"/>
      <c r="M310" s="82"/>
      <c r="N310" s="82"/>
      <c r="P310" s="31"/>
      <c r="Q310" s="31"/>
    </row>
    <row r="311" spans="1:17" s="119" customFormat="1" ht="13" outlineLevel="1" x14ac:dyDescent="0.3">
      <c r="A311" s="17"/>
      <c r="C311" s="491" t="s">
        <v>969</v>
      </c>
      <c r="D311" s="491"/>
      <c r="E311" s="491"/>
      <c r="F311" s="491"/>
      <c r="G311" s="491"/>
      <c r="H311" s="177"/>
      <c r="L311" s="97"/>
      <c r="M311" s="82"/>
      <c r="N311" s="82"/>
      <c r="P311" s="31"/>
      <c r="Q311" s="31"/>
    </row>
    <row r="312" spans="1:17" s="119" customFormat="1" ht="13" outlineLevel="1" x14ac:dyDescent="0.3">
      <c r="C312" s="24" t="e">
        <f>10*LOG10(SUM(C277:C309))</f>
        <v>#DIV/0!</v>
      </c>
      <c r="D312" s="23"/>
      <c r="E312" s="23"/>
      <c r="F312" s="23"/>
      <c r="G312" s="23"/>
      <c r="H312" s="177"/>
      <c r="L312" s="97"/>
      <c r="M312" s="82"/>
      <c r="N312" s="82"/>
      <c r="P312" s="31"/>
      <c r="Q312" s="31"/>
    </row>
    <row r="313" spans="1:17" s="119" customFormat="1" ht="13" outlineLevel="1" x14ac:dyDescent="0.3">
      <c r="A313" s="17"/>
      <c r="C313" s="23"/>
      <c r="D313" s="23"/>
      <c r="E313" s="23"/>
      <c r="F313" s="23"/>
      <c r="G313" s="23"/>
      <c r="H313" s="177"/>
      <c r="L313" s="97"/>
      <c r="M313" s="82"/>
      <c r="N313" s="82"/>
      <c r="P313" s="31"/>
      <c r="Q313" s="31"/>
    </row>
    <row r="314" spans="1:17" s="119" customFormat="1" ht="13" outlineLevel="1" x14ac:dyDescent="0.3">
      <c r="A314" s="17"/>
      <c r="C314" s="492" t="s">
        <v>972</v>
      </c>
      <c r="D314" s="492"/>
      <c r="E314" s="492"/>
      <c r="F314" s="492"/>
      <c r="G314" s="492"/>
      <c r="H314" s="177"/>
      <c r="L314" s="97"/>
      <c r="M314" s="82"/>
      <c r="N314" s="82"/>
      <c r="P314" s="31"/>
      <c r="Q314" s="31"/>
    </row>
    <row r="315" spans="1:17" s="119" customFormat="1" ht="13" outlineLevel="1" x14ac:dyDescent="0.3">
      <c r="C315" s="23" t="e">
        <f>Noise!E$282-8-10*LOG((1+($H102/(2*Noise!E$279))^2.5)*(1+(Noise!E$279/(2*$H102))^1.7))</f>
        <v>#VALUE!</v>
      </c>
      <c r="D315" s="23" t="e">
        <f>Noise!F$282-8-10*LOG((1+($H102/(2*Noise!F$279))^2.5)*(1+(Noise!F$279/(2*$H102))^1.7))</f>
        <v>#VALUE!</v>
      </c>
      <c r="E315" s="23" t="e">
        <f>Noise!G$282-8-10*LOG((1+($H102/(2*Noise!G$279))^2.5)*(1+(Noise!G$279/(2*$H102))^1.7))</f>
        <v>#VALUE!</v>
      </c>
      <c r="F315" s="23" t="e">
        <f>Noise!H$282-8-10*LOG((1+($H102/(2*Noise!H$279))^2.5)*(1+(Noise!H$279/(2*$H102))^1.7))</f>
        <v>#VALUE!</v>
      </c>
      <c r="G315" s="23" t="e">
        <f>Noise!I$282-8-10*LOG((1+($H102/(2*Noise!I$279))^2.5)*(1+(Noise!I$279/(2*$H102))^1.7))</f>
        <v>#VALUE!</v>
      </c>
      <c r="H315" s="177">
        <v>12.5</v>
      </c>
      <c r="L315" s="97"/>
      <c r="M315" s="82"/>
      <c r="N315" s="82"/>
      <c r="P315" s="31"/>
      <c r="Q315" s="31"/>
    </row>
    <row r="316" spans="1:17" s="119" customFormat="1" ht="13" outlineLevel="1" x14ac:dyDescent="0.3">
      <c r="A316" s="17"/>
      <c r="C316" s="23" t="e">
        <f>Noise!E$282-8-10*LOG((1+($H103/(2*Noise!E$279))^2.5)*(1+(Noise!E$279/(2*$H103))^1.7))</f>
        <v>#VALUE!</v>
      </c>
      <c r="D316" s="23" t="e">
        <f>Noise!F$282-8-10*LOG((1+($H103/(2*Noise!F$279))^2.5)*(1+(Noise!F$279/(2*$H103))^1.7))</f>
        <v>#VALUE!</v>
      </c>
      <c r="E316" s="23" t="e">
        <f>Noise!G$282-8-10*LOG((1+($H103/(2*Noise!G$279))^2.5)*(1+(Noise!G$279/(2*$H103))^1.7))</f>
        <v>#VALUE!</v>
      </c>
      <c r="F316" s="23" t="e">
        <f>Noise!H$282-8-10*LOG((1+($H103/(2*Noise!H$279))^2.5)*(1+(Noise!H$279/(2*$H103))^1.7))</f>
        <v>#VALUE!</v>
      </c>
      <c r="G316" s="23" t="e">
        <f>Noise!I$282-8-10*LOG((1+($H103/(2*Noise!I$279))^2.5)*(1+(Noise!I$279/(2*$H103))^1.7))</f>
        <v>#VALUE!</v>
      </c>
      <c r="H316" s="177">
        <v>16</v>
      </c>
      <c r="L316" s="97"/>
      <c r="M316" s="82"/>
      <c r="N316" s="82"/>
      <c r="P316" s="31"/>
      <c r="Q316" s="31"/>
    </row>
    <row r="317" spans="1:17" s="119" customFormat="1" ht="13" outlineLevel="1" x14ac:dyDescent="0.3">
      <c r="A317" s="17"/>
      <c r="C317" s="23" t="e">
        <f>Noise!E$282-8-10*LOG((1+($H104/(2*Noise!E$279))^2.5)*(1+(Noise!E$279/(2*$H104))^1.7))</f>
        <v>#VALUE!</v>
      </c>
      <c r="D317" s="23" t="e">
        <f>Noise!F$282-8-10*LOG((1+($H104/(2*Noise!F$279))^2.5)*(1+(Noise!F$279/(2*$H104))^1.7))</f>
        <v>#VALUE!</v>
      </c>
      <c r="E317" s="23" t="e">
        <f>Noise!G$282-8-10*LOG((1+($H104/(2*Noise!G$279))^2.5)*(1+(Noise!G$279/(2*$H104))^1.7))</f>
        <v>#VALUE!</v>
      </c>
      <c r="F317" s="23" t="e">
        <f>Noise!H$282-8-10*LOG((1+($H104/(2*Noise!H$279))^2.5)*(1+(Noise!H$279/(2*$H104))^1.7))</f>
        <v>#VALUE!</v>
      </c>
      <c r="G317" s="23" t="e">
        <f>Noise!I$282-8-10*LOG((1+($H104/(2*Noise!I$279))^2.5)*(1+(Noise!I$279/(2*$H104))^1.7))</f>
        <v>#VALUE!</v>
      </c>
      <c r="H317" s="177">
        <v>20</v>
      </c>
      <c r="L317" s="97"/>
      <c r="M317" s="82"/>
      <c r="N317" s="82"/>
      <c r="P317" s="31"/>
      <c r="Q317" s="31"/>
    </row>
    <row r="318" spans="1:17" s="119" customFormat="1" ht="13" outlineLevel="1" x14ac:dyDescent="0.3">
      <c r="A318" s="17"/>
      <c r="C318" s="23" t="e">
        <f>Noise!E$282-8-10*LOG((1+($H105/(2*Noise!E$279))^2.5)*(1+(Noise!E$279/(2*$H105))^1.7))</f>
        <v>#VALUE!</v>
      </c>
      <c r="D318" s="23" t="e">
        <f>Noise!F$282-8-10*LOG((1+($H105/(2*Noise!F$279))^2.5)*(1+(Noise!F$279/(2*$H105))^1.7))</f>
        <v>#VALUE!</v>
      </c>
      <c r="E318" s="23" t="e">
        <f>Noise!G$282-8-10*LOG((1+($H105/(2*Noise!G$279))^2.5)*(1+(Noise!G$279/(2*$H105))^1.7))</f>
        <v>#VALUE!</v>
      </c>
      <c r="F318" s="23" t="e">
        <f>Noise!H$282-8-10*LOG((1+($H105/(2*Noise!H$279))^2.5)*(1+(Noise!H$279/(2*$H105))^1.7))</f>
        <v>#VALUE!</v>
      </c>
      <c r="G318" s="23" t="e">
        <f>Noise!I$282-8-10*LOG((1+($H105/(2*Noise!I$279))^2.5)*(1+(Noise!I$279/(2*$H105))^1.7))</f>
        <v>#VALUE!</v>
      </c>
      <c r="H318" s="177">
        <v>25</v>
      </c>
      <c r="L318" s="97"/>
      <c r="M318" s="82"/>
      <c r="N318" s="82"/>
      <c r="P318" s="31"/>
      <c r="Q318" s="31"/>
    </row>
    <row r="319" spans="1:17" s="119" customFormat="1" ht="13" outlineLevel="1" x14ac:dyDescent="0.3">
      <c r="A319" s="17"/>
      <c r="C319" s="23" t="e">
        <f>Noise!E$282-8-10*LOG((1+($H106/(2*Noise!E$279))^2.5)*(1+(Noise!E$279/(2*$H106))^1.7))</f>
        <v>#VALUE!</v>
      </c>
      <c r="D319" s="23" t="e">
        <f>Noise!F$282-8-10*LOG((1+($H106/(2*Noise!F$279))^2.5)*(1+(Noise!F$279/(2*$H106))^1.7))</f>
        <v>#VALUE!</v>
      </c>
      <c r="E319" s="23" t="e">
        <f>Noise!G$282-8-10*LOG((1+($H106/(2*Noise!G$279))^2.5)*(1+(Noise!G$279/(2*$H106))^1.7))</f>
        <v>#VALUE!</v>
      </c>
      <c r="F319" s="23" t="e">
        <f>Noise!H$282-8-10*LOG((1+($H106/(2*Noise!H$279))^2.5)*(1+(Noise!H$279/(2*$H106))^1.7))</f>
        <v>#VALUE!</v>
      </c>
      <c r="G319" s="23" t="e">
        <f>Noise!I$282-8-10*LOG((1+($H106/(2*Noise!I$279))^2.5)*(1+(Noise!I$279/(2*$H106))^1.7))</f>
        <v>#VALUE!</v>
      </c>
      <c r="H319" s="177">
        <v>31.5</v>
      </c>
      <c r="L319" s="97"/>
      <c r="M319" s="82"/>
      <c r="N319" s="82"/>
      <c r="P319" s="31"/>
      <c r="Q319" s="31"/>
    </row>
    <row r="320" spans="1:17" s="119" customFormat="1" ht="13" outlineLevel="1" x14ac:dyDescent="0.3">
      <c r="A320" s="17"/>
      <c r="C320" s="23" t="e">
        <f>Noise!E$282-8-10*LOG((1+($H107/(2*Noise!E$279))^2.5)*(1+(Noise!E$279/(2*$H107))^1.7))</f>
        <v>#VALUE!</v>
      </c>
      <c r="D320" s="23" t="e">
        <f>Noise!F$282-8-10*LOG((1+($H107/(2*Noise!F$279))^2.5)*(1+(Noise!F$279/(2*$H107))^1.7))</f>
        <v>#VALUE!</v>
      </c>
      <c r="E320" s="23" t="e">
        <f>Noise!G$282-8-10*LOG((1+($H107/(2*Noise!G$279))^2.5)*(1+(Noise!G$279/(2*$H107))^1.7))</f>
        <v>#VALUE!</v>
      </c>
      <c r="F320" s="23" t="e">
        <f>Noise!H$282-8-10*LOG((1+($H107/(2*Noise!H$279))^2.5)*(1+(Noise!H$279/(2*$H107))^1.7))</f>
        <v>#VALUE!</v>
      </c>
      <c r="G320" s="23" t="e">
        <f>Noise!I$282-8-10*LOG((1+($H107/(2*Noise!I$279))^2.5)*(1+(Noise!I$279/(2*$H107))^1.7))</f>
        <v>#VALUE!</v>
      </c>
      <c r="H320" s="177">
        <v>40</v>
      </c>
      <c r="L320" s="97"/>
      <c r="M320" s="82"/>
      <c r="N320" s="82"/>
      <c r="P320" s="31"/>
      <c r="Q320" s="31"/>
    </row>
    <row r="321" spans="1:17" s="119" customFormat="1" ht="13" outlineLevel="1" x14ac:dyDescent="0.3">
      <c r="A321" s="17"/>
      <c r="C321" s="23" t="e">
        <f>Noise!E$282-8-10*LOG((1+($H108/(2*Noise!E$279))^2.5)*(1+(Noise!E$279/(2*$H108))^1.7))</f>
        <v>#VALUE!</v>
      </c>
      <c r="D321" s="23" t="e">
        <f>Noise!F$282-8-10*LOG((1+($H108/(2*Noise!F$279))^2.5)*(1+(Noise!F$279/(2*$H108))^1.7))</f>
        <v>#VALUE!</v>
      </c>
      <c r="E321" s="23" t="e">
        <f>Noise!G$282-8-10*LOG((1+($H108/(2*Noise!G$279))^2.5)*(1+(Noise!G$279/(2*$H108))^1.7))</f>
        <v>#VALUE!</v>
      </c>
      <c r="F321" s="23" t="e">
        <f>Noise!H$282-8-10*LOG((1+($H108/(2*Noise!H$279))^2.5)*(1+(Noise!H$279/(2*$H108))^1.7))</f>
        <v>#VALUE!</v>
      </c>
      <c r="G321" s="23" t="e">
        <f>Noise!I$282-8-10*LOG((1+($H108/(2*Noise!I$279))^2.5)*(1+(Noise!I$279/(2*$H108))^1.7))</f>
        <v>#VALUE!</v>
      </c>
      <c r="H321" s="177">
        <v>50</v>
      </c>
      <c r="L321" s="97"/>
      <c r="M321" s="82"/>
      <c r="N321" s="82"/>
      <c r="P321" s="31"/>
      <c r="Q321" s="31"/>
    </row>
    <row r="322" spans="1:17" s="119" customFormat="1" ht="13" outlineLevel="1" x14ac:dyDescent="0.3">
      <c r="A322" s="17"/>
      <c r="C322" s="23" t="e">
        <f>Noise!E$282-8-10*LOG((1+($H109/(2*Noise!E$279))^2.5)*(1+(Noise!E$279/(2*$H109))^1.7))</f>
        <v>#VALUE!</v>
      </c>
      <c r="D322" s="23" t="e">
        <f>Noise!F$282-8-10*LOG((1+($H109/(2*Noise!F$279))^2.5)*(1+(Noise!F$279/(2*$H109))^1.7))</f>
        <v>#VALUE!</v>
      </c>
      <c r="E322" s="23" t="e">
        <f>Noise!G$282-8-10*LOG((1+($H109/(2*Noise!G$279))^2.5)*(1+(Noise!G$279/(2*$H109))^1.7))</f>
        <v>#VALUE!</v>
      </c>
      <c r="F322" s="23" t="e">
        <f>Noise!H$282-8-10*LOG((1+($H109/(2*Noise!H$279))^2.5)*(1+(Noise!H$279/(2*$H109))^1.7))</f>
        <v>#VALUE!</v>
      </c>
      <c r="G322" s="23" t="e">
        <f>Noise!I$282-8-10*LOG((1+($H109/(2*Noise!I$279))^2.5)*(1+(Noise!I$279/(2*$H109))^1.7))</f>
        <v>#VALUE!</v>
      </c>
      <c r="H322" s="177">
        <v>63</v>
      </c>
      <c r="L322" s="97"/>
      <c r="M322" s="82"/>
      <c r="N322" s="82"/>
      <c r="P322" s="31"/>
      <c r="Q322" s="31"/>
    </row>
    <row r="323" spans="1:17" s="119" customFormat="1" ht="13" outlineLevel="1" x14ac:dyDescent="0.3">
      <c r="A323" s="17"/>
      <c r="C323" s="23" t="e">
        <f>Noise!E$282-8-10*LOG((1+($H110/(2*Noise!E$279))^2.5)*(1+(Noise!E$279/(2*$H110))^1.7))</f>
        <v>#VALUE!</v>
      </c>
      <c r="D323" s="23" t="e">
        <f>Noise!F$282-8-10*LOG((1+($H110/(2*Noise!F$279))^2.5)*(1+(Noise!F$279/(2*$H110))^1.7))</f>
        <v>#VALUE!</v>
      </c>
      <c r="E323" s="23" t="e">
        <f>Noise!G$282-8-10*LOG((1+($H110/(2*Noise!G$279))^2.5)*(1+(Noise!G$279/(2*$H110))^1.7))</f>
        <v>#VALUE!</v>
      </c>
      <c r="F323" s="23" t="e">
        <f>Noise!H$282-8-10*LOG((1+($H110/(2*Noise!H$279))^2.5)*(1+(Noise!H$279/(2*$H110))^1.7))</f>
        <v>#VALUE!</v>
      </c>
      <c r="G323" s="23" t="e">
        <f>Noise!I$282-8-10*LOG((1+($H110/(2*Noise!I$279))^2.5)*(1+(Noise!I$279/(2*$H110))^1.7))</f>
        <v>#VALUE!</v>
      </c>
      <c r="H323" s="177">
        <v>80</v>
      </c>
      <c r="L323" s="97"/>
      <c r="M323" s="82"/>
      <c r="N323" s="82"/>
      <c r="P323" s="31"/>
      <c r="Q323" s="31"/>
    </row>
    <row r="324" spans="1:17" s="119" customFormat="1" ht="13" outlineLevel="1" x14ac:dyDescent="0.3">
      <c r="A324" s="17"/>
      <c r="C324" s="23" t="e">
        <f>Noise!E$282-8-10*LOG((1+($H111/(2*Noise!E$279))^2.5)*(1+(Noise!E$279/(2*$H111))^1.7))</f>
        <v>#VALUE!</v>
      </c>
      <c r="D324" s="23" t="e">
        <f>Noise!F$282-8-10*LOG((1+($H111/(2*Noise!F$279))^2.5)*(1+(Noise!F$279/(2*$H111))^1.7))</f>
        <v>#VALUE!</v>
      </c>
      <c r="E324" s="23" t="e">
        <f>Noise!G$282-8-10*LOG((1+($H111/(2*Noise!G$279))^2.5)*(1+(Noise!G$279/(2*$H111))^1.7))</f>
        <v>#VALUE!</v>
      </c>
      <c r="F324" s="23" t="e">
        <f>Noise!H$282-8-10*LOG((1+($H111/(2*Noise!H$279))^2.5)*(1+(Noise!H$279/(2*$H111))^1.7))</f>
        <v>#VALUE!</v>
      </c>
      <c r="G324" s="23" t="e">
        <f>Noise!I$282-8-10*LOG((1+($H111/(2*Noise!I$279))^2.5)*(1+(Noise!I$279/(2*$H111))^1.7))</f>
        <v>#VALUE!</v>
      </c>
      <c r="H324" s="177">
        <v>100</v>
      </c>
      <c r="L324" s="97"/>
      <c r="M324" s="82"/>
      <c r="N324" s="82"/>
      <c r="P324" s="31"/>
      <c r="Q324" s="31"/>
    </row>
    <row r="325" spans="1:17" s="119" customFormat="1" ht="13" outlineLevel="1" x14ac:dyDescent="0.3">
      <c r="A325" s="17"/>
      <c r="C325" s="23" t="e">
        <f>Noise!E$282-8-10*LOG((1+($H112/(2*Noise!E$279))^2.5)*(1+(Noise!E$279/(2*$H112))^1.7))</f>
        <v>#VALUE!</v>
      </c>
      <c r="D325" s="23" t="e">
        <f>Noise!F$282-8-10*LOG((1+($H112/(2*Noise!F$279))^2.5)*(1+(Noise!F$279/(2*$H112))^1.7))</f>
        <v>#VALUE!</v>
      </c>
      <c r="E325" s="23" t="e">
        <f>Noise!G$282-8-10*LOG((1+($H112/(2*Noise!G$279))^2.5)*(1+(Noise!G$279/(2*$H112))^1.7))</f>
        <v>#VALUE!</v>
      </c>
      <c r="F325" s="23" t="e">
        <f>Noise!H$282-8-10*LOG((1+($H112/(2*Noise!H$279))^2.5)*(1+(Noise!H$279/(2*$H112))^1.7))</f>
        <v>#VALUE!</v>
      </c>
      <c r="G325" s="23" t="e">
        <f>Noise!I$282-8-10*LOG((1+($H112/(2*Noise!I$279))^2.5)*(1+(Noise!I$279/(2*$H112))^1.7))</f>
        <v>#VALUE!</v>
      </c>
      <c r="H325" s="177">
        <v>125</v>
      </c>
      <c r="L325" s="97"/>
      <c r="M325" s="82"/>
      <c r="N325" s="82"/>
      <c r="P325" s="31"/>
      <c r="Q325" s="31"/>
    </row>
    <row r="326" spans="1:17" s="119" customFormat="1" ht="13" outlineLevel="1" x14ac:dyDescent="0.3">
      <c r="A326" s="17"/>
      <c r="C326" s="23" t="e">
        <f>Noise!E$282-8-10*LOG((1+($H113/(2*Noise!E$279))^2.5)*(1+(Noise!E$279/(2*$H113))^1.7))</f>
        <v>#VALUE!</v>
      </c>
      <c r="D326" s="23" t="e">
        <f>Noise!F$282-8-10*LOG((1+($H113/(2*Noise!F$279))^2.5)*(1+(Noise!F$279/(2*$H113))^1.7))</f>
        <v>#VALUE!</v>
      </c>
      <c r="E326" s="23" t="e">
        <f>Noise!G$282-8-10*LOG((1+($H113/(2*Noise!G$279))^2.5)*(1+(Noise!G$279/(2*$H113))^1.7))</f>
        <v>#VALUE!</v>
      </c>
      <c r="F326" s="23" t="e">
        <f>Noise!H$282-8-10*LOG((1+($H113/(2*Noise!H$279))^2.5)*(1+(Noise!H$279/(2*$H113))^1.7))</f>
        <v>#VALUE!</v>
      </c>
      <c r="G326" s="23" t="e">
        <f>Noise!I$282-8-10*LOG((1+($H113/(2*Noise!I$279))^2.5)*(1+(Noise!I$279/(2*$H113))^1.7))</f>
        <v>#VALUE!</v>
      </c>
      <c r="H326" s="177">
        <v>160</v>
      </c>
      <c r="L326" s="97"/>
      <c r="M326" s="82"/>
      <c r="N326" s="82"/>
      <c r="P326" s="31"/>
      <c r="Q326" s="31"/>
    </row>
    <row r="327" spans="1:17" s="119" customFormat="1" ht="13" outlineLevel="1" x14ac:dyDescent="0.3">
      <c r="A327" s="17"/>
      <c r="C327" s="23" t="e">
        <f>Noise!E$282-8-10*LOG((1+($H114/(2*Noise!E$279))^2.5)*(1+(Noise!E$279/(2*$H114))^1.7))</f>
        <v>#VALUE!</v>
      </c>
      <c r="D327" s="23" t="e">
        <f>Noise!F$282-8-10*LOG((1+($H114/(2*Noise!F$279))^2.5)*(1+(Noise!F$279/(2*$H114))^1.7))</f>
        <v>#VALUE!</v>
      </c>
      <c r="E327" s="23" t="e">
        <f>Noise!G$282-8-10*LOG((1+($H114/(2*Noise!G$279))^2.5)*(1+(Noise!G$279/(2*$H114))^1.7))</f>
        <v>#VALUE!</v>
      </c>
      <c r="F327" s="23" t="e">
        <f>Noise!H$282-8-10*LOG((1+($H114/(2*Noise!H$279))^2.5)*(1+(Noise!H$279/(2*$H114))^1.7))</f>
        <v>#VALUE!</v>
      </c>
      <c r="G327" s="23" t="e">
        <f>Noise!I$282-8-10*LOG((1+($H114/(2*Noise!I$279))^2.5)*(1+(Noise!I$279/(2*$H114))^1.7))</f>
        <v>#VALUE!</v>
      </c>
      <c r="H327" s="177">
        <v>200</v>
      </c>
      <c r="L327" s="97"/>
      <c r="M327" s="82"/>
      <c r="N327" s="82"/>
      <c r="P327" s="31"/>
      <c r="Q327" s="31"/>
    </row>
    <row r="328" spans="1:17" s="119" customFormat="1" ht="13" outlineLevel="1" x14ac:dyDescent="0.3">
      <c r="A328" s="17"/>
      <c r="C328" s="23" t="e">
        <f>Noise!E$282-8-10*LOG((1+($H115/(2*Noise!E$279))^2.5)*(1+(Noise!E$279/(2*$H115))^1.7))</f>
        <v>#VALUE!</v>
      </c>
      <c r="D328" s="23" t="e">
        <f>Noise!F$282-8-10*LOG((1+($H115/(2*Noise!F$279))^2.5)*(1+(Noise!F$279/(2*$H115))^1.7))</f>
        <v>#VALUE!</v>
      </c>
      <c r="E328" s="23" t="e">
        <f>Noise!G$282-8-10*LOG((1+($H115/(2*Noise!G$279))^2.5)*(1+(Noise!G$279/(2*$H115))^1.7))</f>
        <v>#VALUE!</v>
      </c>
      <c r="F328" s="23" t="e">
        <f>Noise!H$282-8-10*LOG((1+($H115/(2*Noise!H$279))^2.5)*(1+(Noise!H$279/(2*$H115))^1.7))</f>
        <v>#VALUE!</v>
      </c>
      <c r="G328" s="23" t="e">
        <f>Noise!I$282-8-10*LOG((1+($H115/(2*Noise!I$279))^2.5)*(1+(Noise!I$279/(2*$H115))^1.7))</f>
        <v>#VALUE!</v>
      </c>
      <c r="H328" s="177">
        <v>250</v>
      </c>
      <c r="L328" s="97"/>
      <c r="M328" s="82"/>
      <c r="N328" s="82"/>
      <c r="P328" s="31"/>
      <c r="Q328" s="31"/>
    </row>
    <row r="329" spans="1:17" s="119" customFormat="1" ht="13" outlineLevel="1" x14ac:dyDescent="0.3">
      <c r="A329" s="17"/>
      <c r="C329" s="23" t="e">
        <f>Noise!E$282-8-10*LOG((1+($H116/(2*Noise!E$279))^2.5)*(1+(Noise!E$279/(2*$H116))^1.7))</f>
        <v>#VALUE!</v>
      </c>
      <c r="D329" s="23" t="e">
        <f>Noise!F$282-8-10*LOG((1+($H116/(2*Noise!F$279))^2.5)*(1+(Noise!F$279/(2*$H116))^1.7))</f>
        <v>#VALUE!</v>
      </c>
      <c r="E329" s="23" t="e">
        <f>Noise!G$282-8-10*LOG((1+($H116/(2*Noise!G$279))^2.5)*(1+(Noise!G$279/(2*$H116))^1.7))</f>
        <v>#VALUE!</v>
      </c>
      <c r="F329" s="23" t="e">
        <f>Noise!H$282-8-10*LOG((1+($H116/(2*Noise!H$279))^2.5)*(1+(Noise!H$279/(2*$H116))^1.7))</f>
        <v>#VALUE!</v>
      </c>
      <c r="G329" s="23" t="e">
        <f>Noise!I$282-8-10*LOG((1+($H116/(2*Noise!I$279))^2.5)*(1+(Noise!I$279/(2*$H116))^1.7))</f>
        <v>#VALUE!</v>
      </c>
      <c r="H329" s="177">
        <v>315</v>
      </c>
      <c r="L329" s="97"/>
      <c r="M329" s="82"/>
      <c r="N329" s="82"/>
      <c r="P329" s="31"/>
      <c r="Q329" s="31"/>
    </row>
    <row r="330" spans="1:17" s="119" customFormat="1" ht="13" outlineLevel="1" x14ac:dyDescent="0.3">
      <c r="A330" s="17"/>
      <c r="C330" s="23" t="e">
        <f>Noise!E$282-8-10*LOG((1+($H117/(2*Noise!E$279))^2.5)*(1+(Noise!E$279/(2*$H117))^1.7))</f>
        <v>#VALUE!</v>
      </c>
      <c r="D330" s="23" t="e">
        <f>Noise!F$282-8-10*LOG((1+($H117/(2*Noise!F$279))^2.5)*(1+(Noise!F$279/(2*$H117))^1.7))</f>
        <v>#VALUE!</v>
      </c>
      <c r="E330" s="23" t="e">
        <f>Noise!G$282-8-10*LOG((1+($H117/(2*Noise!G$279))^2.5)*(1+(Noise!G$279/(2*$H117))^1.7))</f>
        <v>#VALUE!</v>
      </c>
      <c r="F330" s="23" t="e">
        <f>Noise!H$282-8-10*LOG((1+($H117/(2*Noise!H$279))^2.5)*(1+(Noise!H$279/(2*$H117))^1.7))</f>
        <v>#VALUE!</v>
      </c>
      <c r="G330" s="23" t="e">
        <f>Noise!I$282-8-10*LOG((1+($H117/(2*Noise!I$279))^2.5)*(1+(Noise!I$279/(2*$H117))^1.7))</f>
        <v>#VALUE!</v>
      </c>
      <c r="H330" s="177">
        <v>400</v>
      </c>
      <c r="L330" s="97"/>
      <c r="M330" s="82"/>
      <c r="N330" s="82"/>
      <c r="P330" s="31"/>
      <c r="Q330" s="31"/>
    </row>
    <row r="331" spans="1:17" s="119" customFormat="1" ht="13" outlineLevel="1" x14ac:dyDescent="0.3">
      <c r="A331" s="17"/>
      <c r="C331" s="23" t="e">
        <f>Noise!E$282-8-10*LOG((1+($H118/(2*Noise!E$279))^2.5)*(1+(Noise!E$279/(2*$H118))^1.7))</f>
        <v>#VALUE!</v>
      </c>
      <c r="D331" s="23" t="e">
        <f>Noise!F$282-8-10*LOG((1+($H118/(2*Noise!F$279))^2.5)*(1+(Noise!F$279/(2*$H118))^1.7))</f>
        <v>#VALUE!</v>
      </c>
      <c r="E331" s="23" t="e">
        <f>Noise!G$282-8-10*LOG((1+($H118/(2*Noise!G$279))^2.5)*(1+(Noise!G$279/(2*$H118))^1.7))</f>
        <v>#VALUE!</v>
      </c>
      <c r="F331" s="23" t="e">
        <f>Noise!H$282-8-10*LOG((1+($H118/(2*Noise!H$279))^2.5)*(1+(Noise!H$279/(2*$H118))^1.7))</f>
        <v>#VALUE!</v>
      </c>
      <c r="G331" s="23" t="e">
        <f>Noise!I$282-8-10*LOG((1+($H118/(2*Noise!I$279))^2.5)*(1+(Noise!I$279/(2*$H118))^1.7))</f>
        <v>#VALUE!</v>
      </c>
      <c r="H331" s="177">
        <v>500</v>
      </c>
      <c r="L331" s="97"/>
      <c r="M331" s="82"/>
      <c r="N331" s="82"/>
      <c r="P331" s="31"/>
      <c r="Q331" s="31"/>
    </row>
    <row r="332" spans="1:17" s="119" customFormat="1" ht="13" outlineLevel="1" x14ac:dyDescent="0.3">
      <c r="A332" s="17"/>
      <c r="C332" s="23" t="e">
        <f>Noise!E$282-8-10*LOG((1+($H119/(2*Noise!E$279))^2.5)*(1+(Noise!E$279/(2*$H119))^1.7))</f>
        <v>#VALUE!</v>
      </c>
      <c r="D332" s="23" t="e">
        <f>Noise!F$282-8-10*LOG((1+($H119/(2*Noise!F$279))^2.5)*(1+(Noise!F$279/(2*$H119))^1.7))</f>
        <v>#VALUE!</v>
      </c>
      <c r="E332" s="23" t="e">
        <f>Noise!G$282-8-10*LOG((1+($H119/(2*Noise!G$279))^2.5)*(1+(Noise!G$279/(2*$H119))^1.7))</f>
        <v>#VALUE!</v>
      </c>
      <c r="F332" s="23" t="e">
        <f>Noise!H$282-8-10*LOG((1+($H119/(2*Noise!H$279))^2.5)*(1+(Noise!H$279/(2*$H119))^1.7))</f>
        <v>#VALUE!</v>
      </c>
      <c r="G332" s="23" t="e">
        <f>Noise!I$282-8-10*LOG((1+($H119/(2*Noise!I$279))^2.5)*(1+(Noise!I$279/(2*$H119))^1.7))</f>
        <v>#VALUE!</v>
      </c>
      <c r="H332" s="177">
        <v>630</v>
      </c>
      <c r="L332" s="97"/>
      <c r="M332" s="82"/>
      <c r="N332" s="82"/>
      <c r="P332" s="31"/>
      <c r="Q332" s="31"/>
    </row>
    <row r="333" spans="1:17" s="119" customFormat="1" ht="13" outlineLevel="1" x14ac:dyDescent="0.3">
      <c r="A333" s="17"/>
      <c r="C333" s="23" t="e">
        <f>Noise!E$282-8-10*LOG((1+($H120/(2*Noise!E$279))^2.5)*(1+(Noise!E$279/(2*$H120))^1.7))</f>
        <v>#VALUE!</v>
      </c>
      <c r="D333" s="23" t="e">
        <f>Noise!F$282-8-10*LOG((1+($H120/(2*Noise!F$279))^2.5)*(1+(Noise!F$279/(2*$H120))^1.7))</f>
        <v>#VALUE!</v>
      </c>
      <c r="E333" s="23" t="e">
        <f>Noise!G$282-8-10*LOG((1+($H120/(2*Noise!G$279))^2.5)*(1+(Noise!G$279/(2*$H120))^1.7))</f>
        <v>#VALUE!</v>
      </c>
      <c r="F333" s="23" t="e">
        <f>Noise!H$282-8-10*LOG((1+($H120/(2*Noise!H$279))^2.5)*(1+(Noise!H$279/(2*$H120))^1.7))</f>
        <v>#VALUE!</v>
      </c>
      <c r="G333" s="23" t="e">
        <f>Noise!I$282-8-10*LOG((1+($H120/(2*Noise!I$279))^2.5)*(1+(Noise!I$279/(2*$H120))^1.7))</f>
        <v>#VALUE!</v>
      </c>
      <c r="H333" s="177">
        <v>800</v>
      </c>
      <c r="L333" s="97"/>
      <c r="M333" s="82"/>
      <c r="N333" s="82"/>
      <c r="P333" s="31"/>
      <c r="Q333" s="31"/>
    </row>
    <row r="334" spans="1:17" s="119" customFormat="1" ht="13" outlineLevel="1" x14ac:dyDescent="0.3">
      <c r="A334" s="17"/>
      <c r="C334" s="23" t="e">
        <f>Noise!E$282-8-10*LOG((1+($H121/(2*Noise!E$279))^2.5)*(1+(Noise!E$279/(2*$H121))^1.7))</f>
        <v>#VALUE!</v>
      </c>
      <c r="D334" s="23" t="e">
        <f>Noise!F$282-8-10*LOG((1+($H121/(2*Noise!F$279))^2.5)*(1+(Noise!F$279/(2*$H121))^1.7))</f>
        <v>#VALUE!</v>
      </c>
      <c r="E334" s="23" t="e">
        <f>Noise!G$282-8-10*LOG((1+($H121/(2*Noise!G$279))^2.5)*(1+(Noise!G$279/(2*$H121))^1.7))</f>
        <v>#VALUE!</v>
      </c>
      <c r="F334" s="23" t="e">
        <f>Noise!H$282-8-10*LOG((1+($H121/(2*Noise!H$279))^2.5)*(1+(Noise!H$279/(2*$H121))^1.7))</f>
        <v>#VALUE!</v>
      </c>
      <c r="G334" s="23" t="e">
        <f>Noise!I$282-8-10*LOG((1+($H121/(2*Noise!I$279))^2.5)*(1+(Noise!I$279/(2*$H121))^1.7))</f>
        <v>#VALUE!</v>
      </c>
      <c r="H334" s="177">
        <v>1000</v>
      </c>
      <c r="L334" s="97"/>
      <c r="M334" s="82"/>
      <c r="N334" s="82"/>
      <c r="P334" s="31"/>
      <c r="Q334" s="31"/>
    </row>
    <row r="335" spans="1:17" s="119" customFormat="1" ht="13" outlineLevel="1" x14ac:dyDescent="0.3">
      <c r="A335" s="17"/>
      <c r="C335" s="23" t="e">
        <f>Noise!E$282-8-10*LOG((1+($H122/(2*Noise!E$279))^2.5)*(1+(Noise!E$279/(2*$H122))^1.7))</f>
        <v>#VALUE!</v>
      </c>
      <c r="D335" s="23" t="e">
        <f>Noise!F$282-8-10*LOG((1+($H122/(2*Noise!F$279))^2.5)*(1+(Noise!F$279/(2*$H122))^1.7))</f>
        <v>#VALUE!</v>
      </c>
      <c r="E335" s="23" t="e">
        <f>Noise!G$282-8-10*LOG((1+($H122/(2*Noise!G$279))^2.5)*(1+(Noise!G$279/(2*$H122))^1.7))</f>
        <v>#VALUE!</v>
      </c>
      <c r="F335" s="23" t="e">
        <f>Noise!H$282-8-10*LOG((1+($H122/(2*Noise!H$279))^2.5)*(1+(Noise!H$279/(2*$H122))^1.7))</f>
        <v>#VALUE!</v>
      </c>
      <c r="G335" s="23" t="e">
        <f>Noise!I$282-8-10*LOG((1+($H122/(2*Noise!I$279))^2.5)*(1+(Noise!I$279/(2*$H122))^1.7))</f>
        <v>#VALUE!</v>
      </c>
      <c r="H335" s="177">
        <v>1250</v>
      </c>
      <c r="L335" s="97"/>
      <c r="M335" s="82"/>
      <c r="N335" s="82"/>
      <c r="P335" s="31"/>
      <c r="Q335" s="31"/>
    </row>
    <row r="336" spans="1:17" s="119" customFormat="1" ht="13" outlineLevel="1" x14ac:dyDescent="0.3">
      <c r="A336" s="17"/>
      <c r="C336" s="23" t="e">
        <f>Noise!E$282-8-10*LOG((1+($H123/(2*Noise!E$279))^2.5)*(1+(Noise!E$279/(2*$H123))^1.7))</f>
        <v>#VALUE!</v>
      </c>
      <c r="D336" s="23" t="e">
        <f>Noise!F$282-8-10*LOG((1+($H123/(2*Noise!F$279))^2.5)*(1+(Noise!F$279/(2*$H123))^1.7))</f>
        <v>#VALUE!</v>
      </c>
      <c r="E336" s="23" t="e">
        <f>Noise!G$282-8-10*LOG((1+($H123/(2*Noise!G$279))^2.5)*(1+(Noise!G$279/(2*$H123))^1.7))</f>
        <v>#VALUE!</v>
      </c>
      <c r="F336" s="23" t="e">
        <f>Noise!H$282-8-10*LOG((1+($H123/(2*Noise!H$279))^2.5)*(1+(Noise!H$279/(2*$H123))^1.7))</f>
        <v>#VALUE!</v>
      </c>
      <c r="G336" s="23" t="e">
        <f>Noise!I$282-8-10*LOG((1+($H123/(2*Noise!I$279))^2.5)*(1+(Noise!I$279/(2*$H123))^1.7))</f>
        <v>#VALUE!</v>
      </c>
      <c r="H336" s="177">
        <v>1600</v>
      </c>
      <c r="L336" s="97"/>
      <c r="M336" s="82"/>
      <c r="N336" s="82"/>
      <c r="P336" s="31"/>
      <c r="Q336" s="31"/>
    </row>
    <row r="337" spans="1:17" s="119" customFormat="1" ht="13" outlineLevel="1" x14ac:dyDescent="0.3">
      <c r="A337" s="17"/>
      <c r="C337" s="23" t="e">
        <f>Noise!E$282-8-10*LOG((1+($H124/(2*Noise!E$279))^2.5)*(1+(Noise!E$279/(2*$H124))^1.7))</f>
        <v>#VALUE!</v>
      </c>
      <c r="D337" s="23" t="e">
        <f>Noise!F$282-8-10*LOG((1+($H124/(2*Noise!F$279))^2.5)*(1+(Noise!F$279/(2*$H124))^1.7))</f>
        <v>#VALUE!</v>
      </c>
      <c r="E337" s="23" t="e">
        <f>Noise!G$282-8-10*LOG((1+($H124/(2*Noise!G$279))^2.5)*(1+(Noise!G$279/(2*$H124))^1.7))</f>
        <v>#VALUE!</v>
      </c>
      <c r="F337" s="23" t="e">
        <f>Noise!H$282-8-10*LOG((1+($H124/(2*Noise!H$279))^2.5)*(1+(Noise!H$279/(2*$H124))^1.7))</f>
        <v>#VALUE!</v>
      </c>
      <c r="G337" s="23" t="e">
        <f>Noise!I$282-8-10*LOG((1+($H124/(2*Noise!I$279))^2.5)*(1+(Noise!I$279/(2*$H124))^1.7))</f>
        <v>#VALUE!</v>
      </c>
      <c r="H337" s="177">
        <v>2000</v>
      </c>
      <c r="L337" s="97"/>
      <c r="M337" s="82"/>
      <c r="N337" s="82"/>
      <c r="P337" s="31"/>
      <c r="Q337" s="31"/>
    </row>
    <row r="338" spans="1:17" s="119" customFormat="1" ht="13" outlineLevel="1" x14ac:dyDescent="0.3">
      <c r="A338" s="17"/>
      <c r="C338" s="23" t="e">
        <f>Noise!E$282-8-10*LOG((1+($H125/(2*Noise!E$279))^2.5)*(1+(Noise!E$279/(2*$H125))^1.7))</f>
        <v>#VALUE!</v>
      </c>
      <c r="D338" s="23" t="e">
        <f>Noise!F$282-8-10*LOG((1+($H125/(2*Noise!F$279))^2.5)*(1+(Noise!F$279/(2*$H125))^1.7))</f>
        <v>#VALUE!</v>
      </c>
      <c r="E338" s="23" t="e">
        <f>Noise!G$282-8-10*LOG((1+($H125/(2*Noise!G$279))^2.5)*(1+(Noise!G$279/(2*$H125))^1.7))</f>
        <v>#VALUE!</v>
      </c>
      <c r="F338" s="23" t="e">
        <f>Noise!H$282-8-10*LOG((1+($H125/(2*Noise!H$279))^2.5)*(1+(Noise!H$279/(2*$H125))^1.7))</f>
        <v>#VALUE!</v>
      </c>
      <c r="G338" s="23" t="e">
        <f>Noise!I$282-8-10*LOG((1+($H125/(2*Noise!I$279))^2.5)*(1+(Noise!I$279/(2*$H125))^1.7))</f>
        <v>#VALUE!</v>
      </c>
      <c r="H338" s="177">
        <v>2500</v>
      </c>
      <c r="L338" s="97"/>
      <c r="M338" s="82"/>
      <c r="N338" s="82"/>
      <c r="P338" s="31"/>
      <c r="Q338" s="31"/>
    </row>
    <row r="339" spans="1:17" s="119" customFormat="1" ht="13" outlineLevel="1" x14ac:dyDescent="0.3">
      <c r="A339" s="17"/>
      <c r="C339" s="23" t="e">
        <f>Noise!E$282-8-10*LOG((1+($H126/(2*Noise!E$279))^2.5)*(1+(Noise!E$279/(2*$H126))^1.7))</f>
        <v>#VALUE!</v>
      </c>
      <c r="D339" s="23" t="e">
        <f>Noise!F$282-8-10*LOG((1+($H126/(2*Noise!F$279))^2.5)*(1+(Noise!F$279/(2*$H126))^1.7))</f>
        <v>#VALUE!</v>
      </c>
      <c r="E339" s="23" t="e">
        <f>Noise!G$282-8-10*LOG((1+($H126/(2*Noise!G$279))^2.5)*(1+(Noise!G$279/(2*$H126))^1.7))</f>
        <v>#VALUE!</v>
      </c>
      <c r="F339" s="23" t="e">
        <f>Noise!H$282-8-10*LOG((1+($H126/(2*Noise!H$279))^2.5)*(1+(Noise!H$279/(2*$H126))^1.7))</f>
        <v>#VALUE!</v>
      </c>
      <c r="G339" s="23" t="e">
        <f>Noise!I$282-8-10*LOG((1+($H126/(2*Noise!I$279))^2.5)*(1+(Noise!I$279/(2*$H126))^1.7))</f>
        <v>#VALUE!</v>
      </c>
      <c r="H339" s="177">
        <v>3150</v>
      </c>
      <c r="L339" s="97"/>
      <c r="M339" s="82"/>
      <c r="N339" s="82"/>
      <c r="P339" s="31"/>
      <c r="Q339" s="31"/>
    </row>
    <row r="340" spans="1:17" s="119" customFormat="1" ht="13" outlineLevel="1" x14ac:dyDescent="0.3">
      <c r="A340" s="17"/>
      <c r="C340" s="23" t="e">
        <f>Noise!E$282-8-10*LOG((1+($H127/(2*Noise!E$279))^2.5)*(1+(Noise!E$279/(2*$H127))^1.7))</f>
        <v>#VALUE!</v>
      </c>
      <c r="D340" s="23" t="e">
        <f>Noise!F$282-8-10*LOG((1+($H127/(2*Noise!F$279))^2.5)*(1+(Noise!F$279/(2*$H127))^1.7))</f>
        <v>#VALUE!</v>
      </c>
      <c r="E340" s="23" t="e">
        <f>Noise!G$282-8-10*LOG((1+($H127/(2*Noise!G$279))^2.5)*(1+(Noise!G$279/(2*$H127))^1.7))</f>
        <v>#VALUE!</v>
      </c>
      <c r="F340" s="23" t="e">
        <f>Noise!H$282-8-10*LOG((1+($H127/(2*Noise!H$279))^2.5)*(1+(Noise!H$279/(2*$H127))^1.7))</f>
        <v>#VALUE!</v>
      </c>
      <c r="G340" s="23" t="e">
        <f>Noise!I$282-8-10*LOG((1+($H127/(2*Noise!I$279))^2.5)*(1+(Noise!I$279/(2*$H127))^1.7))</f>
        <v>#VALUE!</v>
      </c>
      <c r="H340" s="177">
        <v>4000</v>
      </c>
      <c r="L340" s="97"/>
      <c r="M340" s="82"/>
      <c r="N340" s="82"/>
      <c r="P340" s="31"/>
      <c r="Q340" s="31"/>
    </row>
    <row r="341" spans="1:17" s="119" customFormat="1" ht="13" outlineLevel="1" x14ac:dyDescent="0.3">
      <c r="A341" s="17"/>
      <c r="C341" s="23" t="e">
        <f>Noise!E$282-8-10*LOG((1+($H128/(2*Noise!E$279))^2.5)*(1+(Noise!E$279/(2*$H128))^1.7))</f>
        <v>#VALUE!</v>
      </c>
      <c r="D341" s="23" t="e">
        <f>Noise!F$282-8-10*LOG((1+($H128/(2*Noise!F$279))^2.5)*(1+(Noise!F$279/(2*$H128))^1.7))</f>
        <v>#VALUE!</v>
      </c>
      <c r="E341" s="23" t="e">
        <f>Noise!G$282-8-10*LOG((1+($H128/(2*Noise!G$279))^2.5)*(1+(Noise!G$279/(2*$H128))^1.7))</f>
        <v>#VALUE!</v>
      </c>
      <c r="F341" s="23" t="e">
        <f>Noise!H$282-8-10*LOG((1+($H128/(2*Noise!H$279))^2.5)*(1+(Noise!H$279/(2*$H128))^1.7))</f>
        <v>#VALUE!</v>
      </c>
      <c r="G341" s="23" t="e">
        <f>Noise!I$282-8-10*LOG((1+($H128/(2*Noise!I$279))^2.5)*(1+(Noise!I$279/(2*$H128))^1.7))</f>
        <v>#VALUE!</v>
      </c>
      <c r="H341" s="177">
        <v>5000</v>
      </c>
      <c r="L341" s="97"/>
      <c r="M341" s="82"/>
      <c r="N341" s="82"/>
      <c r="P341" s="31"/>
      <c r="Q341" s="31"/>
    </row>
    <row r="342" spans="1:17" s="119" customFormat="1" ht="13" outlineLevel="1" x14ac:dyDescent="0.3">
      <c r="A342" s="17"/>
      <c r="C342" s="23" t="e">
        <f>Noise!E$282-8-10*LOG((1+($H129/(2*Noise!E$279))^2.5)*(1+(Noise!E$279/(2*$H129))^1.7))</f>
        <v>#VALUE!</v>
      </c>
      <c r="D342" s="23" t="e">
        <f>Noise!F$282-8-10*LOG((1+($H129/(2*Noise!F$279))^2.5)*(1+(Noise!F$279/(2*$H129))^1.7))</f>
        <v>#VALUE!</v>
      </c>
      <c r="E342" s="23" t="e">
        <f>Noise!G$282-8-10*LOG((1+($H129/(2*Noise!G$279))^2.5)*(1+(Noise!G$279/(2*$H129))^1.7))</f>
        <v>#VALUE!</v>
      </c>
      <c r="F342" s="23" t="e">
        <f>Noise!H$282-8-10*LOG((1+($H129/(2*Noise!H$279))^2.5)*(1+(Noise!H$279/(2*$H129))^1.7))</f>
        <v>#VALUE!</v>
      </c>
      <c r="G342" s="23" t="e">
        <f>Noise!I$282-8-10*LOG((1+($H129/(2*Noise!I$279))^2.5)*(1+(Noise!I$279/(2*$H129))^1.7))</f>
        <v>#VALUE!</v>
      </c>
      <c r="H342" s="177">
        <v>6300</v>
      </c>
      <c r="L342" s="97"/>
      <c r="M342" s="82"/>
      <c r="N342" s="82"/>
      <c r="P342" s="31"/>
      <c r="Q342" s="31"/>
    </row>
    <row r="343" spans="1:17" s="119" customFormat="1" ht="13" outlineLevel="1" x14ac:dyDescent="0.3">
      <c r="A343" s="17"/>
      <c r="C343" s="23" t="e">
        <f>Noise!E$282-8-10*LOG((1+($H130/(2*Noise!E$279))^2.5)*(1+(Noise!E$279/(2*$H130))^1.7))</f>
        <v>#VALUE!</v>
      </c>
      <c r="D343" s="23" t="e">
        <f>Noise!F$282-8-10*LOG((1+($H130/(2*Noise!F$279))^2.5)*(1+(Noise!F$279/(2*$H130))^1.7))</f>
        <v>#VALUE!</v>
      </c>
      <c r="E343" s="23" t="e">
        <f>Noise!G$282-8-10*LOG((1+($H130/(2*Noise!G$279))^2.5)*(1+(Noise!G$279/(2*$H130))^1.7))</f>
        <v>#VALUE!</v>
      </c>
      <c r="F343" s="23" t="e">
        <f>Noise!H$282-8-10*LOG((1+($H130/(2*Noise!H$279))^2.5)*(1+(Noise!H$279/(2*$H130))^1.7))</f>
        <v>#VALUE!</v>
      </c>
      <c r="G343" s="23" t="e">
        <f>Noise!I$282-8-10*LOG((1+($H130/(2*Noise!I$279))^2.5)*(1+(Noise!I$279/(2*$H130))^1.7))</f>
        <v>#VALUE!</v>
      </c>
      <c r="H343" s="177">
        <v>8000</v>
      </c>
      <c r="L343" s="97"/>
      <c r="M343" s="82"/>
      <c r="N343" s="82"/>
      <c r="P343" s="31"/>
      <c r="Q343" s="31"/>
    </row>
    <row r="344" spans="1:17" s="119" customFormat="1" ht="13" outlineLevel="1" x14ac:dyDescent="0.3">
      <c r="A344" s="17"/>
      <c r="C344" s="23" t="e">
        <f>Noise!E$282-8-10*LOG((1+($H131/(2*Noise!E$279))^2.5)*(1+(Noise!E$279/(2*$H131))^1.7))</f>
        <v>#VALUE!</v>
      </c>
      <c r="D344" s="23" t="e">
        <f>Noise!F$282-8-10*LOG((1+($H131/(2*Noise!F$279))^2.5)*(1+(Noise!F$279/(2*$H131))^1.7))</f>
        <v>#VALUE!</v>
      </c>
      <c r="E344" s="23" t="e">
        <f>Noise!G$282-8-10*LOG((1+($H131/(2*Noise!G$279))^2.5)*(1+(Noise!G$279/(2*$H131))^1.7))</f>
        <v>#VALUE!</v>
      </c>
      <c r="F344" s="23" t="e">
        <f>Noise!H$282-8-10*LOG((1+($H131/(2*Noise!H$279))^2.5)*(1+(Noise!H$279/(2*$H131))^1.7))</f>
        <v>#VALUE!</v>
      </c>
      <c r="G344" s="23" t="e">
        <f>Noise!I$282-8-10*LOG((1+($H131/(2*Noise!I$279))^2.5)*(1+(Noise!I$279/(2*$H131))^1.7))</f>
        <v>#VALUE!</v>
      </c>
      <c r="H344" s="177">
        <v>10000</v>
      </c>
      <c r="L344" s="97"/>
      <c r="M344" s="82"/>
      <c r="N344" s="82"/>
      <c r="P344" s="31"/>
      <c r="Q344" s="31"/>
    </row>
    <row r="345" spans="1:17" s="119" customFormat="1" ht="13" outlineLevel="1" x14ac:dyDescent="0.3">
      <c r="A345" s="17"/>
      <c r="C345" s="23" t="e">
        <f>Noise!E$282-8-10*LOG((1+($H132/(2*Noise!E$279))^2.5)*(1+(Noise!E$279/(2*$H132))^1.7))</f>
        <v>#VALUE!</v>
      </c>
      <c r="D345" s="23" t="e">
        <f>Noise!F$282-8-10*LOG((1+($H132/(2*Noise!F$279))^2.5)*(1+(Noise!F$279/(2*$H132))^1.7))</f>
        <v>#VALUE!</v>
      </c>
      <c r="E345" s="23" t="e">
        <f>Noise!G$282-8-10*LOG((1+($H132/(2*Noise!G$279))^2.5)*(1+(Noise!G$279/(2*$H132))^1.7))</f>
        <v>#VALUE!</v>
      </c>
      <c r="F345" s="23" t="e">
        <f>Noise!H$282-8-10*LOG((1+($H132/(2*Noise!H$279))^2.5)*(1+(Noise!H$279/(2*$H132))^1.7))</f>
        <v>#VALUE!</v>
      </c>
      <c r="G345" s="23" t="e">
        <f>Noise!I$282-8-10*LOG((1+($H132/(2*Noise!I$279))^2.5)*(1+(Noise!I$279/(2*$H132))^1.7))</f>
        <v>#VALUE!</v>
      </c>
      <c r="H345" s="177">
        <v>12500</v>
      </c>
      <c r="L345" s="97"/>
      <c r="M345" s="82"/>
      <c r="N345" s="82"/>
      <c r="P345" s="31"/>
      <c r="Q345" s="31"/>
    </row>
    <row r="346" spans="1:17" s="119" customFormat="1" ht="13" outlineLevel="1" x14ac:dyDescent="0.3">
      <c r="A346" s="17"/>
      <c r="C346" s="23" t="e">
        <f>Noise!E$282-8-10*LOG((1+($H133/(2*Noise!E$279))^2.5)*(1+(Noise!E$279/(2*$H133))^1.7))</f>
        <v>#VALUE!</v>
      </c>
      <c r="D346" s="23" t="e">
        <f>Noise!F$282-8-10*LOG((1+($H133/(2*Noise!F$279))^2.5)*(1+(Noise!F$279/(2*$H133))^1.7))</f>
        <v>#VALUE!</v>
      </c>
      <c r="E346" s="23" t="e">
        <f>Noise!G$282-8-10*LOG((1+($H133/(2*Noise!G$279))^2.5)*(1+(Noise!G$279/(2*$H133))^1.7))</f>
        <v>#VALUE!</v>
      </c>
      <c r="F346" s="23" t="e">
        <f>Noise!H$282-8-10*LOG((1+($H133/(2*Noise!H$279))^2.5)*(1+(Noise!H$279/(2*$H133))^1.7))</f>
        <v>#VALUE!</v>
      </c>
      <c r="G346" s="23" t="e">
        <f>Noise!I$282-8-10*LOG((1+($H133/(2*Noise!I$279))^2.5)*(1+(Noise!I$279/(2*$H133))^1.7))</f>
        <v>#VALUE!</v>
      </c>
      <c r="H346" s="177">
        <v>16000</v>
      </c>
      <c r="L346" s="97"/>
      <c r="M346" s="82"/>
      <c r="N346" s="82"/>
      <c r="P346" s="31"/>
      <c r="Q346" s="31"/>
    </row>
    <row r="347" spans="1:17" s="119" customFormat="1" ht="13" outlineLevel="1" x14ac:dyDescent="0.3">
      <c r="A347" s="17"/>
      <c r="C347" s="23" t="e">
        <f>Noise!E$282-8-10*LOG((1+($H134/(2*Noise!E$279))^2.5)*(1+(Noise!E$279/(2*$H134))^1.7))</f>
        <v>#VALUE!</v>
      </c>
      <c r="D347" s="23" t="e">
        <f>Noise!F$282-8-10*LOG((1+($H134/(2*Noise!F$279))^2.5)*(1+(Noise!F$279/(2*$H134))^1.7))</f>
        <v>#VALUE!</v>
      </c>
      <c r="E347" s="23" t="e">
        <f>Noise!G$282-8-10*LOG((1+($H134/(2*Noise!G$279))^2.5)*(1+(Noise!G$279/(2*$H134))^1.7))</f>
        <v>#VALUE!</v>
      </c>
      <c r="F347" s="23" t="e">
        <f>Noise!H$282-8-10*LOG((1+($H134/(2*Noise!H$279))^2.5)*(1+(Noise!H$279/(2*$H134))^1.7))</f>
        <v>#VALUE!</v>
      </c>
      <c r="G347" s="23" t="e">
        <f>Noise!I$282-8-10*LOG((1+($H134/(2*Noise!I$279))^2.5)*(1+(Noise!I$279/(2*$H134))^1.7))</f>
        <v>#VALUE!</v>
      </c>
      <c r="H347" s="177">
        <v>20000</v>
      </c>
      <c r="L347" s="97"/>
      <c r="M347" s="82"/>
      <c r="N347" s="82"/>
      <c r="P347" s="31"/>
      <c r="Q347" s="31"/>
    </row>
    <row r="348" spans="1:17" s="119" customFormat="1" ht="13" outlineLevel="1" x14ac:dyDescent="0.3">
      <c r="A348" s="17"/>
      <c r="C348" s="23"/>
      <c r="D348" s="23"/>
      <c r="E348" s="23"/>
      <c r="F348" s="23"/>
      <c r="G348" s="23"/>
      <c r="H348" s="177"/>
      <c r="L348" s="97"/>
      <c r="M348" s="82"/>
      <c r="N348" s="82"/>
      <c r="P348" s="31"/>
      <c r="Q348" s="31"/>
    </row>
    <row r="349" spans="1:17" s="119" customFormat="1" ht="13" outlineLevel="1" x14ac:dyDescent="0.3">
      <c r="A349" s="17"/>
      <c r="C349" s="492" t="s">
        <v>970</v>
      </c>
      <c r="D349" s="492"/>
      <c r="E349" s="492"/>
      <c r="F349" s="492"/>
      <c r="G349" s="492"/>
      <c r="H349" s="177"/>
      <c r="L349" s="97"/>
      <c r="M349" s="82"/>
      <c r="N349" s="82"/>
      <c r="P349" s="31"/>
      <c r="Q349" s="31"/>
    </row>
    <row r="350" spans="1:17" s="119" customFormat="1" ht="13" outlineLevel="1" x14ac:dyDescent="0.3">
      <c r="C350" s="23" t="e">
        <f t="shared" ref="C350:G359" si="8">10*LOG(10^(C102/10) + 10^(C315/10))</f>
        <v>#DIV/0!</v>
      </c>
      <c r="D350" s="23" t="e">
        <f t="shared" si="8"/>
        <v>#DIV/0!</v>
      </c>
      <c r="E350" s="23" t="e">
        <f t="shared" si="8"/>
        <v>#DIV/0!</v>
      </c>
      <c r="F350" s="23" t="e">
        <f t="shared" si="8"/>
        <v>#DIV/0!</v>
      </c>
      <c r="G350" s="23" t="e">
        <f t="shared" si="8"/>
        <v>#DIV/0!</v>
      </c>
      <c r="H350" s="177">
        <v>12.5</v>
      </c>
      <c r="L350" s="97"/>
      <c r="M350" s="82"/>
      <c r="N350" s="82"/>
      <c r="P350" s="31"/>
      <c r="Q350" s="31"/>
    </row>
    <row r="351" spans="1:17" s="119" customFormat="1" ht="13" outlineLevel="1" x14ac:dyDescent="0.3">
      <c r="A351" s="17"/>
      <c r="C351" s="23" t="e">
        <f t="shared" si="8"/>
        <v>#DIV/0!</v>
      </c>
      <c r="D351" s="23" t="e">
        <f t="shared" si="8"/>
        <v>#DIV/0!</v>
      </c>
      <c r="E351" s="23" t="e">
        <f t="shared" si="8"/>
        <v>#DIV/0!</v>
      </c>
      <c r="F351" s="23" t="e">
        <f t="shared" si="8"/>
        <v>#DIV/0!</v>
      </c>
      <c r="G351" s="23" t="e">
        <f t="shared" si="8"/>
        <v>#DIV/0!</v>
      </c>
      <c r="H351" s="177">
        <v>16</v>
      </c>
      <c r="L351" s="97"/>
      <c r="M351" s="82"/>
      <c r="N351" s="82"/>
      <c r="P351" s="31"/>
      <c r="Q351" s="31"/>
    </row>
    <row r="352" spans="1:17" s="119" customFormat="1" ht="13" outlineLevel="1" x14ac:dyDescent="0.3">
      <c r="A352" s="17"/>
      <c r="C352" s="23" t="e">
        <f t="shared" si="8"/>
        <v>#DIV/0!</v>
      </c>
      <c r="D352" s="23" t="e">
        <f t="shared" si="8"/>
        <v>#DIV/0!</v>
      </c>
      <c r="E352" s="23" t="e">
        <f t="shared" si="8"/>
        <v>#DIV/0!</v>
      </c>
      <c r="F352" s="23" t="e">
        <f t="shared" si="8"/>
        <v>#DIV/0!</v>
      </c>
      <c r="G352" s="23" t="e">
        <f t="shared" si="8"/>
        <v>#DIV/0!</v>
      </c>
      <c r="H352" s="177">
        <v>20</v>
      </c>
      <c r="L352" s="97"/>
      <c r="M352" s="82"/>
      <c r="N352" s="82"/>
      <c r="P352" s="31"/>
      <c r="Q352" s="31"/>
    </row>
    <row r="353" spans="1:17" s="119" customFormat="1" ht="13" outlineLevel="1" x14ac:dyDescent="0.3">
      <c r="A353" s="17"/>
      <c r="C353" s="23" t="e">
        <f t="shared" si="8"/>
        <v>#DIV/0!</v>
      </c>
      <c r="D353" s="23" t="e">
        <f t="shared" si="8"/>
        <v>#DIV/0!</v>
      </c>
      <c r="E353" s="23" t="e">
        <f t="shared" si="8"/>
        <v>#DIV/0!</v>
      </c>
      <c r="F353" s="23" t="e">
        <f t="shared" si="8"/>
        <v>#DIV/0!</v>
      </c>
      <c r="G353" s="23" t="e">
        <f t="shared" si="8"/>
        <v>#DIV/0!</v>
      </c>
      <c r="H353" s="177">
        <v>25</v>
      </c>
      <c r="L353" s="97"/>
      <c r="M353" s="82"/>
      <c r="N353" s="82"/>
      <c r="P353" s="31"/>
      <c r="Q353" s="31"/>
    </row>
    <row r="354" spans="1:17" s="119" customFormat="1" ht="13" outlineLevel="1" x14ac:dyDescent="0.3">
      <c r="A354" s="17"/>
      <c r="C354" s="23" t="e">
        <f t="shared" si="8"/>
        <v>#DIV/0!</v>
      </c>
      <c r="D354" s="23" t="e">
        <f t="shared" si="8"/>
        <v>#DIV/0!</v>
      </c>
      <c r="E354" s="23" t="e">
        <f t="shared" si="8"/>
        <v>#DIV/0!</v>
      </c>
      <c r="F354" s="23" t="e">
        <f t="shared" si="8"/>
        <v>#DIV/0!</v>
      </c>
      <c r="G354" s="23" t="e">
        <f t="shared" si="8"/>
        <v>#DIV/0!</v>
      </c>
      <c r="H354" s="177">
        <v>31.5</v>
      </c>
      <c r="L354" s="97"/>
      <c r="M354" s="82"/>
      <c r="N354" s="82"/>
      <c r="P354" s="31"/>
      <c r="Q354" s="31"/>
    </row>
    <row r="355" spans="1:17" s="119" customFormat="1" ht="13" outlineLevel="1" x14ac:dyDescent="0.3">
      <c r="A355" s="17"/>
      <c r="C355" s="23" t="e">
        <f t="shared" si="8"/>
        <v>#DIV/0!</v>
      </c>
      <c r="D355" s="23" t="e">
        <f t="shared" si="8"/>
        <v>#DIV/0!</v>
      </c>
      <c r="E355" s="23" t="e">
        <f t="shared" si="8"/>
        <v>#DIV/0!</v>
      </c>
      <c r="F355" s="23" t="e">
        <f t="shared" si="8"/>
        <v>#DIV/0!</v>
      </c>
      <c r="G355" s="23" t="e">
        <f t="shared" si="8"/>
        <v>#DIV/0!</v>
      </c>
      <c r="H355" s="177">
        <v>40</v>
      </c>
      <c r="L355" s="97"/>
      <c r="M355" s="82"/>
      <c r="N355" s="82"/>
      <c r="P355" s="31"/>
      <c r="Q355" s="31"/>
    </row>
    <row r="356" spans="1:17" s="119" customFormat="1" ht="13" outlineLevel="1" x14ac:dyDescent="0.3">
      <c r="A356" s="17"/>
      <c r="C356" s="23" t="e">
        <f t="shared" si="8"/>
        <v>#DIV/0!</v>
      </c>
      <c r="D356" s="23" t="e">
        <f t="shared" si="8"/>
        <v>#DIV/0!</v>
      </c>
      <c r="E356" s="23" t="e">
        <f t="shared" si="8"/>
        <v>#DIV/0!</v>
      </c>
      <c r="F356" s="23" t="e">
        <f t="shared" si="8"/>
        <v>#DIV/0!</v>
      </c>
      <c r="G356" s="23" t="e">
        <f t="shared" si="8"/>
        <v>#DIV/0!</v>
      </c>
      <c r="H356" s="177">
        <v>50</v>
      </c>
      <c r="L356" s="97"/>
      <c r="M356" s="82"/>
      <c r="N356" s="82"/>
      <c r="P356" s="31"/>
      <c r="Q356" s="31"/>
    </row>
    <row r="357" spans="1:17" s="119" customFormat="1" ht="13" outlineLevel="1" x14ac:dyDescent="0.3">
      <c r="A357" s="17"/>
      <c r="C357" s="23" t="e">
        <f t="shared" si="8"/>
        <v>#DIV/0!</v>
      </c>
      <c r="D357" s="23" t="e">
        <f t="shared" si="8"/>
        <v>#DIV/0!</v>
      </c>
      <c r="E357" s="23" t="e">
        <f t="shared" si="8"/>
        <v>#DIV/0!</v>
      </c>
      <c r="F357" s="23" t="e">
        <f t="shared" si="8"/>
        <v>#DIV/0!</v>
      </c>
      <c r="G357" s="23" t="e">
        <f t="shared" si="8"/>
        <v>#DIV/0!</v>
      </c>
      <c r="H357" s="177">
        <v>63</v>
      </c>
      <c r="L357" s="97"/>
      <c r="M357" s="82"/>
      <c r="N357" s="82"/>
      <c r="P357" s="31"/>
      <c r="Q357" s="31"/>
    </row>
    <row r="358" spans="1:17" s="119" customFormat="1" ht="13" outlineLevel="1" x14ac:dyDescent="0.3">
      <c r="A358" s="17"/>
      <c r="C358" s="23" t="e">
        <f t="shared" si="8"/>
        <v>#DIV/0!</v>
      </c>
      <c r="D358" s="23" t="e">
        <f t="shared" si="8"/>
        <v>#DIV/0!</v>
      </c>
      <c r="E358" s="23" t="e">
        <f t="shared" si="8"/>
        <v>#DIV/0!</v>
      </c>
      <c r="F358" s="23" t="e">
        <f t="shared" si="8"/>
        <v>#DIV/0!</v>
      </c>
      <c r="G358" s="23" t="e">
        <f t="shared" si="8"/>
        <v>#DIV/0!</v>
      </c>
      <c r="H358" s="177">
        <v>80</v>
      </c>
      <c r="L358" s="97"/>
      <c r="M358" s="82"/>
      <c r="N358" s="82"/>
      <c r="P358" s="31"/>
      <c r="Q358" s="31"/>
    </row>
    <row r="359" spans="1:17" s="119" customFormat="1" ht="13" outlineLevel="1" x14ac:dyDescent="0.3">
      <c r="A359" s="17"/>
      <c r="C359" s="23" t="e">
        <f t="shared" si="8"/>
        <v>#DIV/0!</v>
      </c>
      <c r="D359" s="23" t="e">
        <f t="shared" si="8"/>
        <v>#DIV/0!</v>
      </c>
      <c r="E359" s="23" t="e">
        <f t="shared" si="8"/>
        <v>#DIV/0!</v>
      </c>
      <c r="F359" s="23" t="e">
        <f t="shared" si="8"/>
        <v>#DIV/0!</v>
      </c>
      <c r="G359" s="23" t="e">
        <f t="shared" si="8"/>
        <v>#DIV/0!</v>
      </c>
      <c r="H359" s="177">
        <v>100</v>
      </c>
      <c r="L359" s="97"/>
      <c r="M359" s="82"/>
      <c r="N359" s="82"/>
      <c r="P359" s="31"/>
      <c r="Q359" s="31"/>
    </row>
    <row r="360" spans="1:17" s="119" customFormat="1" ht="13" outlineLevel="1" x14ac:dyDescent="0.3">
      <c r="A360" s="17"/>
      <c r="C360" s="23" t="e">
        <f t="shared" ref="C360:G369" si="9">10*LOG(10^(C112/10) + 10^(C325/10))</f>
        <v>#DIV/0!</v>
      </c>
      <c r="D360" s="23" t="e">
        <f t="shared" si="9"/>
        <v>#DIV/0!</v>
      </c>
      <c r="E360" s="23" t="e">
        <f t="shared" si="9"/>
        <v>#DIV/0!</v>
      </c>
      <c r="F360" s="23" t="e">
        <f t="shared" si="9"/>
        <v>#DIV/0!</v>
      </c>
      <c r="G360" s="23" t="e">
        <f t="shared" si="9"/>
        <v>#DIV/0!</v>
      </c>
      <c r="H360" s="177">
        <v>125</v>
      </c>
      <c r="L360" s="97"/>
      <c r="M360" s="82"/>
      <c r="N360" s="82"/>
      <c r="P360" s="31"/>
      <c r="Q360" s="31"/>
    </row>
    <row r="361" spans="1:17" s="119" customFormat="1" ht="13" outlineLevel="1" x14ac:dyDescent="0.3">
      <c r="A361" s="17"/>
      <c r="C361" s="23" t="e">
        <f t="shared" si="9"/>
        <v>#DIV/0!</v>
      </c>
      <c r="D361" s="23" t="e">
        <f t="shared" si="9"/>
        <v>#DIV/0!</v>
      </c>
      <c r="E361" s="23" t="e">
        <f t="shared" si="9"/>
        <v>#DIV/0!</v>
      </c>
      <c r="F361" s="23" t="e">
        <f t="shared" si="9"/>
        <v>#DIV/0!</v>
      </c>
      <c r="G361" s="23" t="e">
        <f t="shared" si="9"/>
        <v>#DIV/0!</v>
      </c>
      <c r="H361" s="177">
        <v>160</v>
      </c>
      <c r="L361" s="97"/>
      <c r="M361" s="82"/>
      <c r="N361" s="82"/>
      <c r="P361" s="31"/>
      <c r="Q361" s="31"/>
    </row>
    <row r="362" spans="1:17" s="119" customFormat="1" ht="13" outlineLevel="1" x14ac:dyDescent="0.3">
      <c r="A362" s="17"/>
      <c r="C362" s="23" t="e">
        <f t="shared" si="9"/>
        <v>#DIV/0!</v>
      </c>
      <c r="D362" s="23" t="e">
        <f t="shared" si="9"/>
        <v>#DIV/0!</v>
      </c>
      <c r="E362" s="23" t="e">
        <f t="shared" si="9"/>
        <v>#DIV/0!</v>
      </c>
      <c r="F362" s="23" t="e">
        <f t="shared" si="9"/>
        <v>#DIV/0!</v>
      </c>
      <c r="G362" s="23" t="e">
        <f t="shared" si="9"/>
        <v>#DIV/0!</v>
      </c>
      <c r="H362" s="177">
        <v>200</v>
      </c>
      <c r="L362" s="97"/>
      <c r="M362" s="82"/>
      <c r="N362" s="82"/>
      <c r="P362" s="31"/>
      <c r="Q362" s="31"/>
    </row>
    <row r="363" spans="1:17" s="119" customFormat="1" ht="13" outlineLevel="1" x14ac:dyDescent="0.3">
      <c r="A363" s="17"/>
      <c r="C363" s="23" t="e">
        <f t="shared" si="9"/>
        <v>#DIV/0!</v>
      </c>
      <c r="D363" s="23" t="e">
        <f t="shared" si="9"/>
        <v>#DIV/0!</v>
      </c>
      <c r="E363" s="23" t="e">
        <f t="shared" si="9"/>
        <v>#DIV/0!</v>
      </c>
      <c r="F363" s="23" t="e">
        <f t="shared" si="9"/>
        <v>#DIV/0!</v>
      </c>
      <c r="G363" s="23" t="e">
        <f t="shared" si="9"/>
        <v>#DIV/0!</v>
      </c>
      <c r="H363" s="177">
        <v>250</v>
      </c>
      <c r="L363" s="97"/>
      <c r="M363" s="82"/>
      <c r="N363" s="82"/>
      <c r="P363" s="31"/>
      <c r="Q363" s="31"/>
    </row>
    <row r="364" spans="1:17" s="119" customFormat="1" ht="13" outlineLevel="1" x14ac:dyDescent="0.3">
      <c r="A364" s="17"/>
      <c r="C364" s="23" t="e">
        <f t="shared" si="9"/>
        <v>#DIV/0!</v>
      </c>
      <c r="D364" s="23" t="e">
        <f t="shared" si="9"/>
        <v>#DIV/0!</v>
      </c>
      <c r="E364" s="23" t="e">
        <f t="shared" si="9"/>
        <v>#DIV/0!</v>
      </c>
      <c r="F364" s="23" t="e">
        <f t="shared" si="9"/>
        <v>#DIV/0!</v>
      </c>
      <c r="G364" s="23" t="e">
        <f t="shared" si="9"/>
        <v>#DIV/0!</v>
      </c>
      <c r="H364" s="177">
        <v>315</v>
      </c>
      <c r="L364" s="97"/>
      <c r="M364" s="82"/>
      <c r="N364" s="82"/>
      <c r="P364" s="31"/>
      <c r="Q364" s="31"/>
    </row>
    <row r="365" spans="1:17" s="119" customFormat="1" ht="13" outlineLevel="1" x14ac:dyDescent="0.3">
      <c r="A365" s="17"/>
      <c r="C365" s="23" t="e">
        <f t="shared" si="9"/>
        <v>#DIV/0!</v>
      </c>
      <c r="D365" s="23" t="e">
        <f t="shared" si="9"/>
        <v>#DIV/0!</v>
      </c>
      <c r="E365" s="23" t="e">
        <f t="shared" si="9"/>
        <v>#DIV/0!</v>
      </c>
      <c r="F365" s="23" t="e">
        <f t="shared" si="9"/>
        <v>#DIV/0!</v>
      </c>
      <c r="G365" s="23" t="e">
        <f t="shared" si="9"/>
        <v>#DIV/0!</v>
      </c>
      <c r="H365" s="177">
        <v>400</v>
      </c>
      <c r="L365" s="97"/>
      <c r="M365" s="82"/>
      <c r="N365" s="82"/>
      <c r="P365" s="31"/>
      <c r="Q365" s="31"/>
    </row>
    <row r="366" spans="1:17" s="119" customFormat="1" ht="13" outlineLevel="1" x14ac:dyDescent="0.3">
      <c r="A366" s="17"/>
      <c r="C366" s="23" t="e">
        <f t="shared" si="9"/>
        <v>#DIV/0!</v>
      </c>
      <c r="D366" s="23" t="e">
        <f t="shared" si="9"/>
        <v>#DIV/0!</v>
      </c>
      <c r="E366" s="23" t="e">
        <f t="shared" si="9"/>
        <v>#DIV/0!</v>
      </c>
      <c r="F366" s="23" t="e">
        <f t="shared" si="9"/>
        <v>#DIV/0!</v>
      </c>
      <c r="G366" s="23" t="e">
        <f t="shared" si="9"/>
        <v>#DIV/0!</v>
      </c>
      <c r="H366" s="177">
        <v>500</v>
      </c>
      <c r="L366" s="97"/>
      <c r="M366" s="82"/>
      <c r="N366" s="82"/>
      <c r="P366" s="31"/>
      <c r="Q366" s="31"/>
    </row>
    <row r="367" spans="1:17" s="119" customFormat="1" ht="13" outlineLevel="1" x14ac:dyDescent="0.3">
      <c r="A367" s="17"/>
      <c r="C367" s="23" t="e">
        <f t="shared" si="9"/>
        <v>#DIV/0!</v>
      </c>
      <c r="D367" s="23" t="e">
        <f t="shared" si="9"/>
        <v>#DIV/0!</v>
      </c>
      <c r="E367" s="23" t="e">
        <f t="shared" si="9"/>
        <v>#DIV/0!</v>
      </c>
      <c r="F367" s="23" t="e">
        <f t="shared" si="9"/>
        <v>#DIV/0!</v>
      </c>
      <c r="G367" s="23" t="e">
        <f t="shared" si="9"/>
        <v>#DIV/0!</v>
      </c>
      <c r="H367" s="177">
        <v>630</v>
      </c>
      <c r="L367" s="97"/>
      <c r="M367" s="82"/>
      <c r="N367" s="82"/>
      <c r="P367" s="31"/>
      <c r="Q367" s="31"/>
    </row>
    <row r="368" spans="1:17" s="119" customFormat="1" ht="13" outlineLevel="1" x14ac:dyDescent="0.3">
      <c r="A368" s="17"/>
      <c r="C368" s="23" t="e">
        <f t="shared" si="9"/>
        <v>#DIV/0!</v>
      </c>
      <c r="D368" s="23" t="e">
        <f t="shared" si="9"/>
        <v>#DIV/0!</v>
      </c>
      <c r="E368" s="23" t="e">
        <f t="shared" si="9"/>
        <v>#DIV/0!</v>
      </c>
      <c r="F368" s="23" t="e">
        <f t="shared" si="9"/>
        <v>#DIV/0!</v>
      </c>
      <c r="G368" s="23" t="e">
        <f t="shared" si="9"/>
        <v>#DIV/0!</v>
      </c>
      <c r="H368" s="177">
        <v>800</v>
      </c>
      <c r="L368" s="97"/>
      <c r="M368" s="82"/>
      <c r="N368" s="82"/>
      <c r="P368" s="31"/>
      <c r="Q368" s="31"/>
    </row>
    <row r="369" spans="1:17" s="119" customFormat="1" ht="13" outlineLevel="1" x14ac:dyDescent="0.3">
      <c r="A369" s="17"/>
      <c r="C369" s="23" t="e">
        <f t="shared" si="9"/>
        <v>#DIV/0!</v>
      </c>
      <c r="D369" s="23" t="e">
        <f t="shared" si="9"/>
        <v>#DIV/0!</v>
      </c>
      <c r="E369" s="23" t="e">
        <f t="shared" si="9"/>
        <v>#DIV/0!</v>
      </c>
      <c r="F369" s="23" t="e">
        <f t="shared" si="9"/>
        <v>#DIV/0!</v>
      </c>
      <c r="G369" s="23" t="e">
        <f t="shared" si="9"/>
        <v>#DIV/0!</v>
      </c>
      <c r="H369" s="177">
        <v>1000</v>
      </c>
      <c r="L369" s="97"/>
      <c r="M369" s="82"/>
      <c r="N369" s="82"/>
      <c r="P369" s="31"/>
      <c r="Q369" s="31"/>
    </row>
    <row r="370" spans="1:17" s="119" customFormat="1" ht="13" outlineLevel="1" x14ac:dyDescent="0.3">
      <c r="A370" s="17"/>
      <c r="C370" s="23" t="e">
        <f t="shared" ref="C370:G379" si="10">10*LOG(10^(C122/10) + 10^(C335/10))</f>
        <v>#DIV/0!</v>
      </c>
      <c r="D370" s="23" t="e">
        <f t="shared" si="10"/>
        <v>#DIV/0!</v>
      </c>
      <c r="E370" s="23" t="e">
        <f t="shared" si="10"/>
        <v>#DIV/0!</v>
      </c>
      <c r="F370" s="23" t="e">
        <f t="shared" si="10"/>
        <v>#DIV/0!</v>
      </c>
      <c r="G370" s="23" t="e">
        <f t="shared" si="10"/>
        <v>#DIV/0!</v>
      </c>
      <c r="H370" s="177">
        <v>1250</v>
      </c>
      <c r="L370" s="97"/>
      <c r="M370" s="82"/>
      <c r="N370" s="82"/>
      <c r="P370" s="31"/>
      <c r="Q370" s="31"/>
    </row>
    <row r="371" spans="1:17" s="119" customFormat="1" ht="13" outlineLevel="1" x14ac:dyDescent="0.3">
      <c r="A371" s="17"/>
      <c r="C371" s="23" t="e">
        <f t="shared" si="10"/>
        <v>#DIV/0!</v>
      </c>
      <c r="D371" s="23" t="e">
        <f t="shared" si="10"/>
        <v>#DIV/0!</v>
      </c>
      <c r="E371" s="23" t="e">
        <f t="shared" si="10"/>
        <v>#DIV/0!</v>
      </c>
      <c r="F371" s="23" t="e">
        <f t="shared" si="10"/>
        <v>#DIV/0!</v>
      </c>
      <c r="G371" s="23" t="e">
        <f t="shared" si="10"/>
        <v>#DIV/0!</v>
      </c>
      <c r="H371" s="177">
        <v>1600</v>
      </c>
      <c r="L371" s="97"/>
      <c r="M371" s="82"/>
      <c r="N371" s="82"/>
      <c r="P371" s="31"/>
      <c r="Q371" s="31"/>
    </row>
    <row r="372" spans="1:17" s="119" customFormat="1" ht="13" outlineLevel="1" x14ac:dyDescent="0.3">
      <c r="A372" s="17"/>
      <c r="C372" s="23" t="e">
        <f t="shared" si="10"/>
        <v>#DIV/0!</v>
      </c>
      <c r="D372" s="23" t="e">
        <f t="shared" si="10"/>
        <v>#DIV/0!</v>
      </c>
      <c r="E372" s="23" t="e">
        <f t="shared" si="10"/>
        <v>#DIV/0!</v>
      </c>
      <c r="F372" s="23" t="e">
        <f t="shared" si="10"/>
        <v>#DIV/0!</v>
      </c>
      <c r="G372" s="23" t="e">
        <f t="shared" si="10"/>
        <v>#DIV/0!</v>
      </c>
      <c r="H372" s="177">
        <v>2000</v>
      </c>
      <c r="L372" s="97"/>
      <c r="M372" s="82"/>
      <c r="N372" s="82"/>
      <c r="P372" s="31"/>
      <c r="Q372" s="31"/>
    </row>
    <row r="373" spans="1:17" s="119" customFormat="1" ht="13" outlineLevel="1" x14ac:dyDescent="0.3">
      <c r="A373" s="17"/>
      <c r="C373" s="23" t="e">
        <f t="shared" si="10"/>
        <v>#DIV/0!</v>
      </c>
      <c r="D373" s="23" t="e">
        <f t="shared" si="10"/>
        <v>#DIV/0!</v>
      </c>
      <c r="E373" s="23" t="e">
        <f t="shared" si="10"/>
        <v>#DIV/0!</v>
      </c>
      <c r="F373" s="23" t="e">
        <f t="shared" si="10"/>
        <v>#DIV/0!</v>
      </c>
      <c r="G373" s="23" t="e">
        <f t="shared" si="10"/>
        <v>#DIV/0!</v>
      </c>
      <c r="H373" s="177">
        <v>2500</v>
      </c>
      <c r="L373" s="97"/>
      <c r="M373" s="82"/>
      <c r="N373" s="82"/>
      <c r="P373" s="31"/>
      <c r="Q373" s="31"/>
    </row>
    <row r="374" spans="1:17" s="119" customFormat="1" ht="13" outlineLevel="1" x14ac:dyDescent="0.3">
      <c r="A374" s="17"/>
      <c r="C374" s="23" t="e">
        <f t="shared" si="10"/>
        <v>#DIV/0!</v>
      </c>
      <c r="D374" s="23" t="e">
        <f t="shared" si="10"/>
        <v>#DIV/0!</v>
      </c>
      <c r="E374" s="23" t="e">
        <f t="shared" si="10"/>
        <v>#DIV/0!</v>
      </c>
      <c r="F374" s="23" t="e">
        <f t="shared" si="10"/>
        <v>#DIV/0!</v>
      </c>
      <c r="G374" s="23" t="e">
        <f t="shared" si="10"/>
        <v>#DIV/0!</v>
      </c>
      <c r="H374" s="177">
        <v>3150</v>
      </c>
      <c r="L374" s="97"/>
      <c r="M374" s="82"/>
      <c r="N374" s="82"/>
      <c r="P374" s="31"/>
      <c r="Q374" s="31"/>
    </row>
    <row r="375" spans="1:17" s="119" customFormat="1" ht="13" outlineLevel="1" x14ac:dyDescent="0.3">
      <c r="A375" s="17"/>
      <c r="C375" s="23" t="e">
        <f t="shared" si="10"/>
        <v>#DIV/0!</v>
      </c>
      <c r="D375" s="23" t="e">
        <f t="shared" si="10"/>
        <v>#DIV/0!</v>
      </c>
      <c r="E375" s="23" t="e">
        <f t="shared" si="10"/>
        <v>#DIV/0!</v>
      </c>
      <c r="F375" s="23" t="e">
        <f t="shared" si="10"/>
        <v>#DIV/0!</v>
      </c>
      <c r="G375" s="23" t="e">
        <f t="shared" si="10"/>
        <v>#DIV/0!</v>
      </c>
      <c r="H375" s="177">
        <v>4000</v>
      </c>
      <c r="L375" s="97"/>
      <c r="M375" s="82"/>
      <c r="N375" s="82"/>
      <c r="P375" s="31"/>
      <c r="Q375" s="31"/>
    </row>
    <row r="376" spans="1:17" s="119" customFormat="1" ht="13" outlineLevel="1" x14ac:dyDescent="0.3">
      <c r="A376" s="17"/>
      <c r="C376" s="23" t="e">
        <f t="shared" si="10"/>
        <v>#DIV/0!</v>
      </c>
      <c r="D376" s="23" t="e">
        <f t="shared" si="10"/>
        <v>#DIV/0!</v>
      </c>
      <c r="E376" s="23" t="e">
        <f t="shared" si="10"/>
        <v>#DIV/0!</v>
      </c>
      <c r="F376" s="23" t="e">
        <f t="shared" si="10"/>
        <v>#DIV/0!</v>
      </c>
      <c r="G376" s="23" t="e">
        <f t="shared" si="10"/>
        <v>#DIV/0!</v>
      </c>
      <c r="H376" s="177">
        <v>5000</v>
      </c>
      <c r="L376" s="97"/>
      <c r="M376" s="82"/>
      <c r="N376" s="82"/>
      <c r="P376" s="31"/>
      <c r="Q376" s="31"/>
    </row>
    <row r="377" spans="1:17" s="119" customFormat="1" ht="13" outlineLevel="1" x14ac:dyDescent="0.3">
      <c r="A377" s="17"/>
      <c r="C377" s="23" t="e">
        <f t="shared" si="10"/>
        <v>#DIV/0!</v>
      </c>
      <c r="D377" s="23" t="e">
        <f t="shared" si="10"/>
        <v>#DIV/0!</v>
      </c>
      <c r="E377" s="23" t="e">
        <f t="shared" si="10"/>
        <v>#DIV/0!</v>
      </c>
      <c r="F377" s="23" t="e">
        <f t="shared" si="10"/>
        <v>#DIV/0!</v>
      </c>
      <c r="G377" s="23" t="e">
        <f t="shared" si="10"/>
        <v>#DIV/0!</v>
      </c>
      <c r="H377" s="177">
        <v>6300</v>
      </c>
      <c r="L377" s="97"/>
      <c r="M377" s="82"/>
      <c r="N377" s="82"/>
      <c r="P377" s="31"/>
      <c r="Q377" s="31"/>
    </row>
    <row r="378" spans="1:17" s="119" customFormat="1" ht="13" outlineLevel="1" x14ac:dyDescent="0.3">
      <c r="A378" s="17"/>
      <c r="C378" s="23" t="e">
        <f t="shared" si="10"/>
        <v>#DIV/0!</v>
      </c>
      <c r="D378" s="23" t="e">
        <f t="shared" si="10"/>
        <v>#DIV/0!</v>
      </c>
      <c r="E378" s="23" t="e">
        <f t="shared" si="10"/>
        <v>#DIV/0!</v>
      </c>
      <c r="F378" s="23" t="e">
        <f t="shared" si="10"/>
        <v>#DIV/0!</v>
      </c>
      <c r="G378" s="23" t="e">
        <f t="shared" si="10"/>
        <v>#DIV/0!</v>
      </c>
      <c r="H378" s="177">
        <v>8000</v>
      </c>
      <c r="L378" s="97"/>
      <c r="M378" s="82"/>
      <c r="N378" s="82"/>
      <c r="P378" s="31"/>
      <c r="Q378" s="31"/>
    </row>
    <row r="379" spans="1:17" s="119" customFormat="1" ht="13" outlineLevel="1" x14ac:dyDescent="0.3">
      <c r="A379" s="17"/>
      <c r="C379" s="23" t="e">
        <f t="shared" si="10"/>
        <v>#DIV/0!</v>
      </c>
      <c r="D379" s="23" t="e">
        <f t="shared" si="10"/>
        <v>#DIV/0!</v>
      </c>
      <c r="E379" s="23" t="e">
        <f t="shared" si="10"/>
        <v>#DIV/0!</v>
      </c>
      <c r="F379" s="23" t="e">
        <f t="shared" si="10"/>
        <v>#DIV/0!</v>
      </c>
      <c r="G379" s="23" t="e">
        <f t="shared" si="10"/>
        <v>#DIV/0!</v>
      </c>
      <c r="H379" s="177">
        <v>10000</v>
      </c>
      <c r="L379" s="97"/>
      <c r="M379" s="82"/>
      <c r="N379" s="82"/>
      <c r="P379" s="31"/>
      <c r="Q379" s="31"/>
    </row>
    <row r="380" spans="1:17" s="119" customFormat="1" ht="13" outlineLevel="1" x14ac:dyDescent="0.3">
      <c r="A380" s="17"/>
      <c r="C380" s="23" t="e">
        <f t="shared" ref="C380:G382" si="11">10*LOG(10^(C132/10) + 10^(C345/10))</f>
        <v>#DIV/0!</v>
      </c>
      <c r="D380" s="23" t="e">
        <f t="shared" si="11"/>
        <v>#DIV/0!</v>
      </c>
      <c r="E380" s="23" t="e">
        <f t="shared" si="11"/>
        <v>#DIV/0!</v>
      </c>
      <c r="F380" s="23" t="e">
        <f t="shared" si="11"/>
        <v>#DIV/0!</v>
      </c>
      <c r="G380" s="23" t="e">
        <f t="shared" si="11"/>
        <v>#DIV/0!</v>
      </c>
      <c r="H380" s="177">
        <v>12500</v>
      </c>
      <c r="L380" s="97"/>
      <c r="M380" s="82"/>
      <c r="N380" s="82"/>
      <c r="P380" s="31"/>
      <c r="Q380" s="31"/>
    </row>
    <row r="381" spans="1:17" s="119" customFormat="1" ht="13" outlineLevel="1" x14ac:dyDescent="0.3">
      <c r="A381" s="17"/>
      <c r="C381" s="23" t="e">
        <f t="shared" si="11"/>
        <v>#DIV/0!</v>
      </c>
      <c r="D381" s="23" t="e">
        <f t="shared" si="11"/>
        <v>#DIV/0!</v>
      </c>
      <c r="E381" s="23" t="e">
        <f t="shared" si="11"/>
        <v>#DIV/0!</v>
      </c>
      <c r="F381" s="23" t="e">
        <f t="shared" si="11"/>
        <v>#DIV/0!</v>
      </c>
      <c r="G381" s="23" t="e">
        <f t="shared" si="11"/>
        <v>#DIV/0!</v>
      </c>
      <c r="H381" s="177">
        <v>16000</v>
      </c>
      <c r="L381" s="97"/>
      <c r="M381" s="82"/>
      <c r="N381" s="82"/>
      <c r="P381" s="31"/>
      <c r="Q381" s="31"/>
    </row>
    <row r="382" spans="1:17" s="119" customFormat="1" ht="13" outlineLevel="1" x14ac:dyDescent="0.3">
      <c r="A382" s="17"/>
      <c r="C382" s="23" t="e">
        <f t="shared" si="11"/>
        <v>#DIV/0!</v>
      </c>
      <c r="D382" s="23" t="e">
        <f t="shared" si="11"/>
        <v>#DIV/0!</v>
      </c>
      <c r="E382" s="23" t="e">
        <f t="shared" si="11"/>
        <v>#DIV/0!</v>
      </c>
      <c r="F382" s="23" t="e">
        <f t="shared" si="11"/>
        <v>#DIV/0!</v>
      </c>
      <c r="G382" s="23" t="e">
        <f t="shared" si="11"/>
        <v>#DIV/0!</v>
      </c>
      <c r="H382" s="177">
        <v>20000</v>
      </c>
      <c r="L382" s="97"/>
      <c r="M382" s="82"/>
      <c r="N382" s="82"/>
      <c r="P382" s="31"/>
      <c r="Q382" s="31"/>
    </row>
    <row r="383" spans="1:17" s="119" customFormat="1" ht="13" outlineLevel="1" x14ac:dyDescent="0.3">
      <c r="A383" s="17"/>
      <c r="C383" s="23"/>
      <c r="D383" s="23"/>
      <c r="E383" s="23"/>
      <c r="F383" s="23"/>
      <c r="G383" s="23"/>
      <c r="H383" s="177"/>
      <c r="L383" s="97"/>
      <c r="M383" s="82"/>
      <c r="N383" s="82"/>
      <c r="P383" s="31"/>
      <c r="Q383" s="31"/>
    </row>
    <row r="384" spans="1:17" s="119" customFormat="1" ht="13" outlineLevel="1" x14ac:dyDescent="0.3">
      <c r="A384" s="17"/>
      <c r="C384" s="492" t="s">
        <v>971</v>
      </c>
      <c r="D384" s="492"/>
      <c r="E384" s="492"/>
      <c r="F384" s="492"/>
      <c r="G384" s="492"/>
      <c r="H384" s="177"/>
      <c r="L384" s="97"/>
      <c r="M384" s="82"/>
      <c r="N384" s="82"/>
      <c r="P384" s="31"/>
      <c r="Q384" s="31"/>
    </row>
    <row r="385" spans="1:17" s="119" customFormat="1" ht="13" outlineLevel="1" x14ac:dyDescent="0.3">
      <c r="C385" s="23" t="e">
        <f>C350 + C207 - 10*LOG((Noise!$F$113/1000 + 2*Noise!$F$112/1000 + 2)/(Noise!$F$113/1000 + 2*Noise!$F$112/1000))+Noise!$E$254</f>
        <v>#DIV/0!</v>
      </c>
      <c r="D385" s="23" t="e">
        <f>D350 + D207 - 10*LOG((Noise!$F$113/1000 + 2*Noise!$F$112/1000 + 2)/(Noise!$F$113/1000 + 2*Noise!$F$112/1000))+Noise!$E$254</f>
        <v>#DIV/0!</v>
      </c>
      <c r="E385" s="23" t="e">
        <f>E350 + E207 - 10*LOG((Noise!$F$113/1000 + 2*Noise!$F$112/1000 + 2)/(Noise!$F$113/1000 + 2*Noise!$F$112/1000))+Noise!$E$254</f>
        <v>#DIV/0!</v>
      </c>
      <c r="F385" s="23" t="e">
        <f>F350 + F207 - 10*LOG((Noise!$F$113/1000 + 2*Noise!$F$112/1000 + 2)/(Noise!$F$113/1000 + 2*Noise!$F$112/1000))+Noise!$E$254</f>
        <v>#DIV/0!</v>
      </c>
      <c r="G385" s="23" t="e">
        <f>G350 + G207 - 10*LOG((Noise!$F$113/1000 + 2*Noise!$F$112/1000 + 2)/(Noise!$F$113/1000 + 2*Noise!$F$112/1000))+Noise!$E$254</f>
        <v>#DIV/0!</v>
      </c>
      <c r="H385" s="177">
        <v>12.5</v>
      </c>
      <c r="L385" s="97"/>
      <c r="M385" s="82"/>
      <c r="N385" s="82"/>
      <c r="P385" s="31"/>
      <c r="Q385" s="31"/>
    </row>
    <row r="386" spans="1:17" s="119" customFormat="1" ht="13" outlineLevel="1" x14ac:dyDescent="0.3">
      <c r="A386" s="17"/>
      <c r="C386" s="23" t="e">
        <f>C351 + C208 - 10*LOG((Noise!$F$113/1000 + 2*Noise!$F$112/1000 + 2)/(Noise!$F$113/1000 + 2*Noise!$F$112/1000))+Noise!$E$254</f>
        <v>#DIV/0!</v>
      </c>
      <c r="D386" s="23" t="e">
        <f>D351 + D208 - 10*LOG((Noise!$F$113/1000 + 2*Noise!$F$112/1000 + 2)/(Noise!$F$113/1000 + 2*Noise!$F$112/1000))+Noise!$E$254</f>
        <v>#DIV/0!</v>
      </c>
      <c r="E386" s="23" t="e">
        <f>E351 + E208 - 10*LOG((Noise!$F$113/1000 + 2*Noise!$F$112/1000 + 2)/(Noise!$F$113/1000 + 2*Noise!$F$112/1000))+Noise!$E$254</f>
        <v>#DIV/0!</v>
      </c>
      <c r="F386" s="23" t="e">
        <f>F351 + F208 - 10*LOG((Noise!$F$113/1000 + 2*Noise!$F$112/1000 + 2)/(Noise!$F$113/1000 + 2*Noise!$F$112/1000))+Noise!$E$254</f>
        <v>#DIV/0!</v>
      </c>
      <c r="G386" s="23" t="e">
        <f>G351 + G208 - 10*LOG((Noise!$F$113/1000 + 2*Noise!$F$112/1000 + 2)/(Noise!$F$113/1000 + 2*Noise!$F$112/1000))+Noise!$E$254</f>
        <v>#DIV/0!</v>
      </c>
      <c r="H386" s="177">
        <v>16</v>
      </c>
      <c r="L386" s="97"/>
      <c r="M386" s="82"/>
      <c r="N386" s="82"/>
      <c r="P386" s="31"/>
      <c r="Q386" s="31"/>
    </row>
    <row r="387" spans="1:17" s="119" customFormat="1" ht="13" outlineLevel="1" x14ac:dyDescent="0.3">
      <c r="A387" s="17"/>
      <c r="C387" s="23" t="e">
        <f>C352 + C209 - 10*LOG((Noise!$F$113/1000 + 2*Noise!$F$112/1000 + 2)/(Noise!$F$113/1000 + 2*Noise!$F$112/1000))+Noise!$E$254</f>
        <v>#DIV/0!</v>
      </c>
      <c r="D387" s="23" t="e">
        <f>D352 + D209 - 10*LOG((Noise!$F$113/1000 + 2*Noise!$F$112/1000 + 2)/(Noise!$F$113/1000 + 2*Noise!$F$112/1000))+Noise!$E$254</f>
        <v>#DIV/0!</v>
      </c>
      <c r="E387" s="23" t="e">
        <f>E352 + E209 - 10*LOG((Noise!$F$113/1000 + 2*Noise!$F$112/1000 + 2)/(Noise!$F$113/1000 + 2*Noise!$F$112/1000))+Noise!$E$254</f>
        <v>#DIV/0!</v>
      </c>
      <c r="F387" s="23" t="e">
        <f>F352 + F209 - 10*LOG((Noise!$F$113/1000 + 2*Noise!$F$112/1000 + 2)/(Noise!$F$113/1000 + 2*Noise!$F$112/1000))+Noise!$E$254</f>
        <v>#DIV/0!</v>
      </c>
      <c r="G387" s="23" t="e">
        <f>G352 + G209 - 10*LOG((Noise!$F$113/1000 + 2*Noise!$F$112/1000 + 2)/(Noise!$F$113/1000 + 2*Noise!$F$112/1000))+Noise!$E$254</f>
        <v>#DIV/0!</v>
      </c>
      <c r="H387" s="177">
        <v>20</v>
      </c>
      <c r="L387" s="97"/>
      <c r="M387" s="82"/>
      <c r="N387" s="82"/>
      <c r="P387" s="31"/>
      <c r="Q387" s="31"/>
    </row>
    <row r="388" spans="1:17" s="119" customFormat="1" ht="13" outlineLevel="1" x14ac:dyDescent="0.3">
      <c r="A388" s="17"/>
      <c r="C388" s="23" t="e">
        <f>C353 + C210 - 10*LOG((Noise!$F$113/1000 + 2*Noise!$F$112/1000 + 2)/(Noise!$F$113/1000 + 2*Noise!$F$112/1000))+Noise!$E$254</f>
        <v>#DIV/0!</v>
      </c>
      <c r="D388" s="23" t="e">
        <f>D353 + D210 - 10*LOG((Noise!$F$113/1000 + 2*Noise!$F$112/1000 + 2)/(Noise!$F$113/1000 + 2*Noise!$F$112/1000))+Noise!$E$254</f>
        <v>#DIV/0!</v>
      </c>
      <c r="E388" s="23" t="e">
        <f>E353 + E210 - 10*LOG((Noise!$F$113/1000 + 2*Noise!$F$112/1000 + 2)/(Noise!$F$113/1000 + 2*Noise!$F$112/1000))+Noise!$E$254</f>
        <v>#DIV/0!</v>
      </c>
      <c r="F388" s="23" t="e">
        <f>F353 + F210 - 10*LOG((Noise!$F$113/1000 + 2*Noise!$F$112/1000 + 2)/(Noise!$F$113/1000 + 2*Noise!$F$112/1000))+Noise!$E$254</f>
        <v>#DIV/0!</v>
      </c>
      <c r="G388" s="23" t="e">
        <f>G353 + G210 - 10*LOG((Noise!$F$113/1000 + 2*Noise!$F$112/1000 + 2)/(Noise!$F$113/1000 + 2*Noise!$F$112/1000))+Noise!$E$254</f>
        <v>#DIV/0!</v>
      </c>
      <c r="H388" s="177">
        <v>25</v>
      </c>
      <c r="L388" s="97"/>
      <c r="M388" s="82"/>
      <c r="N388" s="82"/>
      <c r="P388" s="31"/>
      <c r="Q388" s="31"/>
    </row>
    <row r="389" spans="1:17" s="119" customFormat="1" ht="13" outlineLevel="1" x14ac:dyDescent="0.3">
      <c r="A389" s="17"/>
      <c r="C389" s="23" t="e">
        <f>C354 + C211 - 10*LOG((Noise!$F$113/1000 + 2*Noise!$F$112/1000 + 2)/(Noise!$F$113/1000 + 2*Noise!$F$112/1000))+Noise!$E$254</f>
        <v>#DIV/0!</v>
      </c>
      <c r="D389" s="23" t="e">
        <f>D354 + D211 - 10*LOG((Noise!$F$113/1000 + 2*Noise!$F$112/1000 + 2)/(Noise!$F$113/1000 + 2*Noise!$F$112/1000))+Noise!$E$254</f>
        <v>#DIV/0!</v>
      </c>
      <c r="E389" s="23" t="e">
        <f>E354 + E211 - 10*LOG((Noise!$F$113/1000 + 2*Noise!$F$112/1000 + 2)/(Noise!$F$113/1000 + 2*Noise!$F$112/1000))+Noise!$E$254</f>
        <v>#DIV/0!</v>
      </c>
      <c r="F389" s="23" t="e">
        <f>F354 + F211 - 10*LOG((Noise!$F$113/1000 + 2*Noise!$F$112/1000 + 2)/(Noise!$F$113/1000 + 2*Noise!$F$112/1000))+Noise!$E$254</f>
        <v>#DIV/0!</v>
      </c>
      <c r="G389" s="23" t="e">
        <f>G354 + G211 - 10*LOG((Noise!$F$113/1000 + 2*Noise!$F$112/1000 + 2)/(Noise!$F$113/1000 + 2*Noise!$F$112/1000))+Noise!$E$254</f>
        <v>#DIV/0!</v>
      </c>
      <c r="H389" s="177">
        <v>31.5</v>
      </c>
      <c r="L389" s="97"/>
      <c r="M389" s="82"/>
      <c r="N389" s="82"/>
      <c r="P389" s="31"/>
      <c r="Q389" s="31"/>
    </row>
    <row r="390" spans="1:17" s="119" customFormat="1" ht="13" outlineLevel="1" x14ac:dyDescent="0.3">
      <c r="A390" s="17"/>
      <c r="C390" s="23" t="e">
        <f>C355 + C212 - 10*LOG((Noise!$F$113/1000 + 2*Noise!$F$112/1000 + 2)/(Noise!$F$113/1000 + 2*Noise!$F$112/1000))+Noise!$E$254</f>
        <v>#DIV/0!</v>
      </c>
      <c r="D390" s="23" t="e">
        <f>D355 + D212 - 10*LOG((Noise!$F$113/1000 + 2*Noise!$F$112/1000 + 2)/(Noise!$F$113/1000 + 2*Noise!$F$112/1000))+Noise!$E$254</f>
        <v>#DIV/0!</v>
      </c>
      <c r="E390" s="23" t="e">
        <f>E355 + E212 - 10*LOG((Noise!$F$113/1000 + 2*Noise!$F$112/1000 + 2)/(Noise!$F$113/1000 + 2*Noise!$F$112/1000))+Noise!$E$254</f>
        <v>#DIV/0!</v>
      </c>
      <c r="F390" s="23" t="e">
        <f>F355 + F212 - 10*LOG((Noise!$F$113/1000 + 2*Noise!$F$112/1000 + 2)/(Noise!$F$113/1000 + 2*Noise!$F$112/1000))+Noise!$E$254</f>
        <v>#DIV/0!</v>
      </c>
      <c r="G390" s="23" t="e">
        <f>G355 + G212 - 10*LOG((Noise!$F$113/1000 + 2*Noise!$F$112/1000 + 2)/(Noise!$F$113/1000 + 2*Noise!$F$112/1000))+Noise!$E$254</f>
        <v>#DIV/0!</v>
      </c>
      <c r="H390" s="177">
        <v>40</v>
      </c>
      <c r="L390" s="97"/>
      <c r="M390" s="82"/>
      <c r="N390" s="82"/>
      <c r="P390" s="31"/>
      <c r="Q390" s="31"/>
    </row>
    <row r="391" spans="1:17" s="119" customFormat="1" ht="13" outlineLevel="1" x14ac:dyDescent="0.3">
      <c r="A391" s="17"/>
      <c r="C391" s="23" t="e">
        <f>C356 + C213 - 10*LOG((Noise!$F$113/1000 + 2*Noise!$F$112/1000 + 2)/(Noise!$F$113/1000 + 2*Noise!$F$112/1000))+Noise!$E$254</f>
        <v>#DIV/0!</v>
      </c>
      <c r="D391" s="23" t="e">
        <f>D356 + D213 - 10*LOG((Noise!$F$113/1000 + 2*Noise!$F$112/1000 + 2)/(Noise!$F$113/1000 + 2*Noise!$F$112/1000))+Noise!$E$254</f>
        <v>#DIV/0!</v>
      </c>
      <c r="E391" s="23" t="e">
        <f>E356 + E213 - 10*LOG((Noise!$F$113/1000 + 2*Noise!$F$112/1000 + 2)/(Noise!$F$113/1000 + 2*Noise!$F$112/1000))+Noise!$E$254</f>
        <v>#DIV/0!</v>
      </c>
      <c r="F391" s="23" t="e">
        <f>F356 + F213 - 10*LOG((Noise!$F$113/1000 + 2*Noise!$F$112/1000 + 2)/(Noise!$F$113/1000 + 2*Noise!$F$112/1000))+Noise!$E$254</f>
        <v>#DIV/0!</v>
      </c>
      <c r="G391" s="23" t="e">
        <f>G356 + G213 - 10*LOG((Noise!$F$113/1000 + 2*Noise!$F$112/1000 + 2)/(Noise!$F$113/1000 + 2*Noise!$F$112/1000))+Noise!$E$254</f>
        <v>#DIV/0!</v>
      </c>
      <c r="H391" s="177">
        <v>50</v>
      </c>
      <c r="L391" s="97"/>
      <c r="M391" s="82"/>
      <c r="N391" s="82"/>
      <c r="P391" s="31"/>
      <c r="Q391" s="31"/>
    </row>
    <row r="392" spans="1:17" s="119" customFormat="1" ht="13" outlineLevel="1" x14ac:dyDescent="0.3">
      <c r="A392" s="17"/>
      <c r="C392" s="23" t="e">
        <f>C357 + C214 - 10*LOG((Noise!$F$113/1000 + 2*Noise!$F$112/1000 + 2)/(Noise!$F$113/1000 + 2*Noise!$F$112/1000))+Noise!$E$254</f>
        <v>#DIV/0!</v>
      </c>
      <c r="D392" s="23" t="e">
        <f>D357 + D214 - 10*LOG((Noise!$F$113/1000 + 2*Noise!$F$112/1000 + 2)/(Noise!$F$113/1000 + 2*Noise!$F$112/1000))+Noise!$E$254</f>
        <v>#DIV/0!</v>
      </c>
      <c r="E392" s="23" t="e">
        <f>E357 + E214 - 10*LOG((Noise!$F$113/1000 + 2*Noise!$F$112/1000 + 2)/(Noise!$F$113/1000 + 2*Noise!$F$112/1000))+Noise!$E$254</f>
        <v>#DIV/0!</v>
      </c>
      <c r="F392" s="23" t="e">
        <f>F357 + F214 - 10*LOG((Noise!$F$113/1000 + 2*Noise!$F$112/1000 + 2)/(Noise!$F$113/1000 + 2*Noise!$F$112/1000))+Noise!$E$254</f>
        <v>#DIV/0!</v>
      </c>
      <c r="G392" s="23" t="e">
        <f>G357 + G214 - 10*LOG((Noise!$F$113/1000 + 2*Noise!$F$112/1000 + 2)/(Noise!$F$113/1000 + 2*Noise!$F$112/1000))+Noise!$E$254</f>
        <v>#DIV/0!</v>
      </c>
      <c r="H392" s="177">
        <v>63</v>
      </c>
      <c r="L392" s="97"/>
      <c r="M392" s="82"/>
      <c r="N392" s="82"/>
      <c r="P392" s="31"/>
      <c r="Q392" s="31"/>
    </row>
    <row r="393" spans="1:17" s="119" customFormat="1" ht="13" outlineLevel="1" x14ac:dyDescent="0.3">
      <c r="A393" s="17"/>
      <c r="C393" s="23" t="e">
        <f>C358 + C215 - 10*LOG((Noise!$F$113/1000 + 2*Noise!$F$112/1000 + 2)/(Noise!$F$113/1000 + 2*Noise!$F$112/1000))+Noise!$E$254</f>
        <v>#DIV/0!</v>
      </c>
      <c r="D393" s="23" t="e">
        <f>D358 + D215 - 10*LOG((Noise!$F$113/1000 + 2*Noise!$F$112/1000 + 2)/(Noise!$F$113/1000 + 2*Noise!$F$112/1000))+Noise!$E$254</f>
        <v>#DIV/0!</v>
      </c>
      <c r="E393" s="23" t="e">
        <f>E358 + E215 - 10*LOG((Noise!$F$113/1000 + 2*Noise!$F$112/1000 + 2)/(Noise!$F$113/1000 + 2*Noise!$F$112/1000))+Noise!$E$254</f>
        <v>#DIV/0!</v>
      </c>
      <c r="F393" s="23" t="e">
        <f>F358 + F215 - 10*LOG((Noise!$F$113/1000 + 2*Noise!$F$112/1000 + 2)/(Noise!$F$113/1000 + 2*Noise!$F$112/1000))+Noise!$E$254</f>
        <v>#DIV/0!</v>
      </c>
      <c r="G393" s="23" t="e">
        <f>G358 + G215 - 10*LOG((Noise!$F$113/1000 + 2*Noise!$F$112/1000 + 2)/(Noise!$F$113/1000 + 2*Noise!$F$112/1000))+Noise!$E$254</f>
        <v>#DIV/0!</v>
      </c>
      <c r="H393" s="177">
        <v>80</v>
      </c>
      <c r="L393" s="97"/>
      <c r="M393" s="82"/>
      <c r="N393" s="82"/>
      <c r="P393" s="31"/>
      <c r="Q393" s="31"/>
    </row>
    <row r="394" spans="1:17" s="119" customFormat="1" ht="13" outlineLevel="1" x14ac:dyDescent="0.3">
      <c r="A394" s="17"/>
      <c r="C394" s="23" t="e">
        <f>C359 + C216 - 10*LOG((Noise!$F$113/1000 + 2*Noise!$F$112/1000 + 2)/(Noise!$F$113/1000 + 2*Noise!$F$112/1000))+Noise!$E$254</f>
        <v>#DIV/0!</v>
      </c>
      <c r="D394" s="23" t="e">
        <f>D359 + D216 - 10*LOG((Noise!$F$113/1000 + 2*Noise!$F$112/1000 + 2)/(Noise!$F$113/1000 + 2*Noise!$F$112/1000))+Noise!$E$254</f>
        <v>#DIV/0!</v>
      </c>
      <c r="E394" s="23" t="e">
        <f>E359 + E216 - 10*LOG((Noise!$F$113/1000 + 2*Noise!$F$112/1000 + 2)/(Noise!$F$113/1000 + 2*Noise!$F$112/1000))+Noise!$E$254</f>
        <v>#DIV/0!</v>
      </c>
      <c r="F394" s="23" t="e">
        <f>F359 + F216 - 10*LOG((Noise!$F$113/1000 + 2*Noise!$F$112/1000 + 2)/(Noise!$F$113/1000 + 2*Noise!$F$112/1000))+Noise!$E$254</f>
        <v>#DIV/0!</v>
      </c>
      <c r="G394" s="23" t="e">
        <f>G359 + G216 - 10*LOG((Noise!$F$113/1000 + 2*Noise!$F$112/1000 + 2)/(Noise!$F$113/1000 + 2*Noise!$F$112/1000))+Noise!$E$254</f>
        <v>#DIV/0!</v>
      </c>
      <c r="H394" s="177">
        <v>100</v>
      </c>
      <c r="L394" s="97"/>
      <c r="M394" s="82"/>
      <c r="N394" s="82"/>
      <c r="P394" s="31"/>
      <c r="Q394" s="31"/>
    </row>
    <row r="395" spans="1:17" s="119" customFormat="1" ht="13" outlineLevel="1" x14ac:dyDescent="0.3">
      <c r="A395" s="17"/>
      <c r="C395" s="23" t="e">
        <f>C360 + C217 - 10*LOG((Noise!$F$113/1000 + 2*Noise!$F$112/1000 + 2)/(Noise!$F$113/1000 + 2*Noise!$F$112/1000))+Noise!$E$254</f>
        <v>#DIV/0!</v>
      </c>
      <c r="D395" s="23" t="e">
        <f>D360 + D217 - 10*LOG((Noise!$F$113/1000 + 2*Noise!$F$112/1000 + 2)/(Noise!$F$113/1000 + 2*Noise!$F$112/1000))+Noise!$E$254</f>
        <v>#DIV/0!</v>
      </c>
      <c r="E395" s="23" t="e">
        <f>E360 + E217 - 10*LOG((Noise!$F$113/1000 + 2*Noise!$F$112/1000 + 2)/(Noise!$F$113/1000 + 2*Noise!$F$112/1000))+Noise!$E$254</f>
        <v>#DIV/0!</v>
      </c>
      <c r="F395" s="23" t="e">
        <f>F360 + F217 - 10*LOG((Noise!$F$113/1000 + 2*Noise!$F$112/1000 + 2)/(Noise!$F$113/1000 + 2*Noise!$F$112/1000))+Noise!$E$254</f>
        <v>#DIV/0!</v>
      </c>
      <c r="G395" s="23" t="e">
        <f>G360 + G217 - 10*LOG((Noise!$F$113/1000 + 2*Noise!$F$112/1000 + 2)/(Noise!$F$113/1000 + 2*Noise!$F$112/1000))+Noise!$E$254</f>
        <v>#DIV/0!</v>
      </c>
      <c r="H395" s="177">
        <v>125</v>
      </c>
      <c r="L395" s="97"/>
      <c r="M395" s="82"/>
      <c r="N395" s="82"/>
      <c r="P395" s="31"/>
      <c r="Q395" s="31"/>
    </row>
    <row r="396" spans="1:17" s="119" customFormat="1" ht="13" outlineLevel="1" x14ac:dyDescent="0.3">
      <c r="A396" s="17"/>
      <c r="C396" s="23" t="e">
        <f>C361 + C218 - 10*LOG((Noise!$F$113/1000 + 2*Noise!$F$112/1000 + 2)/(Noise!$F$113/1000 + 2*Noise!$F$112/1000))+Noise!$E$254</f>
        <v>#DIV/0!</v>
      </c>
      <c r="D396" s="23" t="e">
        <f>D361 + D218 - 10*LOG((Noise!$F$113/1000 + 2*Noise!$F$112/1000 + 2)/(Noise!$F$113/1000 + 2*Noise!$F$112/1000))+Noise!$E$254</f>
        <v>#DIV/0!</v>
      </c>
      <c r="E396" s="23" t="e">
        <f>E361 + E218 - 10*LOG((Noise!$F$113/1000 + 2*Noise!$F$112/1000 + 2)/(Noise!$F$113/1000 + 2*Noise!$F$112/1000))+Noise!$E$254</f>
        <v>#DIV/0!</v>
      </c>
      <c r="F396" s="23" t="e">
        <f>F361 + F218 - 10*LOG((Noise!$F$113/1000 + 2*Noise!$F$112/1000 + 2)/(Noise!$F$113/1000 + 2*Noise!$F$112/1000))+Noise!$E$254</f>
        <v>#DIV/0!</v>
      </c>
      <c r="G396" s="23" t="e">
        <f>G361 + G218 - 10*LOG((Noise!$F$113/1000 + 2*Noise!$F$112/1000 + 2)/(Noise!$F$113/1000 + 2*Noise!$F$112/1000))+Noise!$E$254</f>
        <v>#DIV/0!</v>
      </c>
      <c r="H396" s="177">
        <v>160</v>
      </c>
      <c r="L396" s="97"/>
      <c r="M396" s="82"/>
      <c r="N396" s="82"/>
      <c r="P396" s="31"/>
      <c r="Q396" s="31"/>
    </row>
    <row r="397" spans="1:17" s="119" customFormat="1" ht="13" outlineLevel="1" x14ac:dyDescent="0.3">
      <c r="A397" s="17"/>
      <c r="C397" s="23" t="e">
        <f>C362 + C219 - 10*LOG((Noise!$F$113/1000 + 2*Noise!$F$112/1000 + 2)/(Noise!$F$113/1000 + 2*Noise!$F$112/1000))+Noise!$E$254</f>
        <v>#DIV/0!</v>
      </c>
      <c r="D397" s="23" t="e">
        <f>D362 + D219 - 10*LOG((Noise!$F$113/1000 + 2*Noise!$F$112/1000 + 2)/(Noise!$F$113/1000 + 2*Noise!$F$112/1000))+Noise!$E$254</f>
        <v>#DIV/0!</v>
      </c>
      <c r="E397" s="23" t="e">
        <f>E362 + E219 - 10*LOG((Noise!$F$113/1000 + 2*Noise!$F$112/1000 + 2)/(Noise!$F$113/1000 + 2*Noise!$F$112/1000))+Noise!$E$254</f>
        <v>#DIV/0!</v>
      </c>
      <c r="F397" s="23" t="e">
        <f>F362 + F219 - 10*LOG((Noise!$F$113/1000 + 2*Noise!$F$112/1000 + 2)/(Noise!$F$113/1000 + 2*Noise!$F$112/1000))+Noise!$E$254</f>
        <v>#DIV/0!</v>
      </c>
      <c r="G397" s="23" t="e">
        <f>G362 + G219 - 10*LOG((Noise!$F$113/1000 + 2*Noise!$F$112/1000 + 2)/(Noise!$F$113/1000 + 2*Noise!$F$112/1000))+Noise!$E$254</f>
        <v>#DIV/0!</v>
      </c>
      <c r="H397" s="177">
        <v>200</v>
      </c>
      <c r="L397" s="97"/>
      <c r="M397" s="82"/>
      <c r="N397" s="82"/>
      <c r="P397" s="31"/>
      <c r="Q397" s="31"/>
    </row>
    <row r="398" spans="1:17" s="119" customFormat="1" ht="13" outlineLevel="1" x14ac:dyDescent="0.3">
      <c r="A398" s="17"/>
      <c r="C398" s="23" t="e">
        <f>C363 + C220 - 10*LOG((Noise!$F$113/1000 + 2*Noise!$F$112/1000 + 2)/(Noise!$F$113/1000 + 2*Noise!$F$112/1000))+Noise!$E$254</f>
        <v>#DIV/0!</v>
      </c>
      <c r="D398" s="23" t="e">
        <f>D363 + D220 - 10*LOG((Noise!$F$113/1000 + 2*Noise!$F$112/1000 + 2)/(Noise!$F$113/1000 + 2*Noise!$F$112/1000))+Noise!$E$254</f>
        <v>#DIV/0!</v>
      </c>
      <c r="E398" s="23" t="e">
        <f>E363 + E220 - 10*LOG((Noise!$F$113/1000 + 2*Noise!$F$112/1000 + 2)/(Noise!$F$113/1000 + 2*Noise!$F$112/1000))+Noise!$E$254</f>
        <v>#DIV/0!</v>
      </c>
      <c r="F398" s="23" t="e">
        <f>F363 + F220 - 10*LOG((Noise!$F$113/1000 + 2*Noise!$F$112/1000 + 2)/(Noise!$F$113/1000 + 2*Noise!$F$112/1000))+Noise!$E$254</f>
        <v>#DIV/0!</v>
      </c>
      <c r="G398" s="23" t="e">
        <f>G363 + G220 - 10*LOG((Noise!$F$113/1000 + 2*Noise!$F$112/1000 + 2)/(Noise!$F$113/1000 + 2*Noise!$F$112/1000))+Noise!$E$254</f>
        <v>#DIV/0!</v>
      </c>
      <c r="H398" s="177">
        <v>250</v>
      </c>
      <c r="L398" s="97"/>
      <c r="M398" s="82"/>
      <c r="N398" s="82"/>
      <c r="P398" s="31"/>
      <c r="Q398" s="31"/>
    </row>
    <row r="399" spans="1:17" s="119" customFormat="1" ht="13" outlineLevel="1" x14ac:dyDescent="0.3">
      <c r="A399" s="17"/>
      <c r="C399" s="23" t="e">
        <f>C364 + C221 - 10*LOG((Noise!$F$113/1000 + 2*Noise!$F$112/1000 + 2)/(Noise!$F$113/1000 + 2*Noise!$F$112/1000))+Noise!$E$254</f>
        <v>#DIV/0!</v>
      </c>
      <c r="D399" s="23" t="e">
        <f>D364 + D221 - 10*LOG((Noise!$F$113/1000 + 2*Noise!$F$112/1000 + 2)/(Noise!$F$113/1000 + 2*Noise!$F$112/1000))+Noise!$E$254</f>
        <v>#DIV/0!</v>
      </c>
      <c r="E399" s="23" t="e">
        <f>E364 + E221 - 10*LOG((Noise!$F$113/1000 + 2*Noise!$F$112/1000 + 2)/(Noise!$F$113/1000 + 2*Noise!$F$112/1000))+Noise!$E$254</f>
        <v>#DIV/0!</v>
      </c>
      <c r="F399" s="23" t="e">
        <f>F364 + F221 - 10*LOG((Noise!$F$113/1000 + 2*Noise!$F$112/1000 + 2)/(Noise!$F$113/1000 + 2*Noise!$F$112/1000))+Noise!$E$254</f>
        <v>#DIV/0!</v>
      </c>
      <c r="G399" s="23" t="e">
        <f>G364 + G221 - 10*LOG((Noise!$F$113/1000 + 2*Noise!$F$112/1000 + 2)/(Noise!$F$113/1000 + 2*Noise!$F$112/1000))+Noise!$E$254</f>
        <v>#DIV/0!</v>
      </c>
      <c r="H399" s="177">
        <v>315</v>
      </c>
      <c r="L399" s="97"/>
      <c r="M399" s="82"/>
      <c r="N399" s="82"/>
      <c r="P399" s="31"/>
      <c r="Q399" s="31"/>
    </row>
    <row r="400" spans="1:17" s="119" customFormat="1" ht="13" outlineLevel="1" x14ac:dyDescent="0.3">
      <c r="A400" s="17"/>
      <c r="C400" s="23" t="e">
        <f>C365 + C222 - 10*LOG((Noise!$F$113/1000 + 2*Noise!$F$112/1000 + 2)/(Noise!$F$113/1000 + 2*Noise!$F$112/1000))+Noise!$E$254</f>
        <v>#DIV/0!</v>
      </c>
      <c r="D400" s="23" t="e">
        <f>D365 + D222 - 10*LOG((Noise!$F$113/1000 + 2*Noise!$F$112/1000 + 2)/(Noise!$F$113/1000 + 2*Noise!$F$112/1000))+Noise!$E$254</f>
        <v>#DIV/0!</v>
      </c>
      <c r="E400" s="23" t="e">
        <f>E365 + E222 - 10*LOG((Noise!$F$113/1000 + 2*Noise!$F$112/1000 + 2)/(Noise!$F$113/1000 + 2*Noise!$F$112/1000))+Noise!$E$254</f>
        <v>#DIV/0!</v>
      </c>
      <c r="F400" s="23" t="e">
        <f>F365 + F222 - 10*LOG((Noise!$F$113/1000 + 2*Noise!$F$112/1000 + 2)/(Noise!$F$113/1000 + 2*Noise!$F$112/1000))+Noise!$E$254</f>
        <v>#DIV/0!</v>
      </c>
      <c r="G400" s="23" t="e">
        <f>G365 + G222 - 10*LOG((Noise!$F$113/1000 + 2*Noise!$F$112/1000 + 2)/(Noise!$F$113/1000 + 2*Noise!$F$112/1000))+Noise!$E$254</f>
        <v>#DIV/0!</v>
      </c>
      <c r="H400" s="177">
        <v>400</v>
      </c>
      <c r="L400" s="97"/>
      <c r="M400" s="82"/>
      <c r="N400" s="82"/>
      <c r="P400" s="31"/>
      <c r="Q400" s="31"/>
    </row>
    <row r="401" spans="1:17" s="119" customFormat="1" ht="13" outlineLevel="1" x14ac:dyDescent="0.3">
      <c r="A401" s="17"/>
      <c r="C401" s="23" t="e">
        <f>C366 + C223 - 10*LOG((Noise!$F$113/1000 + 2*Noise!$F$112/1000 + 2)/(Noise!$F$113/1000 + 2*Noise!$F$112/1000))+Noise!$E$254</f>
        <v>#DIV/0!</v>
      </c>
      <c r="D401" s="23" t="e">
        <f>D366 + D223 - 10*LOG((Noise!$F$113/1000 + 2*Noise!$F$112/1000 + 2)/(Noise!$F$113/1000 + 2*Noise!$F$112/1000))+Noise!$E$254</f>
        <v>#DIV/0!</v>
      </c>
      <c r="E401" s="23" t="e">
        <f>E366 + E223 - 10*LOG((Noise!$F$113/1000 + 2*Noise!$F$112/1000 + 2)/(Noise!$F$113/1000 + 2*Noise!$F$112/1000))+Noise!$E$254</f>
        <v>#DIV/0!</v>
      </c>
      <c r="F401" s="23" t="e">
        <f>F366 + F223 - 10*LOG((Noise!$F$113/1000 + 2*Noise!$F$112/1000 + 2)/(Noise!$F$113/1000 + 2*Noise!$F$112/1000))+Noise!$E$254</f>
        <v>#DIV/0!</v>
      </c>
      <c r="G401" s="23" t="e">
        <f>G366 + G223 - 10*LOG((Noise!$F$113/1000 + 2*Noise!$F$112/1000 + 2)/(Noise!$F$113/1000 + 2*Noise!$F$112/1000))+Noise!$E$254</f>
        <v>#DIV/0!</v>
      </c>
      <c r="H401" s="177">
        <v>500</v>
      </c>
      <c r="L401" s="97"/>
      <c r="M401" s="82"/>
      <c r="N401" s="82"/>
      <c r="P401" s="31"/>
      <c r="Q401" s="31"/>
    </row>
    <row r="402" spans="1:17" s="119" customFormat="1" ht="13" outlineLevel="1" x14ac:dyDescent="0.3">
      <c r="A402" s="17"/>
      <c r="C402" s="23" t="e">
        <f>C367 + C224 - 10*LOG((Noise!$F$113/1000 + 2*Noise!$F$112/1000 + 2)/(Noise!$F$113/1000 + 2*Noise!$F$112/1000))+Noise!$E$254</f>
        <v>#DIV/0!</v>
      </c>
      <c r="D402" s="23" t="e">
        <f>D367 + D224 - 10*LOG((Noise!$F$113/1000 + 2*Noise!$F$112/1000 + 2)/(Noise!$F$113/1000 + 2*Noise!$F$112/1000))+Noise!$E$254</f>
        <v>#DIV/0!</v>
      </c>
      <c r="E402" s="23" t="e">
        <f>E367 + E224 - 10*LOG((Noise!$F$113/1000 + 2*Noise!$F$112/1000 + 2)/(Noise!$F$113/1000 + 2*Noise!$F$112/1000))+Noise!$E$254</f>
        <v>#DIV/0!</v>
      </c>
      <c r="F402" s="23" t="e">
        <f>F367 + F224 - 10*LOG((Noise!$F$113/1000 + 2*Noise!$F$112/1000 + 2)/(Noise!$F$113/1000 + 2*Noise!$F$112/1000))+Noise!$E$254</f>
        <v>#DIV/0!</v>
      </c>
      <c r="G402" s="23" t="e">
        <f>G367 + G224 - 10*LOG((Noise!$F$113/1000 + 2*Noise!$F$112/1000 + 2)/(Noise!$F$113/1000 + 2*Noise!$F$112/1000))+Noise!$E$254</f>
        <v>#DIV/0!</v>
      </c>
      <c r="H402" s="177">
        <v>630</v>
      </c>
      <c r="L402" s="97"/>
      <c r="M402" s="82"/>
      <c r="N402" s="82"/>
      <c r="P402" s="31"/>
      <c r="Q402" s="31"/>
    </row>
    <row r="403" spans="1:17" s="119" customFormat="1" ht="13" outlineLevel="1" x14ac:dyDescent="0.3">
      <c r="A403" s="17"/>
      <c r="C403" s="23" t="e">
        <f>C368 + C225 - 10*LOG((Noise!$F$113/1000 + 2*Noise!$F$112/1000 + 2)/(Noise!$F$113/1000 + 2*Noise!$F$112/1000))+Noise!$E$254</f>
        <v>#DIV/0!</v>
      </c>
      <c r="D403" s="23" t="e">
        <f>D368 + D225 - 10*LOG((Noise!$F$113/1000 + 2*Noise!$F$112/1000 + 2)/(Noise!$F$113/1000 + 2*Noise!$F$112/1000))+Noise!$E$254</f>
        <v>#DIV/0!</v>
      </c>
      <c r="E403" s="23" t="e">
        <f>E368 + E225 - 10*LOG((Noise!$F$113/1000 + 2*Noise!$F$112/1000 + 2)/(Noise!$F$113/1000 + 2*Noise!$F$112/1000))+Noise!$E$254</f>
        <v>#DIV/0!</v>
      </c>
      <c r="F403" s="23" t="e">
        <f>F368 + F225 - 10*LOG((Noise!$F$113/1000 + 2*Noise!$F$112/1000 + 2)/(Noise!$F$113/1000 + 2*Noise!$F$112/1000))+Noise!$E$254</f>
        <v>#DIV/0!</v>
      </c>
      <c r="G403" s="23" t="e">
        <f>G368 + G225 - 10*LOG((Noise!$F$113/1000 + 2*Noise!$F$112/1000 + 2)/(Noise!$F$113/1000 + 2*Noise!$F$112/1000))+Noise!$E$254</f>
        <v>#DIV/0!</v>
      </c>
      <c r="H403" s="177">
        <v>800</v>
      </c>
      <c r="L403" s="97"/>
      <c r="M403" s="82"/>
      <c r="N403" s="82"/>
      <c r="P403" s="31"/>
      <c r="Q403" s="31"/>
    </row>
    <row r="404" spans="1:17" s="119" customFormat="1" ht="13" outlineLevel="1" x14ac:dyDescent="0.3">
      <c r="A404" s="17"/>
      <c r="C404" s="23" t="e">
        <f>C369 + C226 - 10*LOG((Noise!$F$113/1000 + 2*Noise!$F$112/1000 + 2)/(Noise!$F$113/1000 + 2*Noise!$F$112/1000))+Noise!$E$254</f>
        <v>#DIV/0!</v>
      </c>
      <c r="D404" s="23" t="e">
        <f>D369 + D226 - 10*LOG((Noise!$F$113/1000 + 2*Noise!$F$112/1000 + 2)/(Noise!$F$113/1000 + 2*Noise!$F$112/1000))+Noise!$E$254</f>
        <v>#DIV/0!</v>
      </c>
      <c r="E404" s="23" t="e">
        <f>E369 + E226 - 10*LOG((Noise!$F$113/1000 + 2*Noise!$F$112/1000 + 2)/(Noise!$F$113/1000 + 2*Noise!$F$112/1000))+Noise!$E$254</f>
        <v>#DIV/0!</v>
      </c>
      <c r="F404" s="23" t="e">
        <f>F369 + F226 - 10*LOG((Noise!$F$113/1000 + 2*Noise!$F$112/1000 + 2)/(Noise!$F$113/1000 + 2*Noise!$F$112/1000))+Noise!$E$254</f>
        <v>#DIV/0!</v>
      </c>
      <c r="G404" s="23" t="e">
        <f>G369 + G226 - 10*LOG((Noise!$F$113/1000 + 2*Noise!$F$112/1000 + 2)/(Noise!$F$113/1000 + 2*Noise!$F$112/1000))+Noise!$E$254</f>
        <v>#DIV/0!</v>
      </c>
      <c r="H404" s="177">
        <v>1000</v>
      </c>
      <c r="L404" s="97"/>
      <c r="M404" s="82"/>
      <c r="N404" s="82"/>
      <c r="P404" s="31"/>
      <c r="Q404" s="31"/>
    </row>
    <row r="405" spans="1:17" s="119" customFormat="1" ht="13" outlineLevel="1" x14ac:dyDescent="0.3">
      <c r="A405" s="17"/>
      <c r="C405" s="23" t="e">
        <f>C370 + C227 - 10*LOG((Noise!$F$113/1000 + 2*Noise!$F$112/1000 + 2)/(Noise!$F$113/1000 + 2*Noise!$F$112/1000))+Noise!$E$254</f>
        <v>#DIV/0!</v>
      </c>
      <c r="D405" s="23" t="e">
        <f>D370 + D227 - 10*LOG((Noise!$F$113/1000 + 2*Noise!$F$112/1000 + 2)/(Noise!$F$113/1000 + 2*Noise!$F$112/1000))+Noise!$E$254</f>
        <v>#DIV/0!</v>
      </c>
      <c r="E405" s="23" t="e">
        <f>E370 + E227 - 10*LOG((Noise!$F$113/1000 + 2*Noise!$F$112/1000 + 2)/(Noise!$F$113/1000 + 2*Noise!$F$112/1000))+Noise!$E$254</f>
        <v>#DIV/0!</v>
      </c>
      <c r="F405" s="23" t="e">
        <f>F370 + F227 - 10*LOG((Noise!$F$113/1000 + 2*Noise!$F$112/1000 + 2)/(Noise!$F$113/1000 + 2*Noise!$F$112/1000))+Noise!$E$254</f>
        <v>#DIV/0!</v>
      </c>
      <c r="G405" s="23" t="e">
        <f>G370 + G227 - 10*LOG((Noise!$F$113/1000 + 2*Noise!$F$112/1000 + 2)/(Noise!$F$113/1000 + 2*Noise!$F$112/1000))+Noise!$E$254</f>
        <v>#DIV/0!</v>
      </c>
      <c r="H405" s="177">
        <v>1250</v>
      </c>
      <c r="L405" s="97"/>
      <c r="M405" s="82"/>
      <c r="N405" s="82"/>
      <c r="P405" s="31"/>
      <c r="Q405" s="31"/>
    </row>
    <row r="406" spans="1:17" s="119" customFormat="1" ht="13" outlineLevel="1" x14ac:dyDescent="0.3">
      <c r="A406" s="17"/>
      <c r="C406" s="23" t="e">
        <f>C371 + C228 - 10*LOG((Noise!$F$113/1000 + 2*Noise!$F$112/1000 + 2)/(Noise!$F$113/1000 + 2*Noise!$F$112/1000))+Noise!$E$254</f>
        <v>#DIV/0!</v>
      </c>
      <c r="D406" s="23" t="e">
        <f>D371 + D228 - 10*LOG((Noise!$F$113/1000 + 2*Noise!$F$112/1000 + 2)/(Noise!$F$113/1000 + 2*Noise!$F$112/1000))+Noise!$E$254</f>
        <v>#DIV/0!</v>
      </c>
      <c r="E406" s="23" t="e">
        <f>E371 + E228 - 10*LOG((Noise!$F$113/1000 + 2*Noise!$F$112/1000 + 2)/(Noise!$F$113/1000 + 2*Noise!$F$112/1000))+Noise!$E$254</f>
        <v>#DIV/0!</v>
      </c>
      <c r="F406" s="23" t="e">
        <f>F371 + F228 - 10*LOG((Noise!$F$113/1000 + 2*Noise!$F$112/1000 + 2)/(Noise!$F$113/1000 + 2*Noise!$F$112/1000))+Noise!$E$254</f>
        <v>#DIV/0!</v>
      </c>
      <c r="G406" s="23" t="e">
        <f>G371 + G228 - 10*LOG((Noise!$F$113/1000 + 2*Noise!$F$112/1000 + 2)/(Noise!$F$113/1000 + 2*Noise!$F$112/1000))+Noise!$E$254</f>
        <v>#DIV/0!</v>
      </c>
      <c r="H406" s="177">
        <v>1600</v>
      </c>
      <c r="L406" s="97"/>
      <c r="M406" s="82"/>
      <c r="N406" s="82"/>
      <c r="P406" s="31"/>
      <c r="Q406" s="31"/>
    </row>
    <row r="407" spans="1:17" s="119" customFormat="1" ht="13" outlineLevel="1" x14ac:dyDescent="0.3">
      <c r="A407" s="17"/>
      <c r="C407" s="23" t="e">
        <f>C372 + C229 - 10*LOG((Noise!$F$113/1000 + 2*Noise!$F$112/1000 + 2)/(Noise!$F$113/1000 + 2*Noise!$F$112/1000))+Noise!$E$254</f>
        <v>#DIV/0!</v>
      </c>
      <c r="D407" s="23" t="e">
        <f>D372 + D229 - 10*LOG((Noise!$F$113/1000 + 2*Noise!$F$112/1000 + 2)/(Noise!$F$113/1000 + 2*Noise!$F$112/1000))+Noise!$E$254</f>
        <v>#DIV/0!</v>
      </c>
      <c r="E407" s="23" t="e">
        <f>E372 + E229 - 10*LOG((Noise!$F$113/1000 + 2*Noise!$F$112/1000 + 2)/(Noise!$F$113/1000 + 2*Noise!$F$112/1000))+Noise!$E$254</f>
        <v>#DIV/0!</v>
      </c>
      <c r="F407" s="23" t="e">
        <f>F372 + F229 - 10*LOG((Noise!$F$113/1000 + 2*Noise!$F$112/1000 + 2)/(Noise!$F$113/1000 + 2*Noise!$F$112/1000))+Noise!$E$254</f>
        <v>#DIV/0!</v>
      </c>
      <c r="G407" s="23" t="e">
        <f>G372 + G229 - 10*LOG((Noise!$F$113/1000 + 2*Noise!$F$112/1000 + 2)/(Noise!$F$113/1000 + 2*Noise!$F$112/1000))+Noise!$E$254</f>
        <v>#DIV/0!</v>
      </c>
      <c r="H407" s="177">
        <v>2000</v>
      </c>
      <c r="L407" s="97"/>
      <c r="M407" s="82"/>
      <c r="N407" s="82"/>
      <c r="P407" s="31"/>
      <c r="Q407" s="31"/>
    </row>
    <row r="408" spans="1:17" s="119" customFormat="1" ht="13" outlineLevel="1" x14ac:dyDescent="0.3">
      <c r="A408" s="17"/>
      <c r="C408" s="23" t="e">
        <f>C373 + C230 - 10*LOG((Noise!$F$113/1000 + 2*Noise!$F$112/1000 + 2)/(Noise!$F$113/1000 + 2*Noise!$F$112/1000))+Noise!$E$254</f>
        <v>#DIV/0!</v>
      </c>
      <c r="D408" s="23" t="e">
        <f>D373 + D230 - 10*LOG((Noise!$F$113/1000 + 2*Noise!$F$112/1000 + 2)/(Noise!$F$113/1000 + 2*Noise!$F$112/1000))+Noise!$E$254</f>
        <v>#DIV/0!</v>
      </c>
      <c r="E408" s="23" t="e">
        <f>E373 + E230 - 10*LOG((Noise!$F$113/1000 + 2*Noise!$F$112/1000 + 2)/(Noise!$F$113/1000 + 2*Noise!$F$112/1000))+Noise!$E$254</f>
        <v>#DIV/0!</v>
      </c>
      <c r="F408" s="23" t="e">
        <f>F373 + F230 - 10*LOG((Noise!$F$113/1000 + 2*Noise!$F$112/1000 + 2)/(Noise!$F$113/1000 + 2*Noise!$F$112/1000))+Noise!$E$254</f>
        <v>#DIV/0!</v>
      </c>
      <c r="G408" s="23" t="e">
        <f>G373 + G230 - 10*LOG((Noise!$F$113/1000 + 2*Noise!$F$112/1000 + 2)/(Noise!$F$113/1000 + 2*Noise!$F$112/1000))+Noise!$E$254</f>
        <v>#DIV/0!</v>
      </c>
      <c r="H408" s="177">
        <v>2500</v>
      </c>
      <c r="L408" s="97"/>
      <c r="M408" s="82"/>
      <c r="N408" s="82"/>
      <c r="P408" s="31"/>
      <c r="Q408" s="31"/>
    </row>
    <row r="409" spans="1:17" s="119" customFormat="1" ht="13" outlineLevel="1" x14ac:dyDescent="0.3">
      <c r="A409" s="17"/>
      <c r="C409" s="23" t="e">
        <f>C374 + C231 - 10*LOG((Noise!$F$113/1000 + 2*Noise!$F$112/1000 + 2)/(Noise!$F$113/1000 + 2*Noise!$F$112/1000))+Noise!$E$254</f>
        <v>#DIV/0!</v>
      </c>
      <c r="D409" s="23" t="e">
        <f>D374 + D231 - 10*LOG((Noise!$F$113/1000 + 2*Noise!$F$112/1000 + 2)/(Noise!$F$113/1000 + 2*Noise!$F$112/1000))+Noise!$E$254</f>
        <v>#DIV/0!</v>
      </c>
      <c r="E409" s="23" t="e">
        <f>E374 + E231 - 10*LOG((Noise!$F$113/1000 + 2*Noise!$F$112/1000 + 2)/(Noise!$F$113/1000 + 2*Noise!$F$112/1000))+Noise!$E$254</f>
        <v>#DIV/0!</v>
      </c>
      <c r="F409" s="23" t="e">
        <f>F374 + F231 - 10*LOG((Noise!$F$113/1000 + 2*Noise!$F$112/1000 + 2)/(Noise!$F$113/1000 + 2*Noise!$F$112/1000))+Noise!$E$254</f>
        <v>#DIV/0!</v>
      </c>
      <c r="G409" s="23" t="e">
        <f>G374 + G231 - 10*LOG((Noise!$F$113/1000 + 2*Noise!$F$112/1000 + 2)/(Noise!$F$113/1000 + 2*Noise!$F$112/1000))+Noise!$E$254</f>
        <v>#DIV/0!</v>
      </c>
      <c r="H409" s="177">
        <v>3150</v>
      </c>
      <c r="L409" s="97"/>
      <c r="M409" s="82"/>
      <c r="N409" s="82"/>
      <c r="P409" s="31"/>
      <c r="Q409" s="31"/>
    </row>
    <row r="410" spans="1:17" s="119" customFormat="1" ht="13" outlineLevel="1" x14ac:dyDescent="0.3">
      <c r="A410" s="17"/>
      <c r="C410" s="23" t="e">
        <f>C375 + C232 - 10*LOG((Noise!$F$113/1000 + 2*Noise!$F$112/1000 + 2)/(Noise!$F$113/1000 + 2*Noise!$F$112/1000))+Noise!$E$254</f>
        <v>#DIV/0!</v>
      </c>
      <c r="D410" s="23" t="e">
        <f>D375 + D232 - 10*LOG((Noise!$F$113/1000 + 2*Noise!$F$112/1000 + 2)/(Noise!$F$113/1000 + 2*Noise!$F$112/1000))+Noise!$E$254</f>
        <v>#DIV/0!</v>
      </c>
      <c r="E410" s="23" t="e">
        <f>E375 + E232 - 10*LOG((Noise!$F$113/1000 + 2*Noise!$F$112/1000 + 2)/(Noise!$F$113/1000 + 2*Noise!$F$112/1000))+Noise!$E$254</f>
        <v>#DIV/0!</v>
      </c>
      <c r="F410" s="23" t="e">
        <f>F375 + F232 - 10*LOG((Noise!$F$113/1000 + 2*Noise!$F$112/1000 + 2)/(Noise!$F$113/1000 + 2*Noise!$F$112/1000))+Noise!$E$254</f>
        <v>#DIV/0!</v>
      </c>
      <c r="G410" s="23" t="e">
        <f>G375 + G232 - 10*LOG((Noise!$F$113/1000 + 2*Noise!$F$112/1000 + 2)/(Noise!$F$113/1000 + 2*Noise!$F$112/1000))+Noise!$E$254</f>
        <v>#DIV/0!</v>
      </c>
      <c r="H410" s="177">
        <v>4000</v>
      </c>
      <c r="L410" s="97"/>
      <c r="M410" s="82"/>
      <c r="N410" s="82"/>
      <c r="P410" s="31"/>
      <c r="Q410" s="31"/>
    </row>
    <row r="411" spans="1:17" s="119" customFormat="1" ht="13" outlineLevel="1" x14ac:dyDescent="0.3">
      <c r="A411" s="17"/>
      <c r="C411" s="23" t="e">
        <f>C376 + C233 - 10*LOG((Noise!$F$113/1000 + 2*Noise!$F$112/1000 + 2)/(Noise!$F$113/1000 + 2*Noise!$F$112/1000))+Noise!$E$254</f>
        <v>#DIV/0!</v>
      </c>
      <c r="D411" s="23" t="e">
        <f>D376 + D233 - 10*LOG((Noise!$F$113/1000 + 2*Noise!$F$112/1000 + 2)/(Noise!$F$113/1000 + 2*Noise!$F$112/1000))+Noise!$E$254</f>
        <v>#DIV/0!</v>
      </c>
      <c r="E411" s="23" t="e">
        <f>E376 + E233 - 10*LOG((Noise!$F$113/1000 + 2*Noise!$F$112/1000 + 2)/(Noise!$F$113/1000 + 2*Noise!$F$112/1000))+Noise!$E$254</f>
        <v>#DIV/0!</v>
      </c>
      <c r="F411" s="23" t="e">
        <f>F376 + F233 - 10*LOG((Noise!$F$113/1000 + 2*Noise!$F$112/1000 + 2)/(Noise!$F$113/1000 + 2*Noise!$F$112/1000))+Noise!$E$254</f>
        <v>#DIV/0!</v>
      </c>
      <c r="G411" s="23" t="e">
        <f>G376 + G233 - 10*LOG((Noise!$F$113/1000 + 2*Noise!$F$112/1000 + 2)/(Noise!$F$113/1000 + 2*Noise!$F$112/1000))+Noise!$E$254</f>
        <v>#DIV/0!</v>
      </c>
      <c r="H411" s="177">
        <v>5000</v>
      </c>
      <c r="L411" s="97"/>
      <c r="M411" s="82"/>
      <c r="N411" s="82"/>
      <c r="P411" s="31"/>
      <c r="Q411" s="31"/>
    </row>
    <row r="412" spans="1:17" s="119" customFormat="1" ht="13" outlineLevel="1" x14ac:dyDescent="0.3">
      <c r="A412" s="17"/>
      <c r="C412" s="23" t="e">
        <f>C377 + C234 - 10*LOG((Noise!$F$113/1000 + 2*Noise!$F$112/1000 + 2)/(Noise!$F$113/1000 + 2*Noise!$F$112/1000))+Noise!$E$254</f>
        <v>#DIV/0!</v>
      </c>
      <c r="D412" s="23" t="e">
        <f>D377 + D234 - 10*LOG((Noise!$F$113/1000 + 2*Noise!$F$112/1000 + 2)/(Noise!$F$113/1000 + 2*Noise!$F$112/1000))+Noise!$E$254</f>
        <v>#DIV/0!</v>
      </c>
      <c r="E412" s="23" t="e">
        <f>E377 + E234 - 10*LOG((Noise!$F$113/1000 + 2*Noise!$F$112/1000 + 2)/(Noise!$F$113/1000 + 2*Noise!$F$112/1000))+Noise!$E$254</f>
        <v>#DIV/0!</v>
      </c>
      <c r="F412" s="23" t="e">
        <f>F377 + F234 - 10*LOG((Noise!$F$113/1000 + 2*Noise!$F$112/1000 + 2)/(Noise!$F$113/1000 + 2*Noise!$F$112/1000))+Noise!$E$254</f>
        <v>#DIV/0!</v>
      </c>
      <c r="G412" s="23" t="e">
        <f>G377 + G234 - 10*LOG((Noise!$F$113/1000 + 2*Noise!$F$112/1000 + 2)/(Noise!$F$113/1000 + 2*Noise!$F$112/1000))+Noise!$E$254</f>
        <v>#DIV/0!</v>
      </c>
      <c r="H412" s="177">
        <v>6300</v>
      </c>
      <c r="L412" s="97"/>
      <c r="M412" s="82"/>
      <c r="N412" s="82"/>
      <c r="P412" s="31"/>
      <c r="Q412" s="31"/>
    </row>
    <row r="413" spans="1:17" s="119" customFormat="1" ht="13" outlineLevel="1" x14ac:dyDescent="0.3">
      <c r="A413" s="17"/>
      <c r="C413" s="23" t="e">
        <f>C378 + C235 - 10*LOG((Noise!$F$113/1000 + 2*Noise!$F$112/1000 + 2)/(Noise!$F$113/1000 + 2*Noise!$F$112/1000))+Noise!$E$254</f>
        <v>#DIV/0!</v>
      </c>
      <c r="D413" s="23" t="e">
        <f>D378 + D235 - 10*LOG((Noise!$F$113/1000 + 2*Noise!$F$112/1000 + 2)/(Noise!$F$113/1000 + 2*Noise!$F$112/1000))+Noise!$E$254</f>
        <v>#DIV/0!</v>
      </c>
      <c r="E413" s="23" t="e">
        <f>E378 + E235 - 10*LOG((Noise!$F$113/1000 + 2*Noise!$F$112/1000 + 2)/(Noise!$F$113/1000 + 2*Noise!$F$112/1000))+Noise!$E$254</f>
        <v>#DIV/0!</v>
      </c>
      <c r="F413" s="23" t="e">
        <f>F378 + F235 - 10*LOG((Noise!$F$113/1000 + 2*Noise!$F$112/1000 + 2)/(Noise!$F$113/1000 + 2*Noise!$F$112/1000))+Noise!$E$254</f>
        <v>#DIV/0!</v>
      </c>
      <c r="G413" s="23" t="e">
        <f>G378 + G235 - 10*LOG((Noise!$F$113/1000 + 2*Noise!$F$112/1000 + 2)/(Noise!$F$113/1000 + 2*Noise!$F$112/1000))+Noise!$E$254</f>
        <v>#DIV/0!</v>
      </c>
      <c r="H413" s="177">
        <v>8000</v>
      </c>
      <c r="L413" s="97"/>
      <c r="M413" s="82"/>
      <c r="N413" s="82"/>
      <c r="P413" s="31"/>
      <c r="Q413" s="31"/>
    </row>
    <row r="414" spans="1:17" s="119" customFormat="1" ht="13" outlineLevel="1" x14ac:dyDescent="0.3">
      <c r="A414" s="17"/>
      <c r="C414" s="23" t="e">
        <f>C379 + C236 - 10*LOG((Noise!$F$113/1000 + 2*Noise!$F$112/1000 + 2)/(Noise!$F$113/1000 + 2*Noise!$F$112/1000))+Noise!$E$254</f>
        <v>#DIV/0!</v>
      </c>
      <c r="D414" s="23" t="e">
        <f>D379 + D236 - 10*LOG((Noise!$F$113/1000 + 2*Noise!$F$112/1000 + 2)/(Noise!$F$113/1000 + 2*Noise!$F$112/1000))+Noise!$E$254</f>
        <v>#DIV/0!</v>
      </c>
      <c r="E414" s="23" t="e">
        <f>E379 + E236 - 10*LOG((Noise!$F$113/1000 + 2*Noise!$F$112/1000 + 2)/(Noise!$F$113/1000 + 2*Noise!$F$112/1000))+Noise!$E$254</f>
        <v>#DIV/0!</v>
      </c>
      <c r="F414" s="23" t="e">
        <f>F379 + F236 - 10*LOG((Noise!$F$113/1000 + 2*Noise!$F$112/1000 + 2)/(Noise!$F$113/1000 + 2*Noise!$F$112/1000))+Noise!$E$254</f>
        <v>#DIV/0!</v>
      </c>
      <c r="G414" s="23" t="e">
        <f>G379 + G236 - 10*LOG((Noise!$F$113/1000 + 2*Noise!$F$112/1000 + 2)/(Noise!$F$113/1000 + 2*Noise!$F$112/1000))+Noise!$E$254</f>
        <v>#DIV/0!</v>
      </c>
      <c r="H414" s="177">
        <v>10000</v>
      </c>
      <c r="L414" s="97"/>
      <c r="M414" s="82"/>
      <c r="N414" s="82"/>
      <c r="P414" s="31"/>
      <c r="Q414" s="31"/>
    </row>
    <row r="415" spans="1:17" s="119" customFormat="1" ht="13" outlineLevel="1" x14ac:dyDescent="0.3">
      <c r="A415" s="17"/>
      <c r="C415" s="23" t="e">
        <f>C380 + C237 - 10*LOG((Noise!$F$113/1000 + 2*Noise!$F$112/1000 + 2)/(Noise!$F$113/1000 + 2*Noise!$F$112/1000))+Noise!$E$254</f>
        <v>#DIV/0!</v>
      </c>
      <c r="D415" s="23" t="e">
        <f>D380 + D237 - 10*LOG((Noise!$F$113/1000 + 2*Noise!$F$112/1000 + 2)/(Noise!$F$113/1000 + 2*Noise!$F$112/1000))+Noise!$E$254</f>
        <v>#DIV/0!</v>
      </c>
      <c r="E415" s="23" t="e">
        <f>E380 + E237 - 10*LOG((Noise!$F$113/1000 + 2*Noise!$F$112/1000 + 2)/(Noise!$F$113/1000 + 2*Noise!$F$112/1000))+Noise!$E$254</f>
        <v>#DIV/0!</v>
      </c>
      <c r="F415" s="23" t="e">
        <f>F380 + F237 - 10*LOG((Noise!$F$113/1000 + 2*Noise!$F$112/1000 + 2)/(Noise!$F$113/1000 + 2*Noise!$F$112/1000))+Noise!$E$254</f>
        <v>#DIV/0!</v>
      </c>
      <c r="G415" s="23" t="e">
        <f>G380 + G237 - 10*LOG((Noise!$F$113/1000 + 2*Noise!$F$112/1000 + 2)/(Noise!$F$113/1000 + 2*Noise!$F$112/1000))+Noise!$E$254</f>
        <v>#DIV/0!</v>
      </c>
      <c r="H415" s="177">
        <v>12500</v>
      </c>
      <c r="L415" s="97"/>
      <c r="M415" s="82"/>
      <c r="N415" s="82"/>
      <c r="P415" s="31"/>
      <c r="Q415" s="31"/>
    </row>
    <row r="416" spans="1:17" s="119" customFormat="1" ht="13" outlineLevel="1" x14ac:dyDescent="0.3">
      <c r="A416" s="17"/>
      <c r="C416" s="23" t="e">
        <f>C381 + C238 - 10*LOG((Noise!$F$113/1000 + 2*Noise!$F$112/1000 + 2)/(Noise!$F$113/1000 + 2*Noise!$F$112/1000))+Noise!$E$254</f>
        <v>#DIV/0!</v>
      </c>
      <c r="D416" s="23" t="e">
        <f>D381 + D238 - 10*LOG((Noise!$F$113/1000 + 2*Noise!$F$112/1000 + 2)/(Noise!$F$113/1000 + 2*Noise!$F$112/1000))+Noise!$E$254</f>
        <v>#DIV/0!</v>
      </c>
      <c r="E416" s="23" t="e">
        <f>E381 + E238 - 10*LOG((Noise!$F$113/1000 + 2*Noise!$F$112/1000 + 2)/(Noise!$F$113/1000 + 2*Noise!$F$112/1000))+Noise!$E$254</f>
        <v>#DIV/0!</v>
      </c>
      <c r="F416" s="23" t="e">
        <f>F381 + F238 - 10*LOG((Noise!$F$113/1000 + 2*Noise!$F$112/1000 + 2)/(Noise!$F$113/1000 + 2*Noise!$F$112/1000))+Noise!$E$254</f>
        <v>#DIV/0!</v>
      </c>
      <c r="G416" s="23" t="e">
        <f>G381 + G238 - 10*LOG((Noise!$F$113/1000 + 2*Noise!$F$112/1000 + 2)/(Noise!$F$113/1000 + 2*Noise!$F$112/1000))+Noise!$E$254</f>
        <v>#DIV/0!</v>
      </c>
      <c r="H416" s="177">
        <v>16000</v>
      </c>
      <c r="L416" s="97"/>
      <c r="M416" s="82"/>
      <c r="N416" s="82"/>
      <c r="P416" s="31"/>
      <c r="Q416" s="31"/>
    </row>
    <row r="417" spans="1:17" s="119" customFormat="1" ht="13" outlineLevel="1" x14ac:dyDescent="0.3">
      <c r="A417" s="17"/>
      <c r="C417" s="23" t="e">
        <f>C382 + C239 - 10*LOG((Noise!$F$113/1000 + 2*Noise!$F$112/1000 + 2)/(Noise!$F$113/1000 + 2*Noise!$F$112/1000))+Noise!$E$254</f>
        <v>#DIV/0!</v>
      </c>
      <c r="D417" s="23" t="e">
        <f>D382 + D239 - 10*LOG((Noise!$F$113/1000 + 2*Noise!$F$112/1000 + 2)/(Noise!$F$113/1000 + 2*Noise!$F$112/1000))+Noise!$E$254</f>
        <v>#DIV/0!</v>
      </c>
      <c r="E417" s="23" t="e">
        <f>E382 + E239 - 10*LOG((Noise!$F$113/1000 + 2*Noise!$F$112/1000 + 2)/(Noise!$F$113/1000 + 2*Noise!$F$112/1000))+Noise!$E$254</f>
        <v>#DIV/0!</v>
      </c>
      <c r="F417" s="23" t="e">
        <f>F382 + F239 - 10*LOG((Noise!$F$113/1000 + 2*Noise!$F$112/1000 + 2)/(Noise!$F$113/1000 + 2*Noise!$F$112/1000))+Noise!$E$254</f>
        <v>#DIV/0!</v>
      </c>
      <c r="G417" s="23" t="e">
        <f>G382 + G239 - 10*LOG((Noise!$F$113/1000 + 2*Noise!$F$112/1000 + 2)/(Noise!$F$113/1000 + 2*Noise!$F$112/1000))+Noise!$E$254</f>
        <v>#DIV/0!</v>
      </c>
      <c r="H417" s="177">
        <v>20000</v>
      </c>
      <c r="L417" s="97"/>
      <c r="M417" s="82"/>
      <c r="N417" s="82"/>
      <c r="P417" s="31"/>
      <c r="Q417" s="31"/>
    </row>
    <row r="418" spans="1:17" s="119" customFormat="1" ht="13" outlineLevel="1" x14ac:dyDescent="0.3">
      <c r="A418" s="17"/>
      <c r="C418" s="23"/>
      <c r="D418" s="23"/>
      <c r="E418" s="23"/>
      <c r="F418" s="23"/>
      <c r="G418" s="23"/>
      <c r="H418" s="177"/>
      <c r="L418" s="97"/>
      <c r="M418" s="82"/>
      <c r="N418" s="82"/>
      <c r="P418" s="31"/>
      <c r="Q418" s="31"/>
    </row>
    <row r="419" spans="1:17" s="119" customFormat="1" ht="13" outlineLevel="1" x14ac:dyDescent="0.3">
      <c r="A419" s="17"/>
      <c r="C419" s="492" t="s">
        <v>870</v>
      </c>
      <c r="D419" s="492"/>
      <c r="E419" s="492"/>
      <c r="F419" s="492"/>
      <c r="G419" s="492"/>
      <c r="H419" s="177"/>
      <c r="L419" s="97"/>
      <c r="M419" s="82"/>
      <c r="N419" s="82"/>
      <c r="P419" s="31"/>
      <c r="Q419" s="31"/>
    </row>
    <row r="420" spans="1:17" s="119" customFormat="1" outlineLevel="1" x14ac:dyDescent="0.25">
      <c r="C420" s="24" t="e">
        <f t="shared" ref="C420:G429" si="12">10^((C385+$I277)/10)</f>
        <v>#DIV/0!</v>
      </c>
      <c r="D420" s="24" t="e">
        <f t="shared" si="12"/>
        <v>#DIV/0!</v>
      </c>
      <c r="E420" s="24" t="e">
        <f t="shared" si="12"/>
        <v>#DIV/0!</v>
      </c>
      <c r="F420" s="24" t="e">
        <f t="shared" si="12"/>
        <v>#DIV/0!</v>
      </c>
      <c r="G420" s="24" t="e">
        <f t="shared" si="12"/>
        <v>#DIV/0!</v>
      </c>
      <c r="L420" s="97"/>
      <c r="M420" s="82"/>
      <c r="N420" s="82"/>
      <c r="P420" s="31"/>
      <c r="Q420" s="31"/>
    </row>
    <row r="421" spans="1:17" s="119" customFormat="1" outlineLevel="1" x14ac:dyDescent="0.25">
      <c r="C421" s="24" t="e">
        <f t="shared" si="12"/>
        <v>#DIV/0!</v>
      </c>
      <c r="D421" s="24" t="e">
        <f t="shared" si="12"/>
        <v>#DIV/0!</v>
      </c>
      <c r="E421" s="24" t="e">
        <f t="shared" si="12"/>
        <v>#DIV/0!</v>
      </c>
      <c r="F421" s="24" t="e">
        <f t="shared" si="12"/>
        <v>#DIV/0!</v>
      </c>
      <c r="G421" s="24" t="e">
        <f t="shared" si="12"/>
        <v>#DIV/0!</v>
      </c>
      <c r="L421" s="97"/>
      <c r="M421" s="82"/>
      <c r="N421" s="82"/>
      <c r="P421" s="31"/>
      <c r="Q421" s="31"/>
    </row>
    <row r="422" spans="1:17" s="119" customFormat="1" outlineLevel="1" x14ac:dyDescent="0.25">
      <c r="C422" s="24" t="e">
        <f t="shared" si="12"/>
        <v>#DIV/0!</v>
      </c>
      <c r="D422" s="24" t="e">
        <f t="shared" si="12"/>
        <v>#DIV/0!</v>
      </c>
      <c r="E422" s="24" t="e">
        <f t="shared" si="12"/>
        <v>#DIV/0!</v>
      </c>
      <c r="F422" s="24" t="e">
        <f t="shared" si="12"/>
        <v>#DIV/0!</v>
      </c>
      <c r="G422" s="24" t="e">
        <f t="shared" si="12"/>
        <v>#DIV/0!</v>
      </c>
      <c r="L422" s="97"/>
      <c r="M422" s="82"/>
      <c r="N422" s="82"/>
      <c r="P422" s="31"/>
      <c r="Q422" s="31"/>
    </row>
    <row r="423" spans="1:17" s="119" customFormat="1" outlineLevel="1" x14ac:dyDescent="0.25">
      <c r="C423" s="24" t="e">
        <f t="shared" si="12"/>
        <v>#DIV/0!</v>
      </c>
      <c r="D423" s="24" t="e">
        <f t="shared" si="12"/>
        <v>#DIV/0!</v>
      </c>
      <c r="E423" s="24" t="e">
        <f t="shared" si="12"/>
        <v>#DIV/0!</v>
      </c>
      <c r="F423" s="24" t="e">
        <f t="shared" si="12"/>
        <v>#DIV/0!</v>
      </c>
      <c r="G423" s="24" t="e">
        <f t="shared" si="12"/>
        <v>#DIV/0!</v>
      </c>
      <c r="L423" s="97"/>
      <c r="M423" s="82"/>
      <c r="N423" s="82"/>
      <c r="P423" s="31"/>
      <c r="Q423" s="31"/>
    </row>
    <row r="424" spans="1:17" s="119" customFormat="1" outlineLevel="1" x14ac:dyDescent="0.25">
      <c r="C424" s="24" t="e">
        <f t="shared" si="12"/>
        <v>#DIV/0!</v>
      </c>
      <c r="D424" s="24" t="e">
        <f t="shared" si="12"/>
        <v>#DIV/0!</v>
      </c>
      <c r="E424" s="24" t="e">
        <f t="shared" si="12"/>
        <v>#DIV/0!</v>
      </c>
      <c r="F424" s="24" t="e">
        <f t="shared" si="12"/>
        <v>#DIV/0!</v>
      </c>
      <c r="G424" s="24" t="e">
        <f t="shared" si="12"/>
        <v>#DIV/0!</v>
      </c>
      <c r="L424" s="97"/>
      <c r="M424" s="82"/>
      <c r="N424" s="82"/>
      <c r="P424" s="31"/>
      <c r="Q424" s="31"/>
    </row>
    <row r="425" spans="1:17" s="119" customFormat="1" outlineLevel="1" x14ac:dyDescent="0.25">
      <c r="C425" s="24" t="e">
        <f t="shared" si="12"/>
        <v>#DIV/0!</v>
      </c>
      <c r="D425" s="24" t="e">
        <f t="shared" si="12"/>
        <v>#DIV/0!</v>
      </c>
      <c r="E425" s="24" t="e">
        <f t="shared" si="12"/>
        <v>#DIV/0!</v>
      </c>
      <c r="F425" s="24" t="e">
        <f t="shared" si="12"/>
        <v>#DIV/0!</v>
      </c>
      <c r="G425" s="24" t="e">
        <f t="shared" si="12"/>
        <v>#DIV/0!</v>
      </c>
      <c r="L425" s="97"/>
      <c r="M425" s="82"/>
      <c r="N425" s="82"/>
      <c r="P425" s="31"/>
      <c r="Q425" s="31"/>
    </row>
    <row r="426" spans="1:17" s="119" customFormat="1" outlineLevel="1" x14ac:dyDescent="0.25">
      <c r="C426" s="24" t="e">
        <f t="shared" si="12"/>
        <v>#DIV/0!</v>
      </c>
      <c r="D426" s="24" t="e">
        <f t="shared" si="12"/>
        <v>#DIV/0!</v>
      </c>
      <c r="E426" s="24" t="e">
        <f t="shared" si="12"/>
        <v>#DIV/0!</v>
      </c>
      <c r="F426" s="24" t="e">
        <f t="shared" si="12"/>
        <v>#DIV/0!</v>
      </c>
      <c r="G426" s="24" t="e">
        <f t="shared" si="12"/>
        <v>#DIV/0!</v>
      </c>
      <c r="L426" s="97"/>
      <c r="M426" s="82"/>
      <c r="N426" s="82"/>
      <c r="P426" s="31"/>
      <c r="Q426" s="31"/>
    </row>
    <row r="427" spans="1:17" s="119" customFormat="1" outlineLevel="1" x14ac:dyDescent="0.25">
      <c r="C427" s="24" t="e">
        <f t="shared" si="12"/>
        <v>#DIV/0!</v>
      </c>
      <c r="D427" s="24" t="e">
        <f t="shared" si="12"/>
        <v>#DIV/0!</v>
      </c>
      <c r="E427" s="24" t="e">
        <f t="shared" si="12"/>
        <v>#DIV/0!</v>
      </c>
      <c r="F427" s="24" t="e">
        <f t="shared" si="12"/>
        <v>#DIV/0!</v>
      </c>
      <c r="G427" s="24" t="e">
        <f t="shared" si="12"/>
        <v>#DIV/0!</v>
      </c>
      <c r="L427" s="97"/>
      <c r="M427" s="82"/>
      <c r="N427" s="82"/>
      <c r="P427" s="31"/>
      <c r="Q427" s="31"/>
    </row>
    <row r="428" spans="1:17" s="119" customFormat="1" outlineLevel="1" x14ac:dyDescent="0.25">
      <c r="C428" s="24" t="e">
        <f t="shared" si="12"/>
        <v>#DIV/0!</v>
      </c>
      <c r="D428" s="24" t="e">
        <f t="shared" si="12"/>
        <v>#DIV/0!</v>
      </c>
      <c r="E428" s="24" t="e">
        <f t="shared" si="12"/>
        <v>#DIV/0!</v>
      </c>
      <c r="F428" s="24" t="e">
        <f t="shared" si="12"/>
        <v>#DIV/0!</v>
      </c>
      <c r="G428" s="24" t="e">
        <f t="shared" si="12"/>
        <v>#DIV/0!</v>
      </c>
      <c r="L428" s="97"/>
      <c r="M428" s="82"/>
      <c r="N428" s="82"/>
      <c r="P428" s="31"/>
      <c r="Q428" s="31"/>
    </row>
    <row r="429" spans="1:17" s="119" customFormat="1" outlineLevel="1" x14ac:dyDescent="0.25">
      <c r="C429" s="24" t="e">
        <f t="shared" si="12"/>
        <v>#DIV/0!</v>
      </c>
      <c r="D429" s="24" t="e">
        <f t="shared" si="12"/>
        <v>#DIV/0!</v>
      </c>
      <c r="E429" s="24" t="e">
        <f t="shared" si="12"/>
        <v>#DIV/0!</v>
      </c>
      <c r="F429" s="24" t="e">
        <f t="shared" si="12"/>
        <v>#DIV/0!</v>
      </c>
      <c r="G429" s="24" t="e">
        <f t="shared" si="12"/>
        <v>#DIV/0!</v>
      </c>
      <c r="L429" s="97"/>
      <c r="M429" s="82"/>
      <c r="N429" s="82"/>
      <c r="P429" s="31"/>
      <c r="Q429" s="31"/>
    </row>
    <row r="430" spans="1:17" s="119" customFormat="1" outlineLevel="1" x14ac:dyDescent="0.25">
      <c r="C430" s="24" t="e">
        <f t="shared" ref="C430:G439" si="13">10^((C395+$I287)/10)</f>
        <v>#DIV/0!</v>
      </c>
      <c r="D430" s="24" t="e">
        <f t="shared" si="13"/>
        <v>#DIV/0!</v>
      </c>
      <c r="E430" s="24" t="e">
        <f t="shared" si="13"/>
        <v>#DIV/0!</v>
      </c>
      <c r="F430" s="24" t="e">
        <f t="shared" si="13"/>
        <v>#DIV/0!</v>
      </c>
      <c r="G430" s="24" t="e">
        <f t="shared" si="13"/>
        <v>#DIV/0!</v>
      </c>
      <c r="L430" s="97"/>
      <c r="M430" s="82"/>
      <c r="N430" s="82"/>
      <c r="P430" s="31"/>
      <c r="Q430" s="31"/>
    </row>
    <row r="431" spans="1:17" s="119" customFormat="1" outlineLevel="1" x14ac:dyDescent="0.25">
      <c r="C431" s="24" t="e">
        <f t="shared" si="13"/>
        <v>#DIV/0!</v>
      </c>
      <c r="D431" s="24" t="e">
        <f t="shared" si="13"/>
        <v>#DIV/0!</v>
      </c>
      <c r="E431" s="24" t="e">
        <f t="shared" si="13"/>
        <v>#DIV/0!</v>
      </c>
      <c r="F431" s="24" t="e">
        <f t="shared" si="13"/>
        <v>#DIV/0!</v>
      </c>
      <c r="G431" s="24" t="e">
        <f t="shared" si="13"/>
        <v>#DIV/0!</v>
      </c>
      <c r="L431" s="97"/>
      <c r="M431" s="82"/>
      <c r="N431" s="82"/>
      <c r="P431" s="31"/>
      <c r="Q431" s="31"/>
    </row>
    <row r="432" spans="1:17" s="119" customFormat="1" outlineLevel="1" x14ac:dyDescent="0.25">
      <c r="C432" s="24" t="e">
        <f t="shared" si="13"/>
        <v>#DIV/0!</v>
      </c>
      <c r="D432" s="24" t="e">
        <f t="shared" si="13"/>
        <v>#DIV/0!</v>
      </c>
      <c r="E432" s="24" t="e">
        <f t="shared" si="13"/>
        <v>#DIV/0!</v>
      </c>
      <c r="F432" s="24" t="e">
        <f t="shared" si="13"/>
        <v>#DIV/0!</v>
      </c>
      <c r="G432" s="24" t="e">
        <f t="shared" si="13"/>
        <v>#DIV/0!</v>
      </c>
      <c r="L432" s="97"/>
      <c r="M432" s="82"/>
      <c r="N432" s="82"/>
      <c r="P432" s="31"/>
      <c r="Q432" s="31"/>
    </row>
    <row r="433" spans="3:17" s="119" customFormat="1" outlineLevel="1" x14ac:dyDescent="0.25">
      <c r="C433" s="24" t="e">
        <f t="shared" si="13"/>
        <v>#DIV/0!</v>
      </c>
      <c r="D433" s="24" t="e">
        <f t="shared" si="13"/>
        <v>#DIV/0!</v>
      </c>
      <c r="E433" s="24" t="e">
        <f t="shared" si="13"/>
        <v>#DIV/0!</v>
      </c>
      <c r="F433" s="24" t="e">
        <f t="shared" si="13"/>
        <v>#DIV/0!</v>
      </c>
      <c r="G433" s="24" t="e">
        <f t="shared" si="13"/>
        <v>#DIV/0!</v>
      </c>
      <c r="L433" s="97"/>
      <c r="M433" s="82"/>
      <c r="N433" s="82"/>
      <c r="P433" s="31"/>
      <c r="Q433" s="31"/>
    </row>
    <row r="434" spans="3:17" s="119" customFormat="1" outlineLevel="1" x14ac:dyDescent="0.25">
      <c r="C434" s="24" t="e">
        <f t="shared" si="13"/>
        <v>#DIV/0!</v>
      </c>
      <c r="D434" s="24" t="e">
        <f t="shared" si="13"/>
        <v>#DIV/0!</v>
      </c>
      <c r="E434" s="24" t="e">
        <f t="shared" si="13"/>
        <v>#DIV/0!</v>
      </c>
      <c r="F434" s="24" t="e">
        <f t="shared" si="13"/>
        <v>#DIV/0!</v>
      </c>
      <c r="G434" s="24" t="e">
        <f t="shared" si="13"/>
        <v>#DIV/0!</v>
      </c>
      <c r="L434" s="97"/>
      <c r="M434" s="82"/>
      <c r="N434" s="82"/>
      <c r="P434" s="31"/>
      <c r="Q434" s="31"/>
    </row>
    <row r="435" spans="3:17" s="119" customFormat="1" outlineLevel="1" x14ac:dyDescent="0.25">
      <c r="C435" s="24" t="e">
        <f t="shared" si="13"/>
        <v>#DIV/0!</v>
      </c>
      <c r="D435" s="24" t="e">
        <f t="shared" si="13"/>
        <v>#DIV/0!</v>
      </c>
      <c r="E435" s="24" t="e">
        <f t="shared" si="13"/>
        <v>#DIV/0!</v>
      </c>
      <c r="F435" s="24" t="e">
        <f t="shared" si="13"/>
        <v>#DIV/0!</v>
      </c>
      <c r="G435" s="24" t="e">
        <f t="shared" si="13"/>
        <v>#DIV/0!</v>
      </c>
      <c r="L435" s="97"/>
      <c r="M435" s="82"/>
      <c r="N435" s="82"/>
      <c r="P435" s="31"/>
      <c r="Q435" s="31"/>
    </row>
    <row r="436" spans="3:17" s="119" customFormat="1" outlineLevel="1" x14ac:dyDescent="0.25">
      <c r="C436" s="24" t="e">
        <f t="shared" si="13"/>
        <v>#DIV/0!</v>
      </c>
      <c r="D436" s="24" t="e">
        <f t="shared" si="13"/>
        <v>#DIV/0!</v>
      </c>
      <c r="E436" s="24" t="e">
        <f t="shared" si="13"/>
        <v>#DIV/0!</v>
      </c>
      <c r="F436" s="24" t="e">
        <f t="shared" si="13"/>
        <v>#DIV/0!</v>
      </c>
      <c r="G436" s="24" t="e">
        <f t="shared" si="13"/>
        <v>#DIV/0!</v>
      </c>
      <c r="L436" s="97"/>
      <c r="M436" s="82"/>
      <c r="N436" s="82"/>
      <c r="P436" s="31"/>
      <c r="Q436" s="31"/>
    </row>
    <row r="437" spans="3:17" s="119" customFormat="1" outlineLevel="1" x14ac:dyDescent="0.25">
      <c r="C437" s="24" t="e">
        <f t="shared" si="13"/>
        <v>#DIV/0!</v>
      </c>
      <c r="D437" s="24" t="e">
        <f t="shared" si="13"/>
        <v>#DIV/0!</v>
      </c>
      <c r="E437" s="24" t="e">
        <f t="shared" si="13"/>
        <v>#DIV/0!</v>
      </c>
      <c r="F437" s="24" t="e">
        <f t="shared" si="13"/>
        <v>#DIV/0!</v>
      </c>
      <c r="G437" s="24" t="e">
        <f t="shared" si="13"/>
        <v>#DIV/0!</v>
      </c>
      <c r="L437" s="97"/>
      <c r="M437" s="82"/>
      <c r="N437" s="82"/>
      <c r="P437" s="31"/>
      <c r="Q437" s="31"/>
    </row>
    <row r="438" spans="3:17" s="119" customFormat="1" outlineLevel="1" x14ac:dyDescent="0.25">
      <c r="C438" s="24" t="e">
        <f t="shared" si="13"/>
        <v>#DIV/0!</v>
      </c>
      <c r="D438" s="24" t="e">
        <f t="shared" si="13"/>
        <v>#DIV/0!</v>
      </c>
      <c r="E438" s="24" t="e">
        <f t="shared" si="13"/>
        <v>#DIV/0!</v>
      </c>
      <c r="F438" s="24" t="e">
        <f t="shared" si="13"/>
        <v>#DIV/0!</v>
      </c>
      <c r="G438" s="24" t="e">
        <f t="shared" si="13"/>
        <v>#DIV/0!</v>
      </c>
      <c r="L438" s="97"/>
      <c r="M438" s="82"/>
      <c r="N438" s="82"/>
      <c r="P438" s="31"/>
      <c r="Q438" s="31"/>
    </row>
    <row r="439" spans="3:17" s="119" customFormat="1" outlineLevel="1" x14ac:dyDescent="0.25">
      <c r="C439" s="24" t="e">
        <f t="shared" si="13"/>
        <v>#DIV/0!</v>
      </c>
      <c r="D439" s="24" t="e">
        <f t="shared" si="13"/>
        <v>#DIV/0!</v>
      </c>
      <c r="E439" s="24" t="e">
        <f t="shared" si="13"/>
        <v>#DIV/0!</v>
      </c>
      <c r="F439" s="24" t="e">
        <f t="shared" si="13"/>
        <v>#DIV/0!</v>
      </c>
      <c r="G439" s="24" t="e">
        <f t="shared" si="13"/>
        <v>#DIV/0!</v>
      </c>
      <c r="L439" s="97"/>
      <c r="M439" s="82"/>
      <c r="N439" s="82"/>
      <c r="P439" s="31"/>
      <c r="Q439" s="31"/>
    </row>
    <row r="440" spans="3:17" s="119" customFormat="1" outlineLevel="1" x14ac:dyDescent="0.25">
      <c r="C440" s="24" t="e">
        <f t="shared" ref="C440:G449" si="14">10^((C405+$I297)/10)</f>
        <v>#DIV/0!</v>
      </c>
      <c r="D440" s="24" t="e">
        <f t="shared" si="14"/>
        <v>#DIV/0!</v>
      </c>
      <c r="E440" s="24" t="e">
        <f t="shared" si="14"/>
        <v>#DIV/0!</v>
      </c>
      <c r="F440" s="24" t="e">
        <f t="shared" si="14"/>
        <v>#DIV/0!</v>
      </c>
      <c r="G440" s="24" t="e">
        <f t="shared" si="14"/>
        <v>#DIV/0!</v>
      </c>
      <c r="L440" s="97"/>
      <c r="M440" s="82"/>
      <c r="N440" s="82"/>
      <c r="P440" s="31"/>
      <c r="Q440" s="31"/>
    </row>
    <row r="441" spans="3:17" s="119" customFormat="1" outlineLevel="1" x14ac:dyDescent="0.25">
      <c r="C441" s="24" t="e">
        <f t="shared" si="14"/>
        <v>#DIV/0!</v>
      </c>
      <c r="D441" s="24" t="e">
        <f t="shared" si="14"/>
        <v>#DIV/0!</v>
      </c>
      <c r="E441" s="24" t="e">
        <f t="shared" si="14"/>
        <v>#DIV/0!</v>
      </c>
      <c r="F441" s="24" t="e">
        <f t="shared" si="14"/>
        <v>#DIV/0!</v>
      </c>
      <c r="G441" s="24" t="e">
        <f t="shared" si="14"/>
        <v>#DIV/0!</v>
      </c>
      <c r="L441" s="97"/>
      <c r="M441" s="82"/>
      <c r="N441" s="82"/>
      <c r="P441" s="31"/>
      <c r="Q441" s="31"/>
    </row>
    <row r="442" spans="3:17" s="119" customFormat="1" outlineLevel="1" x14ac:dyDescent="0.25">
      <c r="C442" s="24" t="e">
        <f t="shared" si="14"/>
        <v>#DIV/0!</v>
      </c>
      <c r="D442" s="24" t="e">
        <f t="shared" si="14"/>
        <v>#DIV/0!</v>
      </c>
      <c r="E442" s="24" t="e">
        <f t="shared" si="14"/>
        <v>#DIV/0!</v>
      </c>
      <c r="F442" s="24" t="e">
        <f t="shared" si="14"/>
        <v>#DIV/0!</v>
      </c>
      <c r="G442" s="24" t="e">
        <f t="shared" si="14"/>
        <v>#DIV/0!</v>
      </c>
      <c r="L442" s="97"/>
      <c r="M442" s="82"/>
      <c r="N442" s="82"/>
      <c r="P442" s="31"/>
      <c r="Q442" s="31"/>
    </row>
    <row r="443" spans="3:17" s="119" customFormat="1" outlineLevel="1" x14ac:dyDescent="0.25">
      <c r="C443" s="24" t="e">
        <f t="shared" si="14"/>
        <v>#DIV/0!</v>
      </c>
      <c r="D443" s="24" t="e">
        <f t="shared" si="14"/>
        <v>#DIV/0!</v>
      </c>
      <c r="E443" s="24" t="e">
        <f t="shared" si="14"/>
        <v>#DIV/0!</v>
      </c>
      <c r="F443" s="24" t="e">
        <f t="shared" si="14"/>
        <v>#DIV/0!</v>
      </c>
      <c r="G443" s="24" t="e">
        <f t="shared" si="14"/>
        <v>#DIV/0!</v>
      </c>
      <c r="L443" s="97"/>
      <c r="M443" s="82"/>
      <c r="N443" s="82"/>
      <c r="P443" s="31"/>
      <c r="Q443" s="31"/>
    </row>
    <row r="444" spans="3:17" s="119" customFormat="1" outlineLevel="1" x14ac:dyDescent="0.25">
      <c r="C444" s="24" t="e">
        <f t="shared" si="14"/>
        <v>#DIV/0!</v>
      </c>
      <c r="D444" s="24" t="e">
        <f t="shared" si="14"/>
        <v>#DIV/0!</v>
      </c>
      <c r="E444" s="24" t="e">
        <f t="shared" si="14"/>
        <v>#DIV/0!</v>
      </c>
      <c r="F444" s="24" t="e">
        <f t="shared" si="14"/>
        <v>#DIV/0!</v>
      </c>
      <c r="G444" s="24" t="e">
        <f t="shared" si="14"/>
        <v>#DIV/0!</v>
      </c>
      <c r="L444" s="97"/>
      <c r="M444" s="82"/>
      <c r="N444" s="82"/>
      <c r="P444" s="31"/>
      <c r="Q444" s="31"/>
    </row>
    <row r="445" spans="3:17" s="119" customFormat="1" outlineLevel="1" x14ac:dyDescent="0.25">
      <c r="C445" s="24" t="e">
        <f t="shared" si="14"/>
        <v>#DIV/0!</v>
      </c>
      <c r="D445" s="24" t="e">
        <f t="shared" si="14"/>
        <v>#DIV/0!</v>
      </c>
      <c r="E445" s="24" t="e">
        <f t="shared" si="14"/>
        <v>#DIV/0!</v>
      </c>
      <c r="F445" s="24" t="e">
        <f t="shared" si="14"/>
        <v>#DIV/0!</v>
      </c>
      <c r="G445" s="24" t="e">
        <f t="shared" si="14"/>
        <v>#DIV/0!</v>
      </c>
      <c r="L445" s="97"/>
      <c r="M445" s="82"/>
      <c r="N445" s="82"/>
      <c r="P445" s="31"/>
      <c r="Q445" s="31"/>
    </row>
    <row r="446" spans="3:17" s="119" customFormat="1" outlineLevel="1" x14ac:dyDescent="0.25">
      <c r="C446" s="24" t="e">
        <f t="shared" si="14"/>
        <v>#DIV/0!</v>
      </c>
      <c r="D446" s="24" t="e">
        <f t="shared" si="14"/>
        <v>#DIV/0!</v>
      </c>
      <c r="E446" s="24" t="e">
        <f t="shared" si="14"/>
        <v>#DIV/0!</v>
      </c>
      <c r="F446" s="24" t="e">
        <f t="shared" si="14"/>
        <v>#DIV/0!</v>
      </c>
      <c r="G446" s="24" t="e">
        <f t="shared" si="14"/>
        <v>#DIV/0!</v>
      </c>
      <c r="L446" s="97"/>
      <c r="M446" s="82"/>
      <c r="N446" s="82"/>
      <c r="P446" s="31"/>
      <c r="Q446" s="31"/>
    </row>
    <row r="447" spans="3:17" s="119" customFormat="1" outlineLevel="1" x14ac:dyDescent="0.25">
      <c r="C447" s="24" t="e">
        <f t="shared" si="14"/>
        <v>#DIV/0!</v>
      </c>
      <c r="D447" s="24" t="e">
        <f t="shared" si="14"/>
        <v>#DIV/0!</v>
      </c>
      <c r="E447" s="24" t="e">
        <f t="shared" si="14"/>
        <v>#DIV/0!</v>
      </c>
      <c r="F447" s="24" t="e">
        <f t="shared" si="14"/>
        <v>#DIV/0!</v>
      </c>
      <c r="G447" s="24" t="e">
        <f t="shared" si="14"/>
        <v>#DIV/0!</v>
      </c>
      <c r="L447" s="97"/>
      <c r="M447" s="82"/>
      <c r="N447" s="82"/>
      <c r="P447" s="31"/>
      <c r="Q447" s="31"/>
    </row>
    <row r="448" spans="3:17" s="119" customFormat="1" outlineLevel="1" x14ac:dyDescent="0.25">
      <c r="C448" s="24" t="e">
        <f t="shared" si="14"/>
        <v>#DIV/0!</v>
      </c>
      <c r="D448" s="24" t="e">
        <f t="shared" si="14"/>
        <v>#DIV/0!</v>
      </c>
      <c r="E448" s="24" t="e">
        <f t="shared" si="14"/>
        <v>#DIV/0!</v>
      </c>
      <c r="F448" s="24" t="e">
        <f t="shared" si="14"/>
        <v>#DIV/0!</v>
      </c>
      <c r="G448" s="24" t="e">
        <f t="shared" si="14"/>
        <v>#DIV/0!</v>
      </c>
      <c r="L448" s="97"/>
      <c r="M448" s="82"/>
      <c r="N448" s="82"/>
      <c r="P448" s="31"/>
      <c r="Q448" s="31"/>
    </row>
    <row r="449" spans="1:17" s="119" customFormat="1" outlineLevel="1" x14ac:dyDescent="0.25">
      <c r="C449" s="24" t="e">
        <f t="shared" si="14"/>
        <v>#DIV/0!</v>
      </c>
      <c r="D449" s="24" t="e">
        <f t="shared" si="14"/>
        <v>#DIV/0!</v>
      </c>
      <c r="E449" s="24" t="e">
        <f t="shared" si="14"/>
        <v>#DIV/0!</v>
      </c>
      <c r="F449" s="24" t="e">
        <f t="shared" si="14"/>
        <v>#DIV/0!</v>
      </c>
      <c r="G449" s="24" t="e">
        <f t="shared" si="14"/>
        <v>#DIV/0!</v>
      </c>
      <c r="L449" s="97"/>
      <c r="M449" s="82"/>
      <c r="N449" s="82"/>
      <c r="P449" s="31"/>
      <c r="Q449" s="31"/>
    </row>
    <row r="450" spans="1:17" s="119" customFormat="1" outlineLevel="1" x14ac:dyDescent="0.25">
      <c r="C450" s="24" t="e">
        <f t="shared" ref="C450:G452" si="15">10^((C415+$I307)/10)</f>
        <v>#DIV/0!</v>
      </c>
      <c r="D450" s="24" t="e">
        <f t="shared" si="15"/>
        <v>#DIV/0!</v>
      </c>
      <c r="E450" s="24" t="e">
        <f t="shared" si="15"/>
        <v>#DIV/0!</v>
      </c>
      <c r="F450" s="24" t="e">
        <f t="shared" si="15"/>
        <v>#DIV/0!</v>
      </c>
      <c r="G450" s="24" t="e">
        <f t="shared" si="15"/>
        <v>#DIV/0!</v>
      </c>
      <c r="L450" s="97"/>
      <c r="M450" s="82"/>
      <c r="N450" s="82"/>
      <c r="P450" s="31"/>
      <c r="Q450" s="31"/>
    </row>
    <row r="451" spans="1:17" s="119" customFormat="1" outlineLevel="1" x14ac:dyDescent="0.25">
      <c r="C451" s="24" t="e">
        <f t="shared" si="15"/>
        <v>#DIV/0!</v>
      </c>
      <c r="D451" s="24" t="e">
        <f t="shared" si="15"/>
        <v>#DIV/0!</v>
      </c>
      <c r="E451" s="24" t="e">
        <f t="shared" si="15"/>
        <v>#DIV/0!</v>
      </c>
      <c r="F451" s="24" t="e">
        <f t="shared" si="15"/>
        <v>#DIV/0!</v>
      </c>
      <c r="G451" s="24" t="e">
        <f t="shared" si="15"/>
        <v>#DIV/0!</v>
      </c>
      <c r="L451" s="97"/>
      <c r="M451" s="82"/>
      <c r="N451" s="82"/>
      <c r="P451" s="31"/>
      <c r="Q451" s="31"/>
    </row>
    <row r="452" spans="1:17" s="119" customFormat="1" outlineLevel="1" x14ac:dyDescent="0.25">
      <c r="C452" s="24" t="e">
        <f t="shared" si="15"/>
        <v>#DIV/0!</v>
      </c>
      <c r="D452" s="24" t="e">
        <f t="shared" si="15"/>
        <v>#DIV/0!</v>
      </c>
      <c r="E452" s="24" t="e">
        <f t="shared" si="15"/>
        <v>#DIV/0!</v>
      </c>
      <c r="F452" s="24" t="e">
        <f t="shared" si="15"/>
        <v>#DIV/0!</v>
      </c>
      <c r="G452" s="24" t="e">
        <f t="shared" si="15"/>
        <v>#DIV/0!</v>
      </c>
      <c r="L452" s="97"/>
      <c r="M452" s="82"/>
      <c r="N452" s="82"/>
      <c r="P452" s="31"/>
      <c r="Q452" s="31"/>
    </row>
    <row r="453" spans="1:17" s="119" customFormat="1" outlineLevel="1" x14ac:dyDescent="0.25">
      <c r="A453" s="17"/>
      <c r="C453" s="24"/>
      <c r="D453" s="24"/>
      <c r="E453" s="24"/>
      <c r="F453" s="24"/>
      <c r="G453" s="24"/>
      <c r="L453" s="97"/>
      <c r="M453" s="82"/>
      <c r="N453" s="82"/>
      <c r="P453" s="31"/>
      <c r="Q453" s="31"/>
    </row>
    <row r="454" spans="1:17" s="119" customFormat="1" ht="13" outlineLevel="1" x14ac:dyDescent="0.3">
      <c r="A454" s="17"/>
      <c r="C454" s="491" t="s">
        <v>1023</v>
      </c>
      <c r="D454" s="491"/>
      <c r="E454" s="491"/>
      <c r="F454" s="491"/>
      <c r="G454" s="491"/>
      <c r="L454" s="97"/>
      <c r="M454" s="82"/>
      <c r="N454" s="82"/>
      <c r="P454" s="31"/>
      <c r="Q454" s="31"/>
    </row>
    <row r="455" spans="1:17" s="119" customFormat="1" outlineLevel="1" x14ac:dyDescent="0.25">
      <c r="C455" s="24" t="e">
        <f>10*LOG10(SUM(C420:C452))</f>
        <v>#DIV/0!</v>
      </c>
      <c r="D455" s="24" t="e">
        <f>10*LOG10(SUM(D420:D452))</f>
        <v>#DIV/0!</v>
      </c>
      <c r="E455" s="24" t="e">
        <f>10*LOG10(SUM(E420:E452))</f>
        <v>#DIV/0!</v>
      </c>
      <c r="F455" s="24" t="e">
        <f>10*LOG10(SUM(F420:F452))</f>
        <v>#DIV/0!</v>
      </c>
      <c r="G455" s="24" t="e">
        <f>10*LOG10(SUM(G420:G452))</f>
        <v>#DIV/0!</v>
      </c>
      <c r="L455" s="97"/>
      <c r="M455" s="82"/>
      <c r="N455" s="82"/>
      <c r="P455" s="31"/>
      <c r="Q455" s="31"/>
    </row>
    <row r="456" spans="1:17" ht="13" x14ac:dyDescent="0.3">
      <c r="A456" s="384"/>
      <c r="B456" s="385"/>
      <c r="C456" s="384"/>
    </row>
    <row r="457" spans="1:17" ht="13" x14ac:dyDescent="0.3">
      <c r="A457" s="384"/>
      <c r="B457" s="385"/>
      <c r="C457" s="384"/>
    </row>
    <row r="458" spans="1:17" ht="13" x14ac:dyDescent="0.3">
      <c r="A458" s="384"/>
      <c r="B458" s="385"/>
      <c r="C458" s="384"/>
    </row>
    <row r="459" spans="1:17" ht="13" x14ac:dyDescent="0.3">
      <c r="A459" s="384"/>
      <c r="B459" s="385"/>
      <c r="C459" s="384"/>
    </row>
    <row r="460" spans="1:17" ht="13" x14ac:dyDescent="0.3">
      <c r="A460" s="384"/>
      <c r="B460" s="385"/>
      <c r="C460" s="384"/>
    </row>
    <row r="461" spans="1:17" ht="13" x14ac:dyDescent="0.3">
      <c r="A461" s="384"/>
      <c r="B461" s="385"/>
      <c r="C461" s="384"/>
    </row>
    <row r="462" spans="1:17" ht="13" x14ac:dyDescent="0.3">
      <c r="A462" s="384"/>
      <c r="B462" s="385"/>
      <c r="C462" s="384"/>
    </row>
    <row r="463" spans="1:17" ht="13" x14ac:dyDescent="0.3">
      <c r="A463" s="384"/>
      <c r="B463" s="385"/>
      <c r="C463" s="384"/>
    </row>
    <row r="464" spans="1:17" ht="13" x14ac:dyDescent="0.3">
      <c r="A464" s="384"/>
      <c r="B464" s="385"/>
      <c r="C464" s="384"/>
    </row>
    <row r="465" spans="1:3" ht="13" x14ac:dyDescent="0.3">
      <c r="A465" s="384"/>
      <c r="B465" s="385"/>
      <c r="C465" s="384"/>
    </row>
    <row r="466" spans="1:3" ht="13" x14ac:dyDescent="0.3">
      <c r="A466" s="384"/>
      <c r="B466" s="385"/>
      <c r="C466" s="384"/>
    </row>
    <row r="467" spans="1:3" ht="13" x14ac:dyDescent="0.3">
      <c r="A467" s="384"/>
      <c r="B467" s="385"/>
      <c r="C467" s="384"/>
    </row>
    <row r="468" spans="1:3" x14ac:dyDescent="0.25">
      <c r="A468" s="384"/>
      <c r="B468" s="384"/>
      <c r="C468" s="384"/>
    </row>
    <row r="469" spans="1:3" x14ac:dyDescent="0.25">
      <c r="A469" s="384"/>
      <c r="B469" s="384"/>
      <c r="C469" s="384"/>
    </row>
    <row r="470" spans="1:3" x14ac:dyDescent="0.25">
      <c r="A470" s="384"/>
      <c r="B470" s="384"/>
      <c r="C470" s="384"/>
    </row>
    <row r="471" spans="1:3" x14ac:dyDescent="0.25">
      <c r="A471" s="384"/>
      <c r="B471" s="384"/>
      <c r="C471" s="384"/>
    </row>
    <row r="472" spans="1:3" x14ac:dyDescent="0.25">
      <c r="A472" s="384"/>
      <c r="B472" s="384"/>
      <c r="C472" s="384"/>
    </row>
    <row r="473" spans="1:3" x14ac:dyDescent="0.25">
      <c r="A473" s="384"/>
      <c r="B473" s="384"/>
      <c r="C473" s="384"/>
    </row>
    <row r="474" spans="1:3" x14ac:dyDescent="0.25">
      <c r="A474" s="384"/>
      <c r="B474" s="384"/>
      <c r="C474" s="384"/>
    </row>
    <row r="475" spans="1:3" x14ac:dyDescent="0.25">
      <c r="A475" s="384"/>
      <c r="B475" s="384"/>
      <c r="C475" s="384"/>
    </row>
    <row r="476" spans="1:3" x14ac:dyDescent="0.25">
      <c r="A476" s="384"/>
      <c r="B476" s="384"/>
      <c r="C476" s="384"/>
    </row>
  </sheetData>
  <mergeCells count="29">
    <mergeCell ref="K45:O45"/>
    <mergeCell ref="A1:D1"/>
    <mergeCell ref="F1:H1"/>
    <mergeCell ref="I1:K1"/>
    <mergeCell ref="A2:B7"/>
    <mergeCell ref="D2:E2"/>
    <mergeCell ref="D3:G3"/>
    <mergeCell ref="I3:K3"/>
    <mergeCell ref="D4:G4"/>
    <mergeCell ref="I4:K4"/>
    <mergeCell ref="D5:E5"/>
    <mergeCell ref="I5:K5"/>
    <mergeCell ref="D6:E6"/>
    <mergeCell ref="I6:K6"/>
    <mergeCell ref="D7:G7"/>
    <mergeCell ref="I7:K7"/>
    <mergeCell ref="C136:G136"/>
    <mergeCell ref="C419:G419"/>
    <mergeCell ref="C454:G454"/>
    <mergeCell ref="C45:G45"/>
    <mergeCell ref="C276:G276"/>
    <mergeCell ref="C311:G311"/>
    <mergeCell ref="C314:G314"/>
    <mergeCell ref="C349:G349"/>
    <mergeCell ref="C384:G384"/>
    <mergeCell ref="C101:G101"/>
    <mergeCell ref="C171:G171"/>
    <mergeCell ref="C206:G206"/>
    <mergeCell ref="C241:G241"/>
  </mergeCells>
  <pageMargins left="0.7" right="0.7" top="0.75" bottom="0.75" header="0.3" footer="0.3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indexed="22"/>
  </sheetPr>
  <dimension ref="A1:AR153"/>
  <sheetViews>
    <sheetView workbookViewId="0"/>
  </sheetViews>
  <sheetFormatPr defaultColWidth="9.08984375" defaultRowHeight="13" x14ac:dyDescent="0.3"/>
  <cols>
    <col min="1" max="2" width="25.6328125" style="37" customWidth="1"/>
    <col min="3" max="3" width="9.6328125" style="36" customWidth="1"/>
    <col min="4" max="7" width="9.6328125" style="37" customWidth="1"/>
    <col min="8" max="8" width="9.6328125" style="36" customWidth="1"/>
    <col min="9" max="14" width="9.6328125" style="37" customWidth="1"/>
    <col min="15" max="22" width="11.54296875" style="37" bestFit="1" customWidth="1"/>
    <col min="23" max="24" width="11.453125" style="37" customWidth="1"/>
    <col min="25" max="28" width="13.90625" style="37" customWidth="1"/>
    <col min="29" max="32" width="13.90625" style="38" customWidth="1"/>
    <col min="33" max="34" width="11.453125" style="37" customWidth="1"/>
    <col min="35" max="35" width="11.90625" style="37" customWidth="1"/>
    <col min="36" max="43" width="11.453125" style="37" customWidth="1"/>
    <col min="44" max="44" width="12.54296875" style="37" bestFit="1" customWidth="1"/>
    <col min="45" max="16384" width="9.08984375" style="37"/>
  </cols>
  <sheetData>
    <row r="1" spans="1:41" ht="15.5" x14ac:dyDescent="0.35">
      <c r="A1" s="3" t="s">
        <v>235</v>
      </c>
      <c r="B1" s="35" t="s">
        <v>236</v>
      </c>
    </row>
    <row r="2" spans="1:41" x14ac:dyDescent="0.3">
      <c r="A2" s="35"/>
    </row>
    <row r="3" spans="1:41" x14ac:dyDescent="0.3">
      <c r="A3" s="35" t="s">
        <v>238</v>
      </c>
    </row>
    <row r="4" spans="1:41" x14ac:dyDescent="0.3">
      <c r="A4" s="37" t="s">
        <v>240</v>
      </c>
    </row>
    <row r="5" spans="1:41" x14ac:dyDescent="0.3">
      <c r="A5" s="39" t="s">
        <v>242</v>
      </c>
    </row>
    <row r="6" spans="1:41" x14ac:dyDescent="0.3">
      <c r="B6" s="39"/>
      <c r="AO6" s="36"/>
    </row>
    <row r="7" spans="1:41" x14ac:dyDescent="0.3">
      <c r="A7" s="35" t="s">
        <v>244</v>
      </c>
      <c r="B7" s="39"/>
      <c r="AO7" s="36"/>
    </row>
    <row r="8" spans="1:41" x14ac:dyDescent="0.3">
      <c r="B8" s="39"/>
      <c r="AO8" s="36"/>
    </row>
    <row r="9" spans="1:41" x14ac:dyDescent="0.3">
      <c r="A9" s="40" t="s">
        <v>245</v>
      </c>
      <c r="B9" s="40" t="s">
        <v>246</v>
      </c>
      <c r="AO9" s="36"/>
    </row>
    <row r="10" spans="1:41" x14ac:dyDescent="0.3">
      <c r="A10" s="41" t="s">
        <v>247</v>
      </c>
      <c r="B10" s="41" t="s">
        <v>248</v>
      </c>
      <c r="AO10" s="36"/>
    </row>
    <row r="11" spans="1:41" x14ac:dyDescent="0.3">
      <c r="A11" s="41" t="s">
        <v>997</v>
      </c>
      <c r="B11" s="41" t="s">
        <v>997</v>
      </c>
      <c r="AO11" s="36"/>
    </row>
    <row r="12" spans="1:41" x14ac:dyDescent="0.3">
      <c r="A12" s="41" t="s">
        <v>249</v>
      </c>
      <c r="B12" s="41" t="s">
        <v>249</v>
      </c>
      <c r="AO12" s="36"/>
    </row>
    <row r="13" spans="1:41" x14ac:dyDescent="0.3">
      <c r="A13" s="41" t="s">
        <v>250</v>
      </c>
      <c r="B13" s="41" t="s">
        <v>250</v>
      </c>
      <c r="AO13" s="36"/>
    </row>
    <row r="14" spans="1:41" x14ac:dyDescent="0.3">
      <c r="A14" s="41" t="s">
        <v>251</v>
      </c>
      <c r="B14" s="41" t="s">
        <v>249</v>
      </c>
      <c r="AO14" s="36"/>
    </row>
    <row r="15" spans="1:41" x14ac:dyDescent="0.3">
      <c r="A15" s="41" t="s">
        <v>252</v>
      </c>
      <c r="B15" s="41" t="s">
        <v>250</v>
      </c>
      <c r="AO15" s="36"/>
    </row>
    <row r="16" spans="1:41" x14ac:dyDescent="0.3">
      <c r="A16" s="41" t="s">
        <v>253</v>
      </c>
      <c r="B16" s="41" t="s">
        <v>254</v>
      </c>
      <c r="AO16" s="36"/>
    </row>
    <row r="17" spans="1:41" x14ac:dyDescent="0.3">
      <c r="A17" s="41" t="s">
        <v>255</v>
      </c>
      <c r="B17" s="41" t="s">
        <v>256</v>
      </c>
      <c r="AO17" s="36"/>
    </row>
    <row r="18" spans="1:41" x14ac:dyDescent="0.3">
      <c r="A18" s="41" t="s">
        <v>257</v>
      </c>
      <c r="B18" s="41" t="s">
        <v>249</v>
      </c>
      <c r="AO18" s="36"/>
    </row>
    <row r="19" spans="1:41" x14ac:dyDescent="0.3">
      <c r="A19" s="41" t="s">
        <v>258</v>
      </c>
      <c r="B19" s="41" t="s">
        <v>259</v>
      </c>
      <c r="AO19" s="36"/>
    </row>
    <row r="20" spans="1:41" x14ac:dyDescent="0.3">
      <c r="A20" s="41" t="s">
        <v>260</v>
      </c>
      <c r="B20" s="41" t="s">
        <v>261</v>
      </c>
      <c r="AO20" s="36"/>
    </row>
    <row r="21" spans="1:41" x14ac:dyDescent="0.3">
      <c r="A21" s="41" t="s">
        <v>262</v>
      </c>
      <c r="B21" s="41" t="s">
        <v>262</v>
      </c>
      <c r="AO21" s="36"/>
    </row>
    <row r="22" spans="1:41" x14ac:dyDescent="0.3">
      <c r="A22" s="41" t="s">
        <v>263</v>
      </c>
      <c r="B22" s="41" t="s">
        <v>263</v>
      </c>
      <c r="AO22" s="36"/>
    </row>
    <row r="23" spans="1:41" x14ac:dyDescent="0.3">
      <c r="A23" s="41" t="s">
        <v>264</v>
      </c>
      <c r="B23" s="41" t="s">
        <v>265</v>
      </c>
      <c r="AO23" s="36"/>
    </row>
    <row r="24" spans="1:41" x14ac:dyDescent="0.3">
      <c r="A24" s="41" t="s">
        <v>266</v>
      </c>
      <c r="B24" s="41" t="s">
        <v>266</v>
      </c>
      <c r="AO24" s="36"/>
    </row>
    <row r="25" spans="1:41" x14ac:dyDescent="0.3">
      <c r="A25" s="41" t="s">
        <v>267</v>
      </c>
      <c r="B25" s="41" t="s">
        <v>267</v>
      </c>
      <c r="AO25" s="36"/>
    </row>
    <row r="26" spans="1:41" x14ac:dyDescent="0.3">
      <c r="A26" s="41" t="s">
        <v>268</v>
      </c>
      <c r="B26" s="41" t="s">
        <v>268</v>
      </c>
      <c r="AO26" s="36"/>
    </row>
    <row r="27" spans="1:41" x14ac:dyDescent="0.3">
      <c r="A27" s="41" t="s">
        <v>269</v>
      </c>
      <c r="B27" s="41" t="s">
        <v>269</v>
      </c>
      <c r="AO27" s="36"/>
    </row>
    <row r="28" spans="1:41" x14ac:dyDescent="0.3">
      <c r="A28" s="41" t="s">
        <v>270</v>
      </c>
      <c r="B28" s="41" t="s">
        <v>270</v>
      </c>
      <c r="AO28" s="36"/>
    </row>
    <row r="29" spans="1:41" x14ac:dyDescent="0.3">
      <c r="A29" s="41" t="s">
        <v>254</v>
      </c>
      <c r="B29" s="41" t="s">
        <v>254</v>
      </c>
      <c r="AO29" s="36"/>
    </row>
    <row r="30" spans="1:41" x14ac:dyDescent="0.3">
      <c r="A30" s="41" t="s">
        <v>271</v>
      </c>
      <c r="B30" s="41" t="s">
        <v>271</v>
      </c>
      <c r="AO30" s="36"/>
    </row>
    <row r="31" spans="1:41" x14ac:dyDescent="0.3">
      <c r="A31" s="41" t="s">
        <v>272</v>
      </c>
      <c r="B31" s="41" t="s">
        <v>272</v>
      </c>
      <c r="AO31" s="36"/>
    </row>
    <row r="32" spans="1:41" x14ac:dyDescent="0.3">
      <c r="A32" s="41" t="s">
        <v>273</v>
      </c>
      <c r="B32" s="41" t="s">
        <v>273</v>
      </c>
      <c r="AO32" s="36"/>
    </row>
    <row r="33" spans="1:41" x14ac:dyDescent="0.3">
      <c r="A33" s="41" t="s">
        <v>274</v>
      </c>
      <c r="B33" s="41" t="s">
        <v>274</v>
      </c>
      <c r="AO33" s="36"/>
    </row>
    <row r="34" spans="1:41" x14ac:dyDescent="0.3">
      <c r="A34" s="41" t="s">
        <v>275</v>
      </c>
      <c r="B34" s="41" t="s">
        <v>275</v>
      </c>
      <c r="AO34" s="36"/>
    </row>
    <row r="35" spans="1:41" x14ac:dyDescent="0.3">
      <c r="A35" s="41" t="s">
        <v>276</v>
      </c>
      <c r="B35" s="41" t="s">
        <v>276</v>
      </c>
      <c r="AO35" s="36"/>
    </row>
    <row r="36" spans="1:41" x14ac:dyDescent="0.3">
      <c r="A36" s="41" t="s">
        <v>277</v>
      </c>
      <c r="B36" s="41" t="s">
        <v>277</v>
      </c>
      <c r="AO36" s="36"/>
    </row>
    <row r="37" spans="1:41" x14ac:dyDescent="0.3">
      <c r="A37" s="41" t="s">
        <v>278</v>
      </c>
      <c r="B37" s="41" t="s">
        <v>278</v>
      </c>
      <c r="AO37" s="36"/>
    </row>
    <row r="38" spans="1:41" x14ac:dyDescent="0.3">
      <c r="A38" s="41" t="s">
        <v>265</v>
      </c>
      <c r="B38" s="41" t="s">
        <v>265</v>
      </c>
      <c r="AO38" s="36"/>
    </row>
    <row r="39" spans="1:41" x14ac:dyDescent="0.3">
      <c r="A39" s="41" t="s">
        <v>279</v>
      </c>
      <c r="B39" s="41" t="s">
        <v>261</v>
      </c>
      <c r="AO39" s="36"/>
    </row>
    <row r="40" spans="1:41" x14ac:dyDescent="0.3">
      <c r="A40" s="41" t="s">
        <v>280</v>
      </c>
      <c r="B40" s="41" t="s">
        <v>265</v>
      </c>
      <c r="AO40" s="36"/>
    </row>
    <row r="41" spans="1:41" x14ac:dyDescent="0.3">
      <c r="A41" s="41" t="s">
        <v>281</v>
      </c>
      <c r="B41" s="41" t="s">
        <v>281</v>
      </c>
      <c r="AO41" s="36"/>
    </row>
    <row r="42" spans="1:41" x14ac:dyDescent="0.3">
      <c r="A42" s="41" t="s">
        <v>261</v>
      </c>
      <c r="B42" s="41" t="s">
        <v>261</v>
      </c>
      <c r="AO42" s="36"/>
    </row>
    <row r="43" spans="1:41" x14ac:dyDescent="0.3">
      <c r="A43" s="41" t="s">
        <v>282</v>
      </c>
      <c r="B43" s="41" t="s">
        <v>277</v>
      </c>
      <c r="AO43" s="36"/>
    </row>
    <row r="44" spans="1:41" x14ac:dyDescent="0.3">
      <c r="A44" s="41" t="s">
        <v>283</v>
      </c>
      <c r="B44" s="41" t="s">
        <v>283</v>
      </c>
      <c r="AO44" s="36"/>
    </row>
    <row r="45" spans="1:41" x14ac:dyDescent="0.3">
      <c r="A45" s="41" t="s">
        <v>284</v>
      </c>
      <c r="B45" s="41" t="s">
        <v>284</v>
      </c>
      <c r="AO45" s="36"/>
    </row>
    <row r="46" spans="1:41" x14ac:dyDescent="0.3">
      <c r="A46" s="41" t="s">
        <v>285</v>
      </c>
      <c r="B46" s="41" t="s">
        <v>285</v>
      </c>
      <c r="AO46" s="36"/>
    </row>
    <row r="47" spans="1:41" x14ac:dyDescent="0.3">
      <c r="A47" s="41" t="s">
        <v>286</v>
      </c>
      <c r="B47" s="41" t="s">
        <v>286</v>
      </c>
      <c r="AO47" s="36"/>
    </row>
    <row r="48" spans="1:41" x14ac:dyDescent="0.3">
      <c r="A48" s="41" t="s">
        <v>287</v>
      </c>
      <c r="B48" s="41" t="s">
        <v>287</v>
      </c>
      <c r="AO48" s="36"/>
    </row>
    <row r="49" spans="1:41" x14ac:dyDescent="0.3">
      <c r="A49" s="41" t="s">
        <v>288</v>
      </c>
      <c r="B49" s="41" t="s">
        <v>288</v>
      </c>
      <c r="AO49" s="36"/>
    </row>
    <row r="50" spans="1:41" x14ac:dyDescent="0.3">
      <c r="A50" s="41" t="s">
        <v>289</v>
      </c>
      <c r="B50" s="41" t="s">
        <v>289</v>
      </c>
      <c r="AO50" s="36"/>
    </row>
    <row r="51" spans="1:41" x14ac:dyDescent="0.3">
      <c r="A51" s="41" t="s">
        <v>290</v>
      </c>
      <c r="B51" s="41" t="s">
        <v>249</v>
      </c>
      <c r="AO51" s="36"/>
    </row>
    <row r="52" spans="1:41" x14ac:dyDescent="0.3">
      <c r="A52" s="41" t="s">
        <v>291</v>
      </c>
      <c r="B52" s="41" t="s">
        <v>249</v>
      </c>
      <c r="AO52" s="36"/>
    </row>
    <row r="53" spans="1:41" x14ac:dyDescent="0.3">
      <c r="A53" s="41" t="s">
        <v>292</v>
      </c>
      <c r="B53" s="41" t="s">
        <v>256</v>
      </c>
      <c r="AO53" s="36"/>
    </row>
    <row r="54" spans="1:41" x14ac:dyDescent="0.3">
      <c r="A54" s="41" t="s">
        <v>293</v>
      </c>
      <c r="B54" s="41" t="s">
        <v>250</v>
      </c>
      <c r="AO54" s="36"/>
    </row>
    <row r="55" spans="1:41" x14ac:dyDescent="0.3">
      <c r="A55" s="41" t="s">
        <v>294</v>
      </c>
      <c r="B55" s="41" t="s">
        <v>269</v>
      </c>
      <c r="AO55" s="36"/>
    </row>
    <row r="56" spans="1:41" x14ac:dyDescent="0.3">
      <c r="A56" s="41" t="s">
        <v>295</v>
      </c>
      <c r="B56" s="41" t="s">
        <v>254</v>
      </c>
      <c r="AO56" s="36"/>
    </row>
    <row r="57" spans="1:41" x14ac:dyDescent="0.3">
      <c r="A57" s="41" t="s">
        <v>296</v>
      </c>
      <c r="B57" s="41" t="s">
        <v>296</v>
      </c>
      <c r="AO57" s="36"/>
    </row>
    <row r="58" spans="1:41" x14ac:dyDescent="0.3">
      <c r="A58" s="41" t="s">
        <v>297</v>
      </c>
      <c r="B58" s="41" t="s">
        <v>298</v>
      </c>
      <c r="AO58" s="36"/>
    </row>
    <row r="59" spans="1:41" x14ac:dyDescent="0.3">
      <c r="A59" s="41" t="s">
        <v>298</v>
      </c>
      <c r="B59" s="41" t="s">
        <v>298</v>
      </c>
      <c r="AO59" s="36"/>
    </row>
    <row r="60" spans="1:41" x14ac:dyDescent="0.3">
      <c r="A60" s="41" t="s">
        <v>299</v>
      </c>
      <c r="B60" s="41" t="s">
        <v>299</v>
      </c>
      <c r="AO60" s="36"/>
    </row>
    <row r="61" spans="1:41" x14ac:dyDescent="0.3">
      <c r="A61" s="41" t="s">
        <v>300</v>
      </c>
      <c r="B61" s="41" t="s">
        <v>300</v>
      </c>
      <c r="AO61" s="36"/>
    </row>
    <row r="62" spans="1:41" x14ac:dyDescent="0.3">
      <c r="A62" s="41" t="s">
        <v>301</v>
      </c>
      <c r="B62" s="41" t="s">
        <v>301</v>
      </c>
      <c r="AO62" s="36"/>
    </row>
    <row r="63" spans="1:41" x14ac:dyDescent="0.3">
      <c r="A63" s="41" t="s">
        <v>302</v>
      </c>
      <c r="B63" s="41" t="s">
        <v>302</v>
      </c>
      <c r="AO63" s="36"/>
    </row>
    <row r="64" spans="1:41" x14ac:dyDescent="0.3">
      <c r="A64" s="41" t="s">
        <v>303</v>
      </c>
      <c r="B64" s="41" t="s">
        <v>303</v>
      </c>
      <c r="AO64" s="36"/>
    </row>
    <row r="65" spans="1:41" x14ac:dyDescent="0.3">
      <c r="A65" s="41" t="s">
        <v>304</v>
      </c>
      <c r="B65" s="41" t="s">
        <v>304</v>
      </c>
      <c r="AO65" s="36"/>
    </row>
    <row r="66" spans="1:41" x14ac:dyDescent="0.3">
      <c r="A66" s="41" t="s">
        <v>305</v>
      </c>
      <c r="B66" s="41" t="s">
        <v>270</v>
      </c>
      <c r="AO66" s="36"/>
    </row>
    <row r="67" spans="1:41" x14ac:dyDescent="0.3">
      <c r="A67" s="41" t="s">
        <v>306</v>
      </c>
      <c r="B67" s="41" t="s">
        <v>276</v>
      </c>
      <c r="AO67" s="36"/>
    </row>
    <row r="68" spans="1:41" x14ac:dyDescent="0.3">
      <c r="A68" s="41" t="s">
        <v>307</v>
      </c>
      <c r="B68" s="41" t="s">
        <v>284</v>
      </c>
      <c r="AO68" s="36"/>
    </row>
    <row r="69" spans="1:41" x14ac:dyDescent="0.3">
      <c r="A69" s="41" t="s">
        <v>308</v>
      </c>
      <c r="B69" s="41" t="s">
        <v>285</v>
      </c>
      <c r="AO69" s="36"/>
    </row>
    <row r="70" spans="1:41" x14ac:dyDescent="0.3">
      <c r="A70" s="41" t="s">
        <v>309</v>
      </c>
      <c r="B70" s="41" t="s">
        <v>304</v>
      </c>
      <c r="AO70" s="36"/>
    </row>
    <row r="71" spans="1:41" x14ac:dyDescent="0.3">
      <c r="A71" s="41" t="s">
        <v>310</v>
      </c>
      <c r="B71" s="41" t="s">
        <v>311</v>
      </c>
      <c r="AO71" s="36"/>
    </row>
    <row r="72" spans="1:41" x14ac:dyDescent="0.3">
      <c r="A72" s="41" t="s">
        <v>312</v>
      </c>
      <c r="B72" s="41" t="s">
        <v>313</v>
      </c>
      <c r="AO72" s="36"/>
    </row>
    <row r="73" spans="1:41" x14ac:dyDescent="0.3">
      <c r="A73" s="41" t="s">
        <v>314</v>
      </c>
      <c r="B73" s="41" t="s">
        <v>315</v>
      </c>
      <c r="AO73" s="36"/>
    </row>
    <row r="74" spans="1:41" x14ac:dyDescent="0.3">
      <c r="A74" s="41" t="s">
        <v>311</v>
      </c>
      <c r="B74" s="41" t="s">
        <v>311</v>
      </c>
      <c r="AO74" s="36"/>
    </row>
    <row r="75" spans="1:41" x14ac:dyDescent="0.3">
      <c r="A75" s="41" t="s">
        <v>316</v>
      </c>
      <c r="B75" s="41" t="s">
        <v>316</v>
      </c>
      <c r="AO75" s="36"/>
    </row>
    <row r="76" spans="1:41" x14ac:dyDescent="0.3">
      <c r="A76" s="41" t="s">
        <v>313</v>
      </c>
      <c r="B76" s="41" t="s">
        <v>313</v>
      </c>
      <c r="AO76" s="36"/>
    </row>
    <row r="77" spans="1:41" x14ac:dyDescent="0.3">
      <c r="A77" s="41" t="s">
        <v>256</v>
      </c>
      <c r="B77" s="41" t="s">
        <v>256</v>
      </c>
      <c r="AO77" s="36"/>
    </row>
    <row r="78" spans="1:41" x14ac:dyDescent="0.3">
      <c r="A78" s="41" t="s">
        <v>259</v>
      </c>
      <c r="B78" s="41" t="s">
        <v>259</v>
      </c>
      <c r="AO78" s="36"/>
    </row>
    <row r="79" spans="1:41" x14ac:dyDescent="0.3">
      <c r="A79" s="41" t="s">
        <v>315</v>
      </c>
      <c r="B79" s="41" t="s">
        <v>315</v>
      </c>
      <c r="AO79" s="36"/>
    </row>
    <row r="80" spans="1:41" x14ac:dyDescent="0.3">
      <c r="A80" s="41" t="s">
        <v>317</v>
      </c>
      <c r="B80" s="41" t="s">
        <v>317</v>
      </c>
      <c r="AO80" s="36"/>
    </row>
    <row r="81" spans="1:42" x14ac:dyDescent="0.3">
      <c r="A81" s="41" t="s">
        <v>318</v>
      </c>
      <c r="B81" s="41" t="s">
        <v>249</v>
      </c>
      <c r="AO81" s="36"/>
    </row>
    <row r="82" spans="1:42" x14ac:dyDescent="0.3">
      <c r="A82" s="41" t="s">
        <v>319</v>
      </c>
      <c r="B82" s="41" t="s">
        <v>317</v>
      </c>
      <c r="AO82" s="36"/>
    </row>
    <row r="83" spans="1:42" x14ac:dyDescent="0.3">
      <c r="A83" s="41" t="s">
        <v>320</v>
      </c>
      <c r="B83" s="41" t="s">
        <v>320</v>
      </c>
      <c r="AO83" s="36"/>
    </row>
    <row r="84" spans="1:42" x14ac:dyDescent="0.3">
      <c r="A84" s="41" t="s">
        <v>321</v>
      </c>
      <c r="B84" s="41" t="s">
        <v>321</v>
      </c>
      <c r="AO84" s="36"/>
    </row>
    <row r="85" spans="1:42" x14ac:dyDescent="0.3">
      <c r="A85" s="41" t="s">
        <v>248</v>
      </c>
      <c r="B85" s="41" t="s">
        <v>248</v>
      </c>
      <c r="AO85" s="36"/>
    </row>
    <row r="86" spans="1:42" x14ac:dyDescent="0.3">
      <c r="B86" s="39"/>
      <c r="AO86" s="36"/>
    </row>
    <row r="87" spans="1:42" x14ac:dyDescent="0.3">
      <c r="B87" s="39"/>
      <c r="H87" s="37"/>
      <c r="AO87" s="36"/>
    </row>
    <row r="88" spans="1:42" x14ac:dyDescent="0.3">
      <c r="B88" s="39"/>
      <c r="C88" s="37"/>
      <c r="H88" s="37"/>
      <c r="AO88" s="36"/>
    </row>
    <row r="89" spans="1:42" x14ac:dyDescent="0.3">
      <c r="B89" s="39"/>
      <c r="C89" s="37"/>
      <c r="H89" s="37"/>
      <c r="AO89" s="36"/>
    </row>
    <row r="90" spans="1:42" x14ac:dyDescent="0.3">
      <c r="B90" s="39"/>
      <c r="C90" s="37"/>
      <c r="H90" s="37"/>
      <c r="AO90" s="36"/>
    </row>
    <row r="91" spans="1:42" x14ac:dyDescent="0.3">
      <c r="B91" s="39"/>
      <c r="C91" s="37"/>
      <c r="H91" s="37"/>
      <c r="AO91" s="36"/>
    </row>
    <row r="92" spans="1:42" x14ac:dyDescent="0.3">
      <c r="B92" s="39"/>
      <c r="C92" s="42"/>
      <c r="AO92" s="36"/>
    </row>
    <row r="93" spans="1:42" x14ac:dyDescent="0.3">
      <c r="B93" s="39"/>
      <c r="C93" s="42"/>
      <c r="AO93" s="36"/>
    </row>
    <row r="94" spans="1:42" x14ac:dyDescent="0.3">
      <c r="B94" s="39"/>
      <c r="C94" s="42"/>
      <c r="AO94" s="36">
        <v>104</v>
      </c>
      <c r="AP94" s="37" t="s">
        <v>237</v>
      </c>
    </row>
    <row r="95" spans="1:42" x14ac:dyDescent="0.3">
      <c r="B95" s="39"/>
      <c r="AO95" s="36"/>
    </row>
    <row r="96" spans="1:42" x14ac:dyDescent="0.3">
      <c r="B96" s="39"/>
      <c r="AO96" s="36">
        <f>Conv("T",AO94,$AP$94,AP96)</f>
        <v>563.66999999999996</v>
      </c>
      <c r="AP96" s="37" t="s">
        <v>239</v>
      </c>
    </row>
    <row r="97" spans="1:44" x14ac:dyDescent="0.3">
      <c r="B97" s="39"/>
      <c r="AO97" s="36">
        <f>Conv("T",AO94,$AP$94,AP97)</f>
        <v>40</v>
      </c>
      <c r="AP97" s="37" t="s">
        <v>241</v>
      </c>
    </row>
    <row r="98" spans="1:44" x14ac:dyDescent="0.3">
      <c r="B98" s="43" t="s">
        <v>322</v>
      </c>
      <c r="AO98" s="36">
        <f>Conv("T",AO94,$AP$94,AP98)</f>
        <v>313.14999999999998</v>
      </c>
      <c r="AP98" s="37" t="s">
        <v>243</v>
      </c>
    </row>
    <row r="99" spans="1:44" ht="12.5" x14ac:dyDescent="0.25">
      <c r="B99" s="44">
        <v>1</v>
      </c>
      <c r="C99" s="44">
        <v>2</v>
      </c>
      <c r="D99" s="44">
        <v>3</v>
      </c>
      <c r="E99" s="44">
        <v>4</v>
      </c>
      <c r="F99" s="44">
        <v>5</v>
      </c>
      <c r="G99" s="44">
        <v>6</v>
      </c>
      <c r="H99" s="44">
        <v>7</v>
      </c>
      <c r="I99" s="44">
        <v>8</v>
      </c>
      <c r="J99" s="44">
        <v>9</v>
      </c>
      <c r="K99" s="44">
        <v>10</v>
      </c>
      <c r="L99" s="44">
        <v>11</v>
      </c>
      <c r="M99" s="44">
        <v>12</v>
      </c>
      <c r="N99" s="44">
        <v>13</v>
      </c>
    </row>
    <row r="100" spans="1:44" s="45" customFormat="1" ht="39.75" customHeight="1" x14ac:dyDescent="0.3">
      <c r="C100" s="46" t="s">
        <v>323</v>
      </c>
      <c r="H100" s="46" t="s">
        <v>324</v>
      </c>
      <c r="I100" s="499" t="s">
        <v>325</v>
      </c>
      <c r="J100" s="499"/>
      <c r="K100" s="499"/>
      <c r="L100" s="499" t="s">
        <v>680</v>
      </c>
      <c r="M100" s="499"/>
      <c r="O100" s="46" t="s">
        <v>326</v>
      </c>
      <c r="P100" s="499" t="s">
        <v>327</v>
      </c>
      <c r="Q100" s="499"/>
      <c r="R100" s="499"/>
      <c r="S100" s="499"/>
      <c r="T100" s="499"/>
      <c r="U100" s="499"/>
      <c r="V100" s="499"/>
      <c r="W100" s="499"/>
      <c r="X100" s="499"/>
      <c r="Y100" s="499" t="s">
        <v>641</v>
      </c>
      <c r="Z100" s="499"/>
      <c r="AA100" s="499"/>
      <c r="AB100" s="499"/>
      <c r="AC100" s="500" t="s">
        <v>642</v>
      </c>
      <c r="AD100" s="500"/>
      <c r="AE100" s="500"/>
      <c r="AF100" s="500"/>
      <c r="AG100" s="499" t="s">
        <v>643</v>
      </c>
      <c r="AH100" s="499"/>
      <c r="AI100" s="499"/>
      <c r="AJ100" s="499"/>
      <c r="AK100" s="499"/>
      <c r="AL100" s="499"/>
      <c r="AM100" s="499"/>
      <c r="AN100" s="499"/>
      <c r="AO100" s="498" t="s">
        <v>328</v>
      </c>
      <c r="AP100" s="498"/>
      <c r="AQ100" s="498"/>
      <c r="AR100" s="498"/>
    </row>
    <row r="101" spans="1:44" x14ac:dyDescent="0.3">
      <c r="A101" s="40"/>
      <c r="B101" s="40" t="s">
        <v>329</v>
      </c>
      <c r="C101" s="47"/>
      <c r="D101" s="40" t="s">
        <v>330</v>
      </c>
      <c r="E101" s="47" t="s">
        <v>331</v>
      </c>
      <c r="F101" s="47" t="s">
        <v>332</v>
      </c>
      <c r="G101" s="47" t="s">
        <v>333</v>
      </c>
      <c r="H101" s="47"/>
      <c r="I101" s="47" t="s">
        <v>334</v>
      </c>
      <c r="J101" s="47" t="s">
        <v>335</v>
      </c>
      <c r="K101" s="47" t="s">
        <v>336</v>
      </c>
      <c r="L101" s="47" t="s">
        <v>337</v>
      </c>
      <c r="M101" s="48" t="s">
        <v>338</v>
      </c>
      <c r="N101" s="47" t="s">
        <v>339</v>
      </c>
      <c r="O101" s="47" t="s">
        <v>340</v>
      </c>
      <c r="P101" s="47" t="s">
        <v>341</v>
      </c>
      <c r="Q101" s="47" t="s">
        <v>342</v>
      </c>
      <c r="R101" s="47" t="s">
        <v>343</v>
      </c>
      <c r="S101" s="47" t="s">
        <v>344</v>
      </c>
      <c r="T101" s="47" t="s">
        <v>345</v>
      </c>
      <c r="U101" s="47" t="s">
        <v>346</v>
      </c>
      <c r="V101" s="47" t="s">
        <v>347</v>
      </c>
      <c r="W101" s="47" t="s">
        <v>348</v>
      </c>
      <c r="X101" s="47" t="s">
        <v>349</v>
      </c>
      <c r="Y101" s="47" t="s">
        <v>350</v>
      </c>
      <c r="Z101" s="47" t="s">
        <v>351</v>
      </c>
      <c r="AA101" s="47" t="s">
        <v>352</v>
      </c>
      <c r="AB101" s="47" t="s">
        <v>353</v>
      </c>
      <c r="AC101" s="49" t="s">
        <v>350</v>
      </c>
      <c r="AD101" s="49" t="s">
        <v>351</v>
      </c>
      <c r="AE101" s="49" t="s">
        <v>352</v>
      </c>
      <c r="AF101" s="49" t="s">
        <v>353</v>
      </c>
      <c r="AG101" s="47" t="s">
        <v>334</v>
      </c>
      <c r="AH101" s="47" t="s">
        <v>335</v>
      </c>
      <c r="AI101" s="47" t="s">
        <v>336</v>
      </c>
      <c r="AJ101" s="47" t="s">
        <v>354</v>
      </c>
      <c r="AK101" s="47" t="s">
        <v>355</v>
      </c>
      <c r="AL101" s="47" t="s">
        <v>356</v>
      </c>
      <c r="AM101" s="47" t="s">
        <v>357</v>
      </c>
      <c r="AN101" s="47" t="s">
        <v>358</v>
      </c>
      <c r="AO101" s="47" t="s">
        <v>359</v>
      </c>
      <c r="AP101" s="47" t="s">
        <v>360</v>
      </c>
      <c r="AQ101" s="47" t="s">
        <v>361</v>
      </c>
      <c r="AR101" s="47" t="s">
        <v>362</v>
      </c>
    </row>
    <row r="102" spans="1:44" x14ac:dyDescent="0.3">
      <c r="B102" s="50"/>
      <c r="C102" s="47"/>
      <c r="D102" s="50"/>
      <c r="E102" s="47"/>
      <c r="F102" s="51" t="s">
        <v>243</v>
      </c>
      <c r="G102" s="51" t="s">
        <v>363</v>
      </c>
      <c r="H102" s="51" t="s">
        <v>243</v>
      </c>
      <c r="I102" s="50"/>
      <c r="J102" s="50"/>
      <c r="K102" s="50"/>
      <c r="L102" s="50"/>
      <c r="M102" s="52" t="s">
        <v>243</v>
      </c>
      <c r="N102" s="47"/>
      <c r="O102" s="47"/>
    </row>
    <row r="103" spans="1:44" ht="15" x14ac:dyDescent="0.4">
      <c r="B103" s="41" t="s">
        <v>249</v>
      </c>
      <c r="C103" s="49">
        <v>164</v>
      </c>
      <c r="D103" s="41" t="s">
        <v>644</v>
      </c>
      <c r="E103" s="49">
        <v>56.107999999999997</v>
      </c>
      <c r="F103" s="49">
        <v>417.72</v>
      </c>
      <c r="G103" s="49">
        <v>40.033999999999999</v>
      </c>
      <c r="H103" s="49">
        <v>216.4</v>
      </c>
      <c r="I103" s="49">
        <v>9.1326999999999998</v>
      </c>
      <c r="J103" s="49">
        <v>2125.6999999999998</v>
      </c>
      <c r="K103" s="49">
        <v>-33.15</v>
      </c>
      <c r="L103" s="49">
        <v>0.59399999999999997</v>
      </c>
      <c r="M103" s="53">
        <v>292.82</v>
      </c>
      <c r="N103" s="49">
        <v>1.1000000000000001</v>
      </c>
      <c r="O103" s="54">
        <v>0.1953</v>
      </c>
      <c r="AO103" s="55" t="str">
        <f t="shared" ref="AO103:AO150" si="0">IF(P103="","",
    4.1868*(P103+Q103*((R103/$AO$98)/SINH(R103/$AO$98))^2+S103*((T103/$AO$98)/COSH(T103/$AO$98))^2+U103*((V103/$AO$98)/SINH(V103/$AO$98))^2+W103*((X103/$AO$98)/COSH(X103/$AO$98))^2)/$E103)</f>
        <v/>
      </c>
      <c r="AP103" s="55" t="str">
        <f>IF(Y103="","",
    (Y103+Z103*$AO$98+AA103*$AO$98^2+AB103*$AO$98^3)/E103)</f>
        <v/>
      </c>
      <c r="AQ103" s="55" t="str">
        <f t="shared" ref="AQ103:AQ150" si="1">IF(AC103="","",
    4.1868*(AC103+AD103*$AO$96+AE103*$AO$96^2+AF103*$AO$96^3)/$E103)</f>
        <v/>
      </c>
      <c r="AR103" s="55" t="str">
        <f t="shared" ref="AR103:AR150" si="2">IF(AG103="","",
    (AG103+AH103*($AO$98/1000)+AI103*($AO$98/1000)^2+AJ103*($AO$98/1000)^3+AK103/($AO$98/1000)^2)/$E103)</f>
        <v/>
      </c>
    </row>
    <row r="104" spans="1:44" ht="15" x14ac:dyDescent="0.4">
      <c r="B104" s="41" t="s">
        <v>250</v>
      </c>
      <c r="C104" s="49">
        <v>201</v>
      </c>
      <c r="D104" s="41" t="s">
        <v>645</v>
      </c>
      <c r="E104" s="53">
        <v>68.119</v>
      </c>
      <c r="F104" s="53">
        <v>483.82</v>
      </c>
      <c r="G104" s="53">
        <v>38.514000000000003</v>
      </c>
      <c r="H104" s="53">
        <v>215.5</v>
      </c>
      <c r="I104" s="53">
        <v>9.2347000000000001</v>
      </c>
      <c r="J104" s="53">
        <v>2467.4</v>
      </c>
      <c r="K104" s="53">
        <v>-39.639000000000003</v>
      </c>
      <c r="L104" s="53">
        <v>0.68100000000000005</v>
      </c>
      <c r="M104" s="53">
        <v>292.82</v>
      </c>
      <c r="N104" s="53">
        <v>1.0900000000000001</v>
      </c>
      <c r="O104" s="56">
        <v>0.17449999999999999</v>
      </c>
      <c r="AO104" s="55" t="str">
        <f t="shared" si="0"/>
        <v/>
      </c>
      <c r="AP104" s="55" t="str">
        <f>IF(Y104="","",
    (Y104+Z104*$AO$98+AA104*$AO$98^2+AB104*$AO$98^3)/E104)</f>
        <v/>
      </c>
      <c r="AQ104" s="55" t="str">
        <f t="shared" si="1"/>
        <v/>
      </c>
      <c r="AR104" s="55" t="str">
        <f t="shared" si="2"/>
        <v/>
      </c>
    </row>
    <row r="105" spans="1:44" ht="15" x14ac:dyDescent="0.4">
      <c r="B105" s="41" t="s">
        <v>262</v>
      </c>
      <c r="C105" s="49">
        <v>77</v>
      </c>
      <c r="D105" s="41" t="s">
        <v>646</v>
      </c>
      <c r="E105" s="49">
        <v>26.038</v>
      </c>
      <c r="F105" s="49">
        <v>308.12</v>
      </c>
      <c r="G105" s="49">
        <v>61.42</v>
      </c>
      <c r="H105" s="49">
        <v>192.59</v>
      </c>
      <c r="I105" s="53">
        <v>9.7279999999999998</v>
      </c>
      <c r="J105" s="53">
        <v>1637.1</v>
      </c>
      <c r="K105" s="53">
        <v>-19.772000000000002</v>
      </c>
      <c r="L105" s="49">
        <v>0.61499999999999999</v>
      </c>
      <c r="M105" s="53">
        <v>188.82</v>
      </c>
      <c r="N105" s="49">
        <v>1.23</v>
      </c>
      <c r="O105" s="54">
        <v>0.19489999999999999</v>
      </c>
      <c r="Y105" s="53">
        <v>21.8</v>
      </c>
      <c r="Z105" s="57">
        <v>9.2143000000000003E-2</v>
      </c>
      <c r="AA105" s="57">
        <v>-6.5270000000000004E-5</v>
      </c>
      <c r="AB105" s="57">
        <v>1.8209999999999999E-8</v>
      </c>
      <c r="AC105" s="49">
        <v>5.21</v>
      </c>
      <c r="AD105" s="49">
        <v>1.2227E-2</v>
      </c>
      <c r="AE105" s="49">
        <v>-4.8119999999999998E-6</v>
      </c>
      <c r="AF105" s="49">
        <v>7.4570000000000002E-10</v>
      </c>
      <c r="AG105" s="49">
        <v>40.686970000000002</v>
      </c>
      <c r="AH105" s="49">
        <v>40.732790000000001</v>
      </c>
      <c r="AI105" s="49">
        <v>-16.1784</v>
      </c>
      <c r="AJ105" s="49">
        <v>3.6697410000000001</v>
      </c>
      <c r="AK105" s="49">
        <v>-0.65841099999999997</v>
      </c>
      <c r="AL105" s="49">
        <v>210.70670000000001</v>
      </c>
      <c r="AM105" s="49">
        <v>235.0052</v>
      </c>
      <c r="AN105" s="49">
        <v>226.73140000000001</v>
      </c>
      <c r="AO105" s="55" t="str">
        <f t="shared" si="0"/>
        <v/>
      </c>
      <c r="AP105" s="55">
        <f>IF(Y105="","",
    (Y105+Z105*$AO$98+AA105*$AO$98^2+AB105*$AO$98^3)/$E105)</f>
        <v>1.721069726498146</v>
      </c>
      <c r="AQ105" s="55">
        <f t="shared" si="1"/>
        <v>1.721584615632223</v>
      </c>
      <c r="AR105" s="55">
        <f t="shared" si="2"/>
        <v>1.7380161779997452</v>
      </c>
    </row>
    <row r="106" spans="1:44" x14ac:dyDescent="0.3">
      <c r="B106" s="41" t="s">
        <v>263</v>
      </c>
      <c r="C106" s="49"/>
      <c r="D106" s="32"/>
      <c r="E106" s="49">
        <v>28.97</v>
      </c>
      <c r="F106" s="49">
        <v>132</v>
      </c>
      <c r="G106" s="49">
        <v>37.799999999999997</v>
      </c>
      <c r="H106" s="49"/>
      <c r="I106" s="32"/>
      <c r="J106" s="32"/>
      <c r="K106" s="32"/>
      <c r="L106" s="32"/>
      <c r="M106" s="32"/>
      <c r="N106" s="49">
        <v>1.4</v>
      </c>
      <c r="O106" s="54"/>
      <c r="Y106" s="53">
        <v>28.11</v>
      </c>
      <c r="Z106" s="57">
        <v>1.967E-3</v>
      </c>
      <c r="AA106" s="57">
        <v>4.8019999999999999E-6</v>
      </c>
      <c r="AB106" s="57">
        <v>-1.966E-9</v>
      </c>
      <c r="AC106" s="53">
        <v>6.7130000000000001</v>
      </c>
      <c r="AD106" s="53">
        <v>2.609E-4</v>
      </c>
      <c r="AE106" s="53">
        <v>3.5400000000000002E-7</v>
      </c>
      <c r="AF106" s="53">
        <v>-8.0519999999999997E-11</v>
      </c>
      <c r="AO106" s="55" t="str">
        <f t="shared" si="0"/>
        <v/>
      </c>
      <c r="AP106" s="55">
        <f t="shared" ref="AP106:AP150" si="3">IF(Y106="","",
    (Y106+Z106*$AO$98+AA106*$AO$98^2+AB106*$AO$98^3)/E106)</f>
        <v>1.0057470307637348</v>
      </c>
      <c r="AQ106" s="55">
        <f t="shared" si="1"/>
        <v>1.0056001790916904</v>
      </c>
      <c r="AR106" s="55" t="str">
        <f t="shared" si="2"/>
        <v/>
      </c>
    </row>
    <row r="107" spans="1:44" ht="15" x14ac:dyDescent="0.4">
      <c r="B107" s="41" t="s">
        <v>266</v>
      </c>
      <c r="C107" s="49">
        <v>22</v>
      </c>
      <c r="D107" s="41" t="s">
        <v>647</v>
      </c>
      <c r="E107" s="49">
        <v>17.030999999999999</v>
      </c>
      <c r="F107" s="49">
        <v>405.42</v>
      </c>
      <c r="G107" s="49">
        <v>112.81</v>
      </c>
      <c r="H107" s="49">
        <v>164</v>
      </c>
      <c r="I107" s="49">
        <v>10.327999999999999</v>
      </c>
      <c r="J107" s="49">
        <v>2132.5</v>
      </c>
      <c r="K107" s="49">
        <v>-32.978000000000002</v>
      </c>
      <c r="L107" s="49">
        <v>0.63900000000000001</v>
      </c>
      <c r="M107" s="53">
        <v>273.04000000000002</v>
      </c>
      <c r="N107" s="49">
        <v>1.31</v>
      </c>
      <c r="O107" s="54">
        <v>0.25580000000000003</v>
      </c>
      <c r="Y107" s="53">
        <v>27.568000000000001</v>
      </c>
      <c r="Z107" s="57">
        <v>2.563E-2</v>
      </c>
      <c r="AA107" s="57">
        <v>9.9072000000000006E-6</v>
      </c>
      <c r="AB107" s="57">
        <v>-6.6908999999999997E-9</v>
      </c>
      <c r="AC107" s="53">
        <v>6.5846</v>
      </c>
      <c r="AD107" s="53">
        <v>3.4028000000000001E-3</v>
      </c>
      <c r="AE107" s="53">
        <v>7.3033999999999996E-7</v>
      </c>
      <c r="AF107" s="53">
        <v>-2.7402E-10</v>
      </c>
      <c r="AG107" s="53">
        <v>19.995629999999998</v>
      </c>
      <c r="AH107" s="53">
        <v>49.771189999999997</v>
      </c>
      <c r="AI107" s="53">
        <v>-15.37599</v>
      </c>
      <c r="AJ107" s="53">
        <v>1.921168</v>
      </c>
      <c r="AK107" s="53">
        <v>0.18917400000000001</v>
      </c>
      <c r="AL107" s="53">
        <v>-53.306669999999997</v>
      </c>
      <c r="AM107" s="53">
        <v>203.85910000000001</v>
      </c>
      <c r="AN107" s="53">
        <v>-45.898060000000001</v>
      </c>
      <c r="AO107" s="55" t="str">
        <f t="shared" si="0"/>
        <v/>
      </c>
      <c r="AP107" s="55">
        <f t="shared" si="3"/>
        <v>2.1349360944312248</v>
      </c>
      <c r="AQ107" s="55">
        <f t="shared" si="1"/>
        <v>2.1352232821371224</v>
      </c>
      <c r="AR107" s="55">
        <f t="shared" si="2"/>
        <v>2.1174192918497732</v>
      </c>
    </row>
    <row r="108" spans="1:44" x14ac:dyDescent="0.3">
      <c r="B108" s="41" t="s">
        <v>267</v>
      </c>
      <c r="C108" s="49">
        <v>1</v>
      </c>
      <c r="D108" s="41" t="s">
        <v>364</v>
      </c>
      <c r="E108" s="49">
        <v>39.948</v>
      </c>
      <c r="F108" s="49">
        <v>150.62</v>
      </c>
      <c r="G108" s="49">
        <v>48.750999999999998</v>
      </c>
      <c r="H108" s="49">
        <v>83.78</v>
      </c>
      <c r="I108" s="49">
        <v>8.6128999999999998</v>
      </c>
      <c r="J108" s="49">
        <v>700.5</v>
      </c>
      <c r="K108" s="49">
        <v>-5.8389000000000006</v>
      </c>
      <c r="L108" s="49">
        <v>1.373</v>
      </c>
      <c r="M108" s="53">
        <v>89.817000000000007</v>
      </c>
      <c r="N108" s="49">
        <v>1.67</v>
      </c>
      <c r="O108" s="54">
        <v>4.0000000000000001E-3</v>
      </c>
      <c r="P108" s="36">
        <v>4.9649999999999999</v>
      </c>
      <c r="Q108" s="36">
        <v>0</v>
      </c>
      <c r="R108" s="36">
        <v>100</v>
      </c>
      <c r="S108" s="36">
        <v>0</v>
      </c>
      <c r="T108" s="36">
        <v>100</v>
      </c>
      <c r="U108" s="36">
        <v>0</v>
      </c>
      <c r="V108" s="36">
        <v>100</v>
      </c>
      <c r="W108" s="36">
        <v>0</v>
      </c>
      <c r="X108" s="36">
        <v>100</v>
      </c>
      <c r="AG108" s="36">
        <v>20.786000000000001</v>
      </c>
      <c r="AH108" s="58">
        <v>2.8259110000000001E-7</v>
      </c>
      <c r="AI108" s="58">
        <v>-1.464191E-7</v>
      </c>
      <c r="AJ108" s="58">
        <v>1.092131E-8</v>
      </c>
      <c r="AK108" s="58">
        <v>-3.661371E-8</v>
      </c>
      <c r="AL108" s="36">
        <v>-6.1973500000000001</v>
      </c>
      <c r="AM108" s="36">
        <v>179.999</v>
      </c>
      <c r="AN108" s="36">
        <v>0</v>
      </c>
      <c r="AO108" s="59">
        <f t="shared" si="0"/>
        <v>0.52036302192850703</v>
      </c>
      <c r="AP108" s="55" t="str">
        <f t="shared" si="3"/>
        <v/>
      </c>
      <c r="AQ108" s="55" t="str">
        <f t="shared" si="1"/>
        <v/>
      </c>
      <c r="AR108" s="60">
        <f t="shared" si="2"/>
        <v>0.52032641686945369</v>
      </c>
    </row>
    <row r="109" spans="1:44" ht="15" x14ac:dyDescent="0.4">
      <c r="B109" s="41" t="s">
        <v>268</v>
      </c>
      <c r="C109" s="49">
        <v>242</v>
      </c>
      <c r="D109" s="41" t="s">
        <v>648</v>
      </c>
      <c r="E109" s="49">
        <v>78.114000000000004</v>
      </c>
      <c r="F109" s="49">
        <v>561.91999999999996</v>
      </c>
      <c r="G109" s="49">
        <v>48.953000000000003</v>
      </c>
      <c r="H109" s="49">
        <v>287.7</v>
      </c>
      <c r="I109" s="49">
        <v>9.2807000000000013</v>
      </c>
      <c r="J109" s="49">
        <v>2788.5</v>
      </c>
      <c r="K109" s="49">
        <v>-52.361000000000004</v>
      </c>
      <c r="L109" s="49">
        <v>0.88500000000000001</v>
      </c>
      <c r="M109" s="53">
        <v>288.82</v>
      </c>
      <c r="N109" s="49">
        <v>1.1100000000000001</v>
      </c>
      <c r="O109" s="54">
        <v>0.20899999999999999</v>
      </c>
      <c r="Y109" s="53">
        <v>-36.22</v>
      </c>
      <c r="Z109" s="53">
        <v>0.48475000000000001</v>
      </c>
      <c r="AA109" s="53">
        <v>-3.1569999999999998E-4</v>
      </c>
      <c r="AB109" s="53">
        <v>7.7620000000000003E-8</v>
      </c>
      <c r="AC109" s="61">
        <v>-8.65</v>
      </c>
      <c r="AD109" s="61">
        <v>6.4322000000000004E-2</v>
      </c>
      <c r="AE109" s="61">
        <v>-2.3269999999999999E-5</v>
      </c>
      <c r="AF109" s="61">
        <v>3.1789999999999999E-9</v>
      </c>
      <c r="AO109" s="55" t="str">
        <f t="shared" si="0"/>
        <v/>
      </c>
      <c r="AP109" s="55">
        <f t="shared" si="3"/>
        <v>1.1138155029734687</v>
      </c>
      <c r="AQ109" s="55">
        <f t="shared" si="1"/>
        <v>1.1139007777582512</v>
      </c>
      <c r="AR109" s="55" t="str">
        <f t="shared" si="2"/>
        <v/>
      </c>
    </row>
    <row r="110" spans="1:44" ht="15" x14ac:dyDescent="0.4">
      <c r="B110" s="41" t="s">
        <v>269</v>
      </c>
      <c r="C110" s="49">
        <v>379</v>
      </c>
      <c r="D110" s="41" t="s">
        <v>649</v>
      </c>
      <c r="E110" s="49">
        <v>120.19499999999999</v>
      </c>
      <c r="F110" s="49">
        <v>630.82000000000005</v>
      </c>
      <c r="G110" s="49">
        <v>32.128999999999998</v>
      </c>
      <c r="H110" s="49">
        <v>343.17</v>
      </c>
      <c r="I110" s="49">
        <v>9.3521000000000001</v>
      </c>
      <c r="J110" s="49">
        <v>3363.6</v>
      </c>
      <c r="K110" s="49">
        <v>-63.372</v>
      </c>
      <c r="L110" s="49">
        <v>0.86199999999999999</v>
      </c>
      <c r="M110" s="53">
        <v>292.82</v>
      </c>
      <c r="N110" s="49">
        <v>1.06</v>
      </c>
      <c r="O110" s="54">
        <v>0.32600000000000001</v>
      </c>
      <c r="AO110" s="55" t="str">
        <f t="shared" si="0"/>
        <v/>
      </c>
      <c r="AP110" s="55" t="str">
        <f t="shared" si="3"/>
        <v/>
      </c>
      <c r="AQ110" s="55" t="str">
        <f t="shared" si="1"/>
        <v/>
      </c>
      <c r="AR110" s="55" t="str">
        <f t="shared" si="2"/>
        <v/>
      </c>
    </row>
    <row r="111" spans="1:44" ht="15" x14ac:dyDescent="0.4">
      <c r="B111" s="41" t="s">
        <v>270</v>
      </c>
      <c r="C111" s="49">
        <v>181</v>
      </c>
      <c r="D111" s="41" t="s">
        <v>650</v>
      </c>
      <c r="E111" s="49">
        <v>58.124000000000002</v>
      </c>
      <c r="F111" s="49">
        <v>425.02</v>
      </c>
      <c r="G111" s="49">
        <v>38.006999999999998</v>
      </c>
      <c r="H111" s="49">
        <v>135.41999999999999</v>
      </c>
      <c r="I111" s="49">
        <v>9.0580999999999996</v>
      </c>
      <c r="J111" s="49">
        <v>2154.9</v>
      </c>
      <c r="K111" s="49">
        <v>-34.422000000000004</v>
      </c>
      <c r="L111" s="49">
        <v>0.57899999999999996</v>
      </c>
      <c r="M111" s="53">
        <v>292.82</v>
      </c>
      <c r="N111" s="49">
        <v>1.0900000000000001</v>
      </c>
      <c r="O111" s="54">
        <v>0.1981</v>
      </c>
      <c r="P111" s="36">
        <v>18.638300000000001</v>
      </c>
      <c r="Q111" s="36">
        <v>57.4178</v>
      </c>
      <c r="R111" s="36">
        <v>1792.73</v>
      </c>
      <c r="S111" s="36">
        <v>38.6599</v>
      </c>
      <c r="T111" s="36">
        <v>814.15099999999995</v>
      </c>
      <c r="U111" s="36">
        <v>0</v>
      </c>
      <c r="V111" s="36">
        <v>100</v>
      </c>
      <c r="W111" s="36">
        <v>0</v>
      </c>
      <c r="X111" s="36">
        <v>100</v>
      </c>
      <c r="Y111" s="53">
        <v>3.96</v>
      </c>
      <c r="Z111" s="57">
        <v>0.3715</v>
      </c>
      <c r="AA111" s="57">
        <v>-1.8340000000000001E-4</v>
      </c>
      <c r="AB111" s="57">
        <v>3.5000000000000002E-8</v>
      </c>
      <c r="AC111" s="53">
        <v>0.94499999999999995</v>
      </c>
      <c r="AD111" s="53">
        <v>4.929E-2</v>
      </c>
      <c r="AE111" s="53">
        <v>-1.3519999999999999E-5</v>
      </c>
      <c r="AF111" s="53">
        <v>1.4329999999999999E-9</v>
      </c>
      <c r="AO111" s="55">
        <f t="shared" si="0"/>
        <v>1.7592469943299773</v>
      </c>
      <c r="AP111" s="55">
        <f t="shared" si="3"/>
        <v>1.7787020707423888</v>
      </c>
      <c r="AQ111" s="55">
        <f t="shared" si="1"/>
        <v>1.7784251709106211</v>
      </c>
      <c r="AR111" s="55" t="str">
        <f t="shared" si="2"/>
        <v/>
      </c>
    </row>
    <row r="112" spans="1:44" ht="15" x14ac:dyDescent="0.4">
      <c r="B112" s="41" t="s">
        <v>254</v>
      </c>
      <c r="C112" s="49">
        <v>224</v>
      </c>
      <c r="D112" s="40" t="s">
        <v>651</v>
      </c>
      <c r="E112" s="49">
        <v>72.150999999999996</v>
      </c>
      <c r="F112" s="49">
        <v>460.22</v>
      </c>
      <c r="G112" s="49">
        <v>33.852000000000004</v>
      </c>
      <c r="H112" s="49">
        <v>190.2</v>
      </c>
      <c r="I112" s="49">
        <v>9.0137</v>
      </c>
      <c r="J112" s="49">
        <v>2348.6</v>
      </c>
      <c r="K112" s="49">
        <v>-40.049999999999997</v>
      </c>
      <c r="L112" s="49">
        <v>0.62</v>
      </c>
      <c r="M112" s="53">
        <v>292.82</v>
      </c>
      <c r="N112" s="49">
        <v>1.08</v>
      </c>
      <c r="O112" s="54">
        <v>0.2286</v>
      </c>
      <c r="P112" s="36">
        <v>22.501200000000001</v>
      </c>
      <c r="Q112" s="36">
        <v>69.578900000000004</v>
      </c>
      <c r="R112" s="36">
        <v>1719.58</v>
      </c>
      <c r="S112" s="36">
        <v>46.21264</v>
      </c>
      <c r="T112" s="36">
        <v>802.17399999999998</v>
      </c>
      <c r="U112" s="36">
        <v>0</v>
      </c>
      <c r="V112" s="36">
        <v>100</v>
      </c>
      <c r="W112" s="36">
        <v>0</v>
      </c>
      <c r="X112" s="36">
        <v>100</v>
      </c>
      <c r="Y112" s="62"/>
      <c r="Z112" s="62"/>
      <c r="AA112" s="62"/>
      <c r="AB112" s="62"/>
      <c r="AC112" s="62"/>
      <c r="AD112" s="62"/>
      <c r="AE112" s="62"/>
      <c r="AF112" s="62"/>
      <c r="AO112" s="55">
        <f t="shared" si="0"/>
        <v>1.7283004814456813</v>
      </c>
      <c r="AP112" s="55" t="str">
        <f t="shared" si="3"/>
        <v/>
      </c>
      <c r="AQ112" s="55" t="str">
        <f t="shared" si="1"/>
        <v/>
      </c>
      <c r="AR112" s="55" t="str">
        <f t="shared" si="2"/>
        <v/>
      </c>
    </row>
    <row r="113" spans="2:44" ht="15" x14ac:dyDescent="0.4">
      <c r="B113" s="41" t="s">
        <v>271</v>
      </c>
      <c r="C113" s="49">
        <v>46</v>
      </c>
      <c r="D113" s="40" t="s">
        <v>652</v>
      </c>
      <c r="E113" s="49">
        <v>44.01</v>
      </c>
      <c r="F113" s="49">
        <v>304.02</v>
      </c>
      <c r="G113" s="49">
        <v>73.784999999999997</v>
      </c>
      <c r="H113" s="49">
        <v>154.26</v>
      </c>
      <c r="I113" s="49">
        <v>15.97</v>
      </c>
      <c r="J113" s="49">
        <v>3103.3</v>
      </c>
      <c r="K113" s="49">
        <v>-0.16111</v>
      </c>
      <c r="L113" s="49">
        <v>0.77700000000000002</v>
      </c>
      <c r="M113" s="53">
        <v>292.82</v>
      </c>
      <c r="N113" s="49">
        <v>1.29</v>
      </c>
      <c r="O113" s="54">
        <v>0.26669999999999999</v>
      </c>
      <c r="P113" s="36">
        <v>6.9623699999999999</v>
      </c>
      <c r="Q113" s="36">
        <v>2.6864499999999998</v>
      </c>
      <c r="R113" s="36">
        <v>500.37099999999998</v>
      </c>
      <c r="S113" s="36">
        <v>-2.5642900000000002</v>
      </c>
      <c r="T113" s="36">
        <v>-530.44299999999998</v>
      </c>
      <c r="U113" s="36">
        <v>3.9192100000000001</v>
      </c>
      <c r="V113" s="36">
        <v>500.19799999999998</v>
      </c>
      <c r="W113" s="36">
        <v>2.1328999999999998</v>
      </c>
      <c r="X113" s="36">
        <v>2197.2199999999998</v>
      </c>
      <c r="Y113" s="53">
        <v>22.26</v>
      </c>
      <c r="Z113" s="53">
        <v>5.9810000000000002E-2</v>
      </c>
      <c r="AA113" s="53">
        <v>-3.5009999999999999E-5</v>
      </c>
      <c r="AB113" s="53">
        <v>7.4690000000000006E-9</v>
      </c>
      <c r="AC113" s="53">
        <v>5.3159999999999998</v>
      </c>
      <c r="AD113" s="53">
        <v>7.9360999999999998E-3</v>
      </c>
      <c r="AE113" s="53">
        <v>-2.5809999999999999E-6</v>
      </c>
      <c r="AF113" s="53">
        <v>3.059E-10</v>
      </c>
      <c r="AG113" s="53">
        <v>24.997350000000001</v>
      </c>
      <c r="AH113" s="53">
        <v>55.186959999999999</v>
      </c>
      <c r="AI113" s="53">
        <v>-33.691369999999999</v>
      </c>
      <c r="AJ113" s="53">
        <v>7.9483870000000003</v>
      </c>
      <c r="AK113" s="53">
        <v>-0.13663800000000001</v>
      </c>
      <c r="AL113" s="53">
        <v>-403.60750000000002</v>
      </c>
      <c r="AM113" s="53">
        <v>228.2431</v>
      </c>
      <c r="AN113" s="53">
        <v>-393.5224</v>
      </c>
      <c r="AO113" s="55">
        <f t="shared" si="0"/>
        <v>0.85959356860421754</v>
      </c>
      <c r="AP113" s="55">
        <f t="shared" si="3"/>
        <v>0.85857031706662024</v>
      </c>
      <c r="AQ113" s="55">
        <f t="shared" si="1"/>
        <v>0.85848714311178742</v>
      </c>
      <c r="AR113" s="55">
        <f t="shared" si="2"/>
        <v>0.85948611519241436</v>
      </c>
    </row>
    <row r="114" spans="2:44" x14ac:dyDescent="0.3">
      <c r="B114" s="41" t="s">
        <v>272</v>
      </c>
      <c r="C114" s="49">
        <v>44</v>
      </c>
      <c r="D114" s="41" t="s">
        <v>365</v>
      </c>
      <c r="E114" s="49">
        <v>28.01</v>
      </c>
      <c r="F114" s="49">
        <v>132.72</v>
      </c>
      <c r="G114" s="49">
        <v>34.966999999999999</v>
      </c>
      <c r="H114" s="63">
        <v>50</v>
      </c>
      <c r="I114" s="49">
        <v>7.7484999999999999</v>
      </c>
      <c r="J114" s="49">
        <v>530.20000000000005</v>
      </c>
      <c r="K114" s="49">
        <v>-13.15</v>
      </c>
      <c r="L114" s="49">
        <v>0.80300000000000005</v>
      </c>
      <c r="M114" s="53">
        <v>80.817000000000007</v>
      </c>
      <c r="N114" s="49">
        <v>1.4</v>
      </c>
      <c r="O114" s="54">
        <v>4.7699999999999999E-2</v>
      </c>
      <c r="P114" s="36">
        <v>6.9585400000000002</v>
      </c>
      <c r="Q114" s="36">
        <v>2.02441</v>
      </c>
      <c r="R114" s="36">
        <v>1541.22</v>
      </c>
      <c r="S114" s="36">
        <v>9.6773999999999999E-2</v>
      </c>
      <c r="T114" s="36">
        <v>3674.81</v>
      </c>
      <c r="U114" s="36">
        <v>0</v>
      </c>
      <c r="V114" s="36">
        <v>100</v>
      </c>
      <c r="W114" s="36">
        <v>0</v>
      </c>
      <c r="X114" s="36">
        <v>100</v>
      </c>
      <c r="Y114" s="53">
        <v>28.16</v>
      </c>
      <c r="Z114" s="53">
        <v>1.6750000000000001E-3</v>
      </c>
      <c r="AA114" s="53">
        <v>5.3720000000000004E-6</v>
      </c>
      <c r="AB114" s="53">
        <v>-2.222E-9</v>
      </c>
      <c r="AC114" s="49">
        <v>6.726</v>
      </c>
      <c r="AD114" s="49">
        <v>2.2220000000000001E-4</v>
      </c>
      <c r="AE114" s="49">
        <v>3.96E-7</v>
      </c>
      <c r="AF114" s="49">
        <v>-9.0999999999999996E-11</v>
      </c>
      <c r="AG114" s="49">
        <v>25.567589999999999</v>
      </c>
      <c r="AH114" s="49">
        <v>6.0961299999999996</v>
      </c>
      <c r="AI114" s="49">
        <v>4.0546559999999996</v>
      </c>
      <c r="AJ114" s="49">
        <v>-2.6713010000000001</v>
      </c>
      <c r="AK114" s="49">
        <v>0.131021</v>
      </c>
      <c r="AL114" s="49">
        <v>-118.0089</v>
      </c>
      <c r="AM114" s="49">
        <v>227.3665</v>
      </c>
      <c r="AN114" s="49">
        <v>-110.5271</v>
      </c>
      <c r="AO114" s="55">
        <f t="shared" si="0"/>
        <v>1.0416860854021055</v>
      </c>
      <c r="AP114" s="55">
        <f t="shared" si="3"/>
        <v>1.0404529166576257</v>
      </c>
      <c r="AQ114" s="55">
        <f t="shared" si="1"/>
        <v>1.0404622221769793</v>
      </c>
      <c r="AR114" s="55">
        <f t="shared" si="2"/>
        <v>1.0399237506701031</v>
      </c>
    </row>
    <row r="115" spans="2:44" s="50" customFormat="1" ht="15" x14ac:dyDescent="0.4">
      <c r="B115" s="41" t="s">
        <v>273</v>
      </c>
      <c r="C115" s="49">
        <v>6</v>
      </c>
      <c r="D115" s="40" t="s">
        <v>653</v>
      </c>
      <c r="E115" s="49">
        <v>70.906000000000006</v>
      </c>
      <c r="F115" s="49">
        <v>416.82</v>
      </c>
      <c r="G115" s="49">
        <v>79.841000000000008</v>
      </c>
      <c r="H115" s="49">
        <v>155</v>
      </c>
      <c r="I115" s="49">
        <v>9.3409000000000013</v>
      </c>
      <c r="J115" s="49">
        <v>1978.3</v>
      </c>
      <c r="K115" s="49">
        <v>-27.010999999999999</v>
      </c>
      <c r="L115" s="49">
        <v>1.5629999999999999</v>
      </c>
      <c r="M115" s="49">
        <v>238.93</v>
      </c>
      <c r="N115" s="49">
        <v>1.33</v>
      </c>
      <c r="O115" s="54">
        <v>8.7800000000000003E-2</v>
      </c>
      <c r="Y115" s="64"/>
      <c r="Z115" s="64"/>
      <c r="AA115" s="64"/>
      <c r="AB115" s="64"/>
      <c r="AC115" s="64"/>
      <c r="AD115" s="64"/>
      <c r="AE115" s="64"/>
      <c r="AF115" s="64"/>
      <c r="AG115" s="47">
        <v>33.050600000000003</v>
      </c>
      <c r="AH115" s="47">
        <v>12.2294</v>
      </c>
      <c r="AI115" s="47">
        <v>-12.065099999999999</v>
      </c>
      <c r="AJ115" s="47">
        <v>4.3853299999999997</v>
      </c>
      <c r="AK115" s="47">
        <v>-0.159494</v>
      </c>
      <c r="AL115" s="47">
        <v>-10.8348</v>
      </c>
      <c r="AM115" s="47">
        <v>259.029</v>
      </c>
      <c r="AN115" s="47">
        <v>0</v>
      </c>
      <c r="AO115" s="65" t="str">
        <f t="shared" si="0"/>
        <v/>
      </c>
      <c r="AP115" s="65" t="str">
        <f t="shared" si="3"/>
        <v/>
      </c>
      <c r="AQ115" s="65" t="str">
        <f t="shared" si="1"/>
        <v/>
      </c>
      <c r="AR115" s="65">
        <f t="shared" si="2"/>
        <v>0.48240372633948214</v>
      </c>
    </row>
    <row r="116" spans="2:44" ht="15" x14ac:dyDescent="0.4">
      <c r="B116" s="41" t="s">
        <v>274</v>
      </c>
      <c r="C116" s="49">
        <v>249</v>
      </c>
      <c r="D116" s="40" t="s">
        <v>654</v>
      </c>
      <c r="E116" s="49">
        <v>84.162000000000006</v>
      </c>
      <c r="F116" s="49">
        <v>553.22</v>
      </c>
      <c r="G116" s="49">
        <v>40.744</v>
      </c>
      <c r="H116" s="49">
        <v>293.06</v>
      </c>
      <c r="I116" s="49">
        <v>9.1326000000000001</v>
      </c>
      <c r="J116" s="49">
        <v>2766.6</v>
      </c>
      <c r="K116" s="49">
        <v>-50.5</v>
      </c>
      <c r="L116" s="49">
        <v>0.77900000000000003</v>
      </c>
      <c r="M116" s="53">
        <v>292.82</v>
      </c>
      <c r="N116" s="49">
        <v>1.0900000000000001</v>
      </c>
      <c r="O116" s="54">
        <v>2.9399999999999999E-2</v>
      </c>
      <c r="Y116" s="62"/>
      <c r="Z116" s="62"/>
      <c r="AA116" s="62"/>
      <c r="AB116" s="62"/>
      <c r="AC116" s="62"/>
      <c r="AD116" s="62"/>
      <c r="AE116" s="62"/>
      <c r="AF116" s="62"/>
      <c r="AO116" s="55" t="str">
        <f t="shared" si="0"/>
        <v/>
      </c>
      <c r="AP116" s="55" t="str">
        <f t="shared" si="3"/>
        <v/>
      </c>
      <c r="AQ116" s="55" t="str">
        <f t="shared" si="1"/>
        <v/>
      </c>
      <c r="AR116" s="55" t="str">
        <f t="shared" si="2"/>
        <v/>
      </c>
    </row>
    <row r="117" spans="2:44" ht="15" x14ac:dyDescent="0.4">
      <c r="B117" s="41" t="s">
        <v>275</v>
      </c>
      <c r="C117" s="49">
        <v>204</v>
      </c>
      <c r="D117" s="40" t="s">
        <v>655</v>
      </c>
      <c r="E117" s="49">
        <v>70.135000000000005</v>
      </c>
      <c r="F117" s="49">
        <v>511.42</v>
      </c>
      <c r="G117" s="49">
        <v>45.102000000000004</v>
      </c>
      <c r="H117" s="49">
        <v>225.9</v>
      </c>
      <c r="I117" s="49">
        <v>9.2373000000000012</v>
      </c>
      <c r="J117" s="49">
        <v>2588.4</v>
      </c>
      <c r="K117" s="49">
        <v>-41.789000000000001</v>
      </c>
      <c r="L117" s="49">
        <v>0.745</v>
      </c>
      <c r="M117" s="53">
        <v>292.82</v>
      </c>
      <c r="N117" s="49">
        <v>1.1100000000000001</v>
      </c>
      <c r="O117" s="54">
        <v>0.1938</v>
      </c>
      <c r="Y117" s="62"/>
      <c r="Z117" s="62"/>
      <c r="AA117" s="62"/>
      <c r="AB117" s="62"/>
      <c r="AC117" s="62"/>
      <c r="AD117" s="62"/>
      <c r="AE117" s="62"/>
      <c r="AF117" s="62"/>
      <c r="AO117" s="55" t="str">
        <f t="shared" si="0"/>
        <v/>
      </c>
      <c r="AP117" s="55" t="str">
        <f t="shared" si="3"/>
        <v/>
      </c>
      <c r="AQ117" s="55" t="str">
        <f t="shared" si="1"/>
        <v/>
      </c>
      <c r="AR117" s="55" t="str">
        <f t="shared" si="2"/>
        <v/>
      </c>
    </row>
    <row r="118" spans="2:44" ht="15" x14ac:dyDescent="0.4">
      <c r="B118" s="41" t="s">
        <v>276</v>
      </c>
      <c r="C118" s="49">
        <v>418</v>
      </c>
      <c r="D118" s="40" t="s">
        <v>656</v>
      </c>
      <c r="E118" s="49">
        <v>142.286</v>
      </c>
      <c r="F118" s="49">
        <v>617.41999999999996</v>
      </c>
      <c r="G118" s="49">
        <v>21.081</v>
      </c>
      <c r="H118" s="49">
        <v>243.49</v>
      </c>
      <c r="I118" s="49">
        <v>9.3913000000000011</v>
      </c>
      <c r="J118" s="49">
        <v>3456.8</v>
      </c>
      <c r="K118" s="49">
        <v>-78.671999999999997</v>
      </c>
      <c r="L118" s="49">
        <v>0.73</v>
      </c>
      <c r="M118" s="53">
        <v>292.82</v>
      </c>
      <c r="N118" s="49">
        <v>1.04</v>
      </c>
      <c r="O118" s="54">
        <v>0.48809999999999998</v>
      </c>
      <c r="P118" s="36">
        <v>42.714300000000001</v>
      </c>
      <c r="Q118" s="36">
        <v>122.173</v>
      </c>
      <c r="R118" s="36">
        <v>1654.85</v>
      </c>
      <c r="S118" s="36">
        <v>90.225499999999997</v>
      </c>
      <c r="T118" s="36">
        <v>785.56399999999996</v>
      </c>
      <c r="U118" s="36">
        <v>0</v>
      </c>
      <c r="V118" s="36">
        <v>100</v>
      </c>
      <c r="W118" s="36">
        <v>0</v>
      </c>
      <c r="X118" s="36">
        <v>100</v>
      </c>
      <c r="Y118" s="62"/>
      <c r="Z118" s="62"/>
      <c r="AA118" s="62"/>
      <c r="AB118" s="62"/>
      <c r="AC118" s="62"/>
      <c r="AD118" s="62"/>
      <c r="AE118" s="62"/>
      <c r="AF118" s="62"/>
      <c r="AO118" s="55">
        <f t="shared" si="0"/>
        <v>1.7040195901810278</v>
      </c>
      <c r="AP118" s="55" t="str">
        <f t="shared" si="3"/>
        <v/>
      </c>
      <c r="AQ118" s="55" t="str">
        <f t="shared" si="1"/>
        <v/>
      </c>
      <c r="AR118" s="55" t="str">
        <f t="shared" si="2"/>
        <v/>
      </c>
    </row>
    <row r="119" spans="2:44" ht="15" x14ac:dyDescent="0.4">
      <c r="B119" s="41" t="s">
        <v>277</v>
      </c>
      <c r="C119" s="49">
        <v>39</v>
      </c>
      <c r="D119" s="40" t="s">
        <v>657</v>
      </c>
      <c r="E119" s="49">
        <v>120.914</v>
      </c>
      <c r="F119" s="49">
        <v>384.82</v>
      </c>
      <c r="G119" s="49">
        <v>41.250999999999998</v>
      </c>
      <c r="H119" s="49">
        <v>154.6</v>
      </c>
      <c r="I119" s="66">
        <v>8.7753999999999994</v>
      </c>
      <c r="J119" s="66">
        <v>1800.8</v>
      </c>
      <c r="K119" s="66">
        <v>-37.773000000000003</v>
      </c>
      <c r="L119" s="49">
        <v>1.75</v>
      </c>
      <c r="M119" s="53">
        <v>157.82</v>
      </c>
      <c r="N119" s="49">
        <v>1.1299999999999999</v>
      </c>
      <c r="O119" s="54"/>
      <c r="Y119" s="62"/>
      <c r="Z119" s="62"/>
      <c r="AA119" s="62"/>
      <c r="AB119" s="62"/>
      <c r="AC119" s="62"/>
      <c r="AD119" s="62"/>
      <c r="AE119" s="62"/>
      <c r="AF119" s="62"/>
      <c r="AG119" s="36">
        <v>48.01014</v>
      </c>
      <c r="AH119" s="36">
        <v>139.1808</v>
      </c>
      <c r="AI119" s="36">
        <v>-124.3326</v>
      </c>
      <c r="AJ119" s="36">
        <v>39.751469999999998</v>
      </c>
      <c r="AK119" s="36">
        <v>-0.66338339999999996</v>
      </c>
      <c r="AL119" s="36">
        <v>-513.23040000000003</v>
      </c>
      <c r="AM119" s="36">
        <v>319.1028</v>
      </c>
      <c r="AN119" s="36">
        <v>-491.62</v>
      </c>
      <c r="AO119" s="55" t="str">
        <f t="shared" si="0"/>
        <v/>
      </c>
      <c r="AP119" s="55" t="str">
        <f t="shared" si="3"/>
        <v/>
      </c>
      <c r="AQ119" s="55" t="str">
        <f t="shared" si="1"/>
        <v/>
      </c>
      <c r="AR119" s="55">
        <f t="shared" si="2"/>
        <v>0.61083099343773317</v>
      </c>
    </row>
    <row r="120" spans="2:44" ht="15" x14ac:dyDescent="0.4">
      <c r="B120" s="41" t="s">
        <v>278</v>
      </c>
      <c r="C120" s="49">
        <v>100</v>
      </c>
      <c r="D120" s="40" t="s">
        <v>658</v>
      </c>
      <c r="E120" s="49">
        <v>30.07</v>
      </c>
      <c r="F120" s="49">
        <v>305.22000000000003</v>
      </c>
      <c r="G120" s="49">
        <v>48.852000000000004</v>
      </c>
      <c r="H120" s="49">
        <v>91.33</v>
      </c>
      <c r="I120" s="49">
        <v>9.0435999999999996</v>
      </c>
      <c r="J120" s="49">
        <v>1511.4</v>
      </c>
      <c r="K120" s="49">
        <v>-17.161000000000001</v>
      </c>
      <c r="L120" s="49">
        <v>0.54800000000000004</v>
      </c>
      <c r="M120" s="53">
        <v>182.82</v>
      </c>
      <c r="N120" s="49">
        <v>1.19</v>
      </c>
      <c r="O120" s="54">
        <v>9.7199999999999995E-2</v>
      </c>
      <c r="P120" s="36">
        <v>7.9813900000000002</v>
      </c>
      <c r="Q120" s="36">
        <v>24.366800000000001</v>
      </c>
      <c r="R120" s="36">
        <v>752.32</v>
      </c>
      <c r="S120" s="36">
        <v>3.5398999999999998</v>
      </c>
      <c r="T120" s="36">
        <v>272.846</v>
      </c>
      <c r="U120" s="36">
        <v>8.4472400000000007</v>
      </c>
      <c r="V120" s="36">
        <v>1020.13</v>
      </c>
      <c r="W120" s="36">
        <v>-13.273199999999999</v>
      </c>
      <c r="X120" s="36">
        <v>869.51</v>
      </c>
      <c r="Y120" s="53">
        <v>6.9</v>
      </c>
      <c r="Z120" s="53">
        <v>0.17269999999999999</v>
      </c>
      <c r="AA120" s="53">
        <v>-6.4060000000000007E-5</v>
      </c>
      <c r="AB120" s="53">
        <v>7.2850000000000004E-9</v>
      </c>
      <c r="AC120" s="49">
        <v>1.6479999999999999</v>
      </c>
      <c r="AD120" s="49">
        <v>2.291E-2</v>
      </c>
      <c r="AE120" s="49">
        <v>-4.7219999999999999E-6</v>
      </c>
      <c r="AF120" s="49">
        <v>2.9840000000000002E-10</v>
      </c>
      <c r="AO120" s="55">
        <f t="shared" si="0"/>
        <v>1.808188669960046</v>
      </c>
      <c r="AP120" s="55">
        <f t="shared" si="3"/>
        <v>1.8264983341904777</v>
      </c>
      <c r="AQ120" s="55">
        <f t="shared" si="1"/>
        <v>1.8260446901547716</v>
      </c>
      <c r="AR120" s="55" t="str">
        <f t="shared" si="2"/>
        <v/>
      </c>
    </row>
    <row r="121" spans="2:44" ht="15" x14ac:dyDescent="0.4">
      <c r="B121" s="41" t="s">
        <v>265</v>
      </c>
      <c r="C121" s="49">
        <v>102</v>
      </c>
      <c r="D121" s="40" t="s">
        <v>659</v>
      </c>
      <c r="E121" s="49">
        <v>46.069000000000003</v>
      </c>
      <c r="F121" s="49">
        <v>516.02</v>
      </c>
      <c r="G121" s="49">
        <v>63.852000000000004</v>
      </c>
      <c r="H121" s="49">
        <v>273</v>
      </c>
      <c r="I121" s="49">
        <v>12.292</v>
      </c>
      <c r="J121" s="49">
        <v>3803.9</v>
      </c>
      <c r="K121" s="49">
        <v>-41.678000000000004</v>
      </c>
      <c r="L121" s="49">
        <v>0.78900000000000003</v>
      </c>
      <c r="M121" s="53">
        <v>292.82</v>
      </c>
      <c r="N121" s="49">
        <v>1.1499999999999999</v>
      </c>
      <c r="O121" s="54">
        <v>0.64459999999999995</v>
      </c>
      <c r="Y121" s="53">
        <v>19.899999999999999</v>
      </c>
      <c r="Z121" s="53">
        <v>0.20960000000000001</v>
      </c>
      <c r="AA121" s="53">
        <v>-1.038E-4</v>
      </c>
      <c r="AB121" s="53">
        <v>2.0050000000000001E-8</v>
      </c>
      <c r="AC121" s="49">
        <v>4.75</v>
      </c>
      <c r="AD121" s="49">
        <v>2.7810000000000001E-2</v>
      </c>
      <c r="AE121" s="49">
        <v>-7.6510000000000001E-6</v>
      </c>
      <c r="AF121" s="49">
        <v>8.2099999999999996E-10</v>
      </c>
      <c r="AO121" s="55" t="str">
        <f t="shared" si="0"/>
        <v/>
      </c>
      <c r="AP121" s="55">
        <f t="shared" si="3"/>
        <v>1.6491135502903584</v>
      </c>
      <c r="AQ121" s="55">
        <f t="shared" si="1"/>
        <v>1.648745411362617</v>
      </c>
      <c r="AR121" s="55" t="str">
        <f t="shared" si="2"/>
        <v/>
      </c>
    </row>
    <row r="122" spans="2:44" ht="15" x14ac:dyDescent="0.4">
      <c r="B122" s="41" t="s">
        <v>281</v>
      </c>
      <c r="C122" s="49">
        <v>325</v>
      </c>
      <c r="D122" s="40" t="s">
        <v>660</v>
      </c>
      <c r="E122" s="49">
        <v>106.16800000000001</v>
      </c>
      <c r="F122" s="49">
        <v>616.91999999999996</v>
      </c>
      <c r="G122" s="49">
        <v>36.082000000000001</v>
      </c>
      <c r="H122" s="49">
        <v>329.74</v>
      </c>
      <c r="I122" s="49">
        <v>9.3994</v>
      </c>
      <c r="J122" s="49">
        <v>3279.4</v>
      </c>
      <c r="K122" s="49">
        <v>-59.95</v>
      </c>
      <c r="L122" s="49">
        <v>0.86699999999999999</v>
      </c>
      <c r="M122" s="53">
        <v>292.82</v>
      </c>
      <c r="N122" s="49">
        <v>1.07</v>
      </c>
      <c r="O122" s="54">
        <v>0.30270000000000002</v>
      </c>
      <c r="Y122" s="62"/>
      <c r="Z122" s="62"/>
      <c r="AA122" s="62"/>
      <c r="AB122" s="62"/>
      <c r="AC122" s="62"/>
      <c r="AD122" s="62"/>
      <c r="AE122" s="62"/>
      <c r="AF122" s="62"/>
      <c r="AO122" s="55" t="str">
        <f t="shared" si="0"/>
        <v/>
      </c>
      <c r="AP122" s="55" t="str">
        <f t="shared" si="3"/>
        <v/>
      </c>
      <c r="AQ122" s="55" t="str">
        <f t="shared" si="1"/>
        <v/>
      </c>
      <c r="AR122" s="55" t="str">
        <f t="shared" si="2"/>
        <v/>
      </c>
    </row>
    <row r="123" spans="2:44" ht="15" x14ac:dyDescent="0.4">
      <c r="B123" s="41" t="s">
        <v>261</v>
      </c>
      <c r="C123" s="49">
        <v>88</v>
      </c>
      <c r="D123" s="40" t="s">
        <v>661</v>
      </c>
      <c r="E123" s="49">
        <v>28.053999999999998</v>
      </c>
      <c r="F123" s="49">
        <v>287.77</v>
      </c>
      <c r="G123" s="49">
        <v>50.372</v>
      </c>
      <c r="H123" s="49">
        <v>149.37</v>
      </c>
      <c r="I123" s="53">
        <v>8.9167000000000005</v>
      </c>
      <c r="J123" s="53">
        <v>1347</v>
      </c>
      <c r="K123" s="53">
        <v>-18.149999999999999</v>
      </c>
      <c r="L123" s="49">
        <v>0.57699999999999996</v>
      </c>
      <c r="M123" s="53">
        <v>162.82</v>
      </c>
      <c r="N123" s="49">
        <v>1.24</v>
      </c>
      <c r="O123" s="54"/>
      <c r="Y123" s="53">
        <v>3.95</v>
      </c>
      <c r="Z123" s="53">
        <v>0.15640000000000001</v>
      </c>
      <c r="AA123" s="53">
        <v>-8.3440000000000001E-5</v>
      </c>
      <c r="AB123" s="53">
        <v>1.7669999999999999E-8</v>
      </c>
      <c r="AC123" s="49">
        <v>0.94399999999999995</v>
      </c>
      <c r="AD123" s="49">
        <v>2.0750000000000001E-2</v>
      </c>
      <c r="AE123" s="49">
        <v>-6.1510000000000001E-6</v>
      </c>
      <c r="AF123" s="49">
        <v>7.3260000000000003E-10</v>
      </c>
      <c r="AO123" s="55" t="str">
        <f t="shared" si="0"/>
        <v/>
      </c>
      <c r="AP123" s="55">
        <f t="shared" si="3"/>
        <v>1.6142762974433615</v>
      </c>
      <c r="AQ123" s="55">
        <f t="shared" si="1"/>
        <v>1.6143424684705168</v>
      </c>
      <c r="AR123" s="55" t="str">
        <f t="shared" si="2"/>
        <v/>
      </c>
    </row>
    <row r="124" spans="2:44" x14ac:dyDescent="0.3">
      <c r="B124" s="41" t="s">
        <v>283</v>
      </c>
      <c r="C124" s="49">
        <v>24</v>
      </c>
      <c r="D124" s="41" t="s">
        <v>366</v>
      </c>
      <c r="E124" s="49">
        <v>4.0030000000000001</v>
      </c>
      <c r="F124" s="49">
        <v>5.0056000000000003</v>
      </c>
      <c r="G124" s="49">
        <v>2.2704</v>
      </c>
      <c r="H124" s="63">
        <v>1</v>
      </c>
      <c r="I124" s="49">
        <v>5.6313000000000004</v>
      </c>
      <c r="J124" s="49">
        <v>33.733000000000004</v>
      </c>
      <c r="K124" s="49">
        <v>1.7889000000000002</v>
      </c>
      <c r="L124" s="49">
        <v>0.123</v>
      </c>
      <c r="M124" s="53">
        <v>4.0944000000000003</v>
      </c>
      <c r="N124" s="63">
        <v>1.66</v>
      </c>
      <c r="O124" s="54">
        <v>0</v>
      </c>
      <c r="P124" s="36">
        <v>4.9649999999999999</v>
      </c>
      <c r="Q124" s="36">
        <v>0</v>
      </c>
      <c r="R124" s="36">
        <v>100</v>
      </c>
      <c r="S124" s="36">
        <v>0</v>
      </c>
      <c r="T124" s="36">
        <v>100</v>
      </c>
      <c r="U124" s="36">
        <v>0</v>
      </c>
      <c r="V124" s="36">
        <v>100</v>
      </c>
      <c r="W124" s="36">
        <v>0</v>
      </c>
      <c r="X124" s="36">
        <v>100</v>
      </c>
      <c r="Y124" s="62"/>
      <c r="Z124" s="62"/>
      <c r="AA124" s="62"/>
      <c r="AB124" s="62"/>
      <c r="AC124" s="62"/>
      <c r="AD124" s="62"/>
      <c r="AE124" s="62"/>
      <c r="AF124" s="62"/>
      <c r="AG124" s="53">
        <v>20.78603</v>
      </c>
      <c r="AH124" s="53">
        <v>4.8506380000000005E-10</v>
      </c>
      <c r="AI124" s="53">
        <v>-1.582916E-10</v>
      </c>
      <c r="AJ124" s="53">
        <v>1.525102E-11</v>
      </c>
      <c r="AK124" s="53">
        <v>3.1963469999999999E-11</v>
      </c>
      <c r="AL124" s="53">
        <v>-6.1973409999999998</v>
      </c>
      <c r="AM124" s="53">
        <v>151.3064</v>
      </c>
      <c r="AN124" s="53">
        <v>0</v>
      </c>
      <c r="AO124" s="55">
        <f t="shared" si="0"/>
        <v>5.1929707719210585</v>
      </c>
      <c r="AP124" s="55" t="str">
        <f t="shared" si="3"/>
        <v/>
      </c>
      <c r="AQ124" s="55" t="str">
        <f t="shared" si="1"/>
        <v/>
      </c>
      <c r="AR124" s="55">
        <f t="shared" si="2"/>
        <v>5.1926130403354458</v>
      </c>
    </row>
    <row r="125" spans="2:44" ht="15" x14ac:dyDescent="0.4">
      <c r="B125" s="41" t="s">
        <v>284</v>
      </c>
      <c r="C125" s="49">
        <v>308</v>
      </c>
      <c r="D125" s="40" t="s">
        <v>662</v>
      </c>
      <c r="E125" s="49">
        <v>100.205</v>
      </c>
      <c r="F125" s="49">
        <v>540.02</v>
      </c>
      <c r="G125" s="49">
        <v>27.364999999999998</v>
      </c>
      <c r="H125" s="49">
        <v>185.29</v>
      </c>
      <c r="I125" s="49">
        <v>9.2536000000000005</v>
      </c>
      <c r="J125" s="49">
        <v>2911.3</v>
      </c>
      <c r="K125" s="49">
        <v>-56.511000000000003</v>
      </c>
      <c r="L125" s="49">
        <v>0.68400000000000005</v>
      </c>
      <c r="M125" s="53">
        <v>292.82</v>
      </c>
      <c r="N125" s="49">
        <v>1.05</v>
      </c>
      <c r="O125" s="54">
        <v>0.3483</v>
      </c>
      <c r="P125" s="36">
        <v>30.402899999999999</v>
      </c>
      <c r="Q125" s="36">
        <v>90.694100000000006</v>
      </c>
      <c r="R125" s="36">
        <v>1669.32</v>
      </c>
      <c r="S125" s="36">
        <v>63.202800000000003</v>
      </c>
      <c r="T125" s="36">
        <v>786.00099999999998</v>
      </c>
      <c r="U125" s="36">
        <v>0</v>
      </c>
      <c r="V125" s="36">
        <v>100</v>
      </c>
      <c r="W125" s="36">
        <v>0</v>
      </c>
      <c r="X125" s="36">
        <v>100</v>
      </c>
      <c r="Y125" s="62"/>
      <c r="Z125" s="62"/>
      <c r="AA125" s="62"/>
      <c r="AB125" s="62"/>
      <c r="AC125" s="62"/>
      <c r="AD125" s="62"/>
      <c r="AE125" s="62"/>
      <c r="AF125" s="62"/>
      <c r="AO125" s="55">
        <f t="shared" si="0"/>
        <v>1.7141771805961887</v>
      </c>
      <c r="AP125" s="55" t="str">
        <f t="shared" si="3"/>
        <v/>
      </c>
      <c r="AQ125" s="55" t="str">
        <f t="shared" si="1"/>
        <v/>
      </c>
      <c r="AR125" s="55" t="str">
        <f t="shared" si="2"/>
        <v/>
      </c>
    </row>
    <row r="126" spans="2:44" ht="15" x14ac:dyDescent="0.4">
      <c r="B126" s="41" t="s">
        <v>285</v>
      </c>
      <c r="C126" s="49">
        <v>271</v>
      </c>
      <c r="D126" s="40" t="s">
        <v>663</v>
      </c>
      <c r="E126" s="49">
        <v>86.177999999999997</v>
      </c>
      <c r="F126" s="49">
        <v>507.22</v>
      </c>
      <c r="G126" s="49">
        <v>29.696000000000002</v>
      </c>
      <c r="H126" s="49">
        <v>177.7</v>
      </c>
      <c r="I126" s="49">
        <v>9.2164999999999999</v>
      </c>
      <c r="J126" s="49">
        <v>2697.5</v>
      </c>
      <c r="K126" s="49">
        <v>-48.777999999999999</v>
      </c>
      <c r="L126" s="49">
        <v>0.65900000000000003</v>
      </c>
      <c r="M126" s="53">
        <v>292.82</v>
      </c>
      <c r="N126" s="49">
        <v>1.06</v>
      </c>
      <c r="O126" s="54">
        <v>0.29899999999999999</v>
      </c>
      <c r="P126" s="36">
        <v>26.622499999999999</v>
      </c>
      <c r="Q126" s="36">
        <v>80.381900000000002</v>
      </c>
      <c r="R126" s="36">
        <v>1718.49</v>
      </c>
      <c r="S126" s="36">
        <v>55.659799999999997</v>
      </c>
      <c r="T126" s="36">
        <v>802.06899999999996</v>
      </c>
      <c r="U126" s="36">
        <v>0</v>
      </c>
      <c r="V126" s="36">
        <v>100</v>
      </c>
      <c r="W126" s="36">
        <v>0</v>
      </c>
      <c r="X126" s="36">
        <v>100</v>
      </c>
      <c r="Y126" s="53">
        <v>6.9379999999999997</v>
      </c>
      <c r="Z126" s="53">
        <v>0.55220000000000002</v>
      </c>
      <c r="AA126" s="53">
        <v>-2.8650000000000003E-4</v>
      </c>
      <c r="AB126" s="53">
        <v>5.7690000000000002E-8</v>
      </c>
      <c r="AC126" s="49">
        <v>1.657</v>
      </c>
      <c r="AD126" s="49">
        <v>7.3279999999999998E-2</v>
      </c>
      <c r="AE126" s="49">
        <v>-2.1120000000000001E-5</v>
      </c>
      <c r="AF126" s="49">
        <v>2.3629999999999998E-9</v>
      </c>
      <c r="AO126" s="55">
        <f t="shared" si="0"/>
        <v>1.719415732745569</v>
      </c>
      <c r="AP126" s="55">
        <f t="shared" si="3"/>
        <v>1.7816144554404216</v>
      </c>
      <c r="AQ126" s="55">
        <f t="shared" si="1"/>
        <v>1.781816850465235</v>
      </c>
      <c r="AR126" s="55" t="str">
        <f t="shared" si="2"/>
        <v/>
      </c>
    </row>
    <row r="127" spans="2:44" ht="15" x14ac:dyDescent="0.4">
      <c r="B127" s="41" t="s">
        <v>286</v>
      </c>
      <c r="C127" s="49">
        <v>19</v>
      </c>
      <c r="D127" s="40" t="s">
        <v>664</v>
      </c>
      <c r="E127" s="49">
        <v>2.016</v>
      </c>
      <c r="F127" s="49">
        <v>33.017000000000003</v>
      </c>
      <c r="G127" s="49">
        <v>12.973000000000001</v>
      </c>
      <c r="H127" s="49">
        <v>21.01</v>
      </c>
      <c r="I127" s="49">
        <v>7.0132000000000003</v>
      </c>
      <c r="J127" s="49">
        <v>164.9</v>
      </c>
      <c r="K127" s="49">
        <v>3.1889000000000003</v>
      </c>
      <c r="L127" s="49">
        <v>7.0999999999999994E-2</v>
      </c>
      <c r="M127" s="53">
        <v>19.817</v>
      </c>
      <c r="N127" s="49">
        <v>1.4</v>
      </c>
      <c r="O127" s="54">
        <v>0.22159999999999999</v>
      </c>
      <c r="P127" s="36">
        <v>6.6678899999999999</v>
      </c>
      <c r="Q127" s="36">
        <v>2.3345799999999999</v>
      </c>
      <c r="R127" s="36">
        <v>2584.98</v>
      </c>
      <c r="S127" s="36">
        <v>0.74901899999999999</v>
      </c>
      <c r="T127" s="36">
        <v>559.65599999999995</v>
      </c>
      <c r="U127" s="36">
        <v>0</v>
      </c>
      <c r="V127" s="36">
        <v>100</v>
      </c>
      <c r="W127" s="36">
        <v>0</v>
      </c>
      <c r="X127" s="36">
        <v>100</v>
      </c>
      <c r="Y127" s="53">
        <v>29.11</v>
      </c>
      <c r="Z127" s="53">
        <v>-1.916E-3</v>
      </c>
      <c r="AA127" s="53">
        <v>4.0029999999999996E-6</v>
      </c>
      <c r="AB127" s="53">
        <v>-8.7040000000000001E-10</v>
      </c>
      <c r="AC127" s="49">
        <v>6.952</v>
      </c>
      <c r="AD127" s="49">
        <v>-2.542E-4</v>
      </c>
      <c r="AE127" s="49">
        <v>2.952E-7</v>
      </c>
      <c r="AF127" s="49">
        <v>-3.5650000000000001E-11</v>
      </c>
      <c r="AG127" s="49">
        <v>33.066178000000001</v>
      </c>
      <c r="AH127" s="49">
        <v>-11.363417</v>
      </c>
      <c r="AI127" s="49">
        <v>11.432816000000001</v>
      </c>
      <c r="AJ127" s="49">
        <v>-2.7728739999999998</v>
      </c>
      <c r="AK127" s="49">
        <v>-0.158558</v>
      </c>
      <c r="AL127" s="49">
        <v>-9.9807970000000008</v>
      </c>
      <c r="AM127" s="49">
        <v>172.70797400000001</v>
      </c>
      <c r="AN127" s="49">
        <v>0</v>
      </c>
      <c r="AO127" s="55">
        <f t="shared" si="0"/>
        <v>14.375026573115248</v>
      </c>
      <c r="AP127" s="55">
        <f t="shared" si="3"/>
        <v>14.323324347107372</v>
      </c>
      <c r="AQ127" s="55">
        <f t="shared" si="1"/>
        <v>14.321768823257248</v>
      </c>
      <c r="AR127" s="55">
        <f t="shared" si="2"/>
        <v>14.348615159826451</v>
      </c>
    </row>
    <row r="128" spans="2:44" x14ac:dyDescent="0.3">
      <c r="B128" s="41" t="s">
        <v>287</v>
      </c>
      <c r="C128" s="49">
        <v>16</v>
      </c>
      <c r="D128" s="41" t="s">
        <v>367</v>
      </c>
      <c r="E128" s="49">
        <v>36.460999999999999</v>
      </c>
      <c r="F128" s="49">
        <v>324.42</v>
      </c>
      <c r="G128" s="49">
        <v>83.108999999999995</v>
      </c>
      <c r="H128" s="49">
        <v>122.3</v>
      </c>
      <c r="I128" s="49">
        <v>9.8839000000000006</v>
      </c>
      <c r="J128" s="49">
        <v>1714.2</v>
      </c>
      <c r="K128" s="49">
        <v>-14.45</v>
      </c>
      <c r="L128" s="49">
        <v>1.1930000000000001</v>
      </c>
      <c r="M128" s="53">
        <v>187.93</v>
      </c>
      <c r="N128" s="49">
        <v>1.4</v>
      </c>
      <c r="O128" s="54">
        <v>0.12590000000000001</v>
      </c>
      <c r="Y128" s="53">
        <v>30.33</v>
      </c>
      <c r="Z128" s="53">
        <v>-7.62E-3</v>
      </c>
      <c r="AA128" s="53">
        <v>1.327E-5</v>
      </c>
      <c r="AB128" s="53">
        <v>-4.3379999999999997E-9</v>
      </c>
      <c r="AC128" s="49">
        <v>7.2549999999999999</v>
      </c>
      <c r="AD128" s="49">
        <v>-1.011E-3</v>
      </c>
      <c r="AE128" s="49">
        <v>9.7830000000000002E-7</v>
      </c>
      <c r="AF128" s="49">
        <v>-1.7760000000000001E-10</v>
      </c>
      <c r="AG128" s="49">
        <v>32.123919999999998</v>
      </c>
      <c r="AH128" s="49">
        <v>-13.45805</v>
      </c>
      <c r="AI128" s="49">
        <v>19.86852</v>
      </c>
      <c r="AJ128" s="49">
        <v>-6.853936</v>
      </c>
      <c r="AK128" s="49">
        <v>-4.9672000000000001E-2</v>
      </c>
      <c r="AL128" s="49">
        <v>-101.6206</v>
      </c>
      <c r="AM128" s="49">
        <v>228.6866</v>
      </c>
      <c r="AN128" s="49">
        <v>-92.312010000000001</v>
      </c>
      <c r="AO128" s="55" t="str">
        <f t="shared" si="0"/>
        <v/>
      </c>
      <c r="AP128" s="55">
        <f t="shared" si="3"/>
        <v>0.79843885039462348</v>
      </c>
      <c r="AQ128" s="55">
        <f t="shared" si="1"/>
        <v>0.79969042717611616</v>
      </c>
      <c r="AR128" s="55">
        <f t="shared" si="2"/>
        <v>0.79923456369164692</v>
      </c>
    </row>
    <row r="129" spans="2:44" ht="15" x14ac:dyDescent="0.4">
      <c r="B129" s="41" t="s">
        <v>288</v>
      </c>
      <c r="C129" s="49">
        <v>21</v>
      </c>
      <c r="D129" s="41" t="s">
        <v>665</v>
      </c>
      <c r="E129" s="49">
        <v>34.08</v>
      </c>
      <c r="F129" s="49">
        <v>373.02</v>
      </c>
      <c r="G129" s="49">
        <v>89.393000000000001</v>
      </c>
      <c r="H129" s="49">
        <v>138.80000000000001</v>
      </c>
      <c r="I129" s="49">
        <v>9.4839000000000002</v>
      </c>
      <c r="J129" s="49">
        <v>1768.6</v>
      </c>
      <c r="K129" s="49">
        <v>-26.061</v>
      </c>
      <c r="L129" s="49">
        <v>0.99299999999999999</v>
      </c>
      <c r="M129" s="53">
        <v>213.43</v>
      </c>
      <c r="N129" s="49">
        <v>1.32</v>
      </c>
      <c r="O129" s="54">
        <v>9.4799999999999995E-2</v>
      </c>
      <c r="P129" s="36">
        <v>7.9467999999999996</v>
      </c>
      <c r="Q129" s="36">
        <v>-8.3799999999999999E-2</v>
      </c>
      <c r="R129" s="36">
        <v>433.80099999999999</v>
      </c>
      <c r="S129" s="36">
        <v>2.8553899999999999</v>
      </c>
      <c r="T129" s="36">
        <v>843.79200000000003</v>
      </c>
      <c r="U129" s="36">
        <v>6.31595</v>
      </c>
      <c r="V129" s="36">
        <v>1481.43</v>
      </c>
      <c r="W129" s="36">
        <v>-2.8845700000000001</v>
      </c>
      <c r="X129" s="36">
        <v>1102.23</v>
      </c>
      <c r="Y129" s="62"/>
      <c r="Z129" s="62"/>
      <c r="AA129" s="62"/>
      <c r="AB129" s="62"/>
      <c r="AC129" s="62"/>
      <c r="AD129" s="62"/>
      <c r="AE129" s="62"/>
      <c r="AF129" s="62"/>
      <c r="AG129" s="49">
        <v>26.884119999999999</v>
      </c>
      <c r="AH129" s="49">
        <v>18.678090000000001</v>
      </c>
      <c r="AI129" s="49">
        <v>3.4342030000000001</v>
      </c>
      <c r="AJ129" s="49">
        <v>-3.3787020000000001</v>
      </c>
      <c r="AK129" s="49">
        <v>0.135882</v>
      </c>
      <c r="AL129" s="49">
        <v>-28.912109999999998</v>
      </c>
      <c r="AM129" s="49">
        <v>233.2747</v>
      </c>
      <c r="AN129" s="49">
        <v>-20.502020000000002</v>
      </c>
      <c r="AO129" s="55">
        <f t="shared" si="0"/>
        <v>1.0067856975927651</v>
      </c>
      <c r="AP129" s="55" t="str">
        <f t="shared" si="3"/>
        <v/>
      </c>
      <c r="AQ129" s="55" t="str">
        <f t="shared" si="1"/>
        <v/>
      </c>
      <c r="AR129" s="55">
        <f t="shared" si="2"/>
        <v>1.0079764863098946</v>
      </c>
    </row>
    <row r="130" spans="2:44" ht="15" x14ac:dyDescent="0.4">
      <c r="B130" s="41" t="s">
        <v>289</v>
      </c>
      <c r="C130" s="49">
        <v>182</v>
      </c>
      <c r="D130" s="41" t="s">
        <v>650</v>
      </c>
      <c r="E130" s="49">
        <v>58.124000000000002</v>
      </c>
      <c r="F130" s="49">
        <v>407.92</v>
      </c>
      <c r="G130" s="49">
        <v>36.487000000000002</v>
      </c>
      <c r="H130" s="49">
        <v>186.06</v>
      </c>
      <c r="I130" s="49">
        <v>8.918000000000001</v>
      </c>
      <c r="J130" s="49">
        <v>2032.7</v>
      </c>
      <c r="K130" s="49">
        <v>-33.15</v>
      </c>
      <c r="L130" s="49">
        <v>0.55700000000000005</v>
      </c>
      <c r="M130" s="53">
        <v>292.82</v>
      </c>
      <c r="N130" s="49">
        <v>1.0900000000000001</v>
      </c>
      <c r="O130" s="54">
        <v>0.1852</v>
      </c>
      <c r="P130" s="36">
        <v>17.814299999999999</v>
      </c>
      <c r="Q130" s="36">
        <v>58.206200000000003</v>
      </c>
      <c r="R130" s="36">
        <v>1787.39</v>
      </c>
      <c r="S130" s="36">
        <v>40.762099999999997</v>
      </c>
      <c r="T130" s="36">
        <v>808.64499999999998</v>
      </c>
      <c r="U130" s="36">
        <v>0</v>
      </c>
      <c r="V130" s="36">
        <v>100</v>
      </c>
      <c r="W130" s="36">
        <v>0</v>
      </c>
      <c r="X130" s="36">
        <v>100</v>
      </c>
      <c r="Y130" s="53">
        <v>-7.9130000000000003</v>
      </c>
      <c r="Z130" s="53">
        <v>0.41599999999999998</v>
      </c>
      <c r="AA130" s="53">
        <v>-2.3010000000000001E-4</v>
      </c>
      <c r="AB130" s="53">
        <v>4.9910000000000002E-8</v>
      </c>
      <c r="AC130" s="49">
        <v>-1.89</v>
      </c>
      <c r="AD130" s="49">
        <v>5.5199999999999999E-2</v>
      </c>
      <c r="AE130" s="49">
        <v>-1.696E-5</v>
      </c>
      <c r="AF130" s="49">
        <v>2.044E-9</v>
      </c>
      <c r="AO130" s="55">
        <f t="shared" si="0"/>
        <v>1.7317664413856837</v>
      </c>
      <c r="AP130" s="55">
        <f t="shared" si="3"/>
        <v>1.7432691828748446</v>
      </c>
      <c r="AQ130" s="55">
        <f t="shared" si="1"/>
        <v>1.7433270778677483</v>
      </c>
      <c r="AR130" s="55" t="str">
        <f t="shared" si="2"/>
        <v/>
      </c>
    </row>
    <row r="131" spans="2:44" ht="15" x14ac:dyDescent="0.4">
      <c r="B131" s="41" t="s">
        <v>296</v>
      </c>
      <c r="C131" s="49">
        <v>61</v>
      </c>
      <c r="D131" s="41" t="s">
        <v>666</v>
      </c>
      <c r="E131" s="49">
        <v>16.042999999999999</v>
      </c>
      <c r="F131" s="49">
        <v>190.42</v>
      </c>
      <c r="G131" s="49">
        <v>46.014000000000003</v>
      </c>
      <c r="H131" s="49">
        <v>90.99</v>
      </c>
      <c r="I131" s="63">
        <v>9.1861999999999995</v>
      </c>
      <c r="J131" s="63">
        <v>1020.1</v>
      </c>
      <c r="K131" s="63">
        <v>-0.49</v>
      </c>
      <c r="L131" s="49">
        <v>0.42499999999999999</v>
      </c>
      <c r="M131" s="53">
        <v>111.54</v>
      </c>
      <c r="N131" s="49">
        <v>1.31</v>
      </c>
      <c r="O131" s="54">
        <v>1.0800000000000001E-2</v>
      </c>
      <c r="P131" s="36">
        <v>7.9545399999999997</v>
      </c>
      <c r="Q131" s="36">
        <v>43.941699999999997</v>
      </c>
      <c r="R131" s="36">
        <v>1037.0899999999999</v>
      </c>
      <c r="S131" s="36">
        <v>1.5672999999999999</v>
      </c>
      <c r="T131" s="36">
        <v>13.205</v>
      </c>
      <c r="U131" s="36">
        <v>-24.902699999999999</v>
      </c>
      <c r="V131" s="36">
        <v>1019.98</v>
      </c>
      <c r="W131" s="36">
        <v>-10.1601</v>
      </c>
      <c r="X131" s="36">
        <v>1070.1400000000001</v>
      </c>
      <c r="Y131" s="53">
        <v>19.89</v>
      </c>
      <c r="Z131" s="53">
        <v>5.024E-2</v>
      </c>
      <c r="AA131" s="53">
        <v>1.269E-5</v>
      </c>
      <c r="AB131" s="53">
        <v>-1.1010000000000001E-8</v>
      </c>
      <c r="AC131" s="49">
        <v>4.75</v>
      </c>
      <c r="AD131" s="49">
        <v>6.6660000000000001E-3</v>
      </c>
      <c r="AE131" s="49">
        <v>9.3519999999999996E-7</v>
      </c>
      <c r="AF131" s="49">
        <v>-4.5099999999999999E-10</v>
      </c>
      <c r="AG131" s="49">
        <v>-0.70302900000000002</v>
      </c>
      <c r="AH131" s="49">
        <v>108.4773</v>
      </c>
      <c r="AI131" s="49">
        <v>-42.521569999999997</v>
      </c>
      <c r="AJ131" s="49">
        <v>5.8627880000000001</v>
      </c>
      <c r="AK131" s="49">
        <v>0.67856499999999997</v>
      </c>
      <c r="AL131" s="49">
        <v>-76.843760000000003</v>
      </c>
      <c r="AM131" s="49">
        <v>158.71629999999999</v>
      </c>
      <c r="AN131" s="49">
        <v>-74.873099999999994</v>
      </c>
      <c r="AO131" s="55">
        <f t="shared" si="0"/>
        <v>2.2039630576226252</v>
      </c>
      <c r="AP131" s="55">
        <f t="shared" si="3"/>
        <v>2.2769416540854932</v>
      </c>
      <c r="AQ131" s="55">
        <f t="shared" si="1"/>
        <v>2.2766790046054473</v>
      </c>
      <c r="AR131" s="55">
        <f t="shared" si="2"/>
        <v>2.256222320533757</v>
      </c>
    </row>
    <row r="132" spans="2:44" ht="15" x14ac:dyDescent="0.4">
      <c r="B132" s="41" t="s">
        <v>298</v>
      </c>
      <c r="C132" s="49">
        <v>62</v>
      </c>
      <c r="D132" s="40" t="s">
        <v>667</v>
      </c>
      <c r="E132" s="49">
        <v>32.042000000000002</v>
      </c>
      <c r="F132" s="49">
        <v>512.41999999999996</v>
      </c>
      <c r="G132" s="49">
        <v>80.981000000000009</v>
      </c>
      <c r="H132" s="49">
        <v>288</v>
      </c>
      <c r="I132" s="49">
        <v>11.967000000000001</v>
      </c>
      <c r="J132" s="49">
        <v>3626.5</v>
      </c>
      <c r="K132" s="49">
        <v>-34.289000000000001</v>
      </c>
      <c r="L132" s="49">
        <v>0.79100000000000004</v>
      </c>
      <c r="M132" s="53">
        <v>292.82</v>
      </c>
      <c r="N132" s="49">
        <v>1.24</v>
      </c>
      <c r="O132" s="54"/>
      <c r="P132" s="36"/>
      <c r="Q132" s="36"/>
      <c r="R132" s="36"/>
      <c r="S132" s="36"/>
      <c r="T132" s="36"/>
      <c r="U132" s="36"/>
      <c r="V132" s="36"/>
      <c r="W132" s="36"/>
      <c r="X132" s="36"/>
      <c r="Y132" s="53">
        <v>19</v>
      </c>
      <c r="Z132" s="58">
        <v>9.1520000000000004E-2</v>
      </c>
      <c r="AA132" s="58">
        <v>-1.22E-5</v>
      </c>
      <c r="AB132" s="58">
        <v>-8.0390000000000001E-9</v>
      </c>
      <c r="AC132" s="49">
        <v>4.55</v>
      </c>
      <c r="AD132" s="67">
        <v>1.214E-2</v>
      </c>
      <c r="AE132" s="67">
        <v>-8.9800000000000002E-7</v>
      </c>
      <c r="AF132" s="67">
        <v>-3.29E-10</v>
      </c>
      <c r="AG132" s="49"/>
      <c r="AH132" s="49"/>
      <c r="AI132" s="49"/>
      <c r="AJ132" s="49"/>
      <c r="AK132" s="49"/>
      <c r="AL132" s="49"/>
      <c r="AM132" s="49"/>
      <c r="AN132" s="49"/>
      <c r="AO132" s="55" t="str">
        <f t="shared" si="0"/>
        <v/>
      </c>
      <c r="AP132" s="55">
        <f t="shared" si="3"/>
        <v>1.442364879979088</v>
      </c>
      <c r="AQ132" s="55">
        <f t="shared" si="1"/>
        <v>1.4436916247738045</v>
      </c>
      <c r="AR132" s="55" t="str">
        <f t="shared" si="2"/>
        <v/>
      </c>
    </row>
    <row r="133" spans="2:44" ht="15" x14ac:dyDescent="0.4">
      <c r="B133" s="41" t="s">
        <v>299</v>
      </c>
      <c r="C133" s="49">
        <v>57</v>
      </c>
      <c r="D133" s="41" t="s">
        <v>668</v>
      </c>
      <c r="E133" s="49">
        <v>50.488</v>
      </c>
      <c r="F133" s="49">
        <v>416.12</v>
      </c>
      <c r="G133" s="49">
        <v>66.792000000000002</v>
      </c>
      <c r="H133" s="49">
        <v>183</v>
      </c>
      <c r="I133" s="49">
        <v>9.485100000000001</v>
      </c>
      <c r="J133" s="49">
        <v>2077.9</v>
      </c>
      <c r="K133" s="49">
        <v>-29.55</v>
      </c>
      <c r="L133" s="49">
        <v>0.91500000000000004</v>
      </c>
      <c r="M133" s="53">
        <v>292.82</v>
      </c>
      <c r="N133" s="49">
        <v>1.26</v>
      </c>
      <c r="O133" s="54"/>
      <c r="Y133" s="62"/>
      <c r="Z133" s="62"/>
      <c r="AA133" s="62"/>
      <c r="AB133" s="62"/>
      <c r="AC133" s="62"/>
      <c r="AD133" s="62"/>
      <c r="AE133" s="62"/>
      <c r="AF133" s="62"/>
      <c r="AG133" s="49">
        <v>3.5246900000000001</v>
      </c>
      <c r="AH133" s="49">
        <v>136.92769999999999</v>
      </c>
      <c r="AI133" s="49">
        <v>-82.141959999999997</v>
      </c>
      <c r="AJ133" s="49">
        <v>20.227969999999999</v>
      </c>
      <c r="AK133" s="49">
        <v>0.278032</v>
      </c>
      <c r="AL133" s="49">
        <v>-89.199950000000001</v>
      </c>
      <c r="AM133" s="49">
        <v>202.8391</v>
      </c>
      <c r="AN133" s="49">
        <v>-83.68</v>
      </c>
      <c r="AO133" s="55" t="str">
        <f t="shared" si="0"/>
        <v/>
      </c>
      <c r="AP133" s="55" t="str">
        <f t="shared" si="3"/>
        <v/>
      </c>
      <c r="AQ133" s="55" t="str">
        <f t="shared" si="1"/>
        <v/>
      </c>
      <c r="AR133" s="55">
        <f t="shared" si="2"/>
        <v>0.82801711471790174</v>
      </c>
    </row>
    <row r="134" spans="2:44" x14ac:dyDescent="0.3">
      <c r="B134" s="41" t="s">
        <v>300</v>
      </c>
      <c r="C134" s="49"/>
      <c r="D134" s="32"/>
      <c r="E134" s="49">
        <v>19.5</v>
      </c>
      <c r="F134" s="49">
        <v>300</v>
      </c>
      <c r="G134" s="49">
        <v>46.33276901009139</v>
      </c>
      <c r="H134" s="49"/>
      <c r="I134" s="41"/>
      <c r="J134" s="41"/>
      <c r="K134" s="41"/>
      <c r="L134" s="41"/>
      <c r="M134" s="41"/>
      <c r="N134" s="49">
        <v>1.27</v>
      </c>
      <c r="O134" s="54"/>
      <c r="Y134" s="62"/>
      <c r="Z134" s="62"/>
      <c r="AA134" s="62"/>
      <c r="AB134" s="62"/>
      <c r="AC134" s="62"/>
      <c r="AD134" s="62"/>
      <c r="AE134" s="62"/>
      <c r="AF134" s="62"/>
      <c r="AO134" s="55" t="str">
        <f t="shared" si="0"/>
        <v/>
      </c>
      <c r="AP134" s="55" t="str">
        <f t="shared" si="3"/>
        <v/>
      </c>
      <c r="AQ134" s="55" t="str">
        <f t="shared" si="1"/>
        <v/>
      </c>
      <c r="AR134" s="55" t="str">
        <f t="shared" si="2"/>
        <v/>
      </c>
    </row>
    <row r="135" spans="2:44" x14ac:dyDescent="0.3">
      <c r="B135" s="41" t="s">
        <v>301</v>
      </c>
      <c r="C135" s="49">
        <v>31</v>
      </c>
      <c r="D135" s="41" t="s">
        <v>368</v>
      </c>
      <c r="E135" s="49">
        <v>20.183</v>
      </c>
      <c r="F135" s="49">
        <v>44.216999999999999</v>
      </c>
      <c r="G135" s="49">
        <v>27.568000000000001</v>
      </c>
      <c r="H135" s="49">
        <v>15.8</v>
      </c>
      <c r="I135" s="49">
        <v>7.3898000000000001</v>
      </c>
      <c r="J135" s="49">
        <v>180.4</v>
      </c>
      <c r="K135" s="49">
        <v>-2.6111</v>
      </c>
      <c r="L135" s="49">
        <v>1.204</v>
      </c>
      <c r="M135" s="53">
        <v>26.817</v>
      </c>
      <c r="N135" s="63">
        <v>1.64</v>
      </c>
      <c r="O135" s="54"/>
      <c r="Y135" s="62"/>
      <c r="Z135" s="62"/>
      <c r="AA135" s="62"/>
      <c r="AB135" s="62"/>
      <c r="AC135" s="62"/>
      <c r="AD135" s="62"/>
      <c r="AE135" s="62"/>
      <c r="AF135" s="62"/>
      <c r="AG135" s="53">
        <v>20.78603</v>
      </c>
      <c r="AH135" s="53">
        <v>4.8506380000000005E-10</v>
      </c>
      <c r="AI135" s="53">
        <v>-1.582916E-10</v>
      </c>
      <c r="AJ135" s="53">
        <v>1.525102E-11</v>
      </c>
      <c r="AK135" s="53">
        <v>3.1963469999999999E-11</v>
      </c>
      <c r="AL135" s="53">
        <v>-6.1973409999999998</v>
      </c>
      <c r="AM135" s="53">
        <v>171.4821</v>
      </c>
      <c r="AN135" s="53">
        <v>0</v>
      </c>
      <c r="AO135" s="55" t="str">
        <f t="shared" si="0"/>
        <v/>
      </c>
      <c r="AP135" s="55" t="str">
        <f t="shared" si="3"/>
        <v/>
      </c>
      <c r="AQ135" s="55" t="str">
        <f t="shared" si="1"/>
        <v/>
      </c>
      <c r="AR135" s="55">
        <f t="shared" si="2"/>
        <v>1.0298781152684333</v>
      </c>
    </row>
    <row r="136" spans="2:44" ht="15" x14ac:dyDescent="0.4">
      <c r="B136" s="41" t="s">
        <v>302</v>
      </c>
      <c r="C136" s="49">
        <v>29</v>
      </c>
      <c r="D136" s="40" t="s">
        <v>669</v>
      </c>
      <c r="E136" s="49">
        <v>28.013000000000002</v>
      </c>
      <c r="F136" s="49">
        <v>126.02</v>
      </c>
      <c r="G136" s="49">
        <v>33.953000000000003</v>
      </c>
      <c r="H136" s="49">
        <v>63.14</v>
      </c>
      <c r="I136" s="49">
        <v>8.3341000000000012</v>
      </c>
      <c r="J136" s="49">
        <v>588.70000000000005</v>
      </c>
      <c r="K136" s="49">
        <v>-6.6</v>
      </c>
      <c r="L136" s="49">
        <v>0.80400000000000005</v>
      </c>
      <c r="M136" s="53">
        <v>78.128</v>
      </c>
      <c r="N136" s="49">
        <v>1.4</v>
      </c>
      <c r="O136" s="54">
        <v>3.6999999999999998E-2</v>
      </c>
      <c r="P136" s="36">
        <v>6.95587</v>
      </c>
      <c r="Q136" s="36">
        <v>0.27289000000000002</v>
      </c>
      <c r="R136" s="36">
        <v>662.73800000000006</v>
      </c>
      <c r="S136" s="36">
        <v>-0.29132000000000002</v>
      </c>
      <c r="T136" s="36">
        <v>-680.56200000000001</v>
      </c>
      <c r="U136" s="36">
        <v>1.7898000000000001</v>
      </c>
      <c r="V136" s="36">
        <v>1740.06</v>
      </c>
      <c r="W136" s="36">
        <v>0</v>
      </c>
      <c r="X136" s="36">
        <v>100</v>
      </c>
      <c r="Y136" s="53">
        <v>28.9</v>
      </c>
      <c r="Z136" s="53">
        <v>-1.5709999999999999E-3</v>
      </c>
      <c r="AA136" s="53">
        <v>8.0809999999999994E-6</v>
      </c>
      <c r="AB136" s="53">
        <v>-2.8729999999999999E-9</v>
      </c>
      <c r="AC136" s="49">
        <v>6.9029999999999996</v>
      </c>
      <c r="AD136" s="49">
        <v>-2.085E-4</v>
      </c>
      <c r="AE136" s="49">
        <v>5.9569999999999997E-7</v>
      </c>
      <c r="AF136" s="49">
        <v>-1.1760000000000001E-10</v>
      </c>
      <c r="AG136" s="53">
        <v>26.091999999999999</v>
      </c>
      <c r="AH136" s="53">
        <v>8.2188009999999991</v>
      </c>
      <c r="AI136" s="53">
        <v>-1.9761409999999999</v>
      </c>
      <c r="AJ136" s="49">
        <v>0.159274</v>
      </c>
      <c r="AK136" s="53">
        <v>4.4434000000000001E-2</v>
      </c>
      <c r="AL136" s="53">
        <v>-7.9892300000000001</v>
      </c>
      <c r="AM136" s="53">
        <v>221.02</v>
      </c>
      <c r="AN136" s="53">
        <v>0</v>
      </c>
      <c r="AO136" s="55">
        <f t="shared" si="0"/>
        <v>1.040647826404147</v>
      </c>
      <c r="AP136" s="55">
        <f t="shared" si="3"/>
        <v>1.0392411588016579</v>
      </c>
      <c r="AQ136" s="55">
        <f t="shared" si="1"/>
        <v>1.0392915720371971</v>
      </c>
      <c r="AR136" s="55">
        <f t="shared" si="2"/>
        <v>1.0327326474756051</v>
      </c>
    </row>
    <row r="137" spans="2:44" x14ac:dyDescent="0.3">
      <c r="B137" s="41" t="s">
        <v>369</v>
      </c>
      <c r="C137" s="49">
        <v>27</v>
      </c>
      <c r="D137" s="40" t="s">
        <v>370</v>
      </c>
      <c r="E137" s="49">
        <v>30.006</v>
      </c>
      <c r="F137" s="49">
        <v>179.82</v>
      </c>
      <c r="G137" s="49">
        <v>64.866</v>
      </c>
      <c r="H137" s="63">
        <v>100</v>
      </c>
      <c r="I137" s="49">
        <v>13.511000000000001</v>
      </c>
      <c r="J137" s="49">
        <v>1572.5</v>
      </c>
      <c r="K137" s="49">
        <v>-4.8778000000000006</v>
      </c>
      <c r="L137" s="49">
        <v>1.28</v>
      </c>
      <c r="M137" s="53">
        <v>120.82</v>
      </c>
      <c r="N137" s="49">
        <v>1.39</v>
      </c>
      <c r="O137" s="54"/>
      <c r="P137" s="36"/>
      <c r="Q137" s="36"/>
      <c r="R137" s="36"/>
      <c r="S137" s="36"/>
      <c r="T137" s="36"/>
      <c r="U137" s="36"/>
      <c r="V137" s="36"/>
      <c r="W137" s="36"/>
      <c r="X137" s="36"/>
      <c r="Y137" s="53">
        <v>29.34</v>
      </c>
      <c r="Z137" s="58">
        <v>-9.3950000000000001E-4</v>
      </c>
      <c r="AA137" s="58">
        <v>9.747E-6</v>
      </c>
      <c r="AB137" s="58">
        <v>-4.1869999999999997E-9</v>
      </c>
      <c r="AC137" s="49">
        <v>7.008</v>
      </c>
      <c r="AD137" s="49">
        <v>-1.247E-4</v>
      </c>
      <c r="AE137" s="67">
        <v>7.1849999999999998E-7</v>
      </c>
      <c r="AF137" s="67">
        <v>-1.715E-10</v>
      </c>
      <c r="AG137" s="53">
        <v>23.834910000000001</v>
      </c>
      <c r="AH137" s="53">
        <v>12.58878</v>
      </c>
      <c r="AI137" s="53">
        <v>-1.139011</v>
      </c>
      <c r="AJ137" s="49">
        <v>-1.4974590000000001</v>
      </c>
      <c r="AK137" s="53">
        <v>0.214194</v>
      </c>
      <c r="AL137" s="53">
        <v>83.357830000000007</v>
      </c>
      <c r="AM137" s="53">
        <v>237.12190000000001</v>
      </c>
      <c r="AN137" s="53">
        <v>90.291139999999999</v>
      </c>
      <c r="AO137" s="55" t="str">
        <f t="shared" si="0"/>
        <v/>
      </c>
      <c r="AP137" s="55">
        <f t="shared" si="3"/>
        <v>0.99556884597421103</v>
      </c>
      <c r="AQ137" s="55">
        <f t="shared" si="1"/>
        <v>0.99560066460889329</v>
      </c>
      <c r="AR137" s="55">
        <f t="shared" si="2"/>
        <v>0.99325660737225774</v>
      </c>
    </row>
    <row r="138" spans="2:44" ht="15" x14ac:dyDescent="0.4">
      <c r="B138" s="41" t="s">
        <v>303</v>
      </c>
      <c r="C138" s="49">
        <v>30</v>
      </c>
      <c r="D138" s="40" t="s">
        <v>670</v>
      </c>
      <c r="E138" s="49">
        <v>44.012999999999998</v>
      </c>
      <c r="F138" s="49">
        <v>309.42</v>
      </c>
      <c r="G138" s="49">
        <v>72.466999999999999</v>
      </c>
      <c r="H138" s="49">
        <v>129.69999999999999</v>
      </c>
      <c r="I138" s="49">
        <v>9.5069999999999997</v>
      </c>
      <c r="J138" s="49">
        <v>1506.4</v>
      </c>
      <c r="K138" s="49">
        <v>-25.989000000000001</v>
      </c>
      <c r="L138" s="49">
        <v>1.226</v>
      </c>
      <c r="M138" s="53">
        <v>183.43</v>
      </c>
      <c r="N138" s="49">
        <v>1.28</v>
      </c>
      <c r="O138" s="54"/>
      <c r="Y138" s="53">
        <v>24.11</v>
      </c>
      <c r="Z138" s="58">
        <v>5.8631999999999997E-2</v>
      </c>
      <c r="AA138" s="58">
        <v>-3.5620000000000001E-5</v>
      </c>
      <c r="AB138" s="58">
        <v>1.0579999999999999E-8</v>
      </c>
      <c r="AC138" s="53">
        <v>5.758</v>
      </c>
      <c r="AD138" s="49">
        <v>7.7799999999999996E-3</v>
      </c>
      <c r="AE138" s="49">
        <v>-2.5959999999999998E-6</v>
      </c>
      <c r="AF138" s="49">
        <v>4.3309999999999998E-10</v>
      </c>
      <c r="AG138" s="53">
        <v>27.679880000000001</v>
      </c>
      <c r="AH138" s="53">
        <v>51.148980000000002</v>
      </c>
      <c r="AI138" s="53">
        <v>-30.644539999999999</v>
      </c>
      <c r="AJ138" s="49">
        <v>6.8479109999999999</v>
      </c>
      <c r="AK138" s="53">
        <v>-0.15790599999999999</v>
      </c>
      <c r="AL138" s="53">
        <v>71.249340000000004</v>
      </c>
      <c r="AM138" s="53">
        <v>238.6164</v>
      </c>
      <c r="AN138" s="53">
        <v>82.048240000000007</v>
      </c>
      <c r="AO138" s="55" t="str">
        <f t="shared" si="0"/>
        <v/>
      </c>
      <c r="AP138" s="55">
        <f t="shared" si="3"/>
        <v>0.89297490325094075</v>
      </c>
      <c r="AQ138" s="55">
        <f t="shared" si="1"/>
        <v>0.89381810594087951</v>
      </c>
      <c r="AR138" s="55">
        <f t="shared" si="2"/>
        <v>0.89273911182840027</v>
      </c>
    </row>
    <row r="139" spans="2:44" ht="15" x14ac:dyDescent="0.4">
      <c r="B139" s="41" t="s">
        <v>371</v>
      </c>
      <c r="C139" s="49">
        <v>28</v>
      </c>
      <c r="D139" s="40" t="s">
        <v>671</v>
      </c>
      <c r="E139" s="49">
        <v>46.006</v>
      </c>
      <c r="F139" s="49">
        <v>431.22</v>
      </c>
      <c r="G139" s="49">
        <v>101.35</v>
      </c>
      <c r="H139" s="49">
        <v>217.5</v>
      </c>
      <c r="I139" s="49">
        <v>13.912000000000001</v>
      </c>
      <c r="J139" s="49">
        <v>4141.2</v>
      </c>
      <c r="K139" s="49">
        <v>3.65</v>
      </c>
      <c r="L139" s="49">
        <v>1.4470000000000001</v>
      </c>
      <c r="M139" s="53">
        <v>292.82</v>
      </c>
      <c r="N139" s="49">
        <v>1.29</v>
      </c>
      <c r="O139" s="54"/>
      <c r="Y139" s="53">
        <v>22.9</v>
      </c>
      <c r="Z139" s="58">
        <v>5.7149999999999999E-2</v>
      </c>
      <c r="AA139" s="58">
        <v>-3.5200000000000002E-5</v>
      </c>
      <c r="AB139" s="58">
        <v>7.8700000000000003E-9</v>
      </c>
      <c r="AC139" s="53">
        <v>5.48</v>
      </c>
      <c r="AD139" s="67">
        <v>7.5830000000000003E-3</v>
      </c>
      <c r="AE139" s="67">
        <v>-2.6000000000000001E-6</v>
      </c>
      <c r="AF139" s="67">
        <v>3.2200000000000003E-10</v>
      </c>
      <c r="AG139" s="49">
        <v>16.10857</v>
      </c>
      <c r="AH139" s="49">
        <v>75.895250000000004</v>
      </c>
      <c r="AI139" s="49">
        <v>-54.3874</v>
      </c>
      <c r="AJ139" s="49">
        <v>14.30777</v>
      </c>
      <c r="AK139" s="49">
        <v>2.39423E-2</v>
      </c>
      <c r="AL139" s="49">
        <v>26.17464</v>
      </c>
      <c r="AM139" s="49">
        <v>240.5386</v>
      </c>
      <c r="AN139" s="49">
        <v>33.095019999999998</v>
      </c>
      <c r="AO139" s="55" t="str">
        <f t="shared" si="0"/>
        <v/>
      </c>
      <c r="AP139" s="55">
        <f t="shared" si="3"/>
        <v>0.81698871383957494</v>
      </c>
      <c r="AQ139" s="55">
        <f t="shared" si="1"/>
        <v>0.81776605501427135</v>
      </c>
      <c r="AR139" s="55">
        <f t="shared" si="2"/>
        <v>0.7656675510158566</v>
      </c>
    </row>
    <row r="140" spans="2:44" ht="15" x14ac:dyDescent="0.4">
      <c r="B140" s="41" t="s">
        <v>304</v>
      </c>
      <c r="C140" s="49">
        <v>389</v>
      </c>
      <c r="D140" s="40" t="s">
        <v>672</v>
      </c>
      <c r="E140" s="49">
        <v>128.25899999999999</v>
      </c>
      <c r="F140" s="49">
        <v>594.41999999999996</v>
      </c>
      <c r="G140" s="49">
        <v>23.108000000000001</v>
      </c>
      <c r="H140" s="49">
        <v>219.9</v>
      </c>
      <c r="I140" s="49">
        <v>9.3470000000000013</v>
      </c>
      <c r="J140" s="49">
        <v>3291.4</v>
      </c>
      <c r="K140" s="49">
        <v>-71.328000000000003</v>
      </c>
      <c r="L140" s="49">
        <v>0.71799999999999997</v>
      </c>
      <c r="M140" s="53">
        <v>292.82</v>
      </c>
      <c r="N140" s="49">
        <v>1.05</v>
      </c>
      <c r="O140" s="54">
        <v>0.4425</v>
      </c>
      <c r="P140" s="36">
        <v>38.501399999999997</v>
      </c>
      <c r="Q140" s="36">
        <v>111.446</v>
      </c>
      <c r="R140" s="36">
        <v>1646.48</v>
      </c>
      <c r="S140" s="36">
        <v>80.501499999999993</v>
      </c>
      <c r="T140" s="36">
        <v>781.58799999999997</v>
      </c>
      <c r="U140" s="36">
        <v>0</v>
      </c>
      <c r="V140" s="36">
        <v>100</v>
      </c>
      <c r="W140" s="36">
        <v>0</v>
      </c>
      <c r="X140" s="36">
        <v>100</v>
      </c>
      <c r="Y140" s="62"/>
      <c r="Z140" s="62"/>
      <c r="AA140" s="62"/>
      <c r="AB140" s="62"/>
      <c r="AC140" s="62"/>
      <c r="AD140" s="62"/>
      <c r="AE140" s="62"/>
      <c r="AF140" s="62"/>
      <c r="AO140" s="55">
        <f t="shared" si="0"/>
        <v>1.7065798695266896</v>
      </c>
      <c r="AP140" s="55" t="str">
        <f t="shared" si="3"/>
        <v/>
      </c>
      <c r="AQ140" s="55" t="str">
        <f t="shared" si="1"/>
        <v/>
      </c>
      <c r="AR140" s="55" t="str">
        <f t="shared" si="2"/>
        <v/>
      </c>
    </row>
    <row r="141" spans="2:44" ht="15" x14ac:dyDescent="0.4">
      <c r="B141" s="41" t="s">
        <v>311</v>
      </c>
      <c r="C141" s="49">
        <v>354</v>
      </c>
      <c r="D141" s="40" t="s">
        <v>673</v>
      </c>
      <c r="E141" s="49">
        <v>114.32299999999999</v>
      </c>
      <c r="F141" s="49">
        <v>568.62</v>
      </c>
      <c r="G141" s="49">
        <v>24.831</v>
      </c>
      <c r="H141" s="49">
        <v>216.59</v>
      </c>
      <c r="I141" s="49">
        <v>9.3224999999999998</v>
      </c>
      <c r="J141" s="49">
        <v>3120.2</v>
      </c>
      <c r="K141" s="49">
        <v>-63.628</v>
      </c>
      <c r="L141" s="49">
        <v>0.70299999999999996</v>
      </c>
      <c r="M141" s="53">
        <v>292.82</v>
      </c>
      <c r="N141" s="49">
        <v>1.05</v>
      </c>
      <c r="O141" s="54">
        <v>0.39779999999999999</v>
      </c>
      <c r="P141" s="36">
        <v>34.084699999999998</v>
      </c>
      <c r="Q141" s="36">
        <v>100.253</v>
      </c>
      <c r="R141" s="36">
        <v>1611.55</v>
      </c>
      <c r="S141" s="36">
        <v>69.767499999999998</v>
      </c>
      <c r="T141" s="36">
        <v>768.84699999999998</v>
      </c>
      <c r="U141" s="36">
        <v>0</v>
      </c>
      <c r="V141" s="36">
        <v>100</v>
      </c>
      <c r="W141" s="36">
        <v>0</v>
      </c>
      <c r="X141" s="36">
        <v>100</v>
      </c>
      <c r="Y141" s="62"/>
      <c r="Z141" s="62"/>
      <c r="AA141" s="62"/>
      <c r="AB141" s="62"/>
      <c r="AC141" s="62"/>
      <c r="AD141" s="62"/>
      <c r="AE141" s="62"/>
      <c r="AF141" s="62"/>
      <c r="AO141" s="55">
        <f t="shared" si="0"/>
        <v>1.7088498460197752</v>
      </c>
      <c r="AP141" s="55" t="str">
        <f t="shared" si="3"/>
        <v/>
      </c>
      <c r="AQ141" s="55" t="str">
        <f t="shared" si="1"/>
        <v/>
      </c>
      <c r="AR141" s="55" t="str">
        <f t="shared" si="2"/>
        <v/>
      </c>
    </row>
    <row r="142" spans="2:44" ht="15" x14ac:dyDescent="0.4">
      <c r="B142" s="41" t="s">
        <v>316</v>
      </c>
      <c r="C142" s="49">
        <v>32</v>
      </c>
      <c r="D142" s="40" t="s">
        <v>674</v>
      </c>
      <c r="E142" s="49">
        <v>31.998999999999999</v>
      </c>
      <c r="F142" s="49">
        <v>154.41999999999999</v>
      </c>
      <c r="G142" s="49">
        <v>50.474000000000004</v>
      </c>
      <c r="H142" s="49">
        <v>54.36</v>
      </c>
      <c r="I142" s="49">
        <v>8.7873999999999999</v>
      </c>
      <c r="J142" s="49">
        <v>734.5</v>
      </c>
      <c r="K142" s="49">
        <v>-6.45</v>
      </c>
      <c r="L142" s="49">
        <v>1.149</v>
      </c>
      <c r="M142" s="53">
        <v>89.817000000000007</v>
      </c>
      <c r="N142" s="49">
        <v>1.4</v>
      </c>
      <c r="O142" s="54">
        <v>2.1600000000000001E-2</v>
      </c>
      <c r="P142" s="36">
        <v>6.9630200000000002</v>
      </c>
      <c r="Q142" s="36">
        <v>2.4001299999999999</v>
      </c>
      <c r="R142" s="36">
        <v>2522.0500000000002</v>
      </c>
      <c r="S142" s="36">
        <v>2.2175199999999999</v>
      </c>
      <c r="T142" s="36">
        <v>1154.1500000000001</v>
      </c>
      <c r="U142" s="36">
        <v>0</v>
      </c>
      <c r="V142" s="36">
        <v>100</v>
      </c>
      <c r="W142" s="36">
        <v>0</v>
      </c>
      <c r="X142" s="36">
        <v>100</v>
      </c>
      <c r="Y142" s="53">
        <v>25.48</v>
      </c>
      <c r="Z142" s="53">
        <v>1.52E-2</v>
      </c>
      <c r="AA142" s="53">
        <v>-7.1550000000000001E-6</v>
      </c>
      <c r="AB142" s="53">
        <v>1.312E-9</v>
      </c>
      <c r="AC142" s="49">
        <v>6.085</v>
      </c>
      <c r="AD142" s="49">
        <v>2.0170000000000001E-3</v>
      </c>
      <c r="AE142" s="49">
        <v>-5.2750000000000003E-7</v>
      </c>
      <c r="AF142" s="49">
        <v>5.3720000000000003E-11</v>
      </c>
      <c r="AG142" s="49">
        <v>29.658999999999999</v>
      </c>
      <c r="AH142" s="49">
        <v>6.1372609999999996</v>
      </c>
      <c r="AI142" s="49">
        <v>-1.1865209999999999</v>
      </c>
      <c r="AJ142" s="49">
        <v>9.5780000000000004E-2</v>
      </c>
      <c r="AK142" s="49">
        <v>-0.219663</v>
      </c>
      <c r="AL142" s="49">
        <v>-9.8613909999999994</v>
      </c>
      <c r="AM142" s="49">
        <v>237.94800000000001</v>
      </c>
      <c r="AN142" s="49">
        <v>0</v>
      </c>
      <c r="AO142" s="55">
        <f t="shared" si="0"/>
        <v>0.92096603207304795</v>
      </c>
      <c r="AP142" s="55">
        <f t="shared" si="3"/>
        <v>0.92435792417881213</v>
      </c>
      <c r="AQ142" s="55">
        <f t="shared" si="1"/>
        <v>0.92425763520027859</v>
      </c>
      <c r="AR142" s="55">
        <f t="shared" si="2"/>
        <v>0.91338635190408168</v>
      </c>
    </row>
    <row r="143" spans="2:44" ht="15" x14ac:dyDescent="0.4">
      <c r="B143" s="41" t="s">
        <v>313</v>
      </c>
      <c r="C143" s="49">
        <v>223</v>
      </c>
      <c r="D143" s="41" t="s">
        <v>651</v>
      </c>
      <c r="E143" s="49">
        <v>72.150999999999996</v>
      </c>
      <c r="F143" s="49">
        <v>469.42</v>
      </c>
      <c r="G143" s="49">
        <v>33.750999999999998</v>
      </c>
      <c r="H143" s="49">
        <v>268.7</v>
      </c>
      <c r="I143" s="49">
        <v>9.2132000000000005</v>
      </c>
      <c r="J143" s="49">
        <v>2477</v>
      </c>
      <c r="K143" s="49">
        <v>-39.939</v>
      </c>
      <c r="L143" s="49">
        <v>0.626</v>
      </c>
      <c r="M143" s="53">
        <v>292.82</v>
      </c>
      <c r="N143" s="49">
        <v>1.08</v>
      </c>
      <c r="O143" s="54">
        <v>0.251</v>
      </c>
      <c r="P143" s="36">
        <v>21.386099999999999</v>
      </c>
      <c r="Q143" s="36">
        <v>74.340999999999994</v>
      </c>
      <c r="R143" s="36">
        <v>1701.58</v>
      </c>
      <c r="S143" s="36">
        <v>47.058700000000002</v>
      </c>
      <c r="T143" s="36">
        <v>775.899</v>
      </c>
      <c r="U143" s="36">
        <v>0</v>
      </c>
      <c r="V143" s="36">
        <v>100</v>
      </c>
      <c r="W143" s="36">
        <v>0</v>
      </c>
      <c r="X143" s="36">
        <v>100</v>
      </c>
      <c r="Y143" s="53">
        <v>6.774</v>
      </c>
      <c r="Z143" s="53">
        <v>0.45429999999999998</v>
      </c>
      <c r="AA143" s="53">
        <v>-2.2460000000000001E-4</v>
      </c>
      <c r="AB143" s="53">
        <v>4.224E-8</v>
      </c>
      <c r="AC143" s="49">
        <v>1.6180000000000001</v>
      </c>
      <c r="AD143" s="49">
        <v>6.028E-2</v>
      </c>
      <c r="AE143" s="49">
        <v>-1.6560000000000001E-5</v>
      </c>
      <c r="AF143" s="49">
        <v>1.732E-9</v>
      </c>
      <c r="AO143" s="55">
        <f t="shared" si="0"/>
        <v>1.7165411410848463</v>
      </c>
      <c r="AP143" s="55">
        <f t="shared" si="3"/>
        <v>1.7783569957325629</v>
      </c>
      <c r="AQ143" s="55">
        <f t="shared" si="1"/>
        <v>1.7782602852133784</v>
      </c>
      <c r="AR143" s="55" t="str">
        <f t="shared" si="2"/>
        <v/>
      </c>
    </row>
    <row r="144" spans="2:44" ht="15" x14ac:dyDescent="0.4">
      <c r="B144" s="41" t="s">
        <v>256</v>
      </c>
      <c r="C144" s="49">
        <v>272</v>
      </c>
      <c r="D144" s="41" t="s">
        <v>663</v>
      </c>
      <c r="E144" s="49">
        <v>86.177999999999997</v>
      </c>
      <c r="F144" s="49">
        <v>497.32</v>
      </c>
      <c r="G144" s="49">
        <v>30.102</v>
      </c>
      <c r="H144" s="49">
        <v>285.91000000000003</v>
      </c>
      <c r="I144" s="49">
        <v>9.1274999999999995</v>
      </c>
      <c r="J144" s="49">
        <v>2614.3000000000002</v>
      </c>
      <c r="K144" s="49">
        <v>-46.578000000000003</v>
      </c>
      <c r="L144" s="49">
        <v>0.65300000000000002</v>
      </c>
      <c r="M144" s="53">
        <v>292.82</v>
      </c>
      <c r="N144" s="49">
        <v>1.06</v>
      </c>
      <c r="O144" s="54">
        <v>0.27800000000000002</v>
      </c>
      <c r="Y144" s="62"/>
      <c r="Z144" s="62"/>
      <c r="AA144" s="62"/>
      <c r="AB144" s="62"/>
      <c r="AC144" s="62"/>
      <c r="AD144" s="62"/>
      <c r="AE144" s="62"/>
      <c r="AF144" s="62"/>
      <c r="AO144" s="55" t="str">
        <f t="shared" si="0"/>
        <v/>
      </c>
      <c r="AP144" s="55" t="str">
        <f t="shared" si="3"/>
        <v/>
      </c>
      <c r="AQ144" s="55" t="str">
        <f t="shared" si="1"/>
        <v/>
      </c>
      <c r="AR144" s="55" t="str">
        <f t="shared" si="2"/>
        <v/>
      </c>
    </row>
    <row r="145" spans="2:44" ht="15" x14ac:dyDescent="0.4">
      <c r="B145" s="41" t="s">
        <v>259</v>
      </c>
      <c r="C145" s="49">
        <v>273</v>
      </c>
      <c r="D145" s="41" t="s">
        <v>663</v>
      </c>
      <c r="E145" s="49">
        <v>86.177999999999997</v>
      </c>
      <c r="F145" s="49">
        <v>504.22</v>
      </c>
      <c r="G145" s="49">
        <v>31.217000000000002</v>
      </c>
      <c r="H145" s="49">
        <v>288.44</v>
      </c>
      <c r="I145" s="49">
        <v>9.15</v>
      </c>
      <c r="J145" s="49">
        <v>2653.4</v>
      </c>
      <c r="K145" s="49">
        <v>-46.021999999999998</v>
      </c>
      <c r="L145" s="49">
        <v>0.66400000000000003</v>
      </c>
      <c r="M145" s="53">
        <v>292.82</v>
      </c>
      <c r="N145" s="49">
        <v>1.06</v>
      </c>
      <c r="O145" s="54">
        <v>0.27360000000000001</v>
      </c>
      <c r="Y145" s="62"/>
      <c r="Z145" s="62"/>
      <c r="AA145" s="62"/>
      <c r="AB145" s="62"/>
      <c r="AC145" s="62"/>
      <c r="AD145" s="62"/>
      <c r="AE145" s="62"/>
      <c r="AF145" s="62"/>
      <c r="AO145" s="55" t="str">
        <f t="shared" si="0"/>
        <v/>
      </c>
      <c r="AP145" s="55" t="str">
        <f t="shared" si="3"/>
        <v/>
      </c>
      <c r="AQ145" s="55" t="str">
        <f t="shared" si="1"/>
        <v/>
      </c>
      <c r="AR145" s="55" t="str">
        <f t="shared" si="2"/>
        <v/>
      </c>
    </row>
    <row r="146" spans="2:44" ht="15" x14ac:dyDescent="0.4">
      <c r="B146" s="41" t="s">
        <v>315</v>
      </c>
      <c r="C146" s="49">
        <v>132</v>
      </c>
      <c r="D146" s="41" t="s">
        <v>675</v>
      </c>
      <c r="E146" s="49">
        <v>44.097000000000001</v>
      </c>
      <c r="F146" s="49">
        <v>369.62</v>
      </c>
      <c r="G146" s="49">
        <v>42.466999999999999</v>
      </c>
      <c r="H146" s="49">
        <v>166.02</v>
      </c>
      <c r="I146" s="49">
        <v>9.1059000000000001</v>
      </c>
      <c r="J146" s="49">
        <v>1872.4</v>
      </c>
      <c r="K146" s="49">
        <v>-25.161000000000001</v>
      </c>
      <c r="L146" s="49">
        <v>0.58199999999999996</v>
      </c>
      <c r="M146" s="53">
        <v>230.82</v>
      </c>
      <c r="N146" s="49">
        <v>1.1299999999999999</v>
      </c>
      <c r="O146" s="54">
        <v>0.1515</v>
      </c>
      <c r="P146" s="36">
        <v>8.1431900000000006</v>
      </c>
      <c r="Q146" s="36">
        <v>37.062899999999999</v>
      </c>
      <c r="R146" s="36">
        <v>735.40200000000004</v>
      </c>
      <c r="S146" s="36">
        <v>9.3815899999999992</v>
      </c>
      <c r="T146" s="36">
        <v>247.19</v>
      </c>
      <c r="U146" s="36">
        <v>13.4556</v>
      </c>
      <c r="V146" s="36">
        <v>1454.78</v>
      </c>
      <c r="W146" s="36">
        <v>-11.7342</v>
      </c>
      <c r="X146" s="36">
        <v>984.51800000000003</v>
      </c>
      <c r="Y146" s="53">
        <v>-4.04</v>
      </c>
      <c r="Z146" s="53">
        <v>0.30480000000000002</v>
      </c>
      <c r="AA146" s="53">
        <v>-1.572E-4</v>
      </c>
      <c r="AB146" s="53">
        <v>3.1739999999999998E-8</v>
      </c>
      <c r="AC146" s="49">
        <v>-0.96599999999999997</v>
      </c>
      <c r="AD146" s="49">
        <v>4.0439999999999997E-2</v>
      </c>
      <c r="AE146" s="49">
        <v>-1.1590000000000001E-5</v>
      </c>
      <c r="AF146" s="49">
        <v>1.3000000000000001E-9</v>
      </c>
      <c r="AO146" s="55">
        <f t="shared" si="0"/>
        <v>1.7378481947163769</v>
      </c>
      <c r="AP146" s="55">
        <f t="shared" si="3"/>
        <v>1.7454092870649016</v>
      </c>
      <c r="AQ146" s="55">
        <f t="shared" si="1"/>
        <v>1.7450187804365209</v>
      </c>
      <c r="AR146" s="55" t="str">
        <f t="shared" si="2"/>
        <v/>
      </c>
    </row>
    <row r="147" spans="2:44" ht="15" x14ac:dyDescent="0.4">
      <c r="B147" s="41" t="s">
        <v>317</v>
      </c>
      <c r="C147" s="49">
        <v>120</v>
      </c>
      <c r="D147" s="41" t="s">
        <v>676</v>
      </c>
      <c r="E147" s="49">
        <v>42.081000000000003</v>
      </c>
      <c r="F147" s="49">
        <v>364.82</v>
      </c>
      <c r="G147" s="49">
        <v>46.216999999999999</v>
      </c>
      <c r="H147" s="49">
        <v>165.81</v>
      </c>
      <c r="I147" s="49">
        <v>9.0725999999999996</v>
      </c>
      <c r="J147" s="49">
        <v>1807.5</v>
      </c>
      <c r="K147" s="49">
        <v>-26.15</v>
      </c>
      <c r="L147" s="49">
        <v>0.61199999999999999</v>
      </c>
      <c r="M147" s="53">
        <v>222.82</v>
      </c>
      <c r="N147" s="49">
        <v>1.1499999999999999</v>
      </c>
      <c r="O147" s="54">
        <v>0.1404</v>
      </c>
      <c r="Y147" s="53">
        <v>3.15</v>
      </c>
      <c r="Z147" s="53">
        <v>0.23830000000000001</v>
      </c>
      <c r="AA147" s="53">
        <v>-1.2180000000000001E-4</v>
      </c>
      <c r="AB147" s="53">
        <v>2.4620000000000001E-8</v>
      </c>
      <c r="AC147" s="49">
        <v>0.753</v>
      </c>
      <c r="AD147" s="49">
        <v>3.1620000000000002E-2</v>
      </c>
      <c r="AE147" s="49">
        <v>-8.9809999999999992E-6</v>
      </c>
      <c r="AF147" s="49">
        <v>1.008E-9</v>
      </c>
      <c r="AO147" s="55" t="str">
        <f t="shared" si="0"/>
        <v/>
      </c>
      <c r="AP147" s="55">
        <f t="shared" si="3"/>
        <v>1.5823203334149172</v>
      </c>
      <c r="AQ147" s="55">
        <f t="shared" si="1"/>
        <v>1.5822794315643864</v>
      </c>
      <c r="AR147" s="55" t="str">
        <f t="shared" si="2"/>
        <v/>
      </c>
    </row>
    <row r="148" spans="2:44" ht="15" x14ac:dyDescent="0.4">
      <c r="B148" s="41" t="s">
        <v>320</v>
      </c>
      <c r="C148" s="49">
        <v>33</v>
      </c>
      <c r="D148" s="41" t="s">
        <v>677</v>
      </c>
      <c r="E148" s="49">
        <v>64.063000000000002</v>
      </c>
      <c r="F148" s="49">
        <v>430.62</v>
      </c>
      <c r="G148" s="49">
        <v>78.853000000000009</v>
      </c>
      <c r="H148" s="49">
        <v>177.6</v>
      </c>
      <c r="I148" s="49">
        <v>10.148</v>
      </c>
      <c r="J148" s="49">
        <v>2302.3000000000002</v>
      </c>
      <c r="K148" s="49">
        <v>-35.972000000000001</v>
      </c>
      <c r="L148" s="49">
        <v>1.4550000000000001</v>
      </c>
      <c r="M148" s="53">
        <v>262.82</v>
      </c>
      <c r="N148" s="49">
        <v>1.27</v>
      </c>
      <c r="O148" s="54">
        <v>0.25480000000000003</v>
      </c>
      <c r="Y148" s="53">
        <v>25.78</v>
      </c>
      <c r="Z148" s="53">
        <v>5.7950000000000002E-2</v>
      </c>
      <c r="AA148" s="53">
        <v>-3.8120000000000001E-5</v>
      </c>
      <c r="AB148" s="53">
        <v>8.6119999999999996E-9</v>
      </c>
      <c r="AC148" s="49">
        <v>6.157</v>
      </c>
      <c r="AD148" s="49">
        <v>7.6889999999999997E-3</v>
      </c>
      <c r="AE148" s="49">
        <v>-2.8100000000000002E-6</v>
      </c>
      <c r="AF148" s="49">
        <v>3.5269999999999998E-10</v>
      </c>
      <c r="AG148" s="49">
        <v>21.430489999999999</v>
      </c>
      <c r="AH148" s="49">
        <v>74.350939999999994</v>
      </c>
      <c r="AI148" s="49">
        <v>-57.75217</v>
      </c>
      <c r="AJ148" s="49">
        <v>16.355340000000002</v>
      </c>
      <c r="AK148" s="49">
        <v>8.6731000000000003E-2</v>
      </c>
      <c r="AL148" s="49">
        <v>-305.7688</v>
      </c>
      <c r="AM148" s="49">
        <v>254.88720000000001</v>
      </c>
      <c r="AN148" s="49">
        <v>-296.84219999999999</v>
      </c>
      <c r="AO148" s="55" t="str">
        <f t="shared" si="0"/>
        <v/>
      </c>
      <c r="AP148" s="55">
        <f t="shared" si="3"/>
        <v>0.63146191516328765</v>
      </c>
      <c r="AQ148" s="55">
        <f t="shared" si="1"/>
        <v>0.6314164755620072</v>
      </c>
      <c r="AR148" s="55">
        <f t="shared" si="2"/>
        <v>0.63120411180806968</v>
      </c>
    </row>
    <row r="149" spans="2:44" ht="15" x14ac:dyDescent="0.4">
      <c r="B149" s="41" t="s">
        <v>321</v>
      </c>
      <c r="C149" s="49">
        <v>35</v>
      </c>
      <c r="D149" s="41" t="s">
        <v>678</v>
      </c>
      <c r="E149" s="49">
        <v>80.058000000000007</v>
      </c>
      <c r="F149" s="49">
        <v>490.82</v>
      </c>
      <c r="G149" s="49">
        <v>82.096000000000004</v>
      </c>
      <c r="H149" s="49">
        <v>333</v>
      </c>
      <c r="I149" s="49">
        <v>4.2051499999999997</v>
      </c>
      <c r="J149" s="49">
        <v>892.17499999999995</v>
      </c>
      <c r="K149" s="49">
        <v>-103.56399999999999</v>
      </c>
      <c r="L149" s="49">
        <v>1.78</v>
      </c>
      <c r="M149" s="53">
        <v>317.58999999999997</v>
      </c>
      <c r="N149" s="49"/>
      <c r="O149" s="54"/>
      <c r="Y149" s="53">
        <v>16.399999999999999</v>
      </c>
      <c r="Z149" s="58">
        <v>0.14580000000000001</v>
      </c>
      <c r="AA149" s="58">
        <v>-1.12E-4</v>
      </c>
      <c r="AB149" s="58">
        <v>3.2420000000000002E-8</v>
      </c>
      <c r="AC149" s="49">
        <v>3.9180000000000001</v>
      </c>
      <c r="AD149" s="67">
        <v>1.9349999999999999E-2</v>
      </c>
      <c r="AE149" s="67">
        <v>-8.2560000000000002E-6</v>
      </c>
      <c r="AF149" s="67">
        <v>1.328E-9</v>
      </c>
      <c r="AG149" s="36">
        <v>24.025030000000001</v>
      </c>
      <c r="AH149" s="36">
        <v>119.4607</v>
      </c>
      <c r="AI149" s="36">
        <v>-94.386859999999999</v>
      </c>
      <c r="AJ149" s="36">
        <v>26.96237</v>
      </c>
      <c r="AK149" s="36">
        <v>-0.117517</v>
      </c>
      <c r="AL149" s="36">
        <v>-407.8526</v>
      </c>
      <c r="AM149" s="36">
        <v>253.51859999999999</v>
      </c>
      <c r="AN149" s="36">
        <v>-395.7654</v>
      </c>
      <c r="AO149" s="55" t="str">
        <f t="shared" si="0"/>
        <v/>
      </c>
      <c r="AP149" s="55">
        <f t="shared" si="3"/>
        <v>0.65040082369711916</v>
      </c>
      <c r="AQ149" s="55">
        <f t="shared" si="1"/>
        <v>0.65056107032532096</v>
      </c>
      <c r="AR149" s="55">
        <f t="shared" si="2"/>
        <v>0.64712938874290848</v>
      </c>
    </row>
    <row r="150" spans="2:44" ht="15" x14ac:dyDescent="0.4">
      <c r="B150" s="41" t="s">
        <v>248</v>
      </c>
      <c r="C150" s="49">
        <v>20</v>
      </c>
      <c r="D150" s="41" t="s">
        <v>679</v>
      </c>
      <c r="E150" s="49">
        <v>18.015000000000001</v>
      </c>
      <c r="F150" s="49">
        <v>647.096</v>
      </c>
      <c r="G150" s="49">
        <v>220.64</v>
      </c>
      <c r="H150" s="49">
        <v>273</v>
      </c>
      <c r="I150" s="49">
        <v>11.683</v>
      </c>
      <c r="J150" s="49">
        <v>3816.4</v>
      </c>
      <c r="K150" s="49">
        <v>-46.128</v>
      </c>
      <c r="L150" s="49">
        <v>0.998</v>
      </c>
      <c r="M150" s="53">
        <v>292.82</v>
      </c>
      <c r="N150" s="49">
        <v>1.33</v>
      </c>
      <c r="O150" s="54">
        <v>0.34449999999999997</v>
      </c>
      <c r="P150" s="36">
        <v>7.9718299999999997</v>
      </c>
      <c r="Q150" s="36">
        <v>6.2707800000000002</v>
      </c>
      <c r="R150" s="36">
        <v>2572.63</v>
      </c>
      <c r="S150" s="36">
        <v>2.0501</v>
      </c>
      <c r="T150" s="36">
        <v>1156.72</v>
      </c>
      <c r="U150" s="36">
        <v>0</v>
      </c>
      <c r="V150" s="36">
        <v>100</v>
      </c>
      <c r="W150" s="36">
        <v>0</v>
      </c>
      <c r="X150" s="36">
        <v>100</v>
      </c>
      <c r="Y150" s="49">
        <v>32.24</v>
      </c>
      <c r="Z150" s="49">
        <v>1.923E-3</v>
      </c>
      <c r="AA150" s="49">
        <v>1.0550000000000001E-5</v>
      </c>
      <c r="AB150" s="49">
        <v>-3.5950000000000001E-9</v>
      </c>
      <c r="AC150" s="49">
        <v>7.7</v>
      </c>
      <c r="AD150" s="49">
        <v>2.5520000000000002E-4</v>
      </c>
      <c r="AE150" s="49">
        <v>7.7810000000000001E-7</v>
      </c>
      <c r="AF150" s="49">
        <v>-1.4719999999999999E-10</v>
      </c>
      <c r="AG150" s="49">
        <v>30.091999999999999</v>
      </c>
      <c r="AH150" s="49">
        <v>6.8325139999999998</v>
      </c>
      <c r="AI150" s="49">
        <v>6.7934349999999997</v>
      </c>
      <c r="AJ150" s="49">
        <v>-2.5344799999999998</v>
      </c>
      <c r="AK150" s="49">
        <v>8.2139000000000004E-2</v>
      </c>
      <c r="AL150" s="49">
        <v>-250.881</v>
      </c>
      <c r="AM150" s="49">
        <v>223.39670000000001</v>
      </c>
      <c r="AN150" s="49">
        <v>-2418264</v>
      </c>
      <c r="AO150" s="55">
        <f t="shared" si="0"/>
        <v>1.8688050885305552</v>
      </c>
      <c r="AP150" s="55">
        <f t="shared" si="3"/>
        <v>1.8743466316594368</v>
      </c>
      <c r="AQ150" s="55">
        <f t="shared" si="1"/>
        <v>1.8742890035852073</v>
      </c>
      <c r="AR150" s="55">
        <f t="shared" si="2"/>
        <v>1.8683081470696106</v>
      </c>
    </row>
    <row r="151" spans="2:44" x14ac:dyDescent="0.3">
      <c r="Y151" s="62"/>
      <c r="Z151" s="62"/>
      <c r="AA151" s="62"/>
      <c r="AB151" s="62"/>
      <c r="AC151" s="62"/>
      <c r="AD151" s="62"/>
      <c r="AE151" s="62"/>
      <c r="AF151" s="62"/>
    </row>
    <row r="152" spans="2:44" x14ac:dyDescent="0.3">
      <c r="Y152" s="62"/>
      <c r="Z152" s="62"/>
      <c r="AA152" s="62"/>
      <c r="AB152" s="62"/>
      <c r="AC152" s="62"/>
      <c r="AD152" s="62"/>
      <c r="AE152" s="62"/>
      <c r="AF152" s="62"/>
    </row>
    <row r="153" spans="2:44" x14ac:dyDescent="0.3">
      <c r="Y153" s="62"/>
      <c r="Z153" s="62"/>
      <c r="AA153" s="62"/>
      <c r="AB153" s="62"/>
      <c r="AC153" s="62"/>
      <c r="AD153" s="62"/>
      <c r="AE153" s="62"/>
      <c r="AF153" s="62"/>
    </row>
  </sheetData>
  <mergeCells count="7">
    <mergeCell ref="AO100:AR100"/>
    <mergeCell ref="I100:K100"/>
    <mergeCell ref="L100:M100"/>
    <mergeCell ref="P100:X100"/>
    <mergeCell ref="Y100:AB100"/>
    <mergeCell ref="AC100:AF100"/>
    <mergeCell ref="AG100:AN100"/>
  </mergeCells>
  <hyperlinks>
    <hyperlink ref="A5" r:id="rId1"/>
  </hyperlinks>
  <pageMargins left="0.75" right="0.75" top="1" bottom="1" header="0.5" footer="0.5"/>
  <pageSetup orientation="portrait" r:id="rId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indexed="22"/>
  </sheetPr>
  <dimension ref="A1:AV311"/>
  <sheetViews>
    <sheetView showGridLines="0" workbookViewId="0">
      <pane ySplit="5" topLeftCell="A96" activePane="bottomLeft" state="frozen"/>
      <selection pane="bottomLeft" activeCell="A6" sqref="A6"/>
    </sheetView>
  </sheetViews>
  <sheetFormatPr defaultColWidth="9.08984375" defaultRowHeight="13" x14ac:dyDescent="0.3"/>
  <cols>
    <col min="1" max="1" width="25.6328125" style="189" customWidth="1"/>
    <col min="2" max="5" width="8.81640625" style="189" customWidth="1"/>
    <col min="6" max="6" width="8.81640625" style="358" customWidth="1"/>
    <col min="7" max="9" width="8.81640625" style="189" customWidth="1"/>
    <col min="11" max="12" width="10.6328125" style="189" customWidth="1"/>
    <col min="13" max="14" width="8.81640625" style="189" customWidth="1"/>
    <col min="15" max="16" width="10.6328125" style="189" customWidth="1"/>
    <col min="17" max="48" width="12.81640625" style="189" customWidth="1"/>
    <col min="49" max="59" width="10.6328125" style="189" customWidth="1"/>
    <col min="60" max="16384" width="9.08984375" style="189"/>
  </cols>
  <sheetData>
    <row r="1" spans="1:48" ht="14.5" x14ac:dyDescent="0.35">
      <c r="A1" s="182" t="s">
        <v>768</v>
      </c>
      <c r="B1" s="183"/>
      <c r="C1" s="183"/>
      <c r="D1" s="184" t="s">
        <v>769</v>
      </c>
      <c r="E1" s="185"/>
      <c r="F1" s="182"/>
      <c r="G1" s="182"/>
      <c r="H1" s="186"/>
      <c r="I1" s="182"/>
      <c r="K1" s="188"/>
      <c r="M1" s="187"/>
      <c r="N1" s="188"/>
    </row>
    <row r="2" spans="1:48" ht="14.5" x14ac:dyDescent="0.35">
      <c r="A2" s="182"/>
      <c r="B2" s="374"/>
      <c r="C2" s="190"/>
      <c r="D2" s="191"/>
      <c r="E2" s="374"/>
      <c r="F2" s="182"/>
      <c r="G2" s="182"/>
      <c r="H2" s="186"/>
      <c r="I2" s="182"/>
      <c r="M2" s="187"/>
      <c r="N2" s="188"/>
    </row>
    <row r="3" spans="1:48" s="193" customFormat="1" ht="14.4" customHeight="1" x14ac:dyDescent="0.3">
      <c r="A3" s="192">
        <v>1</v>
      </c>
      <c r="B3" s="192">
        <v>2</v>
      </c>
      <c r="C3" s="192">
        <v>3</v>
      </c>
      <c r="D3" s="192">
        <v>4</v>
      </c>
      <c r="E3" s="192">
        <v>5</v>
      </c>
      <c r="F3" s="192">
        <v>6</v>
      </c>
      <c r="G3" s="192">
        <v>7</v>
      </c>
      <c r="H3" s="192">
        <v>8</v>
      </c>
      <c r="I3" s="192">
        <v>9</v>
      </c>
      <c r="M3" s="501" t="s">
        <v>865</v>
      </c>
      <c r="N3" s="501"/>
      <c r="P3" s="95"/>
      <c r="Q3" s="104" t="s">
        <v>404</v>
      </c>
      <c r="R3" s="104" t="s">
        <v>405</v>
      </c>
      <c r="S3" s="96"/>
      <c r="T3" s="96"/>
      <c r="U3" s="95"/>
      <c r="V3" s="95"/>
      <c r="W3" s="95"/>
      <c r="X3" s="95"/>
      <c r="Y3" s="95"/>
      <c r="Z3" s="95"/>
      <c r="AA3" s="95"/>
      <c r="AB3" s="95"/>
      <c r="AC3" s="95"/>
      <c r="AD3" s="95"/>
      <c r="AE3" s="95"/>
      <c r="AF3" s="95"/>
      <c r="AG3" s="95"/>
      <c r="AH3" s="95"/>
      <c r="AI3" s="95"/>
      <c r="AJ3" s="95"/>
      <c r="AK3" s="95"/>
      <c r="AL3" s="95"/>
      <c r="AM3" s="95"/>
      <c r="AN3" s="95"/>
      <c r="AO3" s="95"/>
      <c r="AP3" s="95"/>
      <c r="AQ3" s="95"/>
      <c r="AR3" s="95"/>
      <c r="AS3" s="95"/>
      <c r="AT3" s="95"/>
      <c r="AU3" s="95"/>
      <c r="AV3" s="95"/>
    </row>
    <row r="4" spans="1:48" s="193" customFormat="1" x14ac:dyDescent="0.3">
      <c r="A4" s="182" t="s">
        <v>770</v>
      </c>
      <c r="B4" s="194" t="s">
        <v>772</v>
      </c>
      <c r="C4" s="194" t="s">
        <v>771</v>
      </c>
      <c r="D4" s="195" t="s">
        <v>23</v>
      </c>
      <c r="E4" s="196" t="s">
        <v>22</v>
      </c>
      <c r="F4" s="194" t="s">
        <v>772</v>
      </c>
      <c r="G4" s="194" t="s">
        <v>771</v>
      </c>
      <c r="H4" s="197" t="s">
        <v>23</v>
      </c>
      <c r="I4" s="198" t="s">
        <v>22</v>
      </c>
      <c r="K4" s="194" t="s">
        <v>772</v>
      </c>
      <c r="L4" s="196" t="s">
        <v>864</v>
      </c>
      <c r="M4" s="501"/>
      <c r="N4" s="501"/>
      <c r="P4" s="95"/>
      <c r="Q4" s="104" t="s">
        <v>610</v>
      </c>
      <c r="R4" s="104" t="s">
        <v>610</v>
      </c>
      <c r="S4" s="359">
        <v>1</v>
      </c>
      <c r="T4" s="359">
        <v>2</v>
      </c>
      <c r="U4" s="359">
        <v>3</v>
      </c>
      <c r="V4" s="359">
        <v>4</v>
      </c>
      <c r="W4" s="359">
        <v>5</v>
      </c>
      <c r="X4" s="359">
        <v>6</v>
      </c>
      <c r="Y4" s="359">
        <v>7</v>
      </c>
      <c r="Z4" s="359">
        <v>8</v>
      </c>
      <c r="AA4" s="359">
        <v>9</v>
      </c>
      <c r="AB4" s="359">
        <v>10</v>
      </c>
      <c r="AC4" s="359">
        <v>11</v>
      </c>
      <c r="AD4" s="359">
        <v>12</v>
      </c>
      <c r="AE4" s="359">
        <v>13</v>
      </c>
      <c r="AF4" s="359">
        <v>14</v>
      </c>
      <c r="AG4" s="359">
        <v>15</v>
      </c>
      <c r="AH4" s="359">
        <v>16</v>
      </c>
      <c r="AI4" s="359">
        <v>17</v>
      </c>
      <c r="AJ4" s="359">
        <v>18</v>
      </c>
      <c r="AK4" s="359">
        <v>19</v>
      </c>
      <c r="AL4" s="359">
        <v>20</v>
      </c>
      <c r="AM4" s="359">
        <v>21</v>
      </c>
      <c r="AN4" s="359">
        <v>22</v>
      </c>
      <c r="AO4" s="359">
        <v>23</v>
      </c>
      <c r="AP4" s="359">
        <v>24</v>
      </c>
      <c r="AQ4" s="359">
        <v>25</v>
      </c>
      <c r="AR4" s="359">
        <v>26</v>
      </c>
      <c r="AS4" s="359">
        <v>27</v>
      </c>
      <c r="AT4" s="359">
        <v>28</v>
      </c>
      <c r="AU4" s="359">
        <v>29</v>
      </c>
      <c r="AV4" s="359">
        <v>30</v>
      </c>
    </row>
    <row r="5" spans="1:48" s="193" customFormat="1" ht="15" thickBot="1" x14ac:dyDescent="0.4">
      <c r="A5" s="199"/>
      <c r="B5" s="194" t="s">
        <v>469</v>
      </c>
      <c r="C5" s="194"/>
      <c r="D5" s="195" t="s">
        <v>469</v>
      </c>
      <c r="E5" s="195" t="s">
        <v>469</v>
      </c>
      <c r="F5" s="194" t="s">
        <v>24</v>
      </c>
      <c r="G5" s="194"/>
      <c r="H5" s="197" t="s">
        <v>24</v>
      </c>
      <c r="I5" s="197" t="s">
        <v>24</v>
      </c>
      <c r="K5" s="194" t="s">
        <v>469</v>
      </c>
      <c r="L5" s="195" t="s">
        <v>469</v>
      </c>
      <c r="M5" s="187" t="s">
        <v>598</v>
      </c>
      <c r="N5" s="187" t="s">
        <v>598</v>
      </c>
      <c r="P5" s="95"/>
      <c r="Q5" s="104" t="str">
        <f>Noise!E23</f>
        <v>4in (100mm)</v>
      </c>
      <c r="R5" s="104" t="str">
        <f>Noise!F23</f>
        <v>4in (100mm)</v>
      </c>
      <c r="S5" s="360" t="s">
        <v>714</v>
      </c>
      <c r="T5" s="360" t="s">
        <v>715</v>
      </c>
      <c r="U5" s="360" t="s">
        <v>611</v>
      </c>
      <c r="V5" s="360" t="s">
        <v>612</v>
      </c>
      <c r="W5" s="360" t="s">
        <v>613</v>
      </c>
      <c r="X5" s="360" t="s">
        <v>614</v>
      </c>
      <c r="Y5" s="360" t="s">
        <v>615</v>
      </c>
      <c r="Z5" s="360" t="s">
        <v>616</v>
      </c>
      <c r="AA5" s="360" t="s">
        <v>617</v>
      </c>
      <c r="AB5" s="360" t="s">
        <v>618</v>
      </c>
      <c r="AC5" s="360" t="s">
        <v>619</v>
      </c>
      <c r="AD5" s="358" t="s">
        <v>620</v>
      </c>
      <c r="AE5" s="358" t="s">
        <v>621</v>
      </c>
      <c r="AF5" s="358" t="s">
        <v>622</v>
      </c>
      <c r="AG5" s="358" t="s">
        <v>408</v>
      </c>
      <c r="AH5" s="358" t="s">
        <v>623</v>
      </c>
      <c r="AI5" s="360" t="s">
        <v>624</v>
      </c>
      <c r="AJ5" s="360" t="s">
        <v>625</v>
      </c>
      <c r="AK5" s="360" t="s">
        <v>626</v>
      </c>
      <c r="AL5" s="360" t="s">
        <v>627</v>
      </c>
      <c r="AM5" s="360" t="s">
        <v>628</v>
      </c>
      <c r="AN5" s="360" t="s">
        <v>629</v>
      </c>
      <c r="AO5" s="360" t="s">
        <v>630</v>
      </c>
      <c r="AP5" s="360" t="s">
        <v>631</v>
      </c>
      <c r="AQ5" s="360" t="s">
        <v>632</v>
      </c>
      <c r="AR5" s="360" t="s">
        <v>850</v>
      </c>
      <c r="AS5" s="360" t="s">
        <v>633</v>
      </c>
      <c r="AT5" s="360" t="s">
        <v>851</v>
      </c>
      <c r="AU5" s="360" t="s">
        <v>852</v>
      </c>
      <c r="AV5" s="360" t="s">
        <v>853</v>
      </c>
    </row>
    <row r="6" spans="1:48" s="193" customFormat="1" ht="14.5" x14ac:dyDescent="0.35">
      <c r="A6" s="200" t="s">
        <v>773</v>
      </c>
      <c r="B6" s="201">
        <v>21.34</v>
      </c>
      <c r="C6" s="202">
        <f t="shared" ref="C6:D25" si="0">G6*25.4</f>
        <v>24.13</v>
      </c>
      <c r="D6" s="203">
        <f t="shared" si="0"/>
        <v>17.119599999999998</v>
      </c>
      <c r="E6" s="204">
        <v>2.11</v>
      </c>
      <c r="F6" s="205">
        <v>0.84</v>
      </c>
      <c r="G6" s="206">
        <v>0.95</v>
      </c>
      <c r="H6" s="207">
        <f t="shared" ref="H6:H57" si="1">ROUND(F6-2*I6,3)</f>
        <v>0.67400000000000004</v>
      </c>
      <c r="I6" s="208">
        <v>8.3000000000000004E-2</v>
      </c>
      <c r="K6" s="153">
        <v>21.34</v>
      </c>
      <c r="L6" s="153">
        <v>2.77</v>
      </c>
      <c r="M6" s="378">
        <v>4</v>
      </c>
      <c r="N6" s="377">
        <f>IF(B6&gt;=508,  31,
    IF(B6&gt;=219.1,  32,  34))*
    LOG(IF(B6&gt;=300,  9.53,
      mathx1x2xy1y2y(
        INDEX($K$6:$K$18,MATCH(B6,$K$6:$K$18,1),1),
        INDEX($K$6:$K$18,MATCH(B6,$K$6:$K$18,1)+1,1),
        B6,
        INDEX($L$6:$L$18,MATCH(B6,$K$6:$K$18,1),1),
        INDEX($L$6:$L$18,MATCH(B6,$K$6:$K$18,1)+1,1)))/E6)</f>
        <v>4.018708668069702</v>
      </c>
      <c r="P6" s="33">
        <v>1</v>
      </c>
      <c r="Q6" s="361" t="str">
        <f>INDEX($S$6:$AV$21,$P6,MATCH(Q$5,$S$5:$AV$5,0))</f>
        <v>10S</v>
      </c>
      <c r="R6" s="361" t="str">
        <f>INDEX($S$6:$AV$21,$P6,MATCH(R$5,$S$5:$AV$5,0))</f>
        <v>10S</v>
      </c>
      <c r="S6" s="363" t="s">
        <v>634</v>
      </c>
      <c r="T6" s="363" t="s">
        <v>634</v>
      </c>
      <c r="U6" s="363" t="s">
        <v>634</v>
      </c>
      <c r="V6" s="363" t="s">
        <v>634</v>
      </c>
      <c r="W6" s="363" t="s">
        <v>634</v>
      </c>
      <c r="X6" s="363" t="s">
        <v>634</v>
      </c>
      <c r="Y6" s="363" t="s">
        <v>634</v>
      </c>
      <c r="Z6" s="363" t="s">
        <v>634</v>
      </c>
      <c r="AA6" s="363" t="s">
        <v>634</v>
      </c>
      <c r="AB6" s="363" t="s">
        <v>634</v>
      </c>
      <c r="AC6" s="363" t="s">
        <v>634</v>
      </c>
      <c r="AD6" s="364" t="s">
        <v>634</v>
      </c>
      <c r="AE6" s="364" t="s">
        <v>634</v>
      </c>
      <c r="AF6" s="364" t="s">
        <v>634</v>
      </c>
      <c r="AG6" s="364" t="s">
        <v>634</v>
      </c>
      <c r="AH6" s="364" t="s">
        <v>634</v>
      </c>
      <c r="AI6" s="363" t="s">
        <v>634</v>
      </c>
      <c r="AJ6" s="363" t="s">
        <v>634</v>
      </c>
      <c r="AK6" s="365" t="s">
        <v>856</v>
      </c>
      <c r="AL6" s="365" t="s">
        <v>856</v>
      </c>
      <c r="AM6" s="365" t="s">
        <v>856</v>
      </c>
      <c r="AN6" s="365" t="s">
        <v>856</v>
      </c>
      <c r="AO6" s="365" t="s">
        <v>856</v>
      </c>
      <c r="AP6" s="365" t="s">
        <v>856</v>
      </c>
      <c r="AQ6" s="365" t="s">
        <v>856</v>
      </c>
      <c r="AR6" s="363" t="s">
        <v>635</v>
      </c>
      <c r="AS6" s="363" t="s">
        <v>635</v>
      </c>
      <c r="AT6" s="363" t="s">
        <v>635</v>
      </c>
      <c r="AU6" s="363" t="s">
        <v>635</v>
      </c>
      <c r="AV6" s="363" t="s">
        <v>635</v>
      </c>
    </row>
    <row r="7" spans="1:48" s="193" customFormat="1" ht="14.5" x14ac:dyDescent="0.35">
      <c r="A7" s="211" t="s">
        <v>774</v>
      </c>
      <c r="B7" s="212">
        <v>21.34</v>
      </c>
      <c r="C7" s="213">
        <f t="shared" si="0"/>
        <v>24.13</v>
      </c>
      <c r="D7" s="214">
        <f t="shared" si="0"/>
        <v>17.119599999999998</v>
      </c>
      <c r="E7" s="215">
        <v>2.11</v>
      </c>
      <c r="F7" s="216">
        <v>0.84</v>
      </c>
      <c r="G7" s="217">
        <v>0.95</v>
      </c>
      <c r="H7" s="218">
        <f t="shared" si="1"/>
        <v>0.67400000000000004</v>
      </c>
      <c r="I7" s="219">
        <v>8.3000000000000004E-2</v>
      </c>
      <c r="K7" s="153">
        <v>26.67</v>
      </c>
      <c r="L7" s="153">
        <v>2.87</v>
      </c>
      <c r="M7" s="379">
        <v>4</v>
      </c>
      <c r="N7" s="220">
        <f>IF(B7&gt;=508,  31,
    IF(B7&gt;=219.1,  32,  34))*
    LOG(IF(B7&gt;=300,  9.53,
      mathx1x2xy1y2y(
        INDEX($K$6:$K$18,MATCH(B7,$K$6:$K$18,1),1),
        INDEX($K$6:$K$18,MATCH(B7,$K$6:$K$18,1)+1,1),
        B7,
        INDEX($L$6:$L$18,MATCH(B7,$K$6:$K$18,1),1),
        INDEX($L$6:$L$18,MATCH(B7,$K$6:$K$18,1)+1,1)))/E7)</f>
        <v>4.018708668069702</v>
      </c>
      <c r="P7" s="33">
        <v>2</v>
      </c>
      <c r="Q7" s="361" t="str">
        <f t="shared" ref="Q7:Q21" si="2">INDEX($S$6:$AV$21,$P7,MATCH(Q$5,$S$5:$AV$5,0))</f>
        <v>10</v>
      </c>
      <c r="R7" s="361" t="str">
        <f t="shared" ref="R7:R21" si="3">INDEX($S$6:$AV$21,$P7,MATCH(R$5,$S$5:$AV$5,0))</f>
        <v>10</v>
      </c>
      <c r="S7" s="365" t="s">
        <v>856</v>
      </c>
      <c r="T7" s="365" t="s">
        <v>856</v>
      </c>
      <c r="U7" s="365" t="s">
        <v>856</v>
      </c>
      <c r="V7" s="365" t="s">
        <v>856</v>
      </c>
      <c r="W7" s="365" t="s">
        <v>856</v>
      </c>
      <c r="X7" s="365" t="s">
        <v>856</v>
      </c>
      <c r="Y7" s="365" t="s">
        <v>856</v>
      </c>
      <c r="Z7" s="365" t="s">
        <v>856</v>
      </c>
      <c r="AA7" s="365" t="s">
        <v>856</v>
      </c>
      <c r="AB7" s="365" t="s">
        <v>856</v>
      </c>
      <c r="AC7" s="365" t="s">
        <v>856</v>
      </c>
      <c r="AD7" s="365" t="s">
        <v>856</v>
      </c>
      <c r="AE7" s="365" t="s">
        <v>856</v>
      </c>
      <c r="AF7" s="365" t="s">
        <v>856</v>
      </c>
      <c r="AG7" s="365" t="s">
        <v>856</v>
      </c>
      <c r="AH7" s="365" t="s">
        <v>856</v>
      </c>
      <c r="AI7" s="365" t="s">
        <v>856</v>
      </c>
      <c r="AJ7" s="365" t="s">
        <v>856</v>
      </c>
      <c r="AK7" s="363" t="s">
        <v>634</v>
      </c>
      <c r="AL7" s="363" t="s">
        <v>636</v>
      </c>
      <c r="AM7" s="363" t="s">
        <v>636</v>
      </c>
      <c r="AN7" s="363" t="s">
        <v>634</v>
      </c>
      <c r="AO7" s="363" t="s">
        <v>636</v>
      </c>
      <c r="AP7" s="363" t="s">
        <v>636</v>
      </c>
      <c r="AQ7" s="363" t="s">
        <v>636</v>
      </c>
      <c r="AR7" s="363" t="s">
        <v>637</v>
      </c>
      <c r="AS7" s="363" t="s">
        <v>637</v>
      </c>
      <c r="AT7" s="363" t="s">
        <v>637</v>
      </c>
      <c r="AU7" s="363" t="s">
        <v>637</v>
      </c>
      <c r="AV7" s="363" t="s">
        <v>637</v>
      </c>
    </row>
    <row r="8" spans="1:48" s="193" customFormat="1" ht="14.5" x14ac:dyDescent="0.35">
      <c r="A8" s="211" t="s">
        <v>775</v>
      </c>
      <c r="B8" s="212">
        <v>21.34</v>
      </c>
      <c r="C8" s="213">
        <f t="shared" si="0"/>
        <v>24.13</v>
      </c>
      <c r="D8" s="214">
        <f t="shared" si="0"/>
        <v>15.798799999999998</v>
      </c>
      <c r="E8" s="215">
        <v>2.77</v>
      </c>
      <c r="F8" s="216">
        <v>0.84</v>
      </c>
      <c r="G8" s="217">
        <v>0.95</v>
      </c>
      <c r="H8" s="218">
        <f t="shared" si="1"/>
        <v>0.622</v>
      </c>
      <c r="I8" s="219">
        <v>0.109</v>
      </c>
      <c r="K8" s="153">
        <v>33.4</v>
      </c>
      <c r="L8" s="153">
        <v>3.38</v>
      </c>
      <c r="M8" s="379">
        <v>0</v>
      </c>
      <c r="N8" s="220">
        <f>IF(B8&gt;=508,  31,
    IF(B8&gt;=219.1,  32,  34))*
    LOG(IF(B8&gt;=300,  9.53,
      mathx1x2xy1y2y(
        INDEX($K$6:$K$18,MATCH(B8,$K$6:$K$18,1),1),
        INDEX($K$6:$K$18,MATCH(B8,$K$6:$K$18,1)+1,1),
        B8,
        INDEX($L$6:$L$18,MATCH(B8,$K$6:$K$18,1),1),
        INDEX($L$6:$L$18,MATCH(B8,$K$6:$K$18,1)+1,1)))/E8)</f>
        <v>0</v>
      </c>
      <c r="P8" s="33">
        <v>3</v>
      </c>
      <c r="Q8" s="361" t="str">
        <f t="shared" si="2"/>
        <v>30</v>
      </c>
      <c r="R8" s="361" t="str">
        <f t="shared" si="3"/>
        <v>30</v>
      </c>
      <c r="S8" s="363" t="s">
        <v>636</v>
      </c>
      <c r="T8" s="363" t="s">
        <v>636</v>
      </c>
      <c r="U8" s="363" t="s">
        <v>636</v>
      </c>
      <c r="V8" s="363" t="s">
        <v>636</v>
      </c>
      <c r="W8" s="363" t="s">
        <v>636</v>
      </c>
      <c r="X8" s="365" t="s">
        <v>855</v>
      </c>
      <c r="Y8" s="365" t="s">
        <v>855</v>
      </c>
      <c r="Z8" s="365" t="s">
        <v>855</v>
      </c>
      <c r="AA8" s="363" t="s">
        <v>636</v>
      </c>
      <c r="AB8" s="363" t="s">
        <v>636</v>
      </c>
      <c r="AC8" s="365" t="s">
        <v>857</v>
      </c>
      <c r="AD8" s="365" t="s">
        <v>857</v>
      </c>
      <c r="AE8" s="365" t="s">
        <v>857</v>
      </c>
      <c r="AF8" s="365" t="s">
        <v>857</v>
      </c>
      <c r="AG8" s="365" t="s">
        <v>857</v>
      </c>
      <c r="AH8" s="365" t="s">
        <v>857</v>
      </c>
      <c r="AI8" s="365" t="s">
        <v>857</v>
      </c>
      <c r="AJ8" s="365" t="s">
        <v>857</v>
      </c>
      <c r="AK8" s="365" t="s">
        <v>857</v>
      </c>
      <c r="AL8" s="363" t="s">
        <v>635</v>
      </c>
      <c r="AM8" s="363" t="s">
        <v>635</v>
      </c>
      <c r="AN8" s="363" t="s">
        <v>636</v>
      </c>
      <c r="AO8" s="363" t="s">
        <v>635</v>
      </c>
      <c r="AP8" s="363" t="s">
        <v>635</v>
      </c>
      <c r="AQ8" s="363" t="s">
        <v>635</v>
      </c>
      <c r="AR8" s="365" t="s">
        <v>374</v>
      </c>
      <c r="AS8" s="365" t="s">
        <v>374</v>
      </c>
      <c r="AT8" s="365" t="s">
        <v>374</v>
      </c>
      <c r="AU8" s="365" t="s">
        <v>374</v>
      </c>
      <c r="AV8" s="365" t="s">
        <v>374</v>
      </c>
    </row>
    <row r="9" spans="1:48" s="193" customFormat="1" ht="14.5" x14ac:dyDescent="0.35">
      <c r="A9" s="211" t="s">
        <v>776</v>
      </c>
      <c r="B9" s="212">
        <v>21.34</v>
      </c>
      <c r="C9" s="213">
        <f t="shared" si="0"/>
        <v>24.13</v>
      </c>
      <c r="D9" s="214">
        <f t="shared" si="0"/>
        <v>15.798799999999998</v>
      </c>
      <c r="E9" s="215">
        <v>2.77</v>
      </c>
      <c r="F9" s="216">
        <v>0.84</v>
      </c>
      <c r="G9" s="217">
        <v>0.95</v>
      </c>
      <c r="H9" s="218">
        <f t="shared" si="1"/>
        <v>0.622</v>
      </c>
      <c r="I9" s="219">
        <v>0.109</v>
      </c>
      <c r="K9" s="153">
        <v>48.26</v>
      </c>
      <c r="L9" s="153">
        <v>3.68</v>
      </c>
      <c r="M9" s="379">
        <v>0</v>
      </c>
      <c r="N9" s="220">
        <f>IF(B9&gt;=508,  31,
    IF(B9&gt;=219.1,  32,  34))*
    LOG(IF(B9&gt;=300,  9.53,
      mathx1x2xy1y2y(
        INDEX($K$6:$K$18,MATCH(B9,$K$6:$K$18,1),1),
        INDEX($K$6:$K$18,MATCH(B9,$K$6:$K$18,1)+1,1),
        B9,
        INDEX($L$6:$L$18,MATCH(B9,$K$6:$K$18,1),1),
        INDEX($L$6:$L$18,MATCH(B9,$K$6:$K$18,1)+1,1)))/E9)</f>
        <v>0</v>
      </c>
      <c r="P9" s="33">
        <v>4</v>
      </c>
      <c r="Q9" s="361" t="str">
        <f t="shared" si="2"/>
        <v>40S</v>
      </c>
      <c r="R9" s="361" t="str">
        <f t="shared" si="3"/>
        <v>40S</v>
      </c>
      <c r="S9" s="363" t="s">
        <v>635</v>
      </c>
      <c r="T9" s="363" t="s">
        <v>635</v>
      </c>
      <c r="U9" s="363" t="s">
        <v>635</v>
      </c>
      <c r="V9" s="363" t="s">
        <v>635</v>
      </c>
      <c r="W9" s="363" t="s">
        <v>635</v>
      </c>
      <c r="X9" s="363" t="s">
        <v>636</v>
      </c>
      <c r="Y9" s="363" t="s">
        <v>636</v>
      </c>
      <c r="Z9" s="363" t="s">
        <v>636</v>
      </c>
      <c r="AA9" s="363" t="s">
        <v>635</v>
      </c>
      <c r="AB9" s="363" t="s">
        <v>635</v>
      </c>
      <c r="AC9" s="365" t="s">
        <v>855</v>
      </c>
      <c r="AD9" s="365" t="s">
        <v>855</v>
      </c>
      <c r="AE9" s="365" t="s">
        <v>855</v>
      </c>
      <c r="AF9" s="365" t="s">
        <v>855</v>
      </c>
      <c r="AG9" s="365" t="s">
        <v>855</v>
      </c>
      <c r="AH9" s="364" t="s">
        <v>636</v>
      </c>
      <c r="AI9" s="363" t="s">
        <v>636</v>
      </c>
      <c r="AJ9" s="363" t="s">
        <v>636</v>
      </c>
      <c r="AK9" s="363" t="s">
        <v>636</v>
      </c>
      <c r="AL9" s="365" t="s">
        <v>857</v>
      </c>
      <c r="AM9" s="365" t="s">
        <v>857</v>
      </c>
      <c r="AN9" s="363" t="s">
        <v>635</v>
      </c>
      <c r="AO9" s="365" t="s">
        <v>857</v>
      </c>
      <c r="AP9" s="365" t="s">
        <v>857</v>
      </c>
      <c r="AQ9" s="365" t="s">
        <v>857</v>
      </c>
      <c r="AR9" s="365" t="s">
        <v>374</v>
      </c>
      <c r="AS9" s="365" t="s">
        <v>374</v>
      </c>
      <c r="AT9" s="365" t="s">
        <v>374</v>
      </c>
      <c r="AU9" s="365" t="s">
        <v>374</v>
      </c>
      <c r="AV9" s="365" t="s">
        <v>374</v>
      </c>
    </row>
    <row r="10" spans="1:48" s="193" customFormat="1" ht="14.5" x14ac:dyDescent="0.35">
      <c r="A10" s="211" t="s">
        <v>777</v>
      </c>
      <c r="B10" s="212">
        <v>21.34</v>
      </c>
      <c r="C10" s="213">
        <f t="shared" si="0"/>
        <v>24.13</v>
      </c>
      <c r="D10" s="214">
        <f t="shared" si="0"/>
        <v>15.798799999999998</v>
      </c>
      <c r="E10" s="215">
        <v>2.77</v>
      </c>
      <c r="F10" s="216">
        <v>0.84</v>
      </c>
      <c r="G10" s="217">
        <v>0.95</v>
      </c>
      <c r="H10" s="218">
        <f t="shared" si="1"/>
        <v>0.622</v>
      </c>
      <c r="I10" s="219">
        <v>0.109</v>
      </c>
      <c r="K10" s="153">
        <v>60.33</v>
      </c>
      <c r="L10" s="153">
        <v>3.91</v>
      </c>
      <c r="M10" s="379">
        <v>0</v>
      </c>
      <c r="N10" s="220">
        <f>IF(B10&gt;=508,  31,
    IF(B10&gt;=219.1,  32,  34))*
    LOG(IF(B10&gt;=300,  9.53,
      mathx1x2xy1y2y(
        INDEX($K$6:$K$18,MATCH(B10,$K$6:$K$18,1),1),
        INDEX($K$6:$K$18,MATCH(B10,$K$6:$K$18,1)+1,1),
        B10,
        INDEX($L$6:$L$18,MATCH(B10,$K$6:$K$18,1),1),
        INDEX($L$6:$L$18,MATCH(B10,$K$6:$K$18,1)+1,1)))/E10)</f>
        <v>0</v>
      </c>
      <c r="P10" s="33">
        <v>5</v>
      </c>
      <c r="Q10" s="361" t="str">
        <f t="shared" si="2"/>
        <v>STD</v>
      </c>
      <c r="R10" s="361" t="str">
        <f t="shared" si="3"/>
        <v>STD</v>
      </c>
      <c r="S10" s="365" t="s">
        <v>858</v>
      </c>
      <c r="T10" s="365" t="s">
        <v>858</v>
      </c>
      <c r="U10" s="365" t="s">
        <v>858</v>
      </c>
      <c r="V10" s="365" t="s">
        <v>858</v>
      </c>
      <c r="W10" s="365" t="s">
        <v>858</v>
      </c>
      <c r="X10" s="363" t="s">
        <v>635</v>
      </c>
      <c r="Y10" s="363" t="s">
        <v>635</v>
      </c>
      <c r="Z10" s="363" t="s">
        <v>635</v>
      </c>
      <c r="AA10" s="365" t="s">
        <v>858</v>
      </c>
      <c r="AB10" s="365" t="s">
        <v>858</v>
      </c>
      <c r="AC10" s="363" t="s">
        <v>636</v>
      </c>
      <c r="AD10" s="364" t="s">
        <v>636</v>
      </c>
      <c r="AE10" s="364" t="s">
        <v>636</v>
      </c>
      <c r="AF10" s="364" t="s">
        <v>636</v>
      </c>
      <c r="AG10" s="364" t="s">
        <v>636</v>
      </c>
      <c r="AH10" s="364" t="s">
        <v>635</v>
      </c>
      <c r="AI10" s="363" t="s">
        <v>635</v>
      </c>
      <c r="AJ10" s="363" t="s">
        <v>635</v>
      </c>
      <c r="AK10" s="363" t="s">
        <v>635</v>
      </c>
      <c r="AL10" s="365" t="s">
        <v>637</v>
      </c>
      <c r="AM10" s="365" t="s">
        <v>855</v>
      </c>
      <c r="AN10" s="365" t="s">
        <v>857</v>
      </c>
      <c r="AO10" s="363" t="s">
        <v>637</v>
      </c>
      <c r="AP10" s="365" t="s">
        <v>855</v>
      </c>
      <c r="AQ10" s="363" t="s">
        <v>637</v>
      </c>
      <c r="AR10" s="365" t="s">
        <v>374</v>
      </c>
      <c r="AS10" s="365" t="s">
        <v>374</v>
      </c>
      <c r="AT10" s="365" t="s">
        <v>374</v>
      </c>
      <c r="AU10" s="365" t="s">
        <v>374</v>
      </c>
      <c r="AV10" s="365" t="s">
        <v>374</v>
      </c>
    </row>
    <row r="11" spans="1:48" s="193" customFormat="1" ht="14.5" x14ac:dyDescent="0.35">
      <c r="A11" s="211" t="s">
        <v>778</v>
      </c>
      <c r="B11" s="212">
        <v>21.34</v>
      </c>
      <c r="C11" s="213">
        <f t="shared" si="0"/>
        <v>24.13</v>
      </c>
      <c r="D11" s="214">
        <f t="shared" si="0"/>
        <v>13.868399999999999</v>
      </c>
      <c r="E11" s="215">
        <v>3.73</v>
      </c>
      <c r="F11" s="216">
        <v>0.84</v>
      </c>
      <c r="G11" s="217">
        <v>0.95</v>
      </c>
      <c r="H11" s="218">
        <f t="shared" si="1"/>
        <v>0.54600000000000004</v>
      </c>
      <c r="I11" s="219">
        <v>0.14699999999999999</v>
      </c>
      <c r="K11" s="153">
        <v>73</v>
      </c>
      <c r="L11" s="153">
        <v>5.16</v>
      </c>
      <c r="M11" s="379">
        <v>-4.5</v>
      </c>
      <c r="N11" s="220">
        <f>IF(B11&gt;=508,  31,
    IF(B11&gt;=219.1,  32,  34))*
    LOG(IF(B11&gt;=300,  9.53,
      mathx1x2xy1y2y(
        INDEX($K$6:$K$18,MATCH(B11,$K$6:$K$18,1),1),
        INDEX($K$6:$K$18,MATCH(B11,$K$6:$K$18,1)+1,1),
        B11,
        INDEX($L$6:$L$18,MATCH(B11,$K$6:$K$18,1),1),
        INDEX($L$6:$L$18,MATCH(B11,$K$6:$K$18,1)+1,1)))/E11)</f>
        <v>-4.3937881333041267</v>
      </c>
      <c r="P11" s="33">
        <v>6</v>
      </c>
      <c r="Q11" s="361" t="str">
        <f t="shared" si="2"/>
        <v>40</v>
      </c>
      <c r="R11" s="361" t="str">
        <f t="shared" si="3"/>
        <v>40</v>
      </c>
      <c r="S11" s="363" t="s">
        <v>638</v>
      </c>
      <c r="T11" s="363" t="s">
        <v>638</v>
      </c>
      <c r="U11" s="363" t="s">
        <v>638</v>
      </c>
      <c r="V11" s="363" t="s">
        <v>638</v>
      </c>
      <c r="W11" s="363" t="s">
        <v>638</v>
      </c>
      <c r="X11" s="365" t="s">
        <v>858</v>
      </c>
      <c r="Y11" s="365" t="s">
        <v>858</v>
      </c>
      <c r="Z11" s="365" t="s">
        <v>858</v>
      </c>
      <c r="AA11" s="363" t="s">
        <v>638</v>
      </c>
      <c r="AB11" s="363" t="s">
        <v>638</v>
      </c>
      <c r="AC11" s="363" t="s">
        <v>635</v>
      </c>
      <c r="AD11" s="364" t="s">
        <v>635</v>
      </c>
      <c r="AE11" s="364" t="s">
        <v>635</v>
      </c>
      <c r="AF11" s="364" t="s">
        <v>635</v>
      </c>
      <c r="AG11" s="364" t="s">
        <v>635</v>
      </c>
      <c r="AH11" s="365" t="s">
        <v>855</v>
      </c>
      <c r="AI11" s="365" t="s">
        <v>855</v>
      </c>
      <c r="AJ11" s="365" t="s">
        <v>855</v>
      </c>
      <c r="AK11" s="363" t="s">
        <v>638</v>
      </c>
      <c r="AL11" s="365" t="s">
        <v>374</v>
      </c>
      <c r="AM11" s="365" t="s">
        <v>374</v>
      </c>
      <c r="AN11" s="363" t="s">
        <v>637</v>
      </c>
      <c r="AO11" s="365" t="s">
        <v>855</v>
      </c>
      <c r="AP11" s="365" t="s">
        <v>858</v>
      </c>
      <c r="AQ11" s="365" t="s">
        <v>855</v>
      </c>
      <c r="AR11" s="365" t="s">
        <v>374</v>
      </c>
      <c r="AS11" s="365" t="s">
        <v>374</v>
      </c>
      <c r="AT11" s="365" t="s">
        <v>374</v>
      </c>
      <c r="AU11" s="365" t="s">
        <v>374</v>
      </c>
      <c r="AV11" s="365" t="s">
        <v>374</v>
      </c>
    </row>
    <row r="12" spans="1:48" s="193" customFormat="1" ht="14.5" x14ac:dyDescent="0.35">
      <c r="A12" s="211" t="s">
        <v>779</v>
      </c>
      <c r="B12" s="212">
        <v>21.34</v>
      </c>
      <c r="C12" s="213">
        <f t="shared" si="0"/>
        <v>24.13</v>
      </c>
      <c r="D12" s="214">
        <f t="shared" si="0"/>
        <v>13.868399999999999</v>
      </c>
      <c r="E12" s="215">
        <v>3.73</v>
      </c>
      <c r="F12" s="216">
        <v>0.84</v>
      </c>
      <c r="G12" s="217">
        <v>0.95</v>
      </c>
      <c r="H12" s="218">
        <f t="shared" si="1"/>
        <v>0.54600000000000004</v>
      </c>
      <c r="I12" s="219">
        <v>0.14699999999999999</v>
      </c>
      <c r="K12" s="153">
        <v>88.9</v>
      </c>
      <c r="L12" s="153">
        <v>5.49</v>
      </c>
      <c r="M12" s="379">
        <v>-4.5</v>
      </c>
      <c r="N12" s="220">
        <f>IF(B12&gt;=508,  31,
    IF(B12&gt;=219.1,  32,  34))*
    LOG(IF(B12&gt;=300,  9.53,
      mathx1x2xy1y2y(
        INDEX($K$6:$K$18,MATCH(B12,$K$6:$K$18,1),1),
        INDEX($K$6:$K$18,MATCH(B12,$K$6:$K$18,1)+1,1),
        B12,
        INDEX($L$6:$L$18,MATCH(B12,$K$6:$K$18,1),1),
        INDEX($L$6:$L$18,MATCH(B12,$K$6:$K$18,1)+1,1)))/E12)</f>
        <v>-4.3937881333041267</v>
      </c>
      <c r="P12" s="33">
        <v>7</v>
      </c>
      <c r="Q12" s="361" t="str">
        <f t="shared" si="2"/>
        <v>80S</v>
      </c>
      <c r="R12" s="361" t="str">
        <f t="shared" si="3"/>
        <v>80S</v>
      </c>
      <c r="S12" s="363" t="s">
        <v>637</v>
      </c>
      <c r="T12" s="363" t="s">
        <v>637</v>
      </c>
      <c r="U12" s="363" t="s">
        <v>637</v>
      </c>
      <c r="V12" s="363" t="s">
        <v>637</v>
      </c>
      <c r="W12" s="363" t="s">
        <v>637</v>
      </c>
      <c r="X12" s="363" t="s">
        <v>638</v>
      </c>
      <c r="Y12" s="363" t="s">
        <v>638</v>
      </c>
      <c r="Z12" s="363" t="s">
        <v>638</v>
      </c>
      <c r="AA12" s="363" t="s">
        <v>637</v>
      </c>
      <c r="AB12" s="363" t="s">
        <v>637</v>
      </c>
      <c r="AC12" s="365" t="s">
        <v>858</v>
      </c>
      <c r="AD12" s="365" t="s">
        <v>858</v>
      </c>
      <c r="AE12" s="365" t="s">
        <v>858</v>
      </c>
      <c r="AF12" s="365" t="s">
        <v>858</v>
      </c>
      <c r="AG12" s="365" t="s">
        <v>858</v>
      </c>
      <c r="AH12" s="364" t="s">
        <v>638</v>
      </c>
      <c r="AI12" s="363" t="s">
        <v>638</v>
      </c>
      <c r="AJ12" s="363" t="s">
        <v>638</v>
      </c>
      <c r="AK12" s="363" t="s">
        <v>637</v>
      </c>
      <c r="AL12" s="365" t="s">
        <v>374</v>
      </c>
      <c r="AM12" s="365" t="s">
        <v>374</v>
      </c>
      <c r="AN12" s="365" t="s">
        <v>855</v>
      </c>
      <c r="AO12" s="365" t="s">
        <v>858</v>
      </c>
      <c r="AP12" s="365" t="s">
        <v>374</v>
      </c>
      <c r="AQ12" s="365" t="s">
        <v>858</v>
      </c>
      <c r="AR12" s="365" t="s">
        <v>374</v>
      </c>
      <c r="AS12" s="365" t="s">
        <v>374</v>
      </c>
      <c r="AT12" s="365" t="s">
        <v>374</v>
      </c>
      <c r="AU12" s="365" t="s">
        <v>374</v>
      </c>
      <c r="AV12" s="365" t="s">
        <v>374</v>
      </c>
    </row>
    <row r="13" spans="1:48" s="193" customFormat="1" ht="14.5" x14ac:dyDescent="0.35">
      <c r="A13" s="211" t="s">
        <v>780</v>
      </c>
      <c r="B13" s="212">
        <v>21.34</v>
      </c>
      <c r="C13" s="213">
        <f t="shared" si="0"/>
        <v>24.13</v>
      </c>
      <c r="D13" s="214">
        <f t="shared" si="0"/>
        <v>13.868399999999999</v>
      </c>
      <c r="E13" s="215">
        <v>3.73</v>
      </c>
      <c r="F13" s="216">
        <v>0.84</v>
      </c>
      <c r="G13" s="217">
        <v>0.95</v>
      </c>
      <c r="H13" s="218">
        <f t="shared" si="1"/>
        <v>0.54600000000000004</v>
      </c>
      <c r="I13" s="219">
        <v>0.14699999999999999</v>
      </c>
      <c r="K13" s="153">
        <v>114.3</v>
      </c>
      <c r="L13" s="153">
        <v>6.02</v>
      </c>
      <c r="M13" s="379">
        <v>-4.5</v>
      </c>
      <c r="N13" s="220">
        <f>IF(B13&gt;=508,  31,
    IF(B13&gt;=219.1,  32,  34))*
    LOG(IF(B13&gt;=300,  9.53,
      mathx1x2xy1y2y(
        INDEX($K$6:$K$18,MATCH(B13,$K$6:$K$18,1),1),
        INDEX($K$6:$K$18,MATCH(B13,$K$6:$K$18,1)+1,1),
        B13,
        INDEX($L$6:$L$18,MATCH(B13,$K$6:$K$18,1),1),
        INDEX($L$6:$L$18,MATCH(B13,$K$6:$K$18,1)+1,1)))/E13)</f>
        <v>-4.3937881333041267</v>
      </c>
      <c r="P13" s="33">
        <v>8</v>
      </c>
      <c r="Q13" s="361" t="str">
        <f t="shared" si="2"/>
        <v>XS</v>
      </c>
      <c r="R13" s="361" t="str">
        <f t="shared" si="3"/>
        <v>XS</v>
      </c>
      <c r="S13" s="365" t="s">
        <v>859</v>
      </c>
      <c r="T13" s="365" t="s">
        <v>859</v>
      </c>
      <c r="U13" s="365" t="s">
        <v>859</v>
      </c>
      <c r="V13" s="365" t="s">
        <v>859</v>
      </c>
      <c r="W13" s="365" t="s">
        <v>859</v>
      </c>
      <c r="X13" s="363" t="s">
        <v>637</v>
      </c>
      <c r="Y13" s="363" t="s">
        <v>637</v>
      </c>
      <c r="Z13" s="363" t="s">
        <v>637</v>
      </c>
      <c r="AA13" s="365" t="s">
        <v>859</v>
      </c>
      <c r="AB13" s="365" t="s">
        <v>859</v>
      </c>
      <c r="AC13" s="365" t="s">
        <v>863</v>
      </c>
      <c r="AD13" s="367" t="s">
        <v>863</v>
      </c>
      <c r="AE13" s="364" t="s">
        <v>638</v>
      </c>
      <c r="AF13" s="364" t="s">
        <v>638</v>
      </c>
      <c r="AG13" s="364" t="s">
        <v>638</v>
      </c>
      <c r="AH13" s="364" t="s">
        <v>637</v>
      </c>
      <c r="AI13" s="363" t="s">
        <v>637</v>
      </c>
      <c r="AJ13" s="363" t="s">
        <v>637</v>
      </c>
      <c r="AK13" s="365" t="s">
        <v>855</v>
      </c>
      <c r="AL13" s="365" t="s">
        <v>374</v>
      </c>
      <c r="AM13" s="365" t="s">
        <v>374</v>
      </c>
      <c r="AN13" s="365" t="s">
        <v>374</v>
      </c>
      <c r="AO13" s="365" t="s">
        <v>374</v>
      </c>
      <c r="AP13" s="365" t="s">
        <v>374</v>
      </c>
      <c r="AQ13" s="365" t="s">
        <v>374</v>
      </c>
      <c r="AR13" s="365" t="s">
        <v>374</v>
      </c>
      <c r="AS13" s="365" t="s">
        <v>374</v>
      </c>
      <c r="AT13" s="365" t="s">
        <v>374</v>
      </c>
      <c r="AU13" s="365" t="s">
        <v>374</v>
      </c>
      <c r="AV13" s="365" t="s">
        <v>374</v>
      </c>
    </row>
    <row r="14" spans="1:48" s="193" customFormat="1" ht="14.5" x14ac:dyDescent="0.35">
      <c r="A14" s="211" t="s">
        <v>781</v>
      </c>
      <c r="B14" s="212">
        <v>21.34</v>
      </c>
      <c r="C14" s="213">
        <f t="shared" si="0"/>
        <v>24.13</v>
      </c>
      <c r="D14" s="214">
        <f t="shared" si="0"/>
        <v>11.785600000000001</v>
      </c>
      <c r="E14" s="215">
        <v>4.78</v>
      </c>
      <c r="F14" s="216">
        <v>0.84</v>
      </c>
      <c r="G14" s="217">
        <v>0.95</v>
      </c>
      <c r="H14" s="218">
        <f t="shared" si="1"/>
        <v>0.46400000000000002</v>
      </c>
      <c r="I14" s="219">
        <v>0.188</v>
      </c>
      <c r="K14" s="153">
        <v>141.30000000000001</v>
      </c>
      <c r="L14" s="153">
        <v>6.55</v>
      </c>
      <c r="M14" s="379">
        <v>-8</v>
      </c>
      <c r="N14" s="220">
        <f>IF(B14&gt;=508,  31,
    IF(B14&gt;=219.1,  32,  34))*
    LOG(IF(B14&gt;=300,  9.53,
      mathx1x2xy1y2y(
        INDEX($K$6:$K$18,MATCH(B14,$K$6:$K$18,1),1),
        INDEX($K$6:$K$18,MATCH(B14,$K$6:$K$18,1)+1,1),
        B14,
        INDEX($L$6:$L$18,MATCH(B14,$K$6:$K$18,1),1),
        INDEX($L$6:$L$18,MATCH(B14,$K$6:$K$18,1)+1,1)))/E14)</f>
        <v>-8.0562363366207936</v>
      </c>
      <c r="P14" s="33">
        <v>9</v>
      </c>
      <c r="Q14" s="361" t="str">
        <f t="shared" si="2"/>
        <v>80</v>
      </c>
      <c r="R14" s="361" t="str">
        <f t="shared" si="3"/>
        <v>80</v>
      </c>
      <c r="S14" s="365" t="s">
        <v>639</v>
      </c>
      <c r="T14" s="365" t="s">
        <v>639</v>
      </c>
      <c r="U14" s="365" t="s">
        <v>639</v>
      </c>
      <c r="V14" s="365" t="s">
        <v>639</v>
      </c>
      <c r="W14" s="365" t="s">
        <v>639</v>
      </c>
      <c r="X14" s="365" t="s">
        <v>859</v>
      </c>
      <c r="Y14" s="365" t="s">
        <v>859</v>
      </c>
      <c r="Z14" s="365" t="s">
        <v>859</v>
      </c>
      <c r="AA14" s="365" t="s">
        <v>861</v>
      </c>
      <c r="AB14" s="365" t="s">
        <v>861</v>
      </c>
      <c r="AC14" s="363" t="s">
        <v>638</v>
      </c>
      <c r="AD14" s="364" t="s">
        <v>638</v>
      </c>
      <c r="AE14" s="364" t="s">
        <v>637</v>
      </c>
      <c r="AF14" s="364" t="s">
        <v>637</v>
      </c>
      <c r="AG14" s="364" t="s">
        <v>637</v>
      </c>
      <c r="AH14" s="365" t="s">
        <v>858</v>
      </c>
      <c r="AI14" s="365" t="s">
        <v>858</v>
      </c>
      <c r="AJ14" s="365" t="s">
        <v>863</v>
      </c>
      <c r="AK14" s="365" t="s">
        <v>858</v>
      </c>
      <c r="AL14" s="365" t="s">
        <v>374</v>
      </c>
      <c r="AM14" s="365" t="s">
        <v>374</v>
      </c>
      <c r="AN14" s="365" t="s">
        <v>374</v>
      </c>
      <c r="AO14" s="365" t="s">
        <v>374</v>
      </c>
      <c r="AP14" s="365" t="s">
        <v>374</v>
      </c>
      <c r="AQ14" s="365" t="s">
        <v>374</v>
      </c>
      <c r="AR14" s="365" t="s">
        <v>374</v>
      </c>
      <c r="AS14" s="365" t="s">
        <v>374</v>
      </c>
      <c r="AT14" s="365" t="s">
        <v>374</v>
      </c>
      <c r="AU14" s="365" t="s">
        <v>374</v>
      </c>
      <c r="AV14" s="365" t="s">
        <v>374</v>
      </c>
    </row>
    <row r="15" spans="1:48" s="193" customFormat="1" ht="15" thickBot="1" x14ac:dyDescent="0.4">
      <c r="A15" s="221" t="s">
        <v>782</v>
      </c>
      <c r="B15" s="222">
        <v>21.34</v>
      </c>
      <c r="C15" s="223">
        <f t="shared" si="0"/>
        <v>24.13</v>
      </c>
      <c r="D15" s="224">
        <f t="shared" si="0"/>
        <v>6.4007999999999994</v>
      </c>
      <c r="E15" s="225">
        <v>7.47</v>
      </c>
      <c r="F15" s="226">
        <v>0.84</v>
      </c>
      <c r="G15" s="227">
        <v>0.95</v>
      </c>
      <c r="H15" s="228">
        <f t="shared" si="1"/>
        <v>0.252</v>
      </c>
      <c r="I15" s="229">
        <v>0.29399999999999998</v>
      </c>
      <c r="K15" s="153">
        <v>168.3</v>
      </c>
      <c r="L15" s="153">
        <v>7.11</v>
      </c>
      <c r="M15" s="380">
        <v>-14.5</v>
      </c>
      <c r="N15" s="246">
        <f>IF(B15&gt;=508,  31,
    IF(B15&gt;=219.1,  32,  34))*
    LOG(IF(B15&gt;=300,  9.53,
      mathx1x2xy1y2y(
        INDEX($K$6:$K$18,MATCH(B15,$K$6:$K$18,1),1),
        INDEX($K$6:$K$18,MATCH(B15,$K$6:$K$18,1)+1,1),
        B15,
        INDEX($L$6:$L$18,MATCH(B15,$K$6:$K$18,1),1),
        INDEX($L$6:$L$18,MATCH(B15,$K$6:$K$18,1)+1,1)))/E15)</f>
        <v>-14.648588313532306</v>
      </c>
      <c r="P15" s="33">
        <v>10</v>
      </c>
      <c r="Q15" s="361" t="str">
        <f t="shared" si="2"/>
        <v>160</v>
      </c>
      <c r="R15" s="361" t="str">
        <f t="shared" si="3"/>
        <v>160</v>
      </c>
      <c r="S15" s="365" t="s">
        <v>640</v>
      </c>
      <c r="T15" s="365" t="s">
        <v>640</v>
      </c>
      <c r="U15" s="365" t="s">
        <v>640</v>
      </c>
      <c r="V15" s="365" t="s">
        <v>640</v>
      </c>
      <c r="W15" s="365" t="s">
        <v>640</v>
      </c>
      <c r="X15" s="365" t="s">
        <v>639</v>
      </c>
      <c r="Y15" s="365" t="s">
        <v>639</v>
      </c>
      <c r="Z15" s="365" t="s">
        <v>639</v>
      </c>
      <c r="AA15" s="365" t="s">
        <v>639</v>
      </c>
      <c r="AB15" s="363" t="s">
        <v>640</v>
      </c>
      <c r="AC15" s="363" t="s">
        <v>637</v>
      </c>
      <c r="AD15" s="364" t="s">
        <v>637</v>
      </c>
      <c r="AE15" s="365" t="s">
        <v>863</v>
      </c>
      <c r="AF15" s="365" t="s">
        <v>863</v>
      </c>
      <c r="AG15" s="365" t="s">
        <v>863</v>
      </c>
      <c r="AH15" s="365" t="s">
        <v>863</v>
      </c>
      <c r="AI15" s="365" t="s">
        <v>863</v>
      </c>
      <c r="AJ15" s="365" t="s">
        <v>859</v>
      </c>
      <c r="AK15" s="365" t="s">
        <v>863</v>
      </c>
      <c r="AL15" s="365" t="s">
        <v>374</v>
      </c>
      <c r="AM15" s="365" t="s">
        <v>374</v>
      </c>
      <c r="AN15" s="365" t="s">
        <v>374</v>
      </c>
      <c r="AO15" s="365" t="s">
        <v>374</v>
      </c>
      <c r="AP15" s="365" t="s">
        <v>374</v>
      </c>
      <c r="AQ15" s="365" t="s">
        <v>374</v>
      </c>
      <c r="AR15" s="365" t="s">
        <v>374</v>
      </c>
      <c r="AS15" s="365" t="s">
        <v>374</v>
      </c>
      <c r="AT15" s="365" t="s">
        <v>374</v>
      </c>
      <c r="AU15" s="365" t="s">
        <v>374</v>
      </c>
      <c r="AV15" s="365" t="s">
        <v>374</v>
      </c>
    </row>
    <row r="16" spans="1:48" s="193" customFormat="1" ht="14.5" x14ac:dyDescent="0.35">
      <c r="A16" s="200" t="s">
        <v>783</v>
      </c>
      <c r="B16" s="201">
        <v>26.67</v>
      </c>
      <c r="C16" s="202">
        <f t="shared" si="0"/>
        <v>27.94</v>
      </c>
      <c r="D16" s="203">
        <f t="shared" si="0"/>
        <v>22.453599999999998</v>
      </c>
      <c r="E16" s="231">
        <v>2.11</v>
      </c>
      <c r="F16" s="232">
        <v>1.05</v>
      </c>
      <c r="G16" s="206">
        <v>1.1000000000000001</v>
      </c>
      <c r="H16" s="207">
        <f t="shared" si="1"/>
        <v>0.88400000000000001</v>
      </c>
      <c r="I16" s="233">
        <v>8.3000000000000004E-2</v>
      </c>
      <c r="K16" s="153">
        <v>219.1</v>
      </c>
      <c r="L16" s="153">
        <v>8.18</v>
      </c>
      <c r="M16" s="382">
        <v>4.5</v>
      </c>
      <c r="N16" s="256">
        <f>IF(B16&gt;=508,  31,
    IF(B16&gt;=219.1,  32,  34))*
    LOG(IF(B16&gt;=300,  9.53,
      mathx1x2xy1y2y(
        INDEX($K$6:$K$18,MATCH(B16,$K$6:$K$18,1),1),
        INDEX($K$6:$K$18,MATCH(B16,$K$6:$K$18,1)+1,1),
        B16,
        INDEX($L$6:$L$18,MATCH(B16,$K$6:$K$18,1),1),
        INDEX($L$6:$L$18,MATCH(B16,$K$6:$K$18,1)+1,1)))/E16)</f>
        <v>4.54238100883419</v>
      </c>
      <c r="P16" s="33">
        <v>11</v>
      </c>
      <c r="Q16" s="361" t="str">
        <f t="shared" si="2"/>
        <v>XXS</v>
      </c>
      <c r="R16" s="361" t="str">
        <f t="shared" si="3"/>
        <v>XXS</v>
      </c>
      <c r="S16" s="365" t="s">
        <v>374</v>
      </c>
      <c r="T16" s="365" t="s">
        <v>374</v>
      </c>
      <c r="U16" s="365" t="s">
        <v>374</v>
      </c>
      <c r="V16" s="365" t="s">
        <v>374</v>
      </c>
      <c r="W16" s="365" t="s">
        <v>374</v>
      </c>
      <c r="X16" s="365" t="s">
        <v>640</v>
      </c>
      <c r="Y16" s="365" t="s">
        <v>640</v>
      </c>
      <c r="Z16" s="365" t="s">
        <v>640</v>
      </c>
      <c r="AA16" s="365" t="s">
        <v>640</v>
      </c>
      <c r="AB16" s="365" t="s">
        <v>639</v>
      </c>
      <c r="AC16" s="365" t="s">
        <v>859</v>
      </c>
      <c r="AD16" s="365" t="s">
        <v>859</v>
      </c>
      <c r="AE16" s="365" t="s">
        <v>859</v>
      </c>
      <c r="AF16" s="365" t="s">
        <v>859</v>
      </c>
      <c r="AG16" s="365" t="s">
        <v>859</v>
      </c>
      <c r="AH16" s="365" t="s">
        <v>859</v>
      </c>
      <c r="AI16" s="365" t="s">
        <v>859</v>
      </c>
      <c r="AJ16" s="365" t="s">
        <v>860</v>
      </c>
      <c r="AK16" s="365" t="s">
        <v>859</v>
      </c>
      <c r="AL16" s="365" t="s">
        <v>374</v>
      </c>
      <c r="AM16" s="365" t="s">
        <v>374</v>
      </c>
      <c r="AN16" s="365" t="s">
        <v>374</v>
      </c>
      <c r="AO16" s="365" t="s">
        <v>374</v>
      </c>
      <c r="AP16" s="365" t="s">
        <v>374</v>
      </c>
      <c r="AQ16" s="365" t="s">
        <v>374</v>
      </c>
      <c r="AR16" s="365" t="s">
        <v>374</v>
      </c>
      <c r="AS16" s="365" t="s">
        <v>374</v>
      </c>
      <c r="AT16" s="365" t="s">
        <v>374</v>
      </c>
      <c r="AU16" s="365" t="s">
        <v>374</v>
      </c>
      <c r="AV16" s="365" t="s">
        <v>374</v>
      </c>
    </row>
    <row r="17" spans="1:48" s="193" customFormat="1" ht="14.5" x14ac:dyDescent="0.35">
      <c r="A17" s="211" t="s">
        <v>784</v>
      </c>
      <c r="B17" s="212">
        <v>26.67</v>
      </c>
      <c r="C17" s="213">
        <f t="shared" si="0"/>
        <v>27.94</v>
      </c>
      <c r="D17" s="214">
        <f t="shared" si="0"/>
        <v>22.453599999999998</v>
      </c>
      <c r="E17" s="234">
        <v>2.11</v>
      </c>
      <c r="F17" s="235">
        <v>1.05</v>
      </c>
      <c r="G17" s="217">
        <v>1.1000000000000001</v>
      </c>
      <c r="H17" s="218">
        <f t="shared" si="1"/>
        <v>0.88400000000000001</v>
      </c>
      <c r="I17" s="236">
        <v>8.3000000000000004E-2</v>
      </c>
      <c r="K17" s="153">
        <v>273</v>
      </c>
      <c r="L17" s="153">
        <v>9.27</v>
      </c>
      <c r="M17" s="379">
        <v>4.5</v>
      </c>
      <c r="N17" s="220">
        <f>IF(B17&gt;=508,  31,
    IF(B17&gt;=219.1,  32,  34))*
    LOG(IF(B17&gt;=300,  9.53,
      mathx1x2xy1y2y(
        INDEX($K$6:$K$18,MATCH(B17,$K$6:$K$18,1),1),
        INDEX($K$6:$K$18,MATCH(B17,$K$6:$K$18,1)+1,1),
        B17,
        INDEX($L$6:$L$18,MATCH(B17,$K$6:$K$18,1),1),
        INDEX($L$6:$L$18,MATCH(B17,$K$6:$K$18,1)+1,1)))/E17)</f>
        <v>4.54238100883419</v>
      </c>
      <c r="P17" s="33">
        <v>12</v>
      </c>
      <c r="Q17" s="361" t="str">
        <f t="shared" si="2"/>
        <v/>
      </c>
      <c r="R17" s="361" t="str">
        <f t="shared" si="3"/>
        <v/>
      </c>
      <c r="S17" s="365" t="s">
        <v>374</v>
      </c>
      <c r="T17" s="365" t="s">
        <v>374</v>
      </c>
      <c r="U17" s="365" t="s">
        <v>374</v>
      </c>
      <c r="V17" s="365" t="s">
        <v>374</v>
      </c>
      <c r="W17" s="365" t="s">
        <v>374</v>
      </c>
      <c r="X17" s="365" t="s">
        <v>374</v>
      </c>
      <c r="Y17" s="365" t="s">
        <v>374</v>
      </c>
      <c r="Z17" s="365" t="s">
        <v>374</v>
      </c>
      <c r="AA17" s="366" t="s">
        <v>374</v>
      </c>
      <c r="AB17" s="365" t="s">
        <v>374</v>
      </c>
      <c r="AC17" s="365" t="s">
        <v>860</v>
      </c>
      <c r="AD17" s="365" t="s">
        <v>860</v>
      </c>
      <c r="AE17" s="365" t="s">
        <v>860</v>
      </c>
      <c r="AF17" s="365" t="s">
        <v>860</v>
      </c>
      <c r="AG17" s="365" t="s">
        <v>860</v>
      </c>
      <c r="AH17" s="365" t="s">
        <v>860</v>
      </c>
      <c r="AI17" s="365" t="s">
        <v>860</v>
      </c>
      <c r="AJ17" s="365" t="s">
        <v>861</v>
      </c>
      <c r="AK17" s="365" t="s">
        <v>860</v>
      </c>
      <c r="AL17" s="365" t="s">
        <v>374</v>
      </c>
      <c r="AM17" s="365" t="s">
        <v>374</v>
      </c>
      <c r="AN17" s="365" t="s">
        <v>374</v>
      </c>
      <c r="AO17" s="365" t="s">
        <v>374</v>
      </c>
      <c r="AP17" s="365" t="s">
        <v>374</v>
      </c>
      <c r="AQ17" s="365" t="s">
        <v>374</v>
      </c>
      <c r="AR17" s="365" t="s">
        <v>374</v>
      </c>
      <c r="AS17" s="365" t="s">
        <v>374</v>
      </c>
      <c r="AT17" s="365" t="s">
        <v>374</v>
      </c>
      <c r="AU17" s="365" t="s">
        <v>374</v>
      </c>
      <c r="AV17" s="365" t="s">
        <v>374</v>
      </c>
    </row>
    <row r="18" spans="1:48" s="193" customFormat="1" ht="14.5" x14ac:dyDescent="0.35">
      <c r="A18" s="211" t="s">
        <v>785</v>
      </c>
      <c r="B18" s="212">
        <v>26.67</v>
      </c>
      <c r="C18" s="213">
        <f t="shared" si="0"/>
        <v>27.94</v>
      </c>
      <c r="D18" s="214">
        <f t="shared" si="0"/>
        <v>20.929599999999997</v>
      </c>
      <c r="E18" s="234">
        <v>2.87</v>
      </c>
      <c r="F18" s="235">
        <v>1.05</v>
      </c>
      <c r="G18" s="217">
        <v>1.1000000000000001</v>
      </c>
      <c r="H18" s="218">
        <f t="shared" si="1"/>
        <v>0.82399999999999995</v>
      </c>
      <c r="I18" s="236">
        <v>0.113</v>
      </c>
      <c r="K18" s="153">
        <v>323.8</v>
      </c>
      <c r="L18" s="153">
        <v>9.5299999999999994</v>
      </c>
      <c r="M18" s="379">
        <v>0</v>
      </c>
      <c r="N18" s="220">
        <f>IF(B18&gt;=508,  31,
    IF(B18&gt;=219.1,  32,  34))*
    LOG(IF(B18&gt;=300,  9.53,
      mathx1x2xy1y2y(
        INDEX($K$6:$K$18,MATCH(B18,$K$6:$K$18,1),1),
        INDEX($K$6:$K$18,MATCH(B18,$K$6:$K$18,1)+1,1),
        B18,
        INDEX($L$6:$L$18,MATCH(B18,$K$6:$K$18,1),1),
        INDEX($L$6:$L$18,MATCH(B18,$K$6:$K$18,1)+1,1)))/E18)</f>
        <v>0</v>
      </c>
      <c r="P18" s="33">
        <v>13</v>
      </c>
      <c r="Q18" s="361" t="str">
        <f t="shared" si="2"/>
        <v/>
      </c>
      <c r="R18" s="361" t="str">
        <f t="shared" si="3"/>
        <v/>
      </c>
      <c r="S18" s="365" t="s">
        <v>374</v>
      </c>
      <c r="T18" s="365" t="s">
        <v>374</v>
      </c>
      <c r="U18" s="365" t="s">
        <v>374</v>
      </c>
      <c r="V18" s="365" t="s">
        <v>374</v>
      </c>
      <c r="W18" s="365" t="s">
        <v>374</v>
      </c>
      <c r="X18" s="365" t="s">
        <v>374</v>
      </c>
      <c r="Y18" s="365" t="s">
        <v>374</v>
      </c>
      <c r="Z18" s="365" t="s">
        <v>374</v>
      </c>
      <c r="AA18" s="366" t="s">
        <v>374</v>
      </c>
      <c r="AB18" s="365" t="s">
        <v>374</v>
      </c>
      <c r="AC18" s="365" t="s">
        <v>861</v>
      </c>
      <c r="AD18" s="365" t="s">
        <v>861</v>
      </c>
      <c r="AE18" s="365" t="s">
        <v>861</v>
      </c>
      <c r="AF18" s="365" t="s">
        <v>861</v>
      </c>
      <c r="AG18" s="365" t="s">
        <v>861</v>
      </c>
      <c r="AH18" s="365" t="s">
        <v>861</v>
      </c>
      <c r="AI18" s="365" t="s">
        <v>861</v>
      </c>
      <c r="AJ18" s="365" t="s">
        <v>862</v>
      </c>
      <c r="AK18" s="365" t="s">
        <v>861</v>
      </c>
      <c r="AL18" s="365" t="s">
        <v>374</v>
      </c>
      <c r="AM18" s="365" t="s">
        <v>374</v>
      </c>
      <c r="AN18" s="365" t="s">
        <v>374</v>
      </c>
      <c r="AO18" s="365" t="s">
        <v>374</v>
      </c>
      <c r="AP18" s="365" t="s">
        <v>374</v>
      </c>
      <c r="AQ18" s="365" t="s">
        <v>374</v>
      </c>
      <c r="AR18" s="365" t="s">
        <v>374</v>
      </c>
      <c r="AS18" s="365" t="s">
        <v>374</v>
      </c>
      <c r="AT18" s="365" t="s">
        <v>374</v>
      </c>
      <c r="AU18" s="365" t="s">
        <v>374</v>
      </c>
      <c r="AV18" s="365" t="s">
        <v>374</v>
      </c>
    </row>
    <row r="19" spans="1:48" s="193" customFormat="1" ht="14.5" x14ac:dyDescent="0.35">
      <c r="A19" s="211" t="s">
        <v>786</v>
      </c>
      <c r="B19" s="212">
        <v>26.67</v>
      </c>
      <c r="C19" s="213">
        <f t="shared" si="0"/>
        <v>27.94</v>
      </c>
      <c r="D19" s="214">
        <f t="shared" si="0"/>
        <v>20.929599999999997</v>
      </c>
      <c r="E19" s="234">
        <v>2.87</v>
      </c>
      <c r="F19" s="235">
        <v>1.05</v>
      </c>
      <c r="G19" s="217">
        <v>1.1000000000000001</v>
      </c>
      <c r="H19" s="218">
        <f t="shared" si="1"/>
        <v>0.82399999999999995</v>
      </c>
      <c r="I19" s="236">
        <v>0.113</v>
      </c>
      <c r="K19" s="188"/>
      <c r="L19" s="381"/>
      <c r="M19" s="379">
        <v>0</v>
      </c>
      <c r="N19" s="220">
        <f>IF(B19&gt;=508,  31,
    IF(B19&gt;=219.1,  32,  34))*
    LOG(IF(B19&gt;=300,  9.53,
      mathx1x2xy1y2y(
        INDEX($K$6:$K$18,MATCH(B19,$K$6:$K$18,1),1),
        INDEX($K$6:$K$18,MATCH(B19,$K$6:$K$18,1)+1,1),
        B19,
        INDEX($L$6:$L$18,MATCH(B19,$K$6:$K$18,1),1),
        INDEX($L$6:$L$18,MATCH(B19,$K$6:$K$18,1)+1,1)))/E19)</f>
        <v>0</v>
      </c>
      <c r="P19" s="33">
        <v>14</v>
      </c>
      <c r="Q19" s="361" t="str">
        <f t="shared" si="2"/>
        <v/>
      </c>
      <c r="R19" s="361" t="str">
        <f t="shared" si="3"/>
        <v/>
      </c>
      <c r="S19" s="365" t="s">
        <v>374</v>
      </c>
      <c r="T19" s="365" t="s">
        <v>374</v>
      </c>
      <c r="U19" s="365" t="s">
        <v>374</v>
      </c>
      <c r="V19" s="365" t="s">
        <v>374</v>
      </c>
      <c r="W19" s="365" t="s">
        <v>374</v>
      </c>
      <c r="X19" s="365" t="s">
        <v>374</v>
      </c>
      <c r="Y19" s="365" t="s">
        <v>374</v>
      </c>
      <c r="Z19" s="365" t="s">
        <v>374</v>
      </c>
      <c r="AA19" s="366" t="s">
        <v>374</v>
      </c>
      <c r="AB19" s="365" t="s">
        <v>374</v>
      </c>
      <c r="AC19" s="365" t="s">
        <v>862</v>
      </c>
      <c r="AD19" s="365" t="s">
        <v>862</v>
      </c>
      <c r="AE19" s="365" t="s">
        <v>862</v>
      </c>
      <c r="AF19" s="365" t="s">
        <v>862</v>
      </c>
      <c r="AG19" s="365" t="s">
        <v>862</v>
      </c>
      <c r="AH19" s="365" t="s">
        <v>862</v>
      </c>
      <c r="AI19" s="365" t="s">
        <v>862</v>
      </c>
      <c r="AJ19" s="365" t="s">
        <v>639</v>
      </c>
      <c r="AK19" s="365" t="s">
        <v>862</v>
      </c>
      <c r="AL19" s="365" t="s">
        <v>374</v>
      </c>
      <c r="AM19" s="365" t="s">
        <v>374</v>
      </c>
      <c r="AN19" s="365" t="s">
        <v>374</v>
      </c>
      <c r="AO19" s="365" t="s">
        <v>374</v>
      </c>
      <c r="AP19" s="365" t="s">
        <v>374</v>
      </c>
      <c r="AQ19" s="365" t="s">
        <v>374</v>
      </c>
      <c r="AR19" s="365" t="s">
        <v>374</v>
      </c>
      <c r="AS19" s="365" t="s">
        <v>374</v>
      </c>
      <c r="AT19" s="365" t="s">
        <v>374</v>
      </c>
      <c r="AU19" s="365" t="s">
        <v>374</v>
      </c>
      <c r="AV19" s="365" t="s">
        <v>374</v>
      </c>
    </row>
    <row r="20" spans="1:48" s="193" customFormat="1" ht="14.5" x14ac:dyDescent="0.35">
      <c r="A20" s="211" t="s">
        <v>787</v>
      </c>
      <c r="B20" s="212">
        <v>26.67</v>
      </c>
      <c r="C20" s="213">
        <f t="shared" si="0"/>
        <v>27.94</v>
      </c>
      <c r="D20" s="214">
        <f t="shared" si="0"/>
        <v>20.929599999999997</v>
      </c>
      <c r="E20" s="234">
        <v>2.87</v>
      </c>
      <c r="F20" s="235">
        <v>1.05</v>
      </c>
      <c r="G20" s="217">
        <v>1.1000000000000001</v>
      </c>
      <c r="H20" s="218">
        <f t="shared" si="1"/>
        <v>0.82399999999999995</v>
      </c>
      <c r="I20" s="236">
        <v>0.113</v>
      </c>
      <c r="K20" s="188"/>
      <c r="L20" s="381"/>
      <c r="M20" s="379">
        <v>0</v>
      </c>
      <c r="N20" s="220">
        <f>IF(B20&gt;=508,  31,
    IF(B20&gt;=219.1,  32,  34))*
    LOG(IF(B20&gt;=300,  9.53,
      mathx1x2xy1y2y(
        INDEX($K$6:$K$18,MATCH(B20,$K$6:$K$18,1),1),
        INDEX($K$6:$K$18,MATCH(B20,$K$6:$K$18,1)+1,1),
        B20,
        INDEX($L$6:$L$18,MATCH(B20,$K$6:$K$18,1),1),
        INDEX($L$6:$L$18,MATCH(B20,$K$6:$K$18,1)+1,1)))/E20)</f>
        <v>0</v>
      </c>
      <c r="P20" s="33">
        <v>15</v>
      </c>
      <c r="Q20" s="361" t="str">
        <f t="shared" si="2"/>
        <v/>
      </c>
      <c r="R20" s="361" t="str">
        <f t="shared" si="3"/>
        <v/>
      </c>
      <c r="S20" s="365" t="s">
        <v>374</v>
      </c>
      <c r="T20" s="365" t="s">
        <v>374</v>
      </c>
      <c r="U20" s="365" t="s">
        <v>374</v>
      </c>
      <c r="V20" s="365" t="s">
        <v>374</v>
      </c>
      <c r="W20" s="365" t="s">
        <v>374</v>
      </c>
      <c r="X20" s="365" t="s">
        <v>374</v>
      </c>
      <c r="Y20" s="365" t="s">
        <v>374</v>
      </c>
      <c r="Z20" s="365" t="s">
        <v>374</v>
      </c>
      <c r="AA20" s="366" t="s">
        <v>374</v>
      </c>
      <c r="AB20" s="365" t="s">
        <v>374</v>
      </c>
      <c r="AC20" s="363" t="s">
        <v>640</v>
      </c>
      <c r="AD20" s="365" t="s">
        <v>639</v>
      </c>
      <c r="AE20" s="365" t="s">
        <v>639</v>
      </c>
      <c r="AF20" s="365" t="s">
        <v>639</v>
      </c>
      <c r="AG20" s="365" t="s">
        <v>639</v>
      </c>
      <c r="AH20" s="365" t="s">
        <v>639</v>
      </c>
      <c r="AI20" s="365" t="s">
        <v>639</v>
      </c>
      <c r="AJ20" s="365" t="s">
        <v>374</v>
      </c>
      <c r="AK20" s="365" t="s">
        <v>639</v>
      </c>
      <c r="AL20" s="365" t="s">
        <v>374</v>
      </c>
      <c r="AM20" s="365" t="s">
        <v>374</v>
      </c>
      <c r="AN20" s="365" t="s">
        <v>374</v>
      </c>
      <c r="AO20" s="365" t="s">
        <v>374</v>
      </c>
      <c r="AP20" s="365" t="s">
        <v>374</v>
      </c>
      <c r="AQ20" s="365" t="s">
        <v>374</v>
      </c>
      <c r="AR20" s="365" t="s">
        <v>374</v>
      </c>
      <c r="AS20" s="365" t="s">
        <v>374</v>
      </c>
      <c r="AT20" s="365" t="s">
        <v>374</v>
      </c>
      <c r="AU20" s="365" t="s">
        <v>374</v>
      </c>
      <c r="AV20" s="365" t="s">
        <v>374</v>
      </c>
    </row>
    <row r="21" spans="1:48" s="193" customFormat="1" ht="14.5" x14ac:dyDescent="0.35">
      <c r="A21" s="211" t="s">
        <v>788</v>
      </c>
      <c r="B21" s="212">
        <v>26.67</v>
      </c>
      <c r="C21" s="213">
        <f t="shared" si="0"/>
        <v>27.94</v>
      </c>
      <c r="D21" s="214">
        <f t="shared" si="0"/>
        <v>18.846799999999998</v>
      </c>
      <c r="E21" s="234">
        <v>3.91</v>
      </c>
      <c r="F21" s="235">
        <v>1.05</v>
      </c>
      <c r="G21" s="217">
        <v>1.1000000000000001</v>
      </c>
      <c r="H21" s="218">
        <f t="shared" si="1"/>
        <v>0.74199999999999999</v>
      </c>
      <c r="I21" s="236">
        <v>0.154</v>
      </c>
      <c r="K21" s="188"/>
      <c r="L21" s="381"/>
      <c r="M21" s="379">
        <v>-4.5</v>
      </c>
      <c r="N21" s="220">
        <f>IF(B21&gt;=508,  31,
    IF(B21&gt;=219.1,  32,  34))*
    LOG(IF(B21&gt;=300,  9.53,
      mathx1x2xy1y2y(
        INDEX($K$6:$K$18,MATCH(B21,$K$6:$K$18,1),1),
        INDEX($K$6:$K$18,MATCH(B21,$K$6:$K$18,1)+1,1),
        B21,
        INDEX($L$6:$L$18,MATCH(B21,$K$6:$K$18,1),1),
        INDEX($L$6:$L$18,MATCH(B21,$K$6:$K$18,1)+1,1)))/E21)</f>
        <v>-4.5660252625037323</v>
      </c>
      <c r="P21" s="33">
        <v>16</v>
      </c>
      <c r="Q21" s="361" t="str">
        <f t="shared" si="2"/>
        <v/>
      </c>
      <c r="R21" s="361" t="str">
        <f t="shared" si="3"/>
        <v/>
      </c>
      <c r="S21" s="368" t="s">
        <v>374</v>
      </c>
      <c r="T21" s="368" t="s">
        <v>374</v>
      </c>
      <c r="U21" s="369" t="s">
        <v>374</v>
      </c>
      <c r="V21" s="370" t="s">
        <v>374</v>
      </c>
      <c r="W21" s="370" t="s">
        <v>374</v>
      </c>
      <c r="X21" s="370" t="s">
        <v>374</v>
      </c>
      <c r="Y21" s="370" t="s">
        <v>374</v>
      </c>
      <c r="Z21" s="370" t="s">
        <v>374</v>
      </c>
      <c r="AA21" s="370" t="s">
        <v>374</v>
      </c>
      <c r="AB21" s="370" t="s">
        <v>374</v>
      </c>
      <c r="AC21" s="365" t="s">
        <v>639</v>
      </c>
      <c r="AD21" s="371" t="s">
        <v>374</v>
      </c>
      <c r="AE21" s="371" t="s">
        <v>374</v>
      </c>
      <c r="AF21" s="371" t="s">
        <v>374</v>
      </c>
      <c r="AG21" s="371" t="s">
        <v>374</v>
      </c>
      <c r="AH21" s="371" t="s">
        <v>374</v>
      </c>
      <c r="AI21" s="371" t="s">
        <v>374</v>
      </c>
      <c r="AJ21" s="371" t="s">
        <v>374</v>
      </c>
      <c r="AK21" s="371" t="s">
        <v>374</v>
      </c>
      <c r="AL21" s="371" t="s">
        <v>374</v>
      </c>
      <c r="AM21" s="371" t="s">
        <v>374</v>
      </c>
      <c r="AN21" s="371" t="s">
        <v>374</v>
      </c>
      <c r="AO21" s="371" t="s">
        <v>374</v>
      </c>
      <c r="AP21" s="371" t="s">
        <v>374</v>
      </c>
      <c r="AQ21" s="371" t="s">
        <v>374</v>
      </c>
      <c r="AR21" s="371" t="s">
        <v>374</v>
      </c>
      <c r="AS21" s="371" t="s">
        <v>374</v>
      </c>
      <c r="AT21" s="371" t="s">
        <v>374</v>
      </c>
      <c r="AU21" s="371" t="s">
        <v>374</v>
      </c>
      <c r="AV21" s="371" t="s">
        <v>374</v>
      </c>
    </row>
    <row r="22" spans="1:48" s="193" customFormat="1" ht="14.5" x14ac:dyDescent="0.35">
      <c r="A22" s="211" t="s">
        <v>789</v>
      </c>
      <c r="B22" s="212">
        <v>26.67</v>
      </c>
      <c r="C22" s="213">
        <f t="shared" si="0"/>
        <v>27.94</v>
      </c>
      <c r="D22" s="214">
        <f t="shared" si="0"/>
        <v>18.846799999999998</v>
      </c>
      <c r="E22" s="234">
        <v>3.91</v>
      </c>
      <c r="F22" s="235">
        <v>1.05</v>
      </c>
      <c r="G22" s="217">
        <v>1.1000000000000001</v>
      </c>
      <c r="H22" s="218">
        <f t="shared" si="1"/>
        <v>0.74199999999999999</v>
      </c>
      <c r="I22" s="236">
        <v>0.154</v>
      </c>
      <c r="K22" s="188"/>
      <c r="L22" s="381"/>
      <c r="M22" s="379">
        <v>-4.5</v>
      </c>
      <c r="N22" s="220">
        <f>IF(B22&gt;=508,  31,
    IF(B22&gt;=219.1,  32,  34))*
    LOG(IF(B22&gt;=300,  9.53,
      mathx1x2xy1y2y(
        INDEX($K$6:$K$18,MATCH(B22,$K$6:$K$18,1),1),
        INDEX($K$6:$K$18,MATCH(B22,$K$6:$K$18,1)+1,1),
        B22,
        INDEX($L$6:$L$18,MATCH(B22,$K$6:$K$18,1),1),
        INDEX($L$6:$L$18,MATCH(B22,$K$6:$K$18,1)+1,1)))/E22)</f>
        <v>-4.5660252625037323</v>
      </c>
    </row>
    <row r="23" spans="1:48" s="193" customFormat="1" ht="14.5" x14ac:dyDescent="0.35">
      <c r="A23" s="211" t="s">
        <v>790</v>
      </c>
      <c r="B23" s="212">
        <v>26.67</v>
      </c>
      <c r="C23" s="213">
        <f t="shared" si="0"/>
        <v>27.94</v>
      </c>
      <c r="D23" s="214">
        <f t="shared" si="0"/>
        <v>18.846799999999998</v>
      </c>
      <c r="E23" s="234">
        <v>3.91</v>
      </c>
      <c r="F23" s="235">
        <v>1.05</v>
      </c>
      <c r="G23" s="217">
        <v>1.1000000000000001</v>
      </c>
      <c r="H23" s="218">
        <f t="shared" si="1"/>
        <v>0.74199999999999999</v>
      </c>
      <c r="I23" s="236">
        <v>0.154</v>
      </c>
      <c r="K23" s="188"/>
      <c r="L23" s="381"/>
      <c r="M23" s="379">
        <v>-4.5</v>
      </c>
      <c r="N23" s="220">
        <f>IF(B23&gt;=508,  31,
    IF(B23&gt;=219.1,  32,  34))*
    LOG(IF(B23&gt;=300,  9.53,
      mathx1x2xy1y2y(
        INDEX($K$6:$K$18,MATCH(B23,$K$6:$K$18,1),1),
        INDEX($K$6:$K$18,MATCH(B23,$K$6:$K$18,1)+1,1),
        B23,
        INDEX($L$6:$L$18,MATCH(B23,$K$6:$K$18,1),1),
        INDEX($L$6:$L$18,MATCH(B23,$K$6:$K$18,1)+1,1)))/E23)</f>
        <v>-4.5660252625037323</v>
      </c>
    </row>
    <row r="24" spans="1:48" s="193" customFormat="1" ht="14.5" x14ac:dyDescent="0.35">
      <c r="A24" s="211" t="s">
        <v>791</v>
      </c>
      <c r="B24" s="212">
        <v>26.67</v>
      </c>
      <c r="C24" s="213">
        <f t="shared" si="0"/>
        <v>27.94</v>
      </c>
      <c r="D24" s="214">
        <f t="shared" si="0"/>
        <v>15.544799999999999</v>
      </c>
      <c r="E24" s="234">
        <v>5.56</v>
      </c>
      <c r="F24" s="235">
        <v>1.05</v>
      </c>
      <c r="G24" s="217">
        <v>1.1000000000000001</v>
      </c>
      <c r="H24" s="218">
        <f t="shared" si="1"/>
        <v>0.61199999999999999</v>
      </c>
      <c r="I24" s="236">
        <v>0.219</v>
      </c>
      <c r="K24" s="188"/>
      <c r="L24" s="381"/>
      <c r="M24" s="379">
        <v>-9.5</v>
      </c>
      <c r="N24" s="220">
        <f>IF(B24&gt;=508,  31,
    IF(B24&gt;=219.1,  32,  34))*
    LOG(IF(B24&gt;=300,  9.53,
      mathx1x2xy1y2y(
        INDEX($K$6:$K$18,MATCH(B24,$K$6:$K$18,1),1),
        INDEX($K$6:$K$18,MATCH(B24,$K$6:$K$18,1)+1,1),
        B24,
        INDEX($L$6:$L$18,MATCH(B24,$K$6:$K$18,1),1),
        INDEX($L$6:$L$18,MATCH(B24,$K$6:$K$18,1)+1,1)))/E24)</f>
        <v>-9.764558424834215</v>
      </c>
    </row>
    <row r="25" spans="1:48" s="193" customFormat="1" ht="15" thickBot="1" x14ac:dyDescent="0.4">
      <c r="A25" s="237" t="s">
        <v>792</v>
      </c>
      <c r="B25" s="238">
        <v>26.67</v>
      </c>
      <c r="C25" s="239">
        <f t="shared" si="0"/>
        <v>27.94</v>
      </c>
      <c r="D25" s="240">
        <f t="shared" si="0"/>
        <v>11.0236</v>
      </c>
      <c r="E25" s="241">
        <v>7.82</v>
      </c>
      <c r="F25" s="242">
        <v>1.05</v>
      </c>
      <c r="G25" s="243">
        <v>1.1000000000000001</v>
      </c>
      <c r="H25" s="244">
        <f t="shared" si="1"/>
        <v>0.434</v>
      </c>
      <c r="I25" s="245">
        <v>0.308</v>
      </c>
      <c r="K25" s="188"/>
      <c r="L25" s="381"/>
      <c r="M25" s="383">
        <v>-15</v>
      </c>
      <c r="N25" s="230">
        <f>IF(B25&gt;=508,  31,
    IF(B25&gt;=219.1,  32,  34))*
    LOG(IF(B25&gt;=300,  9.53,
      mathx1x2xy1y2y(
        INDEX($K$6:$K$18,MATCH(B25,$K$6:$K$18,1),1),
        INDEX($K$6:$K$18,MATCH(B25,$K$6:$K$18,1)+1,1),
        B25,
        INDEX($L$6:$L$18,MATCH(B25,$K$6:$K$18,1),1),
        INDEX($L$6:$L$18,MATCH(B25,$K$6:$K$18,1)+1,1)))/E25)</f>
        <v>-14.801045115079095</v>
      </c>
    </row>
    <row r="26" spans="1:48" s="193" customFormat="1" ht="14.5" x14ac:dyDescent="0.35">
      <c r="A26" s="247" t="s">
        <v>25</v>
      </c>
      <c r="B26" s="248">
        <f t="shared" ref="B26:D41" si="4">F26*25.4</f>
        <v>33.400999999999996</v>
      </c>
      <c r="C26" s="249">
        <f t="shared" si="4"/>
        <v>35.559999999999995</v>
      </c>
      <c r="D26" s="250">
        <f t="shared" si="4"/>
        <v>27.863799999999998</v>
      </c>
      <c r="E26" s="251">
        <v>2.77</v>
      </c>
      <c r="F26" s="252">
        <v>1.3149999999999999</v>
      </c>
      <c r="G26" s="253">
        <v>1.4</v>
      </c>
      <c r="H26" s="254">
        <f t="shared" si="1"/>
        <v>1.097</v>
      </c>
      <c r="I26" s="255">
        <v>0.109</v>
      </c>
      <c r="K26" s="257"/>
      <c r="L26" s="381"/>
      <c r="M26" s="378">
        <v>3</v>
      </c>
      <c r="N26" s="209">
        <f>IF(B26&gt;=508,  31,
    IF(B26&gt;=219.1,  32,  34))*
    LOG(IF(B26&gt;=300,  9.53,
      mathx1x2xy1y2y(
        INDEX($K$6:$K$18,MATCH(B26,$K$6:$K$18,1),1),
        INDEX($K$6:$K$18,MATCH(B26,$K$6:$K$18,1)+1,1),
        B26,
        INDEX($L$6:$L$18,MATCH(B26,$K$6:$K$18,1),1),
        INDEX($L$6:$L$18,MATCH(B26,$K$6:$K$18,1)+1,1)))/E26)</f>
        <v>2.9389438570027906</v>
      </c>
    </row>
    <row r="27" spans="1:48" s="193" customFormat="1" ht="14.5" x14ac:dyDescent="0.35">
      <c r="A27" s="258" t="s">
        <v>793</v>
      </c>
      <c r="B27" s="212">
        <f t="shared" si="4"/>
        <v>33.400999999999996</v>
      </c>
      <c r="C27" s="213">
        <f t="shared" si="4"/>
        <v>35.559999999999995</v>
      </c>
      <c r="D27" s="214">
        <f t="shared" si="4"/>
        <v>27.863799999999998</v>
      </c>
      <c r="E27" s="215">
        <v>2.77</v>
      </c>
      <c r="F27" s="259">
        <v>1.3149999999999999</v>
      </c>
      <c r="G27" s="260">
        <v>1.4</v>
      </c>
      <c r="H27" s="261">
        <f t="shared" si="1"/>
        <v>1.097</v>
      </c>
      <c r="I27" s="262">
        <v>0.109</v>
      </c>
      <c r="K27" s="188"/>
      <c r="L27" s="381"/>
      <c r="M27" s="379">
        <v>3</v>
      </c>
      <c r="N27" s="220">
        <f>IF(B27&gt;=508,  31,
    IF(B27&gt;=219.1,  32,  34))*
    LOG(IF(B27&gt;=300,  9.53,
      mathx1x2xy1y2y(
        INDEX($K$6:$K$18,MATCH(B27,$K$6:$K$18,1),1),
        INDEX($K$6:$K$18,MATCH(B27,$K$6:$K$18,1)+1,1),
        B27,
        INDEX($L$6:$L$18,MATCH(B27,$K$6:$K$18,1),1),
        INDEX($L$6:$L$18,MATCH(B27,$K$6:$K$18,1)+1,1)))/E27)</f>
        <v>2.9389438570027906</v>
      </c>
    </row>
    <row r="28" spans="1:48" s="193" customFormat="1" ht="14.5" x14ac:dyDescent="0.35">
      <c r="A28" s="258" t="s">
        <v>27</v>
      </c>
      <c r="B28" s="212">
        <f t="shared" si="4"/>
        <v>33.400999999999996</v>
      </c>
      <c r="C28" s="213">
        <f t="shared" si="4"/>
        <v>35.559999999999995</v>
      </c>
      <c r="D28" s="214">
        <f t="shared" si="4"/>
        <v>26.644599999999997</v>
      </c>
      <c r="E28" s="215">
        <v>3.38</v>
      </c>
      <c r="F28" s="259">
        <v>1.3149999999999999</v>
      </c>
      <c r="G28" s="260">
        <v>1.4</v>
      </c>
      <c r="H28" s="261">
        <f>ROUND(F28-2*I28,3)</f>
        <v>1.0489999999999999</v>
      </c>
      <c r="I28" s="262">
        <v>0.13300000000000001</v>
      </c>
      <c r="K28" s="188"/>
      <c r="L28" s="381"/>
      <c r="M28" s="379">
        <v>0</v>
      </c>
      <c r="N28" s="220">
        <f>IF(B28&gt;=508,  31,
    IF(B28&gt;=219.1,  32,  34))*
    LOG(IF(B28&gt;=300,  9.53,
      mathx1x2xy1y2y(
        INDEX($K$6:$K$18,MATCH(B28,$K$6:$K$18,1),1),
        INDEX($K$6:$K$18,MATCH(B28,$K$6:$K$18,1)+1,1),
        B28,
        INDEX($L$6:$L$18,MATCH(B28,$K$6:$K$18,1),1),
        INDEX($L$6:$L$18,MATCH(B28,$K$6:$K$18,1)+1,1)))/E28)</f>
        <v>8.8195753780105708E-5</v>
      </c>
    </row>
    <row r="29" spans="1:48" s="193" customFormat="1" ht="14.5" x14ac:dyDescent="0.35">
      <c r="A29" s="258" t="s">
        <v>28</v>
      </c>
      <c r="B29" s="212">
        <f t="shared" si="4"/>
        <v>33.400999999999996</v>
      </c>
      <c r="C29" s="213">
        <f>G29*25.4</f>
        <v>35.559999999999995</v>
      </c>
      <c r="D29" s="214">
        <f>H29*25.4</f>
        <v>26.644599999999997</v>
      </c>
      <c r="E29" s="215">
        <v>3.38</v>
      </c>
      <c r="F29" s="259">
        <v>1.3149999999999999</v>
      </c>
      <c r="G29" s="260">
        <v>1.4</v>
      </c>
      <c r="H29" s="261">
        <f>ROUND(F29-2*I29,3)</f>
        <v>1.0489999999999999</v>
      </c>
      <c r="I29" s="262">
        <v>0.13300000000000001</v>
      </c>
      <c r="K29" s="188"/>
      <c r="L29" s="381"/>
      <c r="M29" s="379">
        <v>0</v>
      </c>
      <c r="N29" s="220">
        <f>IF(B29&gt;=508,  31,
    IF(B29&gt;=219.1,  32,  34))*
    LOG(IF(B29&gt;=300,  9.53,
      mathx1x2xy1y2y(
        INDEX($K$6:$K$18,MATCH(B29,$K$6:$K$18,1),1),
        INDEX($K$6:$K$18,MATCH(B29,$K$6:$K$18,1)+1,1),
        B29,
        INDEX($L$6:$L$18,MATCH(B29,$K$6:$K$18,1),1),
        INDEX($L$6:$L$18,MATCH(B29,$K$6:$K$18,1)+1,1)))/E29)</f>
        <v>8.8195753780105708E-5</v>
      </c>
    </row>
    <row r="30" spans="1:48" s="193" customFormat="1" ht="14.5" x14ac:dyDescent="0.35">
      <c r="A30" s="258" t="s">
        <v>26</v>
      </c>
      <c r="B30" s="212">
        <f t="shared" si="4"/>
        <v>33.400999999999996</v>
      </c>
      <c r="C30" s="213">
        <f t="shared" si="4"/>
        <v>35.559999999999995</v>
      </c>
      <c r="D30" s="214">
        <f t="shared" si="4"/>
        <v>26.644599999999997</v>
      </c>
      <c r="E30" s="215">
        <v>3.38</v>
      </c>
      <c r="F30" s="259">
        <v>1.3149999999999999</v>
      </c>
      <c r="G30" s="260">
        <v>1.4</v>
      </c>
      <c r="H30" s="261">
        <f t="shared" si="1"/>
        <v>1.0489999999999999</v>
      </c>
      <c r="I30" s="262">
        <v>0.13300000000000001</v>
      </c>
      <c r="K30" s="188"/>
      <c r="L30" s="381"/>
      <c r="M30" s="379">
        <v>0</v>
      </c>
      <c r="N30" s="220">
        <f>IF(B30&gt;=508,  31,
    IF(B30&gt;=219.1,  32,  34))*
    LOG(IF(B30&gt;=300,  9.53,
      mathx1x2xy1y2y(
        INDEX($K$6:$K$18,MATCH(B30,$K$6:$K$18,1),1),
        INDEX($K$6:$K$18,MATCH(B30,$K$6:$K$18,1)+1,1),
        B30,
        INDEX($L$6:$L$18,MATCH(B30,$K$6:$K$18,1),1),
        INDEX($L$6:$L$18,MATCH(B30,$K$6:$K$18,1)+1,1)))/E30)</f>
        <v>8.8195753780105708E-5</v>
      </c>
    </row>
    <row r="31" spans="1:48" s="193" customFormat="1" ht="14.5" x14ac:dyDescent="0.35">
      <c r="A31" s="258" t="s">
        <v>30</v>
      </c>
      <c r="B31" s="212">
        <f t="shared" si="4"/>
        <v>33.400999999999996</v>
      </c>
      <c r="C31" s="213">
        <f t="shared" si="4"/>
        <v>35.559999999999995</v>
      </c>
      <c r="D31" s="214">
        <f t="shared" si="4"/>
        <v>24.307799999999997</v>
      </c>
      <c r="E31" s="215">
        <v>4.55</v>
      </c>
      <c r="F31" s="259">
        <v>1.3149999999999999</v>
      </c>
      <c r="G31" s="260">
        <v>1.4</v>
      </c>
      <c r="H31" s="261">
        <f>ROUND(F31-2*I31,3)</f>
        <v>0.95699999999999996</v>
      </c>
      <c r="I31" s="262">
        <v>0.17899999999999999</v>
      </c>
      <c r="K31" s="188"/>
      <c r="L31" s="381"/>
      <c r="M31" s="379">
        <v>-4.5</v>
      </c>
      <c r="N31" s="220">
        <f>IF(B31&gt;=508,  31,
    IF(B31&gt;=219.1,  32,  34))*
    LOG(IF(B31&gt;=300,  9.53,
      mathx1x2xy1y2y(
        INDEX($K$6:$K$18,MATCH(B31,$K$6:$K$18,1),1),
        INDEX($K$6:$K$18,MATCH(B31,$K$6:$K$18,1)+1,1),
        B31,
        INDEX($L$6:$L$18,MATCH(B31,$K$6:$K$18,1),1),
        INDEX($L$6:$L$18,MATCH(B31,$K$6:$K$18,1)+1,1)))/E31)</f>
        <v>-4.3891314811477811</v>
      </c>
    </row>
    <row r="32" spans="1:48" s="193" customFormat="1" ht="14.5" x14ac:dyDescent="0.35">
      <c r="A32" s="258" t="s">
        <v>31</v>
      </c>
      <c r="B32" s="212">
        <f t="shared" si="4"/>
        <v>33.400999999999996</v>
      </c>
      <c r="C32" s="213">
        <f>G32*25.4</f>
        <v>35.559999999999995</v>
      </c>
      <c r="D32" s="214">
        <f>H32*25.4</f>
        <v>24.307799999999997</v>
      </c>
      <c r="E32" s="215">
        <v>4.55</v>
      </c>
      <c r="F32" s="259">
        <v>1.3149999999999999</v>
      </c>
      <c r="G32" s="260">
        <v>1.4</v>
      </c>
      <c r="H32" s="261">
        <f>ROUND(F32-2*I32,3)</f>
        <v>0.95699999999999996</v>
      </c>
      <c r="I32" s="262">
        <v>0.17899999999999999</v>
      </c>
      <c r="K32" s="188"/>
      <c r="L32" s="381"/>
      <c r="M32" s="379">
        <v>-4.5</v>
      </c>
      <c r="N32" s="220">
        <f>IF(B32&gt;=508,  31,
    IF(B32&gt;=219.1,  32,  34))*
    LOG(IF(B32&gt;=300,  9.53,
      mathx1x2xy1y2y(
        INDEX($K$6:$K$18,MATCH(B32,$K$6:$K$18,1),1),
        INDEX($K$6:$K$18,MATCH(B32,$K$6:$K$18,1)+1,1),
        B32,
        INDEX($L$6:$L$18,MATCH(B32,$K$6:$K$18,1),1),
        INDEX($L$6:$L$18,MATCH(B32,$K$6:$K$18,1)+1,1)))/E32)</f>
        <v>-4.3891314811477811</v>
      </c>
    </row>
    <row r="33" spans="1:14" s="263" customFormat="1" ht="14.5" x14ac:dyDescent="0.35">
      <c r="A33" s="258" t="s">
        <v>29</v>
      </c>
      <c r="B33" s="212">
        <f t="shared" si="4"/>
        <v>33.400999999999996</v>
      </c>
      <c r="C33" s="213">
        <f t="shared" si="4"/>
        <v>35.559999999999995</v>
      </c>
      <c r="D33" s="214">
        <f t="shared" si="4"/>
        <v>24.307799999999997</v>
      </c>
      <c r="E33" s="215">
        <v>4.55</v>
      </c>
      <c r="F33" s="259">
        <v>1.3149999999999999</v>
      </c>
      <c r="G33" s="260">
        <v>1.4</v>
      </c>
      <c r="H33" s="261">
        <f t="shared" si="1"/>
        <v>0.95699999999999996</v>
      </c>
      <c r="I33" s="262">
        <v>0.17899999999999999</v>
      </c>
      <c r="K33" s="188"/>
      <c r="L33" s="381"/>
      <c r="M33" s="379">
        <v>-4.5</v>
      </c>
      <c r="N33" s="220">
        <f>IF(B33&gt;=508,  31,
    IF(B33&gt;=219.1,  32,  34))*
    LOG(IF(B33&gt;=300,  9.53,
      mathx1x2xy1y2y(
        INDEX($K$6:$K$18,MATCH(B33,$K$6:$K$18,1),1),
        INDEX($K$6:$K$18,MATCH(B33,$K$6:$K$18,1)+1,1),
        B33,
        INDEX($L$6:$L$18,MATCH(B33,$K$6:$K$18,1),1),
        INDEX($L$6:$L$18,MATCH(B33,$K$6:$K$18,1)+1,1)))/E33)</f>
        <v>-4.3891314811477811</v>
      </c>
    </row>
    <row r="34" spans="1:14" s="263" customFormat="1" ht="14.5" x14ac:dyDescent="0.35">
      <c r="A34" s="258" t="s">
        <v>32</v>
      </c>
      <c r="B34" s="212">
        <f t="shared" si="4"/>
        <v>33.400999999999996</v>
      </c>
      <c r="C34" s="213">
        <f t="shared" si="4"/>
        <v>35.559999999999995</v>
      </c>
      <c r="D34" s="214">
        <f t="shared" si="4"/>
        <v>20.700999999999997</v>
      </c>
      <c r="E34" s="215">
        <v>6.35</v>
      </c>
      <c r="F34" s="259">
        <v>1.3149999999999999</v>
      </c>
      <c r="G34" s="260">
        <v>1.4</v>
      </c>
      <c r="H34" s="261">
        <f t="shared" si="1"/>
        <v>0.81499999999999995</v>
      </c>
      <c r="I34" s="262">
        <v>0.25</v>
      </c>
      <c r="K34" s="188"/>
      <c r="L34" s="381"/>
      <c r="M34" s="379">
        <v>-9.5</v>
      </c>
      <c r="N34" s="220">
        <f>IF(B34&gt;=508,  31,
    IF(B34&gt;=219.1,  32,  34))*
    LOG(IF(B34&gt;=300,  9.53,
      mathx1x2xy1y2y(
        INDEX($K$6:$K$18,MATCH(B34,$K$6:$K$18,1),1),
        INDEX($K$6:$K$18,MATCH(B34,$K$6:$K$18,1)+1,1),
        B34,
        INDEX($L$6:$L$18,MATCH(B34,$K$6:$K$18,1),1),
        INDEX($L$6:$L$18,MATCH(B34,$K$6:$K$18,1)+1,1)))/E34)</f>
        <v>-9.3110506547331298</v>
      </c>
    </row>
    <row r="35" spans="1:14" s="263" customFormat="1" ht="15" thickBot="1" x14ac:dyDescent="0.4">
      <c r="A35" s="264" t="s">
        <v>33</v>
      </c>
      <c r="B35" s="222">
        <f t="shared" si="4"/>
        <v>33.400999999999996</v>
      </c>
      <c r="C35" s="223">
        <f t="shared" si="4"/>
        <v>35.559999999999995</v>
      </c>
      <c r="D35" s="224">
        <f t="shared" si="4"/>
        <v>15.214599999999999</v>
      </c>
      <c r="E35" s="225">
        <v>9.09</v>
      </c>
      <c r="F35" s="265">
        <v>1.3149999999999999</v>
      </c>
      <c r="G35" s="266">
        <v>1.4</v>
      </c>
      <c r="H35" s="267">
        <f t="shared" si="1"/>
        <v>0.59899999999999998</v>
      </c>
      <c r="I35" s="268">
        <v>0.35799999999999998</v>
      </c>
      <c r="K35" s="188"/>
      <c r="L35" s="381"/>
      <c r="M35" s="380">
        <v>-15.5</v>
      </c>
      <c r="N35" s="246">
        <f>IF(B35&gt;=508,  31,
    IF(B35&gt;=219.1,  32,  34))*
    LOG(IF(B35&gt;=300,  9.53,
      mathx1x2xy1y2y(
        INDEX($K$6:$K$18,MATCH(B35,$K$6:$K$18,1),1),
        INDEX($K$6:$K$18,MATCH(B35,$K$6:$K$18,1)+1,1),
        B35,
        INDEX($L$6:$L$18,MATCH(B35,$K$6:$K$18,1),1),
        INDEX($L$6:$L$18,MATCH(B35,$K$6:$K$18,1)+1,1)))/E35)</f>
        <v>-14.607916024352852</v>
      </c>
    </row>
    <row r="36" spans="1:14" s="263" customFormat="1" ht="14.5" x14ac:dyDescent="0.35">
      <c r="A36" s="269" t="s">
        <v>794</v>
      </c>
      <c r="B36" s="201">
        <v>48.26</v>
      </c>
      <c r="C36" s="270">
        <f t="shared" si="4"/>
        <v>50.291999999999994</v>
      </c>
      <c r="D36" s="271">
        <f t="shared" si="4"/>
        <v>42.722799999999999</v>
      </c>
      <c r="E36" s="204">
        <v>2.77</v>
      </c>
      <c r="F36" s="272">
        <v>1.9</v>
      </c>
      <c r="G36" s="273">
        <v>1.98</v>
      </c>
      <c r="H36" s="274">
        <f t="shared" si="1"/>
        <v>1.6819999999999999</v>
      </c>
      <c r="I36" s="275">
        <v>0.109</v>
      </c>
      <c r="K36" s="188"/>
      <c r="L36" s="381"/>
      <c r="M36" s="382">
        <v>4</v>
      </c>
      <c r="N36" s="256">
        <f>IF(B36&gt;=508,  31,
    IF(B36&gt;=219.1,  32,  34))*
    LOG(IF(B36&gt;=300,  9.53,
      mathx1x2xy1y2y(
        INDEX($K$6:$K$18,MATCH(B36,$K$6:$K$18,1),1),
        INDEX($K$6:$K$18,MATCH(B36,$K$6:$K$18,1)+1,1),
        B36,
        INDEX($L$6:$L$18,MATCH(B36,$K$6:$K$18,1),1),
        INDEX($L$6:$L$18,MATCH(B36,$K$6:$K$18,1)+1,1)))/E36)</f>
        <v>4.1945136867083495</v>
      </c>
    </row>
    <row r="37" spans="1:14" s="263" customFormat="1" ht="14.5" x14ac:dyDescent="0.35">
      <c r="A37" s="258" t="s">
        <v>795</v>
      </c>
      <c r="B37" s="212">
        <v>48.26</v>
      </c>
      <c r="C37" s="276">
        <f t="shared" si="4"/>
        <v>50.291999999999994</v>
      </c>
      <c r="D37" s="277">
        <f t="shared" si="4"/>
        <v>42.722799999999999</v>
      </c>
      <c r="E37" s="215">
        <v>2.77</v>
      </c>
      <c r="F37" s="259">
        <v>1.9</v>
      </c>
      <c r="G37" s="260">
        <v>1.98</v>
      </c>
      <c r="H37" s="261">
        <f t="shared" si="1"/>
        <v>1.6819999999999999</v>
      </c>
      <c r="I37" s="262">
        <v>0.109</v>
      </c>
      <c r="K37" s="188"/>
      <c r="L37" s="381"/>
      <c r="M37" s="379">
        <v>4</v>
      </c>
      <c r="N37" s="220">
        <f>IF(B37&gt;=508,  31,
    IF(B37&gt;=219.1,  32,  34))*
    LOG(IF(B37&gt;=300,  9.53,
      mathx1x2xy1y2y(
        INDEX($K$6:$K$18,MATCH(B37,$K$6:$K$18,1),1),
        INDEX($K$6:$K$18,MATCH(B37,$K$6:$K$18,1)+1,1),
        B37,
        INDEX($L$6:$L$18,MATCH(B37,$K$6:$K$18,1),1),
        INDEX($L$6:$L$18,MATCH(B37,$K$6:$K$18,1)+1,1)))/E37)</f>
        <v>4.1945136867083495</v>
      </c>
    </row>
    <row r="38" spans="1:14" s="263" customFormat="1" ht="14.5" x14ac:dyDescent="0.35">
      <c r="A38" s="258" t="s">
        <v>796</v>
      </c>
      <c r="B38" s="212">
        <v>48.26</v>
      </c>
      <c r="C38" s="276">
        <f t="shared" si="4"/>
        <v>50.291999999999994</v>
      </c>
      <c r="D38" s="277">
        <f t="shared" si="4"/>
        <v>40.893999999999998</v>
      </c>
      <c r="E38" s="215">
        <v>3.68</v>
      </c>
      <c r="F38" s="259">
        <v>1.9</v>
      </c>
      <c r="G38" s="260">
        <v>1.98</v>
      </c>
      <c r="H38" s="261">
        <f>ROUND(F38-2*I38,3)</f>
        <v>1.61</v>
      </c>
      <c r="I38" s="262">
        <v>0.14499999999999999</v>
      </c>
      <c r="K38" s="188"/>
      <c r="L38" s="381"/>
      <c r="M38" s="379">
        <v>0</v>
      </c>
      <c r="N38" s="220">
        <f>IF(B38&gt;=508,  31,
    IF(B38&gt;=219.1,  32,  34))*
    LOG(IF(B38&gt;=300,  9.53,
      mathx1x2xy1y2y(
        INDEX($K$6:$K$18,MATCH(B38,$K$6:$K$18,1),1),
        INDEX($K$6:$K$18,MATCH(B38,$K$6:$K$18,1)+1,1),
        B38,
        INDEX($L$6:$L$18,MATCH(B38,$K$6:$K$18,1),1),
        INDEX($L$6:$L$18,MATCH(B38,$K$6:$K$18,1)+1,1)))/E38)</f>
        <v>0</v>
      </c>
    </row>
    <row r="39" spans="1:14" s="263" customFormat="1" ht="14.5" x14ac:dyDescent="0.35">
      <c r="A39" s="258" t="s">
        <v>797</v>
      </c>
      <c r="B39" s="212">
        <v>48.26</v>
      </c>
      <c r="C39" s="276">
        <f>G39*25.4</f>
        <v>50.291999999999994</v>
      </c>
      <c r="D39" s="277">
        <f>H39*25.4</f>
        <v>40.893999999999998</v>
      </c>
      <c r="E39" s="215">
        <v>3.68</v>
      </c>
      <c r="F39" s="259">
        <v>1.9</v>
      </c>
      <c r="G39" s="260">
        <v>1.98</v>
      </c>
      <c r="H39" s="261">
        <f>ROUND(F39-2*I39,3)</f>
        <v>1.61</v>
      </c>
      <c r="I39" s="262">
        <v>0.14499999999999999</v>
      </c>
      <c r="K39" s="188"/>
      <c r="L39" s="381"/>
      <c r="M39" s="379">
        <v>0</v>
      </c>
      <c r="N39" s="220">
        <f>IF(B39&gt;=508,  31,
    IF(B39&gt;=219.1,  32,  34))*
    LOG(IF(B39&gt;=300,  9.53,
      mathx1x2xy1y2y(
        INDEX($K$6:$K$18,MATCH(B39,$K$6:$K$18,1),1),
        INDEX($K$6:$K$18,MATCH(B39,$K$6:$K$18,1)+1,1),
        B39,
        INDEX($L$6:$L$18,MATCH(B39,$K$6:$K$18,1),1),
        INDEX($L$6:$L$18,MATCH(B39,$K$6:$K$18,1)+1,1)))/E39)</f>
        <v>0</v>
      </c>
    </row>
    <row r="40" spans="1:14" s="263" customFormat="1" ht="14.5" x14ac:dyDescent="0.35">
      <c r="A40" s="258" t="s">
        <v>798</v>
      </c>
      <c r="B40" s="212">
        <v>48.26</v>
      </c>
      <c r="C40" s="276">
        <f>G40*25.4</f>
        <v>50.291999999999994</v>
      </c>
      <c r="D40" s="277">
        <f>H40*25.4</f>
        <v>40.893999999999998</v>
      </c>
      <c r="E40" s="215">
        <v>3.68</v>
      </c>
      <c r="F40" s="259">
        <v>1.9</v>
      </c>
      <c r="G40" s="260">
        <v>1.98</v>
      </c>
      <c r="H40" s="261">
        <f t="shared" ref="H40:H41" si="5">ROUND(F40-2*I40,3)</f>
        <v>1.61</v>
      </c>
      <c r="I40" s="262">
        <v>0.14499999999999999</v>
      </c>
      <c r="K40" s="188"/>
      <c r="L40" s="381"/>
      <c r="M40" s="379">
        <v>0</v>
      </c>
      <c r="N40" s="220">
        <f>IF(B40&gt;=508,  31,
    IF(B40&gt;=219.1,  32,  34))*
    LOG(IF(B40&gt;=300,  9.53,
      mathx1x2xy1y2y(
        INDEX($K$6:$K$18,MATCH(B40,$K$6:$K$18,1),1),
        INDEX($K$6:$K$18,MATCH(B40,$K$6:$K$18,1)+1,1),
        B40,
        INDEX($L$6:$L$18,MATCH(B40,$K$6:$K$18,1),1),
        INDEX($L$6:$L$18,MATCH(B40,$K$6:$K$18,1)+1,1)))/E40)</f>
        <v>0</v>
      </c>
    </row>
    <row r="41" spans="1:14" s="263" customFormat="1" ht="14.5" x14ac:dyDescent="0.35">
      <c r="A41" s="258" t="s">
        <v>799</v>
      </c>
      <c r="B41" s="212">
        <v>48.26</v>
      </c>
      <c r="C41" s="276">
        <f t="shared" si="4"/>
        <v>50.291999999999994</v>
      </c>
      <c r="D41" s="277">
        <f t="shared" si="4"/>
        <v>38.099999999999994</v>
      </c>
      <c r="E41" s="215">
        <v>5.08</v>
      </c>
      <c r="F41" s="259">
        <v>1.9</v>
      </c>
      <c r="G41" s="260">
        <v>1.98</v>
      </c>
      <c r="H41" s="261">
        <f t="shared" si="5"/>
        <v>1.5</v>
      </c>
      <c r="I41" s="262">
        <v>0.2</v>
      </c>
      <c r="K41" s="188"/>
      <c r="L41" s="381"/>
      <c r="M41" s="379">
        <v>-4.5</v>
      </c>
      <c r="N41" s="220">
        <f>IF(B41&gt;=508,  31,
    IF(B41&gt;=219.1,  32,  34))*
    LOG(IF(B41&gt;=300,  9.53,
      mathx1x2xy1y2y(
        INDEX($K$6:$K$18,MATCH(B41,$K$6:$K$18,1),1),
        INDEX($K$6:$K$18,MATCH(B41,$K$6:$K$18,1)+1,1),
        B41,
        INDEX($L$6:$L$18,MATCH(B41,$K$6:$K$18,1),1),
        INDEX($L$6:$L$18,MATCH(B41,$K$6:$K$18,1)+1,1)))/E41)</f>
        <v>-4.7605403827536534</v>
      </c>
    </row>
    <row r="42" spans="1:14" s="193" customFormat="1" ht="14.5" x14ac:dyDescent="0.35">
      <c r="A42" s="258" t="s">
        <v>800</v>
      </c>
      <c r="B42" s="212">
        <v>48.26</v>
      </c>
      <c r="C42" s="276">
        <f>G42*25.4</f>
        <v>50.291999999999994</v>
      </c>
      <c r="D42" s="277">
        <f>H42*25.4</f>
        <v>38.099999999999994</v>
      </c>
      <c r="E42" s="215">
        <v>5.08</v>
      </c>
      <c r="F42" s="259">
        <v>1.9</v>
      </c>
      <c r="G42" s="260">
        <v>1.98</v>
      </c>
      <c r="H42" s="261">
        <f>ROUND(F42-2*I42,3)</f>
        <v>1.5</v>
      </c>
      <c r="I42" s="262">
        <v>0.2</v>
      </c>
      <c r="K42" s="188"/>
      <c r="L42" s="381"/>
      <c r="M42" s="379">
        <v>-4.5</v>
      </c>
      <c r="N42" s="220">
        <f>IF(B42&gt;=508,  31,
    IF(B42&gt;=219.1,  32,  34))*
    LOG(IF(B42&gt;=300,  9.53,
      mathx1x2xy1y2y(
        INDEX($K$6:$K$18,MATCH(B42,$K$6:$K$18,1),1),
        INDEX($K$6:$K$18,MATCH(B42,$K$6:$K$18,1)+1,1),
        B42,
        INDEX($L$6:$L$18,MATCH(B42,$K$6:$K$18,1),1),
        INDEX($L$6:$L$18,MATCH(B42,$K$6:$K$18,1)+1,1)))/E42)</f>
        <v>-4.7605403827536534</v>
      </c>
    </row>
    <row r="43" spans="1:14" s="193" customFormat="1" ht="14.5" x14ac:dyDescent="0.35">
      <c r="A43" s="258" t="s">
        <v>801</v>
      </c>
      <c r="B43" s="212">
        <v>48.26</v>
      </c>
      <c r="C43" s="276">
        <f t="shared" ref="C43:D55" si="6">G43*25.4</f>
        <v>50.291999999999994</v>
      </c>
      <c r="D43" s="277">
        <f t="shared" si="6"/>
        <v>38.099999999999994</v>
      </c>
      <c r="E43" s="215">
        <v>5.08</v>
      </c>
      <c r="F43" s="259">
        <v>1.9</v>
      </c>
      <c r="G43" s="260">
        <v>1.98</v>
      </c>
      <c r="H43" s="261">
        <f t="shared" ref="H43" si="7">ROUND(F43-2*I43,3)</f>
        <v>1.5</v>
      </c>
      <c r="I43" s="262">
        <v>0.2</v>
      </c>
      <c r="K43" s="188"/>
      <c r="L43" s="381"/>
      <c r="M43" s="379">
        <v>-4.5</v>
      </c>
      <c r="N43" s="220">
        <f>IF(B43&gt;=508,  31,
    IF(B43&gt;=219.1,  32,  34))*
    LOG(IF(B43&gt;=300,  9.53,
      mathx1x2xy1y2y(
        INDEX($K$6:$K$18,MATCH(B43,$K$6:$K$18,1),1),
        INDEX($K$6:$K$18,MATCH(B43,$K$6:$K$18,1)+1,1),
        B43,
        INDEX($L$6:$L$18,MATCH(B43,$K$6:$K$18,1),1),
        INDEX($L$6:$L$18,MATCH(B43,$K$6:$K$18,1)+1,1)))/E43)</f>
        <v>-4.7605403827536534</v>
      </c>
    </row>
    <row r="44" spans="1:14" s="193" customFormat="1" ht="14.5" x14ac:dyDescent="0.35">
      <c r="A44" s="258" t="s">
        <v>802</v>
      </c>
      <c r="B44" s="212">
        <v>48.26</v>
      </c>
      <c r="C44" s="276">
        <f t="shared" si="6"/>
        <v>50.291999999999994</v>
      </c>
      <c r="D44" s="277">
        <f t="shared" si="6"/>
        <v>33.985199999999999</v>
      </c>
      <c r="E44" s="215">
        <v>7.14</v>
      </c>
      <c r="F44" s="259">
        <v>1.9</v>
      </c>
      <c r="G44" s="260">
        <v>1.98</v>
      </c>
      <c r="H44" s="261">
        <f t="shared" si="1"/>
        <v>1.3380000000000001</v>
      </c>
      <c r="I44" s="262">
        <v>0.28100000000000003</v>
      </c>
      <c r="K44" s="188"/>
      <c r="L44" s="381"/>
      <c r="M44" s="379">
        <v>-9.5</v>
      </c>
      <c r="N44" s="220">
        <f>IF(B44&gt;=508,  31,
    IF(B44&gt;=219.1,  32,  34))*
    LOG(IF(B44&gt;=300,  9.53,
      mathx1x2xy1y2y(
        INDEX($K$6:$K$18,MATCH(B44,$K$6:$K$18,1),1),
        INDEX($K$6:$K$18,MATCH(B44,$K$6:$K$18,1)+1,1),
        B44,
        INDEX($L$6:$L$18,MATCH(B44,$K$6:$K$18,1),1),
        INDEX($L$6:$L$18,MATCH(B44,$K$6:$K$18,1)+1,1)))/E44)</f>
        <v>-9.786913365490328</v>
      </c>
    </row>
    <row r="45" spans="1:14" s="193" customFormat="1" ht="15" thickBot="1" x14ac:dyDescent="0.4">
      <c r="A45" s="278" t="s">
        <v>803</v>
      </c>
      <c r="B45" s="238">
        <v>48.26</v>
      </c>
      <c r="C45" s="279">
        <f t="shared" si="6"/>
        <v>50.291999999999994</v>
      </c>
      <c r="D45" s="280">
        <f t="shared" si="6"/>
        <v>27.94</v>
      </c>
      <c r="E45" s="281">
        <v>10.16</v>
      </c>
      <c r="F45" s="282">
        <v>1.9</v>
      </c>
      <c r="G45" s="283">
        <v>1.98</v>
      </c>
      <c r="H45" s="284">
        <f t="shared" si="1"/>
        <v>1.1000000000000001</v>
      </c>
      <c r="I45" s="285">
        <v>0.4</v>
      </c>
      <c r="K45" s="188"/>
      <c r="L45" s="381"/>
      <c r="M45" s="383">
        <v>-15</v>
      </c>
      <c r="N45" s="230">
        <f>IF(B45&gt;=508,  31,
    IF(B45&gt;=219.1,  32,  34))*
    LOG(IF(B45&gt;=300,  9.53,
      mathx1x2xy1y2y(
        INDEX($K$6:$K$18,MATCH(B45,$K$6:$K$18,1),1),
        INDEX($K$6:$K$18,MATCH(B45,$K$6:$K$18,1)+1,1),
        B45,
        INDEX($L$6:$L$18,MATCH(B45,$K$6:$K$18,1),1),
        INDEX($L$6:$L$18,MATCH(B45,$K$6:$K$18,1)+1,1)))/E45)</f>
        <v>-14.995560235329014</v>
      </c>
    </row>
    <row r="46" spans="1:14" s="193" customFormat="1" ht="14.5" x14ac:dyDescent="0.35">
      <c r="A46" s="247" t="s">
        <v>34</v>
      </c>
      <c r="B46" s="248">
        <v>60.33</v>
      </c>
      <c r="C46" s="286">
        <f t="shared" si="6"/>
        <v>62.483999999999995</v>
      </c>
      <c r="D46" s="287">
        <f t="shared" si="6"/>
        <v>54.787799999999997</v>
      </c>
      <c r="E46" s="251">
        <v>2.77</v>
      </c>
      <c r="F46" s="252">
        <v>2.375</v>
      </c>
      <c r="G46" s="253">
        <v>2.46</v>
      </c>
      <c r="H46" s="254">
        <f t="shared" si="1"/>
        <v>2.157</v>
      </c>
      <c r="I46" s="255">
        <v>0.109</v>
      </c>
      <c r="K46" s="188"/>
      <c r="L46" s="381"/>
      <c r="M46" s="378">
        <v>5</v>
      </c>
      <c r="N46" s="209">
        <f>IF(B46&gt;=508,  31,
    IF(B46&gt;=219.1,  32,  34))*
    LOG(IF(B46&gt;=300,  9.53,
      mathx1x2xy1y2y(
        INDEX($K$6:$K$18,MATCH(B46,$K$6:$K$18,1),1),
        INDEX($K$6:$K$18,MATCH(B46,$K$6:$K$18,1)+1,1),
        B46,
        INDEX($L$6:$L$18,MATCH(B46,$K$6:$K$18,1),1),
        INDEX($L$6:$L$18,MATCH(B46,$K$6:$K$18,1)+1,1)))/E46)</f>
        <v>5.0896976032682213</v>
      </c>
    </row>
    <row r="47" spans="1:14" s="193" customFormat="1" ht="14.5" x14ac:dyDescent="0.35">
      <c r="A47" s="258" t="s">
        <v>804</v>
      </c>
      <c r="B47" s="212">
        <v>60.33</v>
      </c>
      <c r="C47" s="276">
        <f t="shared" si="6"/>
        <v>62.483999999999995</v>
      </c>
      <c r="D47" s="277">
        <f t="shared" si="6"/>
        <v>54.787799999999997</v>
      </c>
      <c r="E47" s="215">
        <v>2.77</v>
      </c>
      <c r="F47" s="259">
        <v>2.375</v>
      </c>
      <c r="G47" s="260">
        <v>2.46</v>
      </c>
      <c r="H47" s="261">
        <f t="shared" si="1"/>
        <v>2.157</v>
      </c>
      <c r="I47" s="262">
        <v>0.109</v>
      </c>
      <c r="K47" s="188"/>
      <c r="L47" s="381"/>
      <c r="M47" s="379">
        <v>5</v>
      </c>
      <c r="N47" s="220">
        <f>IF(B47&gt;=508,  31,
    IF(B47&gt;=219.1,  32,  34))*
    LOG(IF(B47&gt;=300,  9.53,
      mathx1x2xy1y2y(
        INDEX($K$6:$K$18,MATCH(B47,$K$6:$K$18,1),1),
        INDEX($K$6:$K$18,MATCH(B47,$K$6:$K$18,1)+1,1),
        B47,
        INDEX($L$6:$L$18,MATCH(B47,$K$6:$K$18,1),1),
        INDEX($L$6:$L$18,MATCH(B47,$K$6:$K$18,1)+1,1)))/E47)</f>
        <v>5.0896976032682213</v>
      </c>
    </row>
    <row r="48" spans="1:14" s="193" customFormat="1" ht="14.5" x14ac:dyDescent="0.35">
      <c r="A48" s="258" t="s">
        <v>36</v>
      </c>
      <c r="B48" s="212">
        <v>60.33</v>
      </c>
      <c r="C48" s="276">
        <f t="shared" si="6"/>
        <v>62.483999999999995</v>
      </c>
      <c r="D48" s="277">
        <f t="shared" si="6"/>
        <v>52.501800000000003</v>
      </c>
      <c r="E48" s="215">
        <v>3.91</v>
      </c>
      <c r="F48" s="259">
        <v>2.375</v>
      </c>
      <c r="G48" s="260">
        <v>2.46</v>
      </c>
      <c r="H48" s="261">
        <f>ROUND(F48-2*I48,3)</f>
        <v>2.0670000000000002</v>
      </c>
      <c r="I48" s="262">
        <v>0.154</v>
      </c>
      <c r="K48" s="188"/>
      <c r="L48" s="381"/>
      <c r="M48" s="379">
        <v>0</v>
      </c>
      <c r="N48" s="220">
        <f>IF(B48&gt;=508,  31,
    IF(B48&gt;=219.1,  32,  34))*
    LOG(IF(B48&gt;=300,  9.53,
      mathx1x2xy1y2y(
        INDEX($K$6:$K$18,MATCH(B48,$K$6:$K$18,1),1),
        INDEX($K$6:$K$18,MATCH(B48,$K$6:$K$18,1)+1,1),
        B48,
        INDEX($L$6:$L$18,MATCH(B48,$K$6:$K$18,1),1),
        INDEX($L$6:$L$18,MATCH(B48,$K$6:$K$18,1)+1,1)))/E48)</f>
        <v>0</v>
      </c>
    </row>
    <row r="49" spans="1:14" s="193" customFormat="1" ht="14.5" x14ac:dyDescent="0.35">
      <c r="A49" s="258" t="s">
        <v>37</v>
      </c>
      <c r="B49" s="212">
        <v>60.33</v>
      </c>
      <c r="C49" s="276">
        <f>G49*25.4</f>
        <v>62.483999999999995</v>
      </c>
      <c r="D49" s="277">
        <f>H49*25.4</f>
        <v>52.501800000000003</v>
      </c>
      <c r="E49" s="215">
        <v>3.91</v>
      </c>
      <c r="F49" s="259">
        <v>2.375</v>
      </c>
      <c r="G49" s="260">
        <v>2.46</v>
      </c>
      <c r="H49" s="261">
        <f>ROUND(F49-2*I49,3)</f>
        <v>2.0670000000000002</v>
      </c>
      <c r="I49" s="262">
        <v>0.154</v>
      </c>
      <c r="K49" s="188"/>
      <c r="L49" s="381"/>
      <c r="M49" s="379">
        <v>0</v>
      </c>
      <c r="N49" s="220">
        <f>IF(B49&gt;=508,  31,
    IF(B49&gt;=219.1,  32,  34))*
    LOG(IF(B49&gt;=300,  9.53,
      mathx1x2xy1y2y(
        INDEX($K$6:$K$18,MATCH(B49,$K$6:$K$18,1),1),
        INDEX($K$6:$K$18,MATCH(B49,$K$6:$K$18,1)+1,1),
        B49,
        INDEX($L$6:$L$18,MATCH(B49,$K$6:$K$18,1),1),
        INDEX($L$6:$L$18,MATCH(B49,$K$6:$K$18,1)+1,1)))/E49)</f>
        <v>0</v>
      </c>
    </row>
    <row r="50" spans="1:14" s="193" customFormat="1" ht="14.5" x14ac:dyDescent="0.35">
      <c r="A50" s="258" t="s">
        <v>35</v>
      </c>
      <c r="B50" s="212">
        <v>60.33</v>
      </c>
      <c r="C50" s="276">
        <f t="shared" si="6"/>
        <v>62.483999999999995</v>
      </c>
      <c r="D50" s="277">
        <f t="shared" si="6"/>
        <v>52.501800000000003</v>
      </c>
      <c r="E50" s="215">
        <v>3.91</v>
      </c>
      <c r="F50" s="259">
        <v>2.375</v>
      </c>
      <c r="G50" s="260">
        <v>2.46</v>
      </c>
      <c r="H50" s="261">
        <f t="shared" si="1"/>
        <v>2.0670000000000002</v>
      </c>
      <c r="I50" s="262">
        <v>0.154</v>
      </c>
      <c r="K50" s="188"/>
      <c r="L50" s="381"/>
      <c r="M50" s="379">
        <v>0</v>
      </c>
      <c r="N50" s="220">
        <f>IF(B50&gt;=508,  31,
    IF(B50&gt;=219.1,  32,  34))*
    LOG(IF(B50&gt;=300,  9.53,
      mathx1x2xy1y2y(
        INDEX($K$6:$K$18,MATCH(B50,$K$6:$K$18,1),1),
        INDEX($K$6:$K$18,MATCH(B50,$K$6:$K$18,1)+1,1),
        B50,
        INDEX($L$6:$L$18,MATCH(B50,$K$6:$K$18,1),1),
        INDEX($L$6:$L$18,MATCH(B50,$K$6:$K$18,1)+1,1)))/E50)</f>
        <v>0</v>
      </c>
    </row>
    <row r="51" spans="1:14" s="193" customFormat="1" ht="14.5" x14ac:dyDescent="0.35">
      <c r="A51" s="258" t="s">
        <v>39</v>
      </c>
      <c r="B51" s="212">
        <v>60.33</v>
      </c>
      <c r="C51" s="276">
        <f>G51*25.4</f>
        <v>62.483999999999995</v>
      </c>
      <c r="D51" s="277">
        <f>H51*25.4</f>
        <v>49.250599999999999</v>
      </c>
      <c r="E51" s="215">
        <v>5.54</v>
      </c>
      <c r="F51" s="259">
        <v>2.375</v>
      </c>
      <c r="G51" s="260">
        <v>2.46</v>
      </c>
      <c r="H51" s="261">
        <f>ROUND(F51-2*I51,3)</f>
        <v>1.9390000000000001</v>
      </c>
      <c r="I51" s="262">
        <v>0.218</v>
      </c>
      <c r="K51" s="188"/>
      <c r="L51" s="381"/>
      <c r="M51" s="379">
        <v>-5</v>
      </c>
      <c r="N51" s="220">
        <f>IF(B51&gt;=508,  31,
    IF(B51&gt;=219.1,  32,  34))*
    LOG(IF(B51&gt;=300,  9.53,
      mathx1x2xy1y2y(
        INDEX($K$6:$K$18,MATCH(B51,$K$6:$K$18,1),1),
        INDEX($K$6:$K$18,MATCH(B51,$K$6:$K$18,1)+1,1),
        B51,
        INDEX($L$6:$L$18,MATCH(B51,$K$6:$K$18,1),1),
        INDEX($L$6:$L$18,MATCH(B51,$K$6:$K$18,1)+1,1)))/E51)</f>
        <v>-5.1453222493071387</v>
      </c>
    </row>
    <row r="52" spans="1:14" s="193" customFormat="1" ht="14.5" x14ac:dyDescent="0.35">
      <c r="A52" s="258" t="s">
        <v>40</v>
      </c>
      <c r="B52" s="212">
        <v>60.33</v>
      </c>
      <c r="C52" s="276">
        <f>G52*25.4</f>
        <v>62.483999999999995</v>
      </c>
      <c r="D52" s="277">
        <f>H52*25.4</f>
        <v>49.250599999999999</v>
      </c>
      <c r="E52" s="215">
        <v>5.54</v>
      </c>
      <c r="F52" s="259">
        <v>2.375</v>
      </c>
      <c r="G52" s="260">
        <v>2.46</v>
      </c>
      <c r="H52" s="261">
        <f>ROUND(F52-2*I52,3)</f>
        <v>1.9390000000000001</v>
      </c>
      <c r="I52" s="262">
        <v>0.218</v>
      </c>
      <c r="K52" s="188"/>
      <c r="L52" s="381"/>
      <c r="M52" s="379">
        <v>-5</v>
      </c>
      <c r="N52" s="220">
        <f>IF(B52&gt;=508,  31,
    IF(B52&gt;=219.1,  32,  34))*
    LOG(IF(B52&gt;=300,  9.53,
      mathx1x2xy1y2y(
        INDEX($K$6:$K$18,MATCH(B52,$K$6:$K$18,1),1),
        INDEX($K$6:$K$18,MATCH(B52,$K$6:$K$18,1)+1,1),
        B52,
        INDEX($L$6:$L$18,MATCH(B52,$K$6:$K$18,1),1),
        INDEX($L$6:$L$18,MATCH(B52,$K$6:$K$18,1)+1,1)))/E52)</f>
        <v>-5.1453222493071387</v>
      </c>
    </row>
    <row r="53" spans="1:14" s="193" customFormat="1" ht="14.5" x14ac:dyDescent="0.35">
      <c r="A53" s="258" t="s">
        <v>38</v>
      </c>
      <c r="B53" s="212">
        <v>60.33</v>
      </c>
      <c r="C53" s="276">
        <f t="shared" si="6"/>
        <v>62.483999999999995</v>
      </c>
      <c r="D53" s="277">
        <f t="shared" si="6"/>
        <v>49.250599999999999</v>
      </c>
      <c r="E53" s="215">
        <v>5.54</v>
      </c>
      <c r="F53" s="259">
        <v>2.375</v>
      </c>
      <c r="G53" s="260">
        <v>2.46</v>
      </c>
      <c r="H53" s="261">
        <f t="shared" si="1"/>
        <v>1.9390000000000001</v>
      </c>
      <c r="I53" s="262">
        <v>0.218</v>
      </c>
      <c r="K53" s="188"/>
      <c r="L53" s="381"/>
      <c r="M53" s="379">
        <v>-5</v>
      </c>
      <c r="N53" s="220">
        <f>IF(B53&gt;=508,  31,
    IF(B53&gt;=219.1,  32,  34))*
    LOG(IF(B53&gt;=300,  9.53,
      mathx1x2xy1y2y(
        INDEX($K$6:$K$18,MATCH(B53,$K$6:$K$18,1),1),
        INDEX($K$6:$K$18,MATCH(B53,$K$6:$K$18,1)+1,1),
        B53,
        INDEX($L$6:$L$18,MATCH(B53,$K$6:$K$18,1),1),
        INDEX($L$6:$L$18,MATCH(B53,$K$6:$K$18,1)+1,1)))/E53)</f>
        <v>-5.1453222493071387</v>
      </c>
    </row>
    <row r="54" spans="1:14" s="193" customFormat="1" ht="14.5" x14ac:dyDescent="0.35">
      <c r="A54" s="258" t="s">
        <v>41</v>
      </c>
      <c r="B54" s="212">
        <v>60.33</v>
      </c>
      <c r="C54" s="276">
        <f t="shared" si="6"/>
        <v>62.483999999999995</v>
      </c>
      <c r="D54" s="277">
        <f t="shared" si="6"/>
        <v>42.849800000000002</v>
      </c>
      <c r="E54" s="215">
        <v>8.74</v>
      </c>
      <c r="F54" s="259">
        <v>2.375</v>
      </c>
      <c r="G54" s="288">
        <v>2.46</v>
      </c>
      <c r="H54" s="289">
        <f t="shared" si="1"/>
        <v>1.6870000000000001</v>
      </c>
      <c r="I54" s="262">
        <v>0.34399999999999997</v>
      </c>
      <c r="K54" s="188"/>
      <c r="L54" s="381"/>
      <c r="M54" s="379">
        <v>-11.5</v>
      </c>
      <c r="N54" s="220">
        <f>IF(B54&gt;=508,  31,
    IF(B54&gt;=219.1,  32,  34))*
    LOG(IF(B54&gt;=300,  9.53,
      mathx1x2xy1y2y(
        INDEX($K$6:$K$18,MATCH(B54,$K$6:$K$18,1),1),
        INDEX($K$6:$K$18,MATCH(B54,$K$6:$K$18,1)+1,1),
        B54,
        INDEX($L$6:$L$18,MATCH(B54,$K$6:$K$18,1),1),
        INDEX($L$6:$L$18,MATCH(B54,$K$6:$K$18,1)+1,1)))/E54)</f>
        <v>-11.877378958110231</v>
      </c>
    </row>
    <row r="55" spans="1:14" s="193" customFormat="1" ht="15" thickBot="1" x14ac:dyDescent="0.4">
      <c r="A55" s="264" t="s">
        <v>42</v>
      </c>
      <c r="B55" s="222">
        <v>60.33</v>
      </c>
      <c r="C55" s="290">
        <f t="shared" si="6"/>
        <v>62.483999999999995</v>
      </c>
      <c r="D55" s="291">
        <f t="shared" si="6"/>
        <v>38.176199999999994</v>
      </c>
      <c r="E55" s="225">
        <v>11.07</v>
      </c>
      <c r="F55" s="265">
        <v>2.375</v>
      </c>
      <c r="G55" s="292">
        <v>2.46</v>
      </c>
      <c r="H55" s="293">
        <f t="shared" si="1"/>
        <v>1.5029999999999999</v>
      </c>
      <c r="I55" s="268">
        <v>0.436</v>
      </c>
      <c r="K55" s="188"/>
      <c r="L55" s="381"/>
      <c r="M55" s="380">
        <v>-15.5</v>
      </c>
      <c r="N55" s="246">
        <f>IF(B55&gt;=508,  31,
    IF(B55&gt;=219.1,  32,  34))*
    LOG(IF(B55&gt;=300,  9.53,
      mathx1x2xy1y2y(
        INDEX($K$6:$K$18,MATCH(B55,$K$6:$K$18,1),1),
        INDEX($K$6:$K$18,MATCH(B55,$K$6:$K$18,1)+1,1),
        B55,
        INDEX($L$6:$L$18,MATCH(B55,$K$6:$K$18,1),1),
        INDEX($L$6:$L$18,MATCH(B55,$K$6:$K$18,1)+1,1)))/E55)</f>
        <v>-15.367009358417103</v>
      </c>
    </row>
    <row r="56" spans="1:14" s="193" customFormat="1" ht="14.5" x14ac:dyDescent="0.35">
      <c r="A56" s="294" t="s">
        <v>805</v>
      </c>
      <c r="B56" s="295">
        <v>73</v>
      </c>
      <c r="C56" s="296">
        <v>75</v>
      </c>
      <c r="D56" s="271">
        <f>H56*25.4</f>
        <v>66.928999999999988</v>
      </c>
      <c r="E56" s="297">
        <f>I56*25.4</f>
        <v>3.0479999999999996</v>
      </c>
      <c r="F56" s="298">
        <v>2.875</v>
      </c>
      <c r="G56" s="299">
        <v>2.96</v>
      </c>
      <c r="H56" s="300">
        <f t="shared" si="1"/>
        <v>2.6349999999999998</v>
      </c>
      <c r="I56" s="275">
        <v>0.12</v>
      </c>
      <c r="K56" s="188"/>
      <c r="L56" s="381"/>
      <c r="M56" s="382">
        <v>8</v>
      </c>
      <c r="N56" s="256">
        <f>IF(B56&gt;=508,  31,
    IF(B56&gt;=219.1,  32,  34))*
    LOG(IF(B56&gt;=300,  9.53,
      mathx1x2xy1y2y(
        INDEX($K$6:$K$18,MATCH(B56,$K$6:$K$18,1),1),
        INDEX($K$6:$K$18,MATCH(B56,$K$6:$K$18,1)+1,1),
        B56,
        INDEX($L$6:$L$18,MATCH(B56,$K$6:$K$18,1),1),
        INDEX($L$6:$L$18,MATCH(B56,$K$6:$K$18,1)+1,1)))/E56)</f>
        <v>7.7735811246280511</v>
      </c>
    </row>
    <row r="57" spans="1:14" s="193" customFormat="1" ht="14.5" x14ac:dyDescent="0.35">
      <c r="A57" s="301" t="s">
        <v>806</v>
      </c>
      <c r="B57" s="302">
        <v>73</v>
      </c>
      <c r="C57" s="303">
        <v>75</v>
      </c>
      <c r="D57" s="277">
        <f>H57*25.4</f>
        <v>66.928999999999988</v>
      </c>
      <c r="E57" s="304">
        <f>I57*25.4</f>
        <v>3.0479999999999996</v>
      </c>
      <c r="F57" s="305">
        <v>2.875</v>
      </c>
      <c r="G57" s="306">
        <v>2.96</v>
      </c>
      <c r="H57" s="289">
        <f t="shared" si="1"/>
        <v>2.6349999999999998</v>
      </c>
      <c r="I57" s="262">
        <v>0.12</v>
      </c>
      <c r="K57" s="188"/>
      <c r="L57" s="381"/>
      <c r="M57" s="379">
        <v>8</v>
      </c>
      <c r="N57" s="220">
        <f>IF(B57&gt;=508,  31,
    IF(B57&gt;=219.1,  32,  34))*
    LOG(IF(B57&gt;=300,  9.53,
      mathx1x2xy1y2y(
        INDEX($K$6:$K$18,MATCH(B57,$K$6:$K$18,1),1),
        INDEX($K$6:$K$18,MATCH(B57,$K$6:$K$18,1)+1,1),
        B57,
        INDEX($L$6:$L$18,MATCH(B57,$K$6:$K$18,1),1),
        INDEX($L$6:$L$18,MATCH(B57,$K$6:$K$18,1)+1,1)))/E57)</f>
        <v>7.7735811246280511</v>
      </c>
    </row>
    <row r="58" spans="1:14" s="193" customFormat="1" ht="14.5" x14ac:dyDescent="0.35">
      <c r="A58" s="301" t="s">
        <v>807</v>
      </c>
      <c r="B58" s="302">
        <v>73</v>
      </c>
      <c r="C58" s="303">
        <v>75</v>
      </c>
      <c r="D58" s="307">
        <v>63.5</v>
      </c>
      <c r="E58" s="308">
        <v>4.78</v>
      </c>
      <c r="F58" s="305">
        <v>2.875</v>
      </c>
      <c r="G58" s="306">
        <v>2.96</v>
      </c>
      <c r="H58" s="309">
        <v>2.4990000000000001</v>
      </c>
      <c r="I58" s="310">
        <v>0.188</v>
      </c>
      <c r="K58" s="188"/>
      <c r="L58" s="381"/>
      <c r="M58" s="379"/>
      <c r="N58" s="220">
        <f>IF(B58&gt;=508,  31,
    IF(B58&gt;=219.1,  32,  34))*
    LOG(IF(B58&gt;=300,  9.53,
      mathx1x2xy1y2y(
        INDEX($K$6:$K$18,MATCH(B58,$K$6:$K$18,1),1),
        INDEX($K$6:$K$18,MATCH(B58,$K$6:$K$18,1)+1,1),
        B58,
        INDEX($L$6:$L$18,MATCH(B58,$K$6:$K$18,1),1),
        INDEX($L$6:$L$18,MATCH(B58,$K$6:$K$18,1)+1,1)))/E58)</f>
        <v>1.1295413705131447</v>
      </c>
    </row>
    <row r="59" spans="1:14" s="193" customFormat="1" ht="14.5" x14ac:dyDescent="0.35">
      <c r="A59" s="301" t="s">
        <v>808</v>
      </c>
      <c r="B59" s="302">
        <v>73</v>
      </c>
      <c r="C59" s="303">
        <v>75</v>
      </c>
      <c r="D59" s="307">
        <v>62.5</v>
      </c>
      <c r="E59" s="308">
        <v>5.16</v>
      </c>
      <c r="F59" s="305">
        <v>2.875</v>
      </c>
      <c r="G59" s="306">
        <v>2.96</v>
      </c>
      <c r="H59" s="309">
        <v>2.4689999999999999</v>
      </c>
      <c r="I59" s="310">
        <v>0.20300000000000001</v>
      </c>
      <c r="K59" s="188"/>
      <c r="L59" s="381"/>
      <c r="M59" s="379">
        <v>0</v>
      </c>
      <c r="N59" s="220">
        <f>IF(B59&gt;=508,  31,
    IF(B59&gt;=219.1,  32,  34))*
    LOG(IF(B59&gt;=300,  9.53,
      mathx1x2xy1y2y(
        INDEX($K$6:$K$18,MATCH(B59,$K$6:$K$18,1),1),
        INDEX($K$6:$K$18,MATCH(B59,$K$6:$K$18,1)+1,1),
        B59,
        INDEX($L$6:$L$18,MATCH(B59,$K$6:$K$18,1),1),
        INDEX($L$6:$L$18,MATCH(B59,$K$6:$K$18,1)+1,1)))/E59)</f>
        <v>0</v>
      </c>
    </row>
    <row r="60" spans="1:14" s="193" customFormat="1" ht="14.5" x14ac:dyDescent="0.35">
      <c r="A60" s="301" t="s">
        <v>809</v>
      </c>
      <c r="B60" s="302">
        <v>73</v>
      </c>
      <c r="C60" s="303">
        <v>75</v>
      </c>
      <c r="D60" s="307">
        <v>62.5</v>
      </c>
      <c r="E60" s="308">
        <v>5.16</v>
      </c>
      <c r="F60" s="305">
        <v>2.875</v>
      </c>
      <c r="G60" s="306">
        <v>2.96</v>
      </c>
      <c r="H60" s="309">
        <v>2.4689999999999999</v>
      </c>
      <c r="I60" s="310">
        <v>0.20300000000000001</v>
      </c>
      <c r="K60" s="188"/>
      <c r="L60" s="381"/>
      <c r="M60" s="379">
        <v>0</v>
      </c>
      <c r="N60" s="220">
        <f>IF(B60&gt;=508,  31,
    IF(B60&gt;=219.1,  32,  34))*
    LOG(IF(B60&gt;=300,  9.53,
      mathx1x2xy1y2y(
        INDEX($K$6:$K$18,MATCH(B60,$K$6:$K$18,1),1),
        INDEX($K$6:$K$18,MATCH(B60,$K$6:$K$18,1)+1,1),
        B60,
        INDEX($L$6:$L$18,MATCH(B60,$K$6:$K$18,1),1),
        INDEX($L$6:$L$18,MATCH(B60,$K$6:$K$18,1)+1,1)))/E60)</f>
        <v>0</v>
      </c>
    </row>
    <row r="61" spans="1:14" s="193" customFormat="1" ht="14.5" x14ac:dyDescent="0.35">
      <c r="A61" s="301" t="s">
        <v>810</v>
      </c>
      <c r="B61" s="302">
        <v>73</v>
      </c>
      <c r="C61" s="303">
        <v>75</v>
      </c>
      <c r="D61" s="307">
        <v>62.5</v>
      </c>
      <c r="E61" s="308">
        <v>5.16</v>
      </c>
      <c r="F61" s="305">
        <v>2.875</v>
      </c>
      <c r="G61" s="306">
        <v>2.96</v>
      </c>
      <c r="H61" s="309">
        <v>2.4689999999999999</v>
      </c>
      <c r="I61" s="310">
        <v>0.20300000000000001</v>
      </c>
      <c r="K61" s="188"/>
      <c r="L61" s="381"/>
      <c r="M61" s="379">
        <v>0</v>
      </c>
      <c r="N61" s="220">
        <f>IF(B61&gt;=508,  31,
    IF(B61&gt;=219.1,  32,  34))*
    LOG(IF(B61&gt;=300,  9.53,
      mathx1x2xy1y2y(
        INDEX($K$6:$K$18,MATCH(B61,$K$6:$K$18,1),1),
        INDEX($K$6:$K$18,MATCH(B61,$K$6:$K$18,1)+1,1),
        B61,
        INDEX($L$6:$L$18,MATCH(B61,$K$6:$K$18,1),1),
        INDEX($L$6:$L$18,MATCH(B61,$K$6:$K$18,1)+1,1)))/E61)</f>
        <v>0</v>
      </c>
    </row>
    <row r="62" spans="1:14" s="193" customFormat="1" ht="14.5" x14ac:dyDescent="0.35">
      <c r="A62" s="301" t="s">
        <v>811</v>
      </c>
      <c r="B62" s="302">
        <v>73</v>
      </c>
      <c r="C62" s="303">
        <v>75</v>
      </c>
      <c r="D62" s="307">
        <v>59</v>
      </c>
      <c r="E62" s="308">
        <v>7.01</v>
      </c>
      <c r="F62" s="305">
        <v>2.875</v>
      </c>
      <c r="G62" s="306">
        <v>2.96</v>
      </c>
      <c r="H62" s="309">
        <v>2.323</v>
      </c>
      <c r="I62" s="310">
        <v>0.27600000000000002</v>
      </c>
      <c r="K62" s="188"/>
      <c r="L62" s="381"/>
      <c r="M62" s="379">
        <v>-4.5</v>
      </c>
      <c r="N62" s="220">
        <f>IF(B62&gt;=508,  31,
    IF(B62&gt;=219.1,  32,  34))*
    LOG(IF(B62&gt;=300,  9.53,
      mathx1x2xy1y2y(
        INDEX($K$6:$K$18,MATCH(B62,$K$6:$K$18,1),1),
        INDEX($K$6:$K$18,MATCH(B62,$K$6:$K$18,1)+1,1),
        B62,
        INDEX($L$6:$L$18,MATCH(B62,$K$6:$K$18,1),1),
        INDEX($L$6:$L$18,MATCH(B62,$K$6:$K$18,1)+1,1)))/E62)</f>
        <v>-4.524322755541208</v>
      </c>
    </row>
    <row r="63" spans="1:14" s="193" customFormat="1" ht="14.5" x14ac:dyDescent="0.35">
      <c r="A63" s="301" t="s">
        <v>812</v>
      </c>
      <c r="B63" s="302">
        <v>73</v>
      </c>
      <c r="C63" s="303">
        <v>75</v>
      </c>
      <c r="D63" s="307">
        <v>59</v>
      </c>
      <c r="E63" s="308">
        <v>7.01</v>
      </c>
      <c r="F63" s="305">
        <v>2.875</v>
      </c>
      <c r="G63" s="306">
        <v>2.96</v>
      </c>
      <c r="H63" s="309">
        <v>2.323</v>
      </c>
      <c r="I63" s="310">
        <v>0.27600000000000002</v>
      </c>
      <c r="K63" s="188"/>
      <c r="L63" s="381"/>
      <c r="M63" s="379">
        <v>-4.5</v>
      </c>
      <c r="N63" s="220">
        <f>IF(B63&gt;=508,  31,
    IF(B63&gt;=219.1,  32,  34))*
    LOG(IF(B63&gt;=300,  9.53,
      mathx1x2xy1y2y(
        INDEX($K$6:$K$18,MATCH(B63,$K$6:$K$18,1),1),
        INDEX($K$6:$K$18,MATCH(B63,$K$6:$K$18,1)+1,1),
        B63,
        INDEX($L$6:$L$18,MATCH(B63,$K$6:$K$18,1),1),
        INDEX($L$6:$L$18,MATCH(B63,$K$6:$K$18,1)+1,1)))/E63)</f>
        <v>-4.524322755541208</v>
      </c>
    </row>
    <row r="64" spans="1:14" s="193" customFormat="1" ht="14.5" x14ac:dyDescent="0.35">
      <c r="A64" s="301" t="s">
        <v>813</v>
      </c>
      <c r="B64" s="302">
        <v>73</v>
      </c>
      <c r="C64" s="303">
        <v>75</v>
      </c>
      <c r="D64" s="307">
        <v>59</v>
      </c>
      <c r="E64" s="308">
        <v>7.01</v>
      </c>
      <c r="F64" s="305">
        <v>2.875</v>
      </c>
      <c r="G64" s="306">
        <v>2.96</v>
      </c>
      <c r="H64" s="309">
        <v>2.323</v>
      </c>
      <c r="I64" s="310">
        <v>0.27600000000000002</v>
      </c>
      <c r="K64" s="188"/>
      <c r="L64" s="381"/>
      <c r="M64" s="379">
        <v>-4.5</v>
      </c>
      <c r="N64" s="220">
        <f>IF(B64&gt;=508,  31,
    IF(B64&gt;=219.1,  32,  34))*
    LOG(IF(B64&gt;=300,  9.53,
      mathx1x2xy1y2y(
        INDEX($K$6:$K$18,MATCH(B64,$K$6:$K$18,1),1),
        INDEX($K$6:$K$18,MATCH(B64,$K$6:$K$18,1)+1,1),
        B64,
        INDEX($L$6:$L$18,MATCH(B64,$K$6:$K$18,1),1),
        INDEX($L$6:$L$18,MATCH(B64,$K$6:$K$18,1)+1,1)))/E64)</f>
        <v>-4.524322755541208</v>
      </c>
    </row>
    <row r="65" spans="1:14" s="193" customFormat="1" ht="15.75" customHeight="1" x14ac:dyDescent="0.35">
      <c r="A65" s="301" t="s">
        <v>814</v>
      </c>
      <c r="B65" s="302">
        <v>73</v>
      </c>
      <c r="C65" s="303">
        <v>75</v>
      </c>
      <c r="D65" s="307">
        <v>54</v>
      </c>
      <c r="E65" s="308">
        <v>9.5299999999999994</v>
      </c>
      <c r="F65" s="305">
        <v>2.875</v>
      </c>
      <c r="G65" s="306">
        <v>2.96</v>
      </c>
      <c r="H65" s="309">
        <v>2.125</v>
      </c>
      <c r="I65" s="310">
        <v>0.375</v>
      </c>
      <c r="K65" s="188"/>
      <c r="L65" s="381"/>
      <c r="M65" s="379">
        <v>-9</v>
      </c>
      <c r="N65" s="220">
        <f>IF(B65&gt;=508,  31,
    IF(B65&gt;=219.1,  32,  34))*
    LOG(IF(B65&gt;=300,  9.53,
      mathx1x2xy1y2y(
        INDEX($K$6:$K$18,MATCH(B65,$K$6:$K$18,1),1),
        INDEX($K$6:$K$18,MATCH(B65,$K$6:$K$18,1)+1,1),
        B65,
        INDEX($L$6:$L$18,MATCH(B65,$K$6:$K$18,1),1),
        INDEX($L$6:$L$18,MATCH(B65,$K$6:$K$18,1)+1,1)))/E65)</f>
        <v>-9.0590687663779104</v>
      </c>
    </row>
    <row r="66" spans="1:14" s="193" customFormat="1" ht="15.75" customHeight="1" thickBot="1" x14ac:dyDescent="0.4">
      <c r="A66" s="311" t="s">
        <v>815</v>
      </c>
      <c r="B66" s="312">
        <v>73</v>
      </c>
      <c r="C66" s="313">
        <v>75</v>
      </c>
      <c r="D66" s="314">
        <v>45</v>
      </c>
      <c r="E66" s="315">
        <v>14.02</v>
      </c>
      <c r="F66" s="316">
        <v>2.875</v>
      </c>
      <c r="G66" s="317">
        <v>2.96</v>
      </c>
      <c r="H66" s="318">
        <v>1.7709999999999999</v>
      </c>
      <c r="I66" s="319">
        <v>0.55200000000000005</v>
      </c>
      <c r="K66" s="188"/>
      <c r="L66" s="381"/>
      <c r="M66" s="383">
        <v>-15</v>
      </c>
      <c r="N66" s="230">
        <f>IF(B66&gt;=508,  31,
    IF(B66&gt;=219.1,  32,  34))*
    LOG(IF(B66&gt;=300,  9.53,
      mathx1x2xy1y2y(
        INDEX($K$6:$K$18,MATCH(B66,$K$6:$K$18,1),1),
        INDEX($K$6:$K$18,MATCH(B66,$K$6:$K$18,1)+1,1),
        B66,
        INDEX($L$6:$L$18,MATCH(B66,$K$6:$K$18,1),1),
        INDEX($L$6:$L$18,MATCH(B66,$K$6:$K$18,1)+1,1)))/E66)</f>
        <v>-14.759342608116567</v>
      </c>
    </row>
    <row r="67" spans="1:14" s="193" customFormat="1" ht="15.75" customHeight="1" x14ac:dyDescent="0.35">
      <c r="A67" s="247" t="s">
        <v>43</v>
      </c>
      <c r="B67" s="320">
        <v>88.9</v>
      </c>
      <c r="C67" s="321">
        <v>91</v>
      </c>
      <c r="D67" s="287">
        <f>H67*25.4</f>
        <v>82.803999999999988</v>
      </c>
      <c r="E67" s="322">
        <f>I67*25.4</f>
        <v>3.0479999999999996</v>
      </c>
      <c r="F67" s="323">
        <v>3.5</v>
      </c>
      <c r="G67" s="324">
        <v>3.59</v>
      </c>
      <c r="H67" s="325">
        <f>ROUND(F67-2*I67,3)</f>
        <v>3.26</v>
      </c>
      <c r="I67" s="255">
        <v>0.12</v>
      </c>
      <c r="K67" s="188"/>
      <c r="L67" s="381"/>
      <c r="M67" s="378">
        <v>8.5</v>
      </c>
      <c r="N67" s="209">
        <f>IF(B67&gt;=508,  31,
    IF(B67&gt;=219.1,  32,  34))*
    LOG(IF(B67&gt;=300,  9.53,
      mathx1x2xy1y2y(
        INDEX($K$6:$K$18,MATCH(B67,$K$6:$K$18,1),1),
        INDEX($K$6:$K$18,MATCH(B67,$K$6:$K$18,1)+1,1),
        B67,
        INDEX($L$6:$L$18,MATCH(B67,$K$6:$K$18,1),1),
        INDEX($L$6:$L$18,MATCH(B67,$K$6:$K$18,1)+1,1)))/E67)</f>
        <v>8.6889509806059895</v>
      </c>
    </row>
    <row r="68" spans="1:14" s="193" customFormat="1" ht="15.75" customHeight="1" x14ac:dyDescent="0.35">
      <c r="A68" s="258" t="s">
        <v>43</v>
      </c>
      <c r="B68" s="302">
        <v>88.9</v>
      </c>
      <c r="C68" s="303">
        <v>91</v>
      </c>
      <c r="D68" s="277">
        <f>H68*25.4</f>
        <v>82.803999999999988</v>
      </c>
      <c r="E68" s="304">
        <f>I68*25.4</f>
        <v>3.0479999999999996</v>
      </c>
      <c r="F68" s="305">
        <v>3.5</v>
      </c>
      <c r="G68" s="306">
        <v>3.59</v>
      </c>
      <c r="H68" s="289">
        <f>ROUND(F68-2*I68,3)</f>
        <v>3.26</v>
      </c>
      <c r="I68" s="262">
        <v>0.12</v>
      </c>
      <c r="K68" s="188"/>
      <c r="L68" s="381"/>
      <c r="M68" s="379">
        <v>8.5</v>
      </c>
      <c r="N68" s="220">
        <f>IF(B68&gt;=508,  31,
    IF(B68&gt;=219.1,  32,  34))*
    LOG(IF(B68&gt;=300,  9.53,
      mathx1x2xy1y2y(
        INDEX($K$6:$K$18,MATCH(B68,$K$6:$K$18,1),1),
        INDEX($K$6:$K$18,MATCH(B68,$K$6:$K$18,1)+1,1),
        B68,
        INDEX($L$6:$L$18,MATCH(B68,$K$6:$K$18,1),1),
        INDEX($L$6:$L$18,MATCH(B68,$K$6:$K$18,1)+1,1)))/E68)</f>
        <v>8.6889509806059895</v>
      </c>
    </row>
    <row r="69" spans="1:14" s="193" customFormat="1" ht="15.75" customHeight="1" x14ac:dyDescent="0.35">
      <c r="A69" s="258" t="s">
        <v>816</v>
      </c>
      <c r="B69" s="302">
        <v>88.9</v>
      </c>
      <c r="C69" s="303">
        <v>91</v>
      </c>
      <c r="D69" s="307">
        <v>79.5</v>
      </c>
      <c r="E69" s="308">
        <v>4.78</v>
      </c>
      <c r="F69" s="305">
        <v>3.5</v>
      </c>
      <c r="G69" s="306">
        <v>3.59</v>
      </c>
      <c r="H69" s="309">
        <v>3.1240000000000001</v>
      </c>
      <c r="I69" s="310">
        <v>0.188</v>
      </c>
      <c r="K69" s="188"/>
      <c r="L69" s="381"/>
      <c r="M69" s="379"/>
      <c r="N69" s="220">
        <f>IF(B69&gt;=508,  31,
    IF(B69&gt;=219.1,  32,  34))*
    LOG(IF(B69&gt;=300,  9.53,
      mathx1x2xy1y2y(
        INDEX($K$6:$K$18,MATCH(B69,$K$6:$K$18,1),1),
        INDEX($K$6:$K$18,MATCH(B69,$K$6:$K$18,1)+1,1),
        B69,
        INDEX($L$6:$L$18,MATCH(B69,$K$6:$K$18,1),1),
        INDEX($L$6:$L$18,MATCH(B69,$K$6:$K$18,1)+1,1)))/E69)</f>
        <v>2.0449112264910827</v>
      </c>
    </row>
    <row r="70" spans="1:14" s="193" customFormat="1" ht="15.75" customHeight="1" x14ac:dyDescent="0.35">
      <c r="A70" s="258" t="s">
        <v>45</v>
      </c>
      <c r="B70" s="302">
        <v>88.9</v>
      </c>
      <c r="C70" s="303">
        <v>91</v>
      </c>
      <c r="D70" s="307">
        <v>78</v>
      </c>
      <c r="E70" s="308">
        <v>5.49</v>
      </c>
      <c r="F70" s="305">
        <v>3.5</v>
      </c>
      <c r="G70" s="306">
        <v>3.59</v>
      </c>
      <c r="H70" s="309">
        <v>3.0680000000000001</v>
      </c>
      <c r="I70" s="310">
        <v>0.216</v>
      </c>
      <c r="K70" s="188"/>
      <c r="L70" s="381"/>
      <c r="M70" s="379">
        <v>0</v>
      </c>
      <c r="N70" s="220">
        <f>IF(B70&gt;=508,  31,
    IF(B70&gt;=219.1,  32,  34))*
    LOG(IF(B70&gt;=300,  9.53,
      mathx1x2xy1y2y(
        INDEX($K$6:$K$18,MATCH(B70,$K$6:$K$18,1),1),
        INDEX($K$6:$K$18,MATCH(B70,$K$6:$K$18,1)+1,1),
        B70,
        INDEX($L$6:$L$18,MATCH(B70,$K$6:$K$18,1),1),
        INDEX($L$6:$L$18,MATCH(B70,$K$6:$K$18,1)+1,1)))/E70)</f>
        <v>0</v>
      </c>
    </row>
    <row r="71" spans="1:14" s="193" customFormat="1" ht="15.75" customHeight="1" x14ac:dyDescent="0.35">
      <c r="A71" s="258" t="s">
        <v>46</v>
      </c>
      <c r="B71" s="302">
        <v>88.9</v>
      </c>
      <c r="C71" s="303">
        <v>91</v>
      </c>
      <c r="D71" s="307">
        <v>78</v>
      </c>
      <c r="E71" s="308">
        <v>5.49</v>
      </c>
      <c r="F71" s="305">
        <v>3.5</v>
      </c>
      <c r="G71" s="306">
        <v>3.59</v>
      </c>
      <c r="H71" s="309">
        <v>3.0680000000000001</v>
      </c>
      <c r="I71" s="310">
        <v>0.216</v>
      </c>
      <c r="K71" s="188"/>
      <c r="L71" s="381"/>
      <c r="M71" s="379">
        <v>0</v>
      </c>
      <c r="N71" s="220">
        <f>IF(B71&gt;=508,  31,
    IF(B71&gt;=219.1,  32,  34))*
    LOG(IF(B71&gt;=300,  9.53,
      mathx1x2xy1y2y(
        INDEX($K$6:$K$18,MATCH(B71,$K$6:$K$18,1),1),
        INDEX($K$6:$K$18,MATCH(B71,$K$6:$K$18,1)+1,1),
        B71,
        INDEX($L$6:$L$18,MATCH(B71,$K$6:$K$18,1),1),
        INDEX($L$6:$L$18,MATCH(B71,$K$6:$K$18,1)+1,1)))/E71)</f>
        <v>0</v>
      </c>
    </row>
    <row r="72" spans="1:14" s="193" customFormat="1" ht="15.75" customHeight="1" x14ac:dyDescent="0.35">
      <c r="A72" s="258" t="s">
        <v>44</v>
      </c>
      <c r="B72" s="302">
        <v>88.9</v>
      </c>
      <c r="C72" s="303">
        <v>91</v>
      </c>
      <c r="D72" s="307">
        <v>78</v>
      </c>
      <c r="E72" s="308">
        <v>5.49</v>
      </c>
      <c r="F72" s="305">
        <v>3.5</v>
      </c>
      <c r="G72" s="306">
        <v>3.59</v>
      </c>
      <c r="H72" s="309">
        <v>3.0680000000000001</v>
      </c>
      <c r="I72" s="310">
        <v>0.216</v>
      </c>
      <c r="K72" s="188"/>
      <c r="L72" s="381"/>
      <c r="M72" s="379">
        <v>0</v>
      </c>
      <c r="N72" s="220">
        <f>IF(B72&gt;=508,  31,
    IF(B72&gt;=219.1,  32,  34))*
    LOG(IF(B72&gt;=300,  9.53,
      mathx1x2xy1y2y(
        INDEX($K$6:$K$18,MATCH(B72,$K$6:$K$18,1),1),
        INDEX($K$6:$K$18,MATCH(B72,$K$6:$K$18,1)+1,1),
        B72,
        INDEX($L$6:$L$18,MATCH(B72,$K$6:$K$18,1),1),
        INDEX($L$6:$L$18,MATCH(B72,$K$6:$K$18,1)+1,1)))/E72)</f>
        <v>0</v>
      </c>
    </row>
    <row r="73" spans="1:14" s="193" customFormat="1" ht="15.75" customHeight="1" x14ac:dyDescent="0.35">
      <c r="A73" s="258" t="s">
        <v>48</v>
      </c>
      <c r="B73" s="302">
        <v>88.9</v>
      </c>
      <c r="C73" s="303">
        <v>91</v>
      </c>
      <c r="D73" s="307">
        <v>73.5</v>
      </c>
      <c r="E73" s="308">
        <v>7.62</v>
      </c>
      <c r="F73" s="305">
        <v>3.5</v>
      </c>
      <c r="G73" s="306">
        <v>3.59</v>
      </c>
      <c r="H73" s="309">
        <v>2.9</v>
      </c>
      <c r="I73" s="310">
        <v>0.3</v>
      </c>
      <c r="K73" s="188"/>
      <c r="L73" s="381"/>
      <c r="M73" s="379">
        <v>-4.5</v>
      </c>
      <c r="N73" s="220">
        <f>IF(B73&gt;=508,  31,
    IF(B73&gt;=219.1,  32,  34))*
    LOG(IF(B73&gt;=300,  9.53,
      mathx1x2xy1y2y(
        INDEX($K$6:$K$18,MATCH(B73,$K$6:$K$18,1),1),
        INDEX($K$6:$K$18,MATCH(B73,$K$6:$K$18,1)+1,1),
        B73,
        INDEX($L$6:$L$18,MATCH(B73,$K$6:$K$18,1),1),
        INDEX($L$6:$L$18,MATCH(B73,$K$6:$K$18,1)+1,1)))/E73)</f>
        <v>-4.8410093142432915</v>
      </c>
    </row>
    <row r="74" spans="1:14" s="193" customFormat="1" ht="15.75" customHeight="1" x14ac:dyDescent="0.35">
      <c r="A74" s="258" t="s">
        <v>49</v>
      </c>
      <c r="B74" s="302">
        <v>88.9</v>
      </c>
      <c r="C74" s="303">
        <v>91</v>
      </c>
      <c r="D74" s="307">
        <v>73.5</v>
      </c>
      <c r="E74" s="308">
        <v>7.62</v>
      </c>
      <c r="F74" s="305">
        <v>3.5</v>
      </c>
      <c r="G74" s="306">
        <v>3.59</v>
      </c>
      <c r="H74" s="309">
        <v>2.9</v>
      </c>
      <c r="I74" s="310">
        <v>0.3</v>
      </c>
      <c r="K74" s="188"/>
      <c r="L74" s="381"/>
      <c r="M74" s="379">
        <v>-4.5</v>
      </c>
      <c r="N74" s="220">
        <f>IF(B74&gt;=508,  31,
    IF(B74&gt;=219.1,  32,  34))*
    LOG(IF(B74&gt;=300,  9.53,
      mathx1x2xy1y2y(
        INDEX($K$6:$K$18,MATCH(B74,$K$6:$K$18,1),1),
        INDEX($K$6:$K$18,MATCH(B74,$K$6:$K$18,1)+1,1),
        B74,
        INDEX($L$6:$L$18,MATCH(B74,$K$6:$K$18,1),1),
        INDEX($L$6:$L$18,MATCH(B74,$K$6:$K$18,1)+1,1)))/E74)</f>
        <v>-4.8410093142432915</v>
      </c>
    </row>
    <row r="75" spans="1:14" s="193" customFormat="1" ht="15.75" customHeight="1" x14ac:dyDescent="0.35">
      <c r="A75" s="258" t="s">
        <v>47</v>
      </c>
      <c r="B75" s="302">
        <v>88.9</v>
      </c>
      <c r="C75" s="303">
        <v>91</v>
      </c>
      <c r="D75" s="307">
        <v>73.5</v>
      </c>
      <c r="E75" s="308">
        <v>7.62</v>
      </c>
      <c r="F75" s="305">
        <v>3.5</v>
      </c>
      <c r="G75" s="306">
        <v>3.59</v>
      </c>
      <c r="H75" s="309">
        <v>2.9</v>
      </c>
      <c r="I75" s="310">
        <v>0.3</v>
      </c>
      <c r="K75" s="188"/>
      <c r="L75" s="381"/>
      <c r="M75" s="379">
        <v>-4.5</v>
      </c>
      <c r="N75" s="220">
        <f>IF(B75&gt;=508,  31,
    IF(B75&gt;=219.1,  32,  34))*
    LOG(IF(B75&gt;=300,  9.53,
      mathx1x2xy1y2y(
        INDEX($K$6:$K$18,MATCH(B75,$K$6:$K$18,1),1),
        INDEX($K$6:$K$18,MATCH(B75,$K$6:$K$18,1)+1,1),
        B75,
        INDEX($L$6:$L$18,MATCH(B75,$K$6:$K$18,1),1),
        INDEX($L$6:$L$18,MATCH(B75,$K$6:$K$18,1)+1,1)))/E75)</f>
        <v>-4.8410093142432915</v>
      </c>
    </row>
    <row r="76" spans="1:14" s="193" customFormat="1" ht="15.75" customHeight="1" x14ac:dyDescent="0.35">
      <c r="A76" s="258" t="s">
        <v>50</v>
      </c>
      <c r="B76" s="302">
        <v>88.9</v>
      </c>
      <c r="C76" s="303">
        <v>91</v>
      </c>
      <c r="D76" s="307">
        <v>66.5</v>
      </c>
      <c r="E76" s="308">
        <v>11.13</v>
      </c>
      <c r="F76" s="305">
        <v>3.5</v>
      </c>
      <c r="G76" s="306">
        <v>3.59</v>
      </c>
      <c r="H76" s="309">
        <v>2.6240000000000001</v>
      </c>
      <c r="I76" s="310">
        <v>0.438</v>
      </c>
      <c r="K76" s="188"/>
      <c r="L76" s="381"/>
      <c r="M76" s="379">
        <v>-10</v>
      </c>
      <c r="N76" s="220">
        <f>IF(B76&gt;=508,  31,
    IF(B76&gt;=219.1,  32,  34))*
    LOG(IF(B76&gt;=300,  9.53,
      mathx1x2xy1y2y(
        INDEX($K$6:$K$18,MATCH(B76,$K$6:$K$18,1),1),
        INDEX($K$6:$K$18,MATCH(B76,$K$6:$K$18,1)+1,1),
        B76,
        INDEX($L$6:$L$18,MATCH(B76,$K$6:$K$18,1),1),
        INDEX($L$6:$L$18,MATCH(B76,$K$6:$K$18,1)+1,1)))/E76)</f>
        <v>-10.435375876076957</v>
      </c>
    </row>
    <row r="77" spans="1:14" s="193" customFormat="1" ht="15.75" customHeight="1" thickBot="1" x14ac:dyDescent="0.4">
      <c r="A77" s="264" t="s">
        <v>51</v>
      </c>
      <c r="B77" s="326">
        <v>88.9</v>
      </c>
      <c r="C77" s="327">
        <v>91</v>
      </c>
      <c r="D77" s="328">
        <v>58.5</v>
      </c>
      <c r="E77" s="329">
        <v>15.24</v>
      </c>
      <c r="F77" s="330">
        <v>3.5</v>
      </c>
      <c r="G77" s="331">
        <v>3.59</v>
      </c>
      <c r="H77" s="332">
        <v>2.2999999999999998</v>
      </c>
      <c r="I77" s="333">
        <v>0.6</v>
      </c>
      <c r="K77" s="188"/>
      <c r="L77" s="381"/>
      <c r="M77" s="380">
        <v>-15</v>
      </c>
      <c r="N77" s="246">
        <f>IF(B77&gt;=508,  31,
    IF(B77&gt;=219.1,  32,  34))*
    LOG(IF(B77&gt;=300,  9.53,
      mathx1x2xy1y2y(
        INDEX($K$6:$K$18,MATCH(B77,$K$6:$K$18,1),1),
        INDEX($K$6:$K$18,MATCH(B77,$K$6:$K$18,1)+1,1),
        B77,
        INDEX($L$6:$L$18,MATCH(B77,$K$6:$K$18,1),1),
        INDEX($L$6:$L$18,MATCH(B77,$K$6:$K$18,1)+1,1)))/E77)</f>
        <v>-15.076029166818651</v>
      </c>
    </row>
    <row r="78" spans="1:14" s="193" customFormat="1" ht="15.75" customHeight="1" x14ac:dyDescent="0.35">
      <c r="A78" s="269" t="s">
        <v>52</v>
      </c>
      <c r="B78" s="295">
        <v>114.3</v>
      </c>
      <c r="C78" s="296">
        <v>117</v>
      </c>
      <c r="D78" s="271">
        <f>H78*25.4</f>
        <v>108.20399999999999</v>
      </c>
      <c r="E78" s="297">
        <f>I78*25.4</f>
        <v>3.0479999999999996</v>
      </c>
      <c r="F78" s="298">
        <v>4.5</v>
      </c>
      <c r="G78" s="299">
        <v>4.62</v>
      </c>
      <c r="H78" s="300">
        <f t="shared" ref="H78:H113" si="8">ROUND(F78-2*I78,3)</f>
        <v>4.26</v>
      </c>
      <c r="I78" s="275">
        <v>0.12</v>
      </c>
      <c r="K78" s="188"/>
      <c r="L78" s="381"/>
      <c r="M78" s="382">
        <v>10</v>
      </c>
      <c r="N78" s="256">
        <f>IF(B78&gt;=508,  31,
    IF(B78&gt;=219.1,  32,  34))*
    LOG(IF(B78&gt;=300,  9.53,
      mathx1x2xy1y2y(
        INDEX($K$6:$K$18,MATCH(B78,$K$6:$K$18,1),1),
        INDEX($K$6:$K$18,MATCH(B78,$K$6:$K$18,1)+1,1),
        B78,
        INDEX($L$6:$L$18,MATCH(B78,$K$6:$K$18,1),1),
        INDEX($L$6:$L$18,MATCH(B78,$K$6:$K$18,1)+1,1)))/E78)</f>
        <v>10.049771972068898</v>
      </c>
    </row>
    <row r="79" spans="1:14" s="193" customFormat="1" ht="15.75" customHeight="1" x14ac:dyDescent="0.35">
      <c r="A79" s="258" t="s">
        <v>817</v>
      </c>
      <c r="B79" s="302">
        <v>114.3</v>
      </c>
      <c r="C79" s="303">
        <v>117</v>
      </c>
      <c r="D79" s="277">
        <f>H79*25.4</f>
        <v>108.20399999999999</v>
      </c>
      <c r="E79" s="304">
        <f>I79*25.4</f>
        <v>3.0479999999999996</v>
      </c>
      <c r="F79" s="305">
        <v>4.5</v>
      </c>
      <c r="G79" s="306">
        <v>4.62</v>
      </c>
      <c r="H79" s="289">
        <f t="shared" si="8"/>
        <v>4.26</v>
      </c>
      <c r="I79" s="262">
        <v>0.12</v>
      </c>
      <c r="K79" s="188"/>
      <c r="L79" s="381"/>
      <c r="M79" s="379">
        <v>10</v>
      </c>
      <c r="N79" s="220">
        <f>IF(B79&gt;=508,  31,
    IF(B79&gt;=219.1,  32,  34))*
    LOG(IF(B79&gt;=300,  9.53,
      mathx1x2xy1y2y(
        INDEX($K$6:$K$18,MATCH(B79,$K$6:$K$18,1),1),
        INDEX($K$6:$K$18,MATCH(B79,$K$6:$K$18,1)+1,1),
        B79,
        INDEX($L$6:$L$18,MATCH(B79,$K$6:$K$18,1),1),
        INDEX($L$6:$L$18,MATCH(B79,$K$6:$K$18,1)+1,1)))/E79)</f>
        <v>10.049771972068898</v>
      </c>
    </row>
    <row r="80" spans="1:14" s="193" customFormat="1" ht="15.75" customHeight="1" x14ac:dyDescent="0.35">
      <c r="A80" s="258" t="s">
        <v>818</v>
      </c>
      <c r="B80" s="302">
        <v>114.3</v>
      </c>
      <c r="C80" s="303">
        <v>117</v>
      </c>
      <c r="D80" s="307">
        <v>104.5</v>
      </c>
      <c r="E80" s="308">
        <v>4.78</v>
      </c>
      <c r="F80" s="305">
        <v>4.5</v>
      </c>
      <c r="G80" s="306">
        <v>4.62</v>
      </c>
      <c r="H80" s="309">
        <v>4.1239999999999997</v>
      </c>
      <c r="I80" s="310">
        <v>0.188</v>
      </c>
      <c r="K80" s="188"/>
      <c r="L80" s="381"/>
      <c r="M80" s="379"/>
      <c r="N80" s="220">
        <f>IF(B80&gt;=508,  31,
    IF(B80&gt;=219.1,  32,  34))*
    LOG(IF(B80&gt;=300,  9.53,
      mathx1x2xy1y2y(
        INDEX($K$6:$K$18,MATCH(B80,$K$6:$K$18,1),1),
        INDEX($K$6:$K$18,MATCH(B80,$K$6:$K$18,1)+1,1),
        B80,
        INDEX($L$6:$L$18,MATCH(B80,$K$6:$K$18,1),1),
        INDEX($L$6:$L$18,MATCH(B80,$K$6:$K$18,1)+1,1)))/E80)</f>
        <v>3.4057322179539917</v>
      </c>
    </row>
    <row r="81" spans="1:14" s="193" customFormat="1" ht="15.75" customHeight="1" x14ac:dyDescent="0.35">
      <c r="A81" s="258" t="s">
        <v>54</v>
      </c>
      <c r="B81" s="302">
        <v>114.3</v>
      </c>
      <c r="C81" s="303">
        <v>117</v>
      </c>
      <c r="D81" s="307">
        <v>102</v>
      </c>
      <c r="E81" s="308">
        <v>6.02</v>
      </c>
      <c r="F81" s="305">
        <v>4.5</v>
      </c>
      <c r="G81" s="306">
        <v>4.62</v>
      </c>
      <c r="H81" s="309">
        <v>4.0259999999999998</v>
      </c>
      <c r="I81" s="310">
        <v>0.23699999999999999</v>
      </c>
      <c r="K81" s="188"/>
      <c r="L81" s="381"/>
      <c r="M81" s="379">
        <v>0</v>
      </c>
      <c r="N81" s="220">
        <f>IF(B81&gt;=508,  31,
    IF(B81&gt;=219.1,  32,  34))*
    LOG(IF(B81&gt;=300,  9.53,
      mathx1x2xy1y2y(
        INDEX($K$6:$K$18,MATCH(B81,$K$6:$K$18,1),1),
        INDEX($K$6:$K$18,MATCH(B81,$K$6:$K$18,1)+1,1),
        B81,
        INDEX($L$6:$L$18,MATCH(B81,$K$6:$K$18,1),1),
        INDEX($L$6:$L$18,MATCH(B81,$K$6:$K$18,1)+1,1)))/E81)</f>
        <v>0</v>
      </c>
    </row>
    <row r="82" spans="1:14" s="193" customFormat="1" ht="15.75" customHeight="1" x14ac:dyDescent="0.35">
      <c r="A82" s="258" t="s">
        <v>55</v>
      </c>
      <c r="B82" s="302">
        <v>114.3</v>
      </c>
      <c r="C82" s="303">
        <v>117</v>
      </c>
      <c r="D82" s="307">
        <v>102</v>
      </c>
      <c r="E82" s="308">
        <v>6.02</v>
      </c>
      <c r="F82" s="305">
        <v>4.5</v>
      </c>
      <c r="G82" s="306">
        <v>4.62</v>
      </c>
      <c r="H82" s="309">
        <v>4.0259999999999998</v>
      </c>
      <c r="I82" s="310">
        <v>0.23699999999999999</v>
      </c>
      <c r="K82" s="188"/>
      <c r="L82" s="381"/>
      <c r="M82" s="379">
        <v>0</v>
      </c>
      <c r="N82" s="220">
        <f>IF(B82&gt;=508,  31,
    IF(B82&gt;=219.1,  32,  34))*
    LOG(IF(B82&gt;=300,  9.53,
      mathx1x2xy1y2y(
        INDEX($K$6:$K$18,MATCH(B82,$K$6:$K$18,1),1),
        INDEX($K$6:$K$18,MATCH(B82,$K$6:$K$18,1)+1,1),
        B82,
        INDEX($L$6:$L$18,MATCH(B82,$K$6:$K$18,1),1),
        INDEX($L$6:$L$18,MATCH(B82,$K$6:$K$18,1)+1,1)))/E82)</f>
        <v>0</v>
      </c>
    </row>
    <row r="83" spans="1:14" s="193" customFormat="1" ht="15.75" customHeight="1" x14ac:dyDescent="0.35">
      <c r="A83" s="258" t="s">
        <v>53</v>
      </c>
      <c r="B83" s="302">
        <v>114.3</v>
      </c>
      <c r="C83" s="303">
        <v>117</v>
      </c>
      <c r="D83" s="307">
        <v>102</v>
      </c>
      <c r="E83" s="308">
        <v>6.02</v>
      </c>
      <c r="F83" s="305">
        <v>4.5</v>
      </c>
      <c r="G83" s="306">
        <v>4.62</v>
      </c>
      <c r="H83" s="309">
        <v>4.0259999999999998</v>
      </c>
      <c r="I83" s="310">
        <v>0.23699999999999999</v>
      </c>
      <c r="K83" s="188"/>
      <c r="L83" s="381"/>
      <c r="M83" s="379">
        <v>0</v>
      </c>
      <c r="N83" s="220">
        <f>IF(B83&gt;=508,  31,
    IF(B83&gt;=219.1,  32,  34))*
    LOG(IF(B83&gt;=300,  9.53,
      mathx1x2xy1y2y(
        INDEX($K$6:$K$18,MATCH(B83,$K$6:$K$18,1),1),
        INDEX($K$6:$K$18,MATCH(B83,$K$6:$K$18,1)+1,1),
        B83,
        INDEX($L$6:$L$18,MATCH(B83,$K$6:$K$18,1),1),
        INDEX($L$6:$L$18,MATCH(B83,$K$6:$K$18,1)+1,1)))/E83)</f>
        <v>0</v>
      </c>
    </row>
    <row r="84" spans="1:14" s="193" customFormat="1" ht="15.75" customHeight="1" x14ac:dyDescent="0.35">
      <c r="A84" s="258" t="s">
        <v>57</v>
      </c>
      <c r="B84" s="302">
        <v>114.3</v>
      </c>
      <c r="C84" s="303">
        <v>117</v>
      </c>
      <c r="D84" s="307">
        <v>97</v>
      </c>
      <c r="E84" s="308">
        <v>8.56</v>
      </c>
      <c r="F84" s="305">
        <v>4.5</v>
      </c>
      <c r="G84" s="306">
        <v>4.62</v>
      </c>
      <c r="H84" s="309">
        <v>3.8260000000000001</v>
      </c>
      <c r="I84" s="310">
        <v>0.33700000000000002</v>
      </c>
      <c r="K84" s="188"/>
      <c r="L84" s="381"/>
      <c r="M84" s="379">
        <v>-5</v>
      </c>
      <c r="N84" s="220">
        <f>IF(B84&gt;=508,  31,
    IF(B84&gt;=219.1,  32,  34))*
    LOG(IF(B84&gt;=300,  9.53,
      mathx1x2xy1y2y(
        INDEX($K$6:$K$18,MATCH(B84,$K$6:$K$18,1),1),
        INDEX($K$6:$K$18,MATCH(B84,$K$6:$K$18,1)+1,1),
        B84,
        INDEX($L$6:$L$18,MATCH(B84,$K$6:$K$18,1),1),
        INDEX($L$6:$L$18,MATCH(B84,$K$6:$K$18,1)+1,1)))/E84)</f>
        <v>-5.1978272962571772</v>
      </c>
    </row>
    <row r="85" spans="1:14" s="193" customFormat="1" ht="15.75" customHeight="1" x14ac:dyDescent="0.35">
      <c r="A85" s="258" t="s">
        <v>58</v>
      </c>
      <c r="B85" s="302">
        <v>114.3</v>
      </c>
      <c r="C85" s="303">
        <v>117</v>
      </c>
      <c r="D85" s="307">
        <v>97</v>
      </c>
      <c r="E85" s="308">
        <v>8.56</v>
      </c>
      <c r="F85" s="305">
        <v>4.5</v>
      </c>
      <c r="G85" s="306">
        <v>4.62</v>
      </c>
      <c r="H85" s="309">
        <v>3.8260000000000001</v>
      </c>
      <c r="I85" s="310">
        <v>0.33700000000000002</v>
      </c>
      <c r="K85" s="188"/>
      <c r="L85" s="381"/>
      <c r="M85" s="379">
        <v>-5</v>
      </c>
      <c r="N85" s="220">
        <f>IF(B85&gt;=508,  31,
    IF(B85&gt;=219.1,  32,  34))*
    LOG(IF(B85&gt;=300,  9.53,
      mathx1x2xy1y2y(
        INDEX($K$6:$K$18,MATCH(B85,$K$6:$K$18,1),1),
        INDEX($K$6:$K$18,MATCH(B85,$K$6:$K$18,1)+1,1),
        B85,
        INDEX($L$6:$L$18,MATCH(B85,$K$6:$K$18,1),1),
        INDEX($L$6:$L$18,MATCH(B85,$K$6:$K$18,1)+1,1)))/E85)</f>
        <v>-5.1978272962571772</v>
      </c>
    </row>
    <row r="86" spans="1:14" s="193" customFormat="1" ht="15.75" customHeight="1" x14ac:dyDescent="0.35">
      <c r="A86" s="258" t="s">
        <v>56</v>
      </c>
      <c r="B86" s="302">
        <v>114.3</v>
      </c>
      <c r="C86" s="303">
        <v>117</v>
      </c>
      <c r="D86" s="307">
        <v>97</v>
      </c>
      <c r="E86" s="308">
        <v>8.56</v>
      </c>
      <c r="F86" s="305">
        <v>4.5</v>
      </c>
      <c r="G86" s="306">
        <v>4.62</v>
      </c>
      <c r="H86" s="309">
        <v>3.8260000000000001</v>
      </c>
      <c r="I86" s="310">
        <v>0.33700000000000002</v>
      </c>
      <c r="K86" s="188"/>
      <c r="L86" s="381"/>
      <c r="M86" s="379">
        <v>-5</v>
      </c>
      <c r="N86" s="220">
        <f>IF(B86&gt;=508,  31,
    IF(B86&gt;=219.1,  32,  34))*
    LOG(IF(B86&gt;=300,  9.53,
      mathx1x2xy1y2y(
        INDEX($K$6:$K$18,MATCH(B86,$K$6:$K$18,1),1),
        INDEX($K$6:$K$18,MATCH(B86,$K$6:$K$18,1)+1,1),
        B86,
        INDEX($L$6:$L$18,MATCH(B86,$K$6:$K$18,1),1),
        INDEX($L$6:$L$18,MATCH(B86,$K$6:$K$18,1)+1,1)))/E86)</f>
        <v>-5.1978272962571772</v>
      </c>
    </row>
    <row r="87" spans="1:14" s="193" customFormat="1" ht="15.75" customHeight="1" x14ac:dyDescent="0.35">
      <c r="A87" s="258" t="s">
        <v>59</v>
      </c>
      <c r="B87" s="302">
        <v>114.3</v>
      </c>
      <c r="C87" s="303">
        <v>117</v>
      </c>
      <c r="D87" s="307">
        <v>92</v>
      </c>
      <c r="E87" s="308">
        <v>11.13</v>
      </c>
      <c r="F87" s="305">
        <v>4.5</v>
      </c>
      <c r="G87" s="306">
        <v>4.62</v>
      </c>
      <c r="H87" s="309">
        <v>3.6240000000000001</v>
      </c>
      <c r="I87" s="310">
        <v>0.438</v>
      </c>
      <c r="K87" s="188"/>
      <c r="L87" s="381"/>
      <c r="M87" s="379">
        <v>-8.5</v>
      </c>
      <c r="N87" s="220">
        <f>IF(B87&gt;=508,  31,
    IF(B87&gt;=219.1,  32,  34))*
    LOG(IF(B87&gt;=300,  9.53,
      mathx1x2xy1y2y(
        INDEX($K$6:$K$18,MATCH(B87,$K$6:$K$18,1),1),
        INDEX($K$6:$K$18,MATCH(B87,$K$6:$K$18,1)+1,1),
        B87,
        INDEX($L$6:$L$18,MATCH(B87,$K$6:$K$18,1),1),
        INDEX($L$6:$L$18,MATCH(B87,$K$6:$K$18,1)+1,1)))/E87)</f>
        <v>-9.0745548846140522</v>
      </c>
    </row>
    <row r="88" spans="1:14" s="193" customFormat="1" ht="15.75" customHeight="1" x14ac:dyDescent="0.35">
      <c r="A88" s="258" t="s">
        <v>60</v>
      </c>
      <c r="B88" s="302">
        <v>114.3</v>
      </c>
      <c r="C88" s="303">
        <v>117</v>
      </c>
      <c r="D88" s="307">
        <v>87.5</v>
      </c>
      <c r="E88" s="308">
        <v>13.49</v>
      </c>
      <c r="F88" s="305">
        <v>4.5</v>
      </c>
      <c r="G88" s="306">
        <v>4.62</v>
      </c>
      <c r="H88" s="309">
        <v>3.4380000000000002</v>
      </c>
      <c r="I88" s="310">
        <v>0.53100000000000003</v>
      </c>
      <c r="K88" s="188"/>
      <c r="L88" s="381"/>
      <c r="M88" s="379">
        <v>-11.5</v>
      </c>
      <c r="N88" s="220">
        <f>IF(B88&gt;=508,  31,
    IF(B88&gt;=219.1,  32,  34))*
    LOG(IF(B88&gt;=300,  9.53,
      mathx1x2xy1y2y(
        INDEX($K$6:$K$18,MATCH(B88,$K$6:$K$18,1),1),
        INDEX($K$6:$K$18,MATCH(B88,$K$6:$K$18,1)+1,1),
        B88,
        INDEX($L$6:$L$18,MATCH(B88,$K$6:$K$18,1),1),
        INDEX($L$6:$L$18,MATCH(B88,$K$6:$K$18,1)+1,1)))/E88)</f>
        <v>-11.914125586078711</v>
      </c>
    </row>
    <row r="89" spans="1:14" s="193" customFormat="1" ht="15.75" customHeight="1" thickBot="1" x14ac:dyDescent="0.4">
      <c r="A89" s="278" t="s">
        <v>61</v>
      </c>
      <c r="B89" s="312">
        <v>114.3</v>
      </c>
      <c r="C89" s="313">
        <v>117</v>
      </c>
      <c r="D89" s="314">
        <v>80</v>
      </c>
      <c r="E89" s="315">
        <v>17.12</v>
      </c>
      <c r="F89" s="316">
        <v>4.5</v>
      </c>
      <c r="G89" s="317">
        <v>4.62</v>
      </c>
      <c r="H89" s="318">
        <v>3.1520000000000001</v>
      </c>
      <c r="I89" s="319">
        <v>0.67400000000000004</v>
      </c>
      <c r="K89" s="188"/>
      <c r="L89" s="381"/>
      <c r="M89" s="383">
        <v>-15</v>
      </c>
      <c r="N89" s="230">
        <f>IF(B89&gt;=508,  31,
    IF(B89&gt;=219.1,  32,  34))*
    LOG(IF(B89&gt;=300,  9.53,
      mathx1x2xy1y2y(
        INDEX($K$6:$K$18,MATCH(B89,$K$6:$K$18,1),1),
        INDEX($K$6:$K$18,MATCH(B89,$K$6:$K$18,1)+1,1),
        B89,
        INDEX($L$6:$L$18,MATCH(B89,$K$6:$K$18,1),1),
        INDEX($L$6:$L$18,MATCH(B89,$K$6:$K$18,1)+1,1)))/E89)</f>
        <v>-15.432847148832536</v>
      </c>
    </row>
    <row r="90" spans="1:14" s="193" customFormat="1" ht="15.75" customHeight="1" x14ac:dyDescent="0.35">
      <c r="A90" s="334" t="s">
        <v>62</v>
      </c>
      <c r="B90" s="320">
        <v>141.30000000000001</v>
      </c>
      <c r="C90" s="321">
        <v>144</v>
      </c>
      <c r="D90" s="287">
        <f>H90*25.4</f>
        <v>134.49299999999999</v>
      </c>
      <c r="E90" s="322">
        <f>I90*25.4</f>
        <v>3.4036</v>
      </c>
      <c r="F90" s="323">
        <v>5.5629999999999997</v>
      </c>
      <c r="G90" s="324">
        <v>5.69</v>
      </c>
      <c r="H90" s="325">
        <f t="shared" ref="H90:H91" si="9">ROUND(F90-2*I90,3)</f>
        <v>5.2949999999999999</v>
      </c>
      <c r="I90" s="255">
        <v>0.13400000000000001</v>
      </c>
      <c r="K90" s="188"/>
      <c r="L90" s="381"/>
      <c r="M90" s="378">
        <v>9.5</v>
      </c>
      <c r="N90" s="209">
        <f>IF(B90&gt;=508,  31,
    IF(B90&gt;=219.1,  32,  34))*
    LOG(IF(B90&gt;=300,  9.53,
      mathx1x2xy1y2y(
        INDEX($K$6:$K$18,MATCH(B90,$K$6:$K$18,1),1),
        INDEX($K$6:$K$18,MATCH(B90,$K$6:$K$18,1)+1,1),
        B90,
        INDEX($L$6:$L$18,MATCH(B90,$K$6:$K$18,1),1),
        INDEX($L$6:$L$18,MATCH(B90,$K$6:$K$18,1)+1,1)))/E90)</f>
        <v>9.6662946902392708</v>
      </c>
    </row>
    <row r="91" spans="1:14" s="193" customFormat="1" ht="15.75" customHeight="1" x14ac:dyDescent="0.35">
      <c r="A91" s="301" t="s">
        <v>819</v>
      </c>
      <c r="B91" s="302">
        <v>141.30000000000001</v>
      </c>
      <c r="C91" s="303">
        <v>144</v>
      </c>
      <c r="D91" s="277">
        <f>H91*25.4</f>
        <v>134.49299999999999</v>
      </c>
      <c r="E91" s="304">
        <f>I91*25.4</f>
        <v>3.4036</v>
      </c>
      <c r="F91" s="305">
        <v>5.5629999999999997</v>
      </c>
      <c r="G91" s="306">
        <v>5.69</v>
      </c>
      <c r="H91" s="289">
        <f t="shared" si="9"/>
        <v>5.2949999999999999</v>
      </c>
      <c r="I91" s="262">
        <v>0.13400000000000001</v>
      </c>
      <c r="K91" s="188"/>
      <c r="L91" s="381"/>
      <c r="M91" s="379">
        <v>9.5</v>
      </c>
      <c r="N91" s="220">
        <f>IF(B91&gt;=508,  31,
    IF(B91&gt;=219.1,  32,  34))*
    LOG(IF(B91&gt;=300,  9.53,
      mathx1x2xy1y2y(
        INDEX($K$6:$K$18,MATCH(B91,$K$6:$K$18,1),1),
        INDEX($K$6:$K$18,MATCH(B91,$K$6:$K$18,1)+1,1),
        B91,
        INDEX($L$6:$L$18,MATCH(B91,$K$6:$K$18,1),1),
        INDEX($L$6:$L$18,MATCH(B91,$K$6:$K$18,1)+1,1)))/E91)</f>
        <v>9.6662946902392708</v>
      </c>
    </row>
    <row r="92" spans="1:14" s="193" customFormat="1" ht="15.75" customHeight="1" x14ac:dyDescent="0.35">
      <c r="A92" s="301" t="s">
        <v>64</v>
      </c>
      <c r="B92" s="302">
        <v>141.30000000000001</v>
      </c>
      <c r="C92" s="303">
        <v>144</v>
      </c>
      <c r="D92" s="307">
        <v>128</v>
      </c>
      <c r="E92" s="308">
        <v>6.55</v>
      </c>
      <c r="F92" s="305">
        <v>5.5629999999999997</v>
      </c>
      <c r="G92" s="306">
        <v>5.69</v>
      </c>
      <c r="H92" s="309">
        <v>5.0469999999999997</v>
      </c>
      <c r="I92" s="310">
        <v>0.25800000000000001</v>
      </c>
      <c r="K92" s="188"/>
      <c r="L92" s="381"/>
      <c r="M92" s="379">
        <v>0</v>
      </c>
      <c r="N92" s="220">
        <f>IF(B92&gt;=508,  31,
    IF(B92&gt;=219.1,  32,  34))*
    LOG(IF(B92&gt;=300,  9.53,
      mathx1x2xy1y2y(
        INDEX($K$6:$K$18,MATCH(B92,$K$6:$K$18,1),1),
        INDEX($K$6:$K$18,MATCH(B92,$K$6:$K$18,1)+1,1),
        B92,
        INDEX($L$6:$L$18,MATCH(B92,$K$6:$K$18,1),1),
        INDEX($L$6:$L$18,MATCH(B92,$K$6:$K$18,1)+1,1)))/E92)</f>
        <v>0</v>
      </c>
    </row>
    <row r="93" spans="1:14" s="193" customFormat="1" ht="15.75" customHeight="1" x14ac:dyDescent="0.35">
      <c r="A93" s="301" t="s">
        <v>65</v>
      </c>
      <c r="B93" s="302">
        <v>141.30000000000001</v>
      </c>
      <c r="C93" s="303">
        <v>144</v>
      </c>
      <c r="D93" s="307">
        <v>128</v>
      </c>
      <c r="E93" s="308">
        <v>6.55</v>
      </c>
      <c r="F93" s="305">
        <v>5.5629999999999997</v>
      </c>
      <c r="G93" s="306">
        <v>5.69</v>
      </c>
      <c r="H93" s="309">
        <v>5.0469999999999997</v>
      </c>
      <c r="I93" s="310">
        <v>0.25800000000000001</v>
      </c>
      <c r="K93" s="188"/>
      <c r="L93" s="381"/>
      <c r="M93" s="379">
        <v>0</v>
      </c>
      <c r="N93" s="220">
        <f>IF(B93&gt;=508,  31,
    IF(B93&gt;=219.1,  32,  34))*
    LOG(IF(B93&gt;=300,  9.53,
      mathx1x2xy1y2y(
        INDEX($K$6:$K$18,MATCH(B93,$K$6:$K$18,1),1),
        INDEX($K$6:$K$18,MATCH(B93,$K$6:$K$18,1)+1,1),
        B93,
        INDEX($L$6:$L$18,MATCH(B93,$K$6:$K$18,1),1),
        INDEX($L$6:$L$18,MATCH(B93,$K$6:$K$18,1)+1,1)))/E93)</f>
        <v>0</v>
      </c>
    </row>
    <row r="94" spans="1:14" s="193" customFormat="1" ht="15.75" customHeight="1" x14ac:dyDescent="0.35">
      <c r="A94" s="301" t="s">
        <v>63</v>
      </c>
      <c r="B94" s="302">
        <v>141.30000000000001</v>
      </c>
      <c r="C94" s="303">
        <v>144</v>
      </c>
      <c r="D94" s="307">
        <v>128</v>
      </c>
      <c r="E94" s="308">
        <v>6.55</v>
      </c>
      <c r="F94" s="305">
        <v>5.5629999999999997</v>
      </c>
      <c r="G94" s="306">
        <v>5.69</v>
      </c>
      <c r="H94" s="309">
        <v>5.0469999999999997</v>
      </c>
      <c r="I94" s="310">
        <v>0.25800000000000001</v>
      </c>
      <c r="K94" s="188"/>
      <c r="L94" s="381"/>
      <c r="M94" s="379">
        <v>0</v>
      </c>
      <c r="N94" s="220">
        <f>IF(B94&gt;=508,  31,
    IF(B94&gt;=219.1,  32,  34))*
    LOG(IF(B94&gt;=300,  9.53,
      mathx1x2xy1y2y(
        INDEX($K$6:$K$18,MATCH(B94,$K$6:$K$18,1),1),
        INDEX($K$6:$K$18,MATCH(B94,$K$6:$K$18,1)+1,1),
        B94,
        INDEX($L$6:$L$18,MATCH(B94,$K$6:$K$18,1),1),
        INDEX($L$6:$L$18,MATCH(B94,$K$6:$K$18,1)+1,1)))/E94)</f>
        <v>0</v>
      </c>
    </row>
    <row r="95" spans="1:14" s="193" customFormat="1" ht="15.75" customHeight="1" x14ac:dyDescent="0.35">
      <c r="A95" s="301" t="s">
        <v>67</v>
      </c>
      <c r="B95" s="302">
        <v>141.30000000000001</v>
      </c>
      <c r="C95" s="303">
        <v>144</v>
      </c>
      <c r="D95" s="307">
        <v>122</v>
      </c>
      <c r="E95" s="308">
        <v>9.5299999999999994</v>
      </c>
      <c r="F95" s="305">
        <v>5.5629999999999997</v>
      </c>
      <c r="G95" s="306">
        <v>5.69</v>
      </c>
      <c r="H95" s="309">
        <v>4.8659999999999997</v>
      </c>
      <c r="I95" s="310">
        <v>0.375</v>
      </c>
      <c r="K95" s="188"/>
      <c r="L95" s="381"/>
      <c r="M95" s="379">
        <v>-5.5</v>
      </c>
      <c r="N95" s="220">
        <f>IF(B95&gt;=508,  31,
    IF(B95&gt;=219.1,  32,  34))*
    LOG(IF(B95&gt;=300,  9.53,
      mathx1x2xy1y2y(
        INDEX($K$6:$K$18,MATCH(B95,$K$6:$K$18,1),1),
        INDEX($K$6:$K$18,MATCH(B95,$K$6:$K$18,1)+1,1),
        B95,
        INDEX($L$6:$L$18,MATCH(B95,$K$6:$K$18,1),1),
        INDEX($L$6:$L$18,MATCH(B95,$K$6:$K$18,1)+1,1)))/E95)</f>
        <v>-5.5369544219824745</v>
      </c>
    </row>
    <row r="96" spans="1:14" s="193" customFormat="1" ht="15.75" customHeight="1" x14ac:dyDescent="0.35">
      <c r="A96" s="301" t="s">
        <v>68</v>
      </c>
      <c r="B96" s="302">
        <v>141.30000000000001</v>
      </c>
      <c r="C96" s="303">
        <v>144</v>
      </c>
      <c r="D96" s="307">
        <v>122</v>
      </c>
      <c r="E96" s="308">
        <v>9.5299999999999994</v>
      </c>
      <c r="F96" s="305">
        <v>5.5629999999999997</v>
      </c>
      <c r="G96" s="306">
        <v>5.69</v>
      </c>
      <c r="H96" s="309">
        <v>4.8659999999999997</v>
      </c>
      <c r="I96" s="310">
        <v>0.375</v>
      </c>
      <c r="K96" s="188"/>
      <c r="L96" s="381"/>
      <c r="M96" s="379">
        <v>-5.5</v>
      </c>
      <c r="N96" s="220">
        <f>IF(B96&gt;=508,  31,
    IF(B96&gt;=219.1,  32,  34))*
    LOG(IF(B96&gt;=300,  9.53,
      mathx1x2xy1y2y(
        INDEX($K$6:$K$18,MATCH(B96,$K$6:$K$18,1),1),
        INDEX($K$6:$K$18,MATCH(B96,$K$6:$K$18,1)+1,1),
        B96,
        INDEX($L$6:$L$18,MATCH(B96,$K$6:$K$18,1),1),
        INDEX($L$6:$L$18,MATCH(B96,$K$6:$K$18,1)+1,1)))/E96)</f>
        <v>-5.5369544219824745</v>
      </c>
    </row>
    <row r="97" spans="1:14" s="193" customFormat="1" ht="15.75" customHeight="1" x14ac:dyDescent="0.35">
      <c r="A97" s="301" t="s">
        <v>66</v>
      </c>
      <c r="B97" s="302">
        <v>141.30000000000001</v>
      </c>
      <c r="C97" s="303">
        <v>144</v>
      </c>
      <c r="D97" s="307">
        <v>122</v>
      </c>
      <c r="E97" s="308">
        <v>9.5299999999999994</v>
      </c>
      <c r="F97" s="305">
        <v>5.5629999999999997</v>
      </c>
      <c r="G97" s="306">
        <v>5.69</v>
      </c>
      <c r="H97" s="309">
        <v>4.8659999999999997</v>
      </c>
      <c r="I97" s="310">
        <v>0.375</v>
      </c>
      <c r="K97" s="188"/>
      <c r="L97" s="381"/>
      <c r="M97" s="379">
        <v>-5.5</v>
      </c>
      <c r="N97" s="220">
        <f>IF(B97&gt;=508,  31,
    IF(B97&gt;=219.1,  32,  34))*
    LOG(IF(B97&gt;=300,  9.53,
      mathx1x2xy1y2y(
        INDEX($K$6:$K$18,MATCH(B97,$K$6:$K$18,1),1),
        INDEX($K$6:$K$18,MATCH(B97,$K$6:$K$18,1)+1,1),
        B97,
        INDEX($L$6:$L$18,MATCH(B97,$K$6:$K$18,1),1),
        INDEX($L$6:$L$18,MATCH(B97,$K$6:$K$18,1)+1,1)))/E97)</f>
        <v>-5.5369544219824745</v>
      </c>
    </row>
    <row r="98" spans="1:14" s="193" customFormat="1" ht="15.75" customHeight="1" x14ac:dyDescent="0.35">
      <c r="A98" s="301" t="s">
        <v>69</v>
      </c>
      <c r="B98" s="302">
        <v>141.30000000000001</v>
      </c>
      <c r="C98" s="303">
        <v>144</v>
      </c>
      <c r="D98" s="307">
        <v>116</v>
      </c>
      <c r="E98" s="308">
        <v>12.7</v>
      </c>
      <c r="F98" s="305">
        <v>5.5629999999999997</v>
      </c>
      <c r="G98" s="306">
        <v>5.69</v>
      </c>
      <c r="H98" s="309">
        <v>4.5629999999999997</v>
      </c>
      <c r="I98" s="310">
        <v>0.5</v>
      </c>
      <c r="K98" s="188"/>
      <c r="L98" s="381"/>
      <c r="M98" s="379">
        <v>-10</v>
      </c>
      <c r="N98" s="220">
        <f>IF(B98&gt;=508,  31,
    IF(B98&gt;=219.1,  32,  34))*
    LOG(IF(B98&gt;=300,  9.53,
      mathx1x2xy1y2y(
        INDEX($K$6:$K$18,MATCH(B98,$K$6:$K$18,1),1),
        INDEX($K$6:$K$18,MATCH(B98,$K$6:$K$18,1)+1,1),
        B98,
        INDEX($L$6:$L$18,MATCH(B98,$K$6:$K$18,1),1),
        INDEX($L$6:$L$18,MATCH(B98,$K$6:$K$18,1)+1,1)))/E98)</f>
        <v>-9.7771223127819109</v>
      </c>
    </row>
    <row r="99" spans="1:14" s="193" customFormat="1" ht="15.75" customHeight="1" x14ac:dyDescent="0.35">
      <c r="A99" s="301" t="s">
        <v>70</v>
      </c>
      <c r="B99" s="302">
        <v>141.30000000000001</v>
      </c>
      <c r="C99" s="303">
        <v>144</v>
      </c>
      <c r="D99" s="307">
        <v>109.5</v>
      </c>
      <c r="E99" s="308">
        <v>15.88</v>
      </c>
      <c r="F99" s="305">
        <v>5.5629999999999997</v>
      </c>
      <c r="G99" s="306">
        <v>5.69</v>
      </c>
      <c r="H99" s="309">
        <v>4.3129999999999997</v>
      </c>
      <c r="I99" s="310">
        <v>0.625</v>
      </c>
      <c r="K99" s="188"/>
      <c r="L99" s="381"/>
      <c r="M99" s="379">
        <v>-13</v>
      </c>
      <c r="N99" s="220">
        <f>IF(B99&gt;=508,  31,
    IF(B99&gt;=219.1,  32,  34))*
    LOG(IF(B99&gt;=300,  9.53,
      mathx1x2xy1y2y(
        INDEX($K$6:$K$18,MATCH(B99,$K$6:$K$18,1),1),
        INDEX($K$6:$K$18,MATCH(B99,$K$6:$K$18,1)+1,1),
        B99,
        INDEX($L$6:$L$18,MATCH(B99,$K$6:$K$18,1),1),
        INDEX($L$6:$L$18,MATCH(B99,$K$6:$K$18,1)+1,1)))/E99)</f>
        <v>-13.07671273537601</v>
      </c>
    </row>
    <row r="100" spans="1:14" s="193" customFormat="1" ht="15.75" customHeight="1" thickBot="1" x14ac:dyDescent="0.4">
      <c r="A100" s="335" t="s">
        <v>71</v>
      </c>
      <c r="B100" s="326">
        <v>141.30000000000001</v>
      </c>
      <c r="C100" s="327">
        <v>144</v>
      </c>
      <c r="D100" s="328">
        <v>103.5</v>
      </c>
      <c r="E100" s="329">
        <v>19.05</v>
      </c>
      <c r="F100" s="330">
        <v>5.5629999999999997</v>
      </c>
      <c r="G100" s="331">
        <v>5.69</v>
      </c>
      <c r="H100" s="332">
        <v>4.0629999999999997</v>
      </c>
      <c r="I100" s="333">
        <v>0.75</v>
      </c>
      <c r="K100" s="188"/>
      <c r="L100" s="381"/>
      <c r="M100" s="380">
        <v>-16</v>
      </c>
      <c r="N100" s="246">
        <f>IF(B100&gt;=508,  31,
    IF(B100&gt;=219.1,  32,  34))*
    LOG(IF(B100&gt;=300,  9.53,
      mathx1x2xy1y2y(
        INDEX($K$6:$K$18,MATCH(B100,$K$6:$K$18,1),1),
        INDEX($K$6:$K$18,MATCH(B100,$K$6:$K$18,1)+1,1),
        B100,
        INDEX($L$6:$L$18,MATCH(B100,$K$6:$K$18,1),1),
        INDEX($L$6:$L$18,MATCH(B100,$K$6:$K$18,1)+1,1)))/E100)</f>
        <v>-15.764225120675073</v>
      </c>
    </row>
    <row r="101" spans="1:14" s="193" customFormat="1" ht="15.75" customHeight="1" x14ac:dyDescent="0.35">
      <c r="A101" s="269" t="s">
        <v>72</v>
      </c>
      <c r="B101" s="295">
        <v>168.3</v>
      </c>
      <c r="C101" s="296">
        <v>172</v>
      </c>
      <c r="D101" s="271">
        <f>H101*25.4</f>
        <v>161.46779999999998</v>
      </c>
      <c r="E101" s="297">
        <f>I101*25.4</f>
        <v>3.4036</v>
      </c>
      <c r="F101" s="298">
        <v>6.625</v>
      </c>
      <c r="G101" s="299">
        <v>6.78</v>
      </c>
      <c r="H101" s="300">
        <f t="shared" si="8"/>
        <v>6.3570000000000002</v>
      </c>
      <c r="I101" s="275">
        <v>0.13400000000000001</v>
      </c>
      <c r="K101" s="188"/>
      <c r="L101" s="381"/>
      <c r="M101" s="382">
        <v>11</v>
      </c>
      <c r="N101" s="256">
        <f>IF(B101&gt;=508,  31,
    IF(B101&gt;=219.1,  32,  34))*
    LOG(IF(B101&gt;=300,  9.53,
      mathx1x2xy1y2y(
        INDEX($K$6:$K$18,MATCH(B101,$K$6:$K$18,1),1),
        INDEX($K$6:$K$18,MATCH(B101,$K$6:$K$18,1)+1,1),
        B101,
        INDEX($L$6:$L$18,MATCH(B101,$K$6:$K$18,1),1),
        INDEX($L$6:$L$18,MATCH(B101,$K$6:$K$18,1)+1,1)))/E101)</f>
        <v>10.8776569153307</v>
      </c>
    </row>
    <row r="102" spans="1:14" s="193" customFormat="1" ht="15.75" customHeight="1" x14ac:dyDescent="0.35">
      <c r="A102" s="258" t="s">
        <v>820</v>
      </c>
      <c r="B102" s="302">
        <v>168.3</v>
      </c>
      <c r="C102" s="303">
        <v>172</v>
      </c>
      <c r="D102" s="277">
        <f>H102*25.4</f>
        <v>161.46779999999998</v>
      </c>
      <c r="E102" s="304">
        <f>I102*25.4</f>
        <v>3.4036</v>
      </c>
      <c r="F102" s="305">
        <v>6.625</v>
      </c>
      <c r="G102" s="306">
        <v>6.78</v>
      </c>
      <c r="H102" s="289">
        <f t="shared" si="8"/>
        <v>6.3570000000000002</v>
      </c>
      <c r="I102" s="262">
        <v>0.13400000000000001</v>
      </c>
      <c r="K102" s="188"/>
      <c r="L102" s="381"/>
      <c r="M102" s="379">
        <v>11</v>
      </c>
      <c r="N102" s="220">
        <f>IF(B102&gt;=508,  31,
    IF(B102&gt;=219.1,  32,  34))*
    LOG(IF(B102&gt;=300,  9.53,
      mathx1x2xy1y2y(
        INDEX($K$6:$K$18,MATCH(B102,$K$6:$K$18,1),1),
        INDEX($K$6:$K$18,MATCH(B102,$K$6:$K$18,1)+1,1),
        B102,
        INDEX($L$6:$L$18,MATCH(B102,$K$6:$K$18,1),1),
        INDEX($L$6:$L$18,MATCH(B102,$K$6:$K$18,1)+1,1)))/E102)</f>
        <v>10.8776569153307</v>
      </c>
    </row>
    <row r="103" spans="1:14" s="193" customFormat="1" ht="15.75" customHeight="1" x14ac:dyDescent="0.35">
      <c r="A103" s="258" t="s">
        <v>74</v>
      </c>
      <c r="B103" s="302">
        <v>168.3</v>
      </c>
      <c r="C103" s="303">
        <v>172</v>
      </c>
      <c r="D103" s="307">
        <v>154</v>
      </c>
      <c r="E103" s="308">
        <v>7.11</v>
      </c>
      <c r="F103" s="305">
        <v>6.625</v>
      </c>
      <c r="G103" s="306">
        <v>6.78</v>
      </c>
      <c r="H103" s="309">
        <v>6.0650000000000004</v>
      </c>
      <c r="I103" s="310">
        <v>0.28000000000000003</v>
      </c>
      <c r="K103" s="188"/>
      <c r="L103" s="381"/>
      <c r="M103" s="379">
        <v>0</v>
      </c>
      <c r="N103" s="220">
        <f>IF(B103&gt;=508,  31,
    IF(B103&gt;=219.1,  32,  34))*
    LOG(IF(B103&gt;=300,  9.53,
      mathx1x2xy1y2y(
        INDEX($K$6:$K$18,MATCH(B103,$K$6:$K$18,1),1),
        INDEX($K$6:$K$18,MATCH(B103,$K$6:$K$18,1)+1,1),
        B103,
        INDEX($L$6:$L$18,MATCH(B103,$K$6:$K$18,1),1),
        INDEX($L$6:$L$18,MATCH(B103,$K$6:$K$18,1)+1,1)))/E103)</f>
        <v>0</v>
      </c>
    </row>
    <row r="104" spans="1:14" s="193" customFormat="1" ht="15.75" customHeight="1" x14ac:dyDescent="0.35">
      <c r="A104" s="258" t="s">
        <v>75</v>
      </c>
      <c r="B104" s="302">
        <v>168.3</v>
      </c>
      <c r="C104" s="303">
        <v>172</v>
      </c>
      <c r="D104" s="307">
        <v>154</v>
      </c>
      <c r="E104" s="308">
        <v>7.11</v>
      </c>
      <c r="F104" s="305">
        <v>6.625</v>
      </c>
      <c r="G104" s="306">
        <v>6.78</v>
      </c>
      <c r="H104" s="309">
        <v>6.0650000000000004</v>
      </c>
      <c r="I104" s="310">
        <v>0.28000000000000003</v>
      </c>
      <c r="K104" s="188"/>
      <c r="L104" s="381"/>
      <c r="M104" s="379">
        <v>0</v>
      </c>
      <c r="N104" s="220">
        <f>IF(B104&gt;=508,  31,
    IF(B104&gt;=219.1,  32,  34))*
    LOG(IF(B104&gt;=300,  9.53,
      mathx1x2xy1y2y(
        INDEX($K$6:$K$18,MATCH(B104,$K$6:$K$18,1),1),
        INDEX($K$6:$K$18,MATCH(B104,$K$6:$K$18,1)+1,1),
        B104,
        INDEX($L$6:$L$18,MATCH(B104,$K$6:$K$18,1),1),
        INDEX($L$6:$L$18,MATCH(B104,$K$6:$K$18,1)+1,1)))/E104)</f>
        <v>0</v>
      </c>
    </row>
    <row r="105" spans="1:14" s="193" customFormat="1" ht="15.75" customHeight="1" x14ac:dyDescent="0.35">
      <c r="A105" s="258" t="s">
        <v>73</v>
      </c>
      <c r="B105" s="302">
        <v>168.3</v>
      </c>
      <c r="C105" s="303">
        <v>172</v>
      </c>
      <c r="D105" s="307">
        <v>154</v>
      </c>
      <c r="E105" s="308">
        <v>7.11</v>
      </c>
      <c r="F105" s="305">
        <v>6.625</v>
      </c>
      <c r="G105" s="306">
        <v>6.78</v>
      </c>
      <c r="H105" s="309">
        <v>6.0650000000000004</v>
      </c>
      <c r="I105" s="310">
        <v>0.28000000000000003</v>
      </c>
      <c r="K105" s="188"/>
      <c r="L105" s="381"/>
      <c r="M105" s="379">
        <v>0</v>
      </c>
      <c r="N105" s="220">
        <f>IF(B105&gt;=508,  31,
    IF(B105&gt;=219.1,  32,  34))*
    LOG(IF(B105&gt;=300,  9.53,
      mathx1x2xy1y2y(
        INDEX($K$6:$K$18,MATCH(B105,$K$6:$K$18,1),1),
        INDEX($K$6:$K$18,MATCH(B105,$K$6:$K$18,1)+1,1),
        B105,
        INDEX($L$6:$L$18,MATCH(B105,$K$6:$K$18,1),1),
        INDEX($L$6:$L$18,MATCH(B105,$K$6:$K$18,1)+1,1)))/E105)</f>
        <v>0</v>
      </c>
    </row>
    <row r="106" spans="1:14" s="193" customFormat="1" ht="15.75" customHeight="1" x14ac:dyDescent="0.35">
      <c r="A106" s="258" t="s">
        <v>77</v>
      </c>
      <c r="B106" s="302">
        <v>168.3</v>
      </c>
      <c r="C106" s="303">
        <v>172</v>
      </c>
      <c r="D106" s="307">
        <v>146.5</v>
      </c>
      <c r="E106" s="308">
        <v>10.97</v>
      </c>
      <c r="F106" s="305">
        <v>6.625</v>
      </c>
      <c r="G106" s="306">
        <v>6.78</v>
      </c>
      <c r="H106" s="309">
        <v>5.7610000000000001</v>
      </c>
      <c r="I106" s="310">
        <v>0.432</v>
      </c>
      <c r="K106" s="188"/>
      <c r="L106" s="381"/>
      <c r="M106" s="379">
        <v>-6</v>
      </c>
      <c r="N106" s="220">
        <f>IF(B106&gt;=508,  31,
    IF(B106&gt;=219.1,  32,  34))*
    LOG(IF(B106&gt;=300,  9.53,
      mathx1x2xy1y2y(
        INDEX($K$6:$K$18,MATCH(B106,$K$6:$K$18,1),1),
        INDEX($K$6:$K$18,MATCH(B106,$K$6:$K$18,1)+1,1),
        B106,
        INDEX($L$6:$L$18,MATCH(B106,$K$6:$K$18,1),1),
        INDEX($L$6:$L$18,MATCH(B106,$K$6:$K$18,1)+1,1)))/E106)</f>
        <v>-6.4034589127281247</v>
      </c>
    </row>
    <row r="107" spans="1:14" s="193" customFormat="1" ht="15.75" customHeight="1" x14ac:dyDescent="0.35">
      <c r="A107" s="258" t="s">
        <v>78</v>
      </c>
      <c r="B107" s="302">
        <v>168.3</v>
      </c>
      <c r="C107" s="303">
        <v>172</v>
      </c>
      <c r="D107" s="307">
        <v>146.5</v>
      </c>
      <c r="E107" s="308">
        <v>10.97</v>
      </c>
      <c r="F107" s="305">
        <v>6.625</v>
      </c>
      <c r="G107" s="306">
        <v>6.78</v>
      </c>
      <c r="H107" s="309">
        <v>5.7610000000000001</v>
      </c>
      <c r="I107" s="310">
        <v>0.432</v>
      </c>
      <c r="K107" s="188"/>
      <c r="L107" s="381"/>
      <c r="M107" s="379">
        <v>-6</v>
      </c>
      <c r="N107" s="220">
        <f>IF(B107&gt;=508,  31,
    IF(B107&gt;=219.1,  32,  34))*
    LOG(IF(B107&gt;=300,  9.53,
      mathx1x2xy1y2y(
        INDEX($K$6:$K$18,MATCH(B107,$K$6:$K$18,1),1),
        INDEX($K$6:$K$18,MATCH(B107,$K$6:$K$18,1)+1,1),
        B107,
        INDEX($L$6:$L$18,MATCH(B107,$K$6:$K$18,1),1),
        INDEX($L$6:$L$18,MATCH(B107,$K$6:$K$18,1)+1,1)))/E107)</f>
        <v>-6.4034589127281247</v>
      </c>
    </row>
    <row r="108" spans="1:14" s="193" customFormat="1" ht="15.75" customHeight="1" x14ac:dyDescent="0.35">
      <c r="A108" s="258" t="s">
        <v>76</v>
      </c>
      <c r="B108" s="302">
        <v>168.3</v>
      </c>
      <c r="C108" s="303">
        <v>172</v>
      </c>
      <c r="D108" s="307">
        <v>146.5</v>
      </c>
      <c r="E108" s="308">
        <v>10.97</v>
      </c>
      <c r="F108" s="305">
        <v>6.625</v>
      </c>
      <c r="G108" s="306">
        <v>6.78</v>
      </c>
      <c r="H108" s="309">
        <v>5.7610000000000001</v>
      </c>
      <c r="I108" s="310">
        <v>0.432</v>
      </c>
      <c r="K108" s="188"/>
      <c r="L108" s="381"/>
      <c r="M108" s="379">
        <v>-6</v>
      </c>
      <c r="N108" s="220">
        <f>IF(B108&gt;=508,  31,
    IF(B108&gt;=219.1,  32,  34))*
    LOG(IF(B108&gt;=300,  9.53,
      mathx1x2xy1y2y(
        INDEX($K$6:$K$18,MATCH(B108,$K$6:$K$18,1),1),
        INDEX($K$6:$K$18,MATCH(B108,$K$6:$K$18,1)+1,1),
        B108,
        INDEX($L$6:$L$18,MATCH(B108,$K$6:$K$18,1),1),
        INDEX($L$6:$L$18,MATCH(B108,$K$6:$K$18,1)+1,1)))/E108)</f>
        <v>-6.4034589127281247</v>
      </c>
    </row>
    <row r="109" spans="1:14" s="193" customFormat="1" ht="15.75" customHeight="1" x14ac:dyDescent="0.35">
      <c r="A109" s="258" t="s">
        <v>79</v>
      </c>
      <c r="B109" s="302">
        <v>168.3</v>
      </c>
      <c r="C109" s="303">
        <v>172</v>
      </c>
      <c r="D109" s="307">
        <v>140</v>
      </c>
      <c r="E109" s="308">
        <v>14.27</v>
      </c>
      <c r="F109" s="305">
        <v>6.625</v>
      </c>
      <c r="G109" s="306">
        <v>6.78</v>
      </c>
      <c r="H109" s="309">
        <v>5.5010000000000003</v>
      </c>
      <c r="I109" s="310">
        <v>0.56200000000000006</v>
      </c>
      <c r="K109" s="188"/>
      <c r="L109" s="381"/>
      <c r="M109" s="379">
        <v>-9.5</v>
      </c>
      <c r="N109" s="220">
        <f>IF(B109&gt;=508,  31,
    IF(B109&gt;=219.1,  32,  34))*
    LOG(IF(B109&gt;=300,  9.53,
      mathx1x2xy1y2y(
        INDEX($K$6:$K$18,MATCH(B109,$K$6:$K$18,1),1),
        INDEX($K$6:$K$18,MATCH(B109,$K$6:$K$18,1)+1,1),
        B109,
        INDEX($L$6:$L$18,MATCH(B109,$K$6:$K$18,1),1),
        INDEX($L$6:$L$18,MATCH(B109,$K$6:$K$18,1)+1,1)))/E109)</f>
        <v>-10.286848661085942</v>
      </c>
    </row>
    <row r="110" spans="1:14" s="193" customFormat="1" ht="15.75" customHeight="1" x14ac:dyDescent="0.35">
      <c r="A110" s="258" t="s">
        <v>81</v>
      </c>
      <c r="B110" s="302">
        <v>168.3</v>
      </c>
      <c r="C110" s="303">
        <v>172</v>
      </c>
      <c r="D110" s="307">
        <v>124.5</v>
      </c>
      <c r="E110" s="308">
        <v>21.95</v>
      </c>
      <c r="F110" s="305">
        <v>6.625</v>
      </c>
      <c r="G110" s="306">
        <v>6.78</v>
      </c>
      <c r="H110" s="309">
        <v>4.8970000000000002</v>
      </c>
      <c r="I110" s="310">
        <v>0.86399999999999999</v>
      </c>
      <c r="K110" s="188"/>
      <c r="L110" s="381"/>
      <c r="M110" s="379">
        <v>-16</v>
      </c>
      <c r="N110" s="220">
        <f>IF(B110&gt;=508,  31,
    IF(B110&gt;=219.1,  32,  34))*
    LOG(IF(B110&gt;=300,  9.53,
      mathx1x2xy1y2y(
        INDEX($K$6:$K$18,MATCH(B110,$K$6:$K$18,1),1),
        INDEX($K$6:$K$18,MATCH(B110,$K$6:$K$18,1)+1,1),
        B110,
        INDEX($L$6:$L$18,MATCH(B110,$K$6:$K$18,1),1),
        INDEX($L$6:$L$18,MATCH(B110,$K$6:$K$18,1)+1,1)))/E110)</f>
        <v>-16.645207410844712</v>
      </c>
    </row>
    <row r="111" spans="1:14" s="193" customFormat="1" ht="15.75" customHeight="1" thickBot="1" x14ac:dyDescent="0.4">
      <c r="A111" s="278" t="s">
        <v>80</v>
      </c>
      <c r="B111" s="312">
        <v>168.3</v>
      </c>
      <c r="C111" s="313">
        <v>172</v>
      </c>
      <c r="D111" s="314">
        <v>132</v>
      </c>
      <c r="E111" s="315">
        <v>18.260000000000002</v>
      </c>
      <c r="F111" s="316">
        <v>6.625</v>
      </c>
      <c r="G111" s="317">
        <v>6.78</v>
      </c>
      <c r="H111" s="318">
        <v>5.1870000000000003</v>
      </c>
      <c r="I111" s="319">
        <v>0.71899999999999997</v>
      </c>
      <c r="K111" s="188"/>
      <c r="L111" s="381"/>
      <c r="M111" s="383">
        <v>-13</v>
      </c>
      <c r="N111" s="230">
        <f>IF(B111&gt;=508,  31,
    IF(B111&gt;=219.1,  32,  34))*
    LOG(IF(B111&gt;=300,  9.53,
      mathx1x2xy1y2y(
        INDEX($K$6:$K$18,MATCH(B111,$K$6:$K$18,1),1),
        INDEX($K$6:$K$18,MATCH(B111,$K$6:$K$18,1)+1,1),
        B111,
        INDEX($L$6:$L$18,MATCH(B111,$K$6:$K$18,1),1),
        INDEX($L$6:$L$18,MATCH(B111,$K$6:$K$18,1)+1,1)))/E111)</f>
        <v>-13.927459863929473</v>
      </c>
    </row>
    <row r="112" spans="1:14" s="193" customFormat="1" ht="15.75" customHeight="1" x14ac:dyDescent="0.35">
      <c r="A112" s="247" t="s">
        <v>82</v>
      </c>
      <c r="B112" s="320">
        <v>219.1</v>
      </c>
      <c r="C112" s="321">
        <v>223</v>
      </c>
      <c r="D112" s="287">
        <f>H112*25.4</f>
        <v>211.5566</v>
      </c>
      <c r="E112" s="322">
        <f>I112*25.4</f>
        <v>3.7591999999999994</v>
      </c>
      <c r="F112" s="323">
        <v>8.625</v>
      </c>
      <c r="G112" s="324">
        <v>8.7799999999999994</v>
      </c>
      <c r="H112" s="325">
        <f t="shared" si="8"/>
        <v>8.3290000000000006</v>
      </c>
      <c r="I112" s="255">
        <v>0.14799999999999999</v>
      </c>
      <c r="K112" s="210"/>
      <c r="L112" s="381"/>
      <c r="M112" s="378">
        <v>11</v>
      </c>
      <c r="N112" s="209">
        <f>IF(B112&gt;=508,  31,
    IF(B112&gt;=219.1,  32,  34))*
    LOG(IF(B112&gt;=300,  9.53,
      mathx1x2xy1y2y(
        INDEX($K$6:$K$18,MATCH(B112,$K$6:$K$18,1),1),
        INDEX($K$6:$K$18,MATCH(B112,$K$6:$K$18,1)+1,1),
        B112,
        INDEX($L$6:$L$18,MATCH(B112,$K$6:$K$18,1),1),
        INDEX($L$6:$L$18,MATCH(B112,$K$6:$K$18,1)+1,1)))/E112)</f>
        <v>10.805051893005682</v>
      </c>
    </row>
    <row r="113" spans="1:14" s="193" customFormat="1" ht="15.75" customHeight="1" x14ac:dyDescent="0.35">
      <c r="A113" s="258" t="s">
        <v>821</v>
      </c>
      <c r="B113" s="302">
        <v>219.1</v>
      </c>
      <c r="C113" s="303">
        <v>223</v>
      </c>
      <c r="D113" s="277">
        <f>H113*25.4</f>
        <v>211.5566</v>
      </c>
      <c r="E113" s="304">
        <f>I113*25.4</f>
        <v>3.7591999999999994</v>
      </c>
      <c r="F113" s="305">
        <v>8.625</v>
      </c>
      <c r="G113" s="306">
        <v>8.7799999999999994</v>
      </c>
      <c r="H113" s="289">
        <f t="shared" si="8"/>
        <v>8.3290000000000006</v>
      </c>
      <c r="I113" s="262">
        <v>0.14799999999999999</v>
      </c>
      <c r="K113" s="188"/>
      <c r="L113" s="381"/>
      <c r="M113" s="379">
        <v>11</v>
      </c>
      <c r="N113" s="220">
        <f>IF(B113&gt;=508,  31,
    IF(B113&gt;=219.1,  32,  34))*
    LOG(IF(B113&gt;=300,  9.53,
      mathx1x2xy1y2y(
        INDEX($K$6:$K$18,MATCH(B113,$K$6:$K$18,1),1),
        INDEX($K$6:$K$18,MATCH(B113,$K$6:$K$18,1)+1,1),
        B113,
        INDEX($L$6:$L$18,MATCH(B113,$K$6:$K$18,1),1),
        INDEX($L$6:$L$18,MATCH(B113,$K$6:$K$18,1)+1,1)))/E113)</f>
        <v>10.805051893005682</v>
      </c>
    </row>
    <row r="114" spans="1:14" s="193" customFormat="1" ht="15.75" customHeight="1" x14ac:dyDescent="0.35">
      <c r="A114" s="258" t="s">
        <v>83</v>
      </c>
      <c r="B114" s="302">
        <v>219.1</v>
      </c>
      <c r="C114" s="303">
        <v>223</v>
      </c>
      <c r="D114" s="307">
        <v>206.5</v>
      </c>
      <c r="E114" s="308">
        <v>6.35</v>
      </c>
      <c r="F114" s="305">
        <v>8.625</v>
      </c>
      <c r="G114" s="306">
        <v>8.7799999999999994</v>
      </c>
      <c r="H114" s="309">
        <v>8.125</v>
      </c>
      <c r="I114" s="310">
        <v>0.25</v>
      </c>
      <c r="K114" s="188"/>
      <c r="L114" s="381"/>
      <c r="M114" s="379">
        <v>3.5</v>
      </c>
      <c r="N114" s="220">
        <f>IF(B114&gt;=508,  31,
    IF(B114&gt;=219.1,  32,  34))*
    LOG(IF(B114&gt;=300,  9.53,
      mathx1x2xy1y2y(
        INDEX($K$6:$K$18,MATCH(B114,$K$6:$K$18,1),1),
        INDEX($K$6:$K$18,MATCH(B114,$K$6:$K$18,1)+1,1),
        B114,
        INDEX($L$6:$L$18,MATCH(B114,$K$6:$K$18,1),1),
        INDEX($L$6:$L$18,MATCH(B114,$K$6:$K$18,1)+1,1)))/E114)</f>
        <v>3.5193465081391153</v>
      </c>
    </row>
    <row r="115" spans="1:14" s="193" customFormat="1" ht="15.75" customHeight="1" x14ac:dyDescent="0.35">
      <c r="A115" s="258" t="s">
        <v>84</v>
      </c>
      <c r="B115" s="302">
        <v>219.1</v>
      </c>
      <c r="C115" s="303">
        <v>223</v>
      </c>
      <c r="D115" s="307">
        <v>205</v>
      </c>
      <c r="E115" s="308">
        <v>7.04</v>
      </c>
      <c r="F115" s="305">
        <v>8.625</v>
      </c>
      <c r="G115" s="306">
        <v>8.7799999999999994</v>
      </c>
      <c r="H115" s="309">
        <v>8.0709999999999997</v>
      </c>
      <c r="I115" s="310">
        <v>0.27700000000000002</v>
      </c>
      <c r="K115" s="188"/>
      <c r="L115" s="381"/>
      <c r="M115" s="379">
        <v>2</v>
      </c>
      <c r="N115" s="220">
        <f>IF(B115&gt;=508,  31,
    IF(B115&gt;=219.1,  32,  34))*
    LOG(IF(B115&gt;=300,  9.53,
      mathx1x2xy1y2y(
        INDEX($K$6:$K$18,MATCH(B115,$K$6:$K$18,1),1),
        INDEX($K$6:$K$18,MATCH(B115,$K$6:$K$18,1)+1,1),
        B115,
        INDEX($L$6:$L$18,MATCH(B115,$K$6:$K$18,1),1),
        INDEX($L$6:$L$18,MATCH(B115,$K$6:$K$18,1)+1,1)))/E115)</f>
        <v>2.0857806249347446</v>
      </c>
    </row>
    <row r="116" spans="1:14" s="193" customFormat="1" ht="15.75" customHeight="1" x14ac:dyDescent="0.35">
      <c r="A116" s="258" t="s">
        <v>86</v>
      </c>
      <c r="B116" s="302">
        <v>219.1</v>
      </c>
      <c r="C116" s="303">
        <v>223</v>
      </c>
      <c r="D116" s="307">
        <v>203</v>
      </c>
      <c r="E116" s="308">
        <v>8.18</v>
      </c>
      <c r="F116" s="305">
        <v>8.625</v>
      </c>
      <c r="G116" s="306">
        <v>8.7799999999999994</v>
      </c>
      <c r="H116" s="309">
        <v>7.9809999999999999</v>
      </c>
      <c r="I116" s="310">
        <v>0.32200000000000001</v>
      </c>
      <c r="K116" s="188"/>
      <c r="L116" s="381"/>
      <c r="M116" s="379">
        <v>0</v>
      </c>
      <c r="N116" s="220">
        <f>IF(B116&gt;=508,  31,
    IF(B116&gt;=219.1,  32,  34))*
    LOG(IF(B116&gt;=300,  9.53,
      mathx1x2xy1y2y(
        INDEX($K$6:$K$18,MATCH(B116,$K$6:$K$18,1),1),
        INDEX($K$6:$K$18,MATCH(B116,$K$6:$K$18,1)+1,1),
        B116,
        INDEX($L$6:$L$18,MATCH(B116,$K$6:$K$18,1),1),
        INDEX($L$6:$L$18,MATCH(B116,$K$6:$K$18,1)+1,1)))/E116)</f>
        <v>0</v>
      </c>
    </row>
    <row r="117" spans="1:14" s="193" customFormat="1" ht="15.75" customHeight="1" x14ac:dyDescent="0.35">
      <c r="A117" s="258" t="s">
        <v>87</v>
      </c>
      <c r="B117" s="302">
        <v>219.1</v>
      </c>
      <c r="C117" s="303">
        <v>223</v>
      </c>
      <c r="D117" s="307">
        <v>203</v>
      </c>
      <c r="E117" s="308">
        <v>8.18</v>
      </c>
      <c r="F117" s="305">
        <v>8.625</v>
      </c>
      <c r="G117" s="306">
        <v>8.7799999999999994</v>
      </c>
      <c r="H117" s="309">
        <v>7.9809999999999999</v>
      </c>
      <c r="I117" s="310">
        <v>0.32200000000000001</v>
      </c>
      <c r="K117" s="188"/>
      <c r="L117" s="381"/>
      <c r="M117" s="379">
        <v>0</v>
      </c>
      <c r="N117" s="220">
        <f>IF(B117&gt;=508,  31,
    IF(B117&gt;=219.1,  32,  34))*
    LOG(IF(B117&gt;=300,  9.53,
      mathx1x2xy1y2y(
        INDEX($K$6:$K$18,MATCH(B117,$K$6:$K$18,1),1),
        INDEX($K$6:$K$18,MATCH(B117,$K$6:$K$18,1)+1,1),
        B117,
        INDEX($L$6:$L$18,MATCH(B117,$K$6:$K$18,1),1),
        INDEX($L$6:$L$18,MATCH(B117,$K$6:$K$18,1)+1,1)))/E117)</f>
        <v>0</v>
      </c>
    </row>
    <row r="118" spans="1:14" s="193" customFormat="1" ht="15.75" customHeight="1" x14ac:dyDescent="0.35">
      <c r="A118" s="258" t="s">
        <v>85</v>
      </c>
      <c r="B118" s="302">
        <v>219.1</v>
      </c>
      <c r="C118" s="303">
        <v>223</v>
      </c>
      <c r="D118" s="307">
        <v>203</v>
      </c>
      <c r="E118" s="308">
        <v>8.18</v>
      </c>
      <c r="F118" s="305">
        <v>8.625</v>
      </c>
      <c r="G118" s="306">
        <v>8.7799999999999994</v>
      </c>
      <c r="H118" s="309">
        <v>7.9809999999999999</v>
      </c>
      <c r="I118" s="310">
        <v>0.32200000000000001</v>
      </c>
      <c r="K118" s="188"/>
      <c r="L118" s="381"/>
      <c r="M118" s="379">
        <v>0</v>
      </c>
      <c r="N118" s="220">
        <f>IF(B118&gt;=508,  31,
    IF(B118&gt;=219.1,  32,  34))*
    LOG(IF(B118&gt;=300,  9.53,
      mathx1x2xy1y2y(
        INDEX($K$6:$K$18,MATCH(B118,$K$6:$K$18,1),1),
        INDEX($K$6:$K$18,MATCH(B118,$K$6:$K$18,1)+1,1),
        B118,
        INDEX($L$6:$L$18,MATCH(B118,$K$6:$K$18,1),1),
        INDEX($L$6:$L$18,MATCH(B118,$K$6:$K$18,1)+1,1)))/E118)</f>
        <v>0</v>
      </c>
    </row>
    <row r="119" spans="1:14" s="193" customFormat="1" ht="15.75" customHeight="1" x14ac:dyDescent="0.35">
      <c r="A119" s="258" t="s">
        <v>88</v>
      </c>
      <c r="B119" s="302">
        <v>219.1</v>
      </c>
      <c r="C119" s="303">
        <v>223</v>
      </c>
      <c r="D119" s="307">
        <v>198.5</v>
      </c>
      <c r="E119" s="308">
        <v>10.31</v>
      </c>
      <c r="F119" s="305">
        <v>8.625</v>
      </c>
      <c r="G119" s="306">
        <v>8.7799999999999994</v>
      </c>
      <c r="H119" s="309">
        <v>7.8129999999999997</v>
      </c>
      <c r="I119" s="310">
        <v>0.40600000000000003</v>
      </c>
      <c r="K119" s="188"/>
      <c r="L119" s="381"/>
      <c r="M119" s="379">
        <v>-3</v>
      </c>
      <c r="N119" s="220">
        <f>IF(B119&gt;=508,  31,
    IF(B119&gt;=219.1,  32,  34))*
    LOG(IF(B119&gt;=300,  9.53,
      mathx1x2xy1y2y(
        INDEX($K$6:$K$18,MATCH(B119,$K$6:$K$18,1),1),
        INDEX($K$6:$K$18,MATCH(B119,$K$6:$K$18,1)+1,1),
        B119,
        INDEX($L$6:$L$18,MATCH(B119,$K$6:$K$18,1),1),
        INDEX($L$6:$L$18,MATCH(B119,$K$6:$K$18,1)+1,1)))/E119)</f>
        <v>-3.2161715715901953</v>
      </c>
    </row>
    <row r="120" spans="1:14" s="193" customFormat="1" ht="15.75" customHeight="1" x14ac:dyDescent="0.35">
      <c r="A120" s="258" t="s">
        <v>90</v>
      </c>
      <c r="B120" s="302">
        <v>219.1</v>
      </c>
      <c r="C120" s="303">
        <v>223</v>
      </c>
      <c r="D120" s="307">
        <v>193.5</v>
      </c>
      <c r="E120" s="308">
        <v>12.7</v>
      </c>
      <c r="F120" s="305">
        <v>8.625</v>
      </c>
      <c r="G120" s="306">
        <v>8.7799999999999994</v>
      </c>
      <c r="H120" s="309">
        <v>7.625</v>
      </c>
      <c r="I120" s="310">
        <v>0.5</v>
      </c>
      <c r="K120" s="188"/>
      <c r="L120" s="381"/>
      <c r="M120" s="379">
        <v>-6</v>
      </c>
      <c r="N120" s="220">
        <f>IF(B120&gt;=508,  31,
    IF(B120&gt;=219.1,  32,  34))*
    LOG(IF(B120&gt;=300,  9.53,
      mathx1x2xy1y2y(
        INDEX($K$6:$K$18,MATCH(B120,$K$6:$K$18,1),1),
        INDEX($K$6:$K$18,MATCH(B120,$K$6:$K$18,1)+1,1),
        B120,
        INDEX($L$6:$L$18,MATCH(B120,$K$6:$K$18,1),1),
        INDEX($L$6:$L$18,MATCH(B120,$K$6:$K$18,1)+1,1)))/E120)</f>
        <v>-6.113613353108283</v>
      </c>
    </row>
    <row r="121" spans="1:14" s="263" customFormat="1" ht="15.75" customHeight="1" x14ac:dyDescent="0.35">
      <c r="A121" s="258" t="s">
        <v>91</v>
      </c>
      <c r="B121" s="302">
        <v>219.1</v>
      </c>
      <c r="C121" s="303">
        <v>223</v>
      </c>
      <c r="D121" s="307">
        <v>193.5</v>
      </c>
      <c r="E121" s="308">
        <v>12.7</v>
      </c>
      <c r="F121" s="305">
        <v>8.625</v>
      </c>
      <c r="G121" s="306">
        <v>8.7799999999999994</v>
      </c>
      <c r="H121" s="309">
        <v>7.625</v>
      </c>
      <c r="I121" s="310">
        <v>0.5</v>
      </c>
      <c r="K121" s="188"/>
      <c r="L121" s="381"/>
      <c r="M121" s="379">
        <v>-6</v>
      </c>
      <c r="N121" s="220">
        <f>IF(B121&gt;=508,  31,
    IF(B121&gt;=219.1,  32,  34))*
    LOG(IF(B121&gt;=300,  9.53,
      mathx1x2xy1y2y(
        INDEX($K$6:$K$18,MATCH(B121,$K$6:$K$18,1),1),
        INDEX($K$6:$K$18,MATCH(B121,$K$6:$K$18,1)+1,1),
        B121,
        INDEX($L$6:$L$18,MATCH(B121,$K$6:$K$18,1),1),
        INDEX($L$6:$L$18,MATCH(B121,$K$6:$K$18,1)+1,1)))/E121)</f>
        <v>-6.113613353108283</v>
      </c>
    </row>
    <row r="122" spans="1:14" s="263" customFormat="1" ht="15.75" customHeight="1" x14ac:dyDescent="0.35">
      <c r="A122" s="258" t="s">
        <v>89</v>
      </c>
      <c r="B122" s="302">
        <v>219.1</v>
      </c>
      <c r="C122" s="303">
        <v>223</v>
      </c>
      <c r="D122" s="307">
        <v>193.5</v>
      </c>
      <c r="E122" s="308">
        <v>12.7</v>
      </c>
      <c r="F122" s="305">
        <v>8.625</v>
      </c>
      <c r="G122" s="306">
        <v>8.7799999999999994</v>
      </c>
      <c r="H122" s="309">
        <v>7.625</v>
      </c>
      <c r="I122" s="310">
        <v>0.5</v>
      </c>
      <c r="K122" s="188"/>
      <c r="L122" s="381"/>
      <c r="M122" s="379">
        <v>-6</v>
      </c>
      <c r="N122" s="220">
        <f>IF(B122&gt;=508,  31,
    IF(B122&gt;=219.1,  32,  34))*
    LOG(IF(B122&gt;=300,  9.53,
      mathx1x2xy1y2y(
        INDEX($K$6:$K$18,MATCH(B122,$K$6:$K$18,1),1),
        INDEX($K$6:$K$18,MATCH(B122,$K$6:$K$18,1)+1,1),
        B122,
        INDEX($L$6:$L$18,MATCH(B122,$K$6:$K$18,1),1),
        INDEX($L$6:$L$18,MATCH(B122,$K$6:$K$18,1)+1,1)))/E122)</f>
        <v>-6.113613353108283</v>
      </c>
    </row>
    <row r="123" spans="1:14" s="193" customFormat="1" ht="15.75" customHeight="1" x14ac:dyDescent="0.35">
      <c r="A123" s="258" t="s">
        <v>92</v>
      </c>
      <c r="B123" s="302">
        <v>219.1</v>
      </c>
      <c r="C123" s="303">
        <v>223</v>
      </c>
      <c r="D123" s="307">
        <v>189</v>
      </c>
      <c r="E123" s="308">
        <v>15.09</v>
      </c>
      <c r="F123" s="305">
        <v>8.625</v>
      </c>
      <c r="G123" s="306">
        <v>8.7799999999999994</v>
      </c>
      <c r="H123" s="309">
        <v>7.4370000000000003</v>
      </c>
      <c r="I123" s="310">
        <v>0.59399999999999997</v>
      </c>
      <c r="K123" s="188"/>
      <c r="L123" s="381"/>
      <c r="M123" s="379">
        <v>-8.5</v>
      </c>
      <c r="N123" s="220">
        <f>IF(B123&gt;=508,  31,
    IF(B123&gt;=219.1,  32,  34))*
    LOG(IF(B123&gt;=300,  9.53,
      mathx1x2xy1y2y(
        INDEX($K$6:$K$18,MATCH(B123,$K$6:$K$18,1),1),
        INDEX($K$6:$K$18,MATCH(B123,$K$6:$K$18,1)+1,1),
        B123,
        INDEX($L$6:$L$18,MATCH(B123,$K$6:$K$18,1),1),
        INDEX($L$6:$L$18,MATCH(B123,$K$6:$K$18,1)+1,1)))/E123)</f>
        <v>-8.5099499553365376</v>
      </c>
    </row>
    <row r="124" spans="1:14" s="193" customFormat="1" ht="15.75" customHeight="1" x14ac:dyDescent="0.35">
      <c r="A124" s="258" t="s">
        <v>93</v>
      </c>
      <c r="B124" s="302">
        <v>219.1</v>
      </c>
      <c r="C124" s="303">
        <v>223</v>
      </c>
      <c r="D124" s="307">
        <v>182.5</v>
      </c>
      <c r="E124" s="308">
        <v>18.260000000000002</v>
      </c>
      <c r="F124" s="305">
        <v>8.625</v>
      </c>
      <c r="G124" s="306">
        <v>8.7799999999999994</v>
      </c>
      <c r="H124" s="309">
        <v>7.1870000000000003</v>
      </c>
      <c r="I124" s="310">
        <v>0.71899999999999997</v>
      </c>
      <c r="K124" s="188"/>
      <c r="L124" s="381"/>
      <c r="M124" s="379">
        <v>-11</v>
      </c>
      <c r="N124" s="220">
        <f>IF(B124&gt;=508,  31,
    IF(B124&gt;=219.1,  32,  34))*
    LOG(IF(B124&gt;=300,  9.53,
      mathx1x2xy1y2y(
        INDEX($K$6:$K$18,MATCH(B124,$K$6:$K$18,1),1),
        INDEX($K$6:$K$18,MATCH(B124,$K$6:$K$18,1)+1,1),
        B124,
        INDEX($L$6:$L$18,MATCH(B124,$K$6:$K$18,1),1),
        INDEX($L$6:$L$18,MATCH(B124,$K$6:$K$18,1)+1,1)))/E124)</f>
        <v>-11.15991902486263</v>
      </c>
    </row>
    <row r="125" spans="1:14" s="193" customFormat="1" ht="15.75" customHeight="1" x14ac:dyDescent="0.35">
      <c r="A125" s="258" t="s">
        <v>94</v>
      </c>
      <c r="B125" s="302">
        <v>219.1</v>
      </c>
      <c r="C125" s="303">
        <v>223</v>
      </c>
      <c r="D125" s="307">
        <v>178</v>
      </c>
      <c r="E125" s="308">
        <v>20.62</v>
      </c>
      <c r="F125" s="305">
        <v>8.625</v>
      </c>
      <c r="G125" s="306">
        <v>8.7799999999999994</v>
      </c>
      <c r="H125" s="309">
        <v>7.0010000000000003</v>
      </c>
      <c r="I125" s="310">
        <v>0.81200000000000006</v>
      </c>
      <c r="K125" s="188"/>
      <c r="L125" s="381"/>
      <c r="M125" s="379">
        <v>-13</v>
      </c>
      <c r="N125" s="220">
        <f>IF(B125&gt;=508,  31,
    IF(B125&gt;=219.1,  32,  34))*
    LOG(IF(B125&gt;=300,  9.53,
      mathx1x2xy1y2y(
        INDEX($K$6:$K$18,MATCH(B125,$K$6:$K$18,1),1),
        INDEX($K$6:$K$18,MATCH(B125,$K$6:$K$18,1)+1,1),
        B125,
        INDEX($L$6:$L$18,MATCH(B125,$K$6:$K$18,1),1),
        INDEX($L$6:$L$18,MATCH(B125,$K$6:$K$18,1)+1,1)))/E125)</f>
        <v>-12.849131432837593</v>
      </c>
    </row>
    <row r="126" spans="1:14" s="193" customFormat="1" ht="15.75" customHeight="1" x14ac:dyDescent="0.35">
      <c r="A126" s="258" t="s">
        <v>95</v>
      </c>
      <c r="B126" s="302">
        <v>219.1</v>
      </c>
      <c r="C126" s="303">
        <v>223</v>
      </c>
      <c r="D126" s="307">
        <v>174.5</v>
      </c>
      <c r="E126" s="308">
        <v>22.23</v>
      </c>
      <c r="F126" s="305">
        <v>8.625</v>
      </c>
      <c r="G126" s="306">
        <v>8.7799999999999994</v>
      </c>
      <c r="H126" s="309">
        <v>6.875</v>
      </c>
      <c r="I126" s="310">
        <v>0.875</v>
      </c>
      <c r="K126" s="188"/>
      <c r="L126" s="381"/>
      <c r="M126" s="379">
        <v>-14</v>
      </c>
      <c r="N126" s="220">
        <f>IF(B126&gt;=508,  31,
    IF(B126&gt;=219.1,  32,  34))*
    LOG(IF(B126&gt;=300,  9.53,
      mathx1x2xy1y2y(
        INDEX($K$6:$K$18,MATCH(B126,$K$6:$K$18,1),1),
        INDEX($K$6:$K$18,MATCH(B126,$K$6:$K$18,1)+1,1),
        B126,
        INDEX($L$6:$L$18,MATCH(B126,$K$6:$K$18,1),1),
        INDEX($L$6:$L$18,MATCH(B126,$K$6:$K$18,1)+1,1)))/E126)</f>
        <v>-13.893957088885365</v>
      </c>
    </row>
    <row r="127" spans="1:14" s="263" customFormat="1" ht="15.75" customHeight="1" thickBot="1" x14ac:dyDescent="0.4">
      <c r="A127" s="264" t="s">
        <v>96</v>
      </c>
      <c r="B127" s="326">
        <v>219.1</v>
      </c>
      <c r="C127" s="327">
        <v>223</v>
      </c>
      <c r="D127" s="328">
        <v>173</v>
      </c>
      <c r="E127" s="329">
        <v>23.01</v>
      </c>
      <c r="F127" s="330">
        <v>8.625</v>
      </c>
      <c r="G127" s="331">
        <v>8.7799999999999994</v>
      </c>
      <c r="H127" s="332">
        <v>6.8129999999999997</v>
      </c>
      <c r="I127" s="333">
        <v>0.90600000000000003</v>
      </c>
      <c r="K127" s="188"/>
      <c r="L127" s="381"/>
      <c r="M127" s="380">
        <v>-14.5</v>
      </c>
      <c r="N127" s="246">
        <f>IF(B127&gt;=508,  31,
    IF(B127&gt;=219.1,  32,  34))*
    LOG(IF(B127&gt;=300,  9.53,
      mathx1x2xy1y2y(
        INDEX($K$6:$K$18,MATCH(B127,$K$6:$K$18,1),1),
        INDEX($K$6:$K$18,MATCH(B127,$K$6:$K$18,1)+1,1),
        B127,
        INDEX($L$6:$L$18,MATCH(B127,$K$6:$K$18,1),1),
        INDEX($L$6:$L$18,MATCH(B127,$K$6:$K$18,1)+1,1)))/E127)</f>
        <v>-14.373226079914254</v>
      </c>
    </row>
    <row r="128" spans="1:14" s="193" customFormat="1" ht="15.75" customHeight="1" x14ac:dyDescent="0.35">
      <c r="A128" s="269" t="s">
        <v>97</v>
      </c>
      <c r="B128" s="295">
        <v>273</v>
      </c>
      <c r="C128" s="296">
        <v>278</v>
      </c>
      <c r="D128" s="271">
        <f>H128*25.4</f>
        <v>264.66800000000001</v>
      </c>
      <c r="E128" s="297">
        <f>I128*25.4</f>
        <v>4.1909999999999998</v>
      </c>
      <c r="F128" s="298">
        <v>10.75</v>
      </c>
      <c r="G128" s="299">
        <v>10.94</v>
      </c>
      <c r="H128" s="300">
        <f t="shared" ref="H128:H144" si="10">ROUND(F128-2*I128,3)</f>
        <v>10.42</v>
      </c>
      <c r="I128" s="275">
        <v>0.16500000000000001</v>
      </c>
      <c r="K128" s="188"/>
      <c r="L128" s="381"/>
      <c r="M128" s="382">
        <v>11</v>
      </c>
      <c r="N128" s="256">
        <f>IF(B128&gt;=508,  31,
    IF(B128&gt;=219.1,  32,  34))*
    LOG(IF(B128&gt;=300,  9.53,
      mathx1x2xy1y2y(
        INDEX($K$6:$K$18,MATCH(B128,$K$6:$K$18,1),1),
        INDEX($K$6:$K$18,MATCH(B128,$K$6:$K$18,1)+1,1),
        B128,
        INDEX($L$6:$L$18,MATCH(B128,$K$6:$K$18,1),1),
        INDEX($L$6:$L$18,MATCH(B128,$K$6:$K$18,1)+1,1)))/E128)</f>
        <v>11.032386345940887</v>
      </c>
    </row>
    <row r="129" spans="1:14" s="193" customFormat="1" ht="15.75" customHeight="1" x14ac:dyDescent="0.35">
      <c r="A129" s="258" t="s">
        <v>822</v>
      </c>
      <c r="B129" s="302">
        <v>273</v>
      </c>
      <c r="C129" s="303">
        <v>278</v>
      </c>
      <c r="D129" s="277">
        <f>H129*25.4</f>
        <v>264.66800000000001</v>
      </c>
      <c r="E129" s="304">
        <f>I129*25.4</f>
        <v>4.1909999999999998</v>
      </c>
      <c r="F129" s="305">
        <v>10.75</v>
      </c>
      <c r="G129" s="306">
        <v>10.94</v>
      </c>
      <c r="H129" s="289">
        <f t="shared" si="10"/>
        <v>10.42</v>
      </c>
      <c r="I129" s="262">
        <v>0.16500000000000001</v>
      </c>
      <c r="K129" s="188"/>
      <c r="L129" s="381"/>
      <c r="M129" s="379">
        <v>11</v>
      </c>
      <c r="N129" s="220">
        <f>IF(B129&gt;=508,  31,
    IF(B129&gt;=219.1,  32,  34))*
    LOG(IF(B129&gt;=300,  9.53,
      mathx1x2xy1y2y(
        INDEX($K$6:$K$18,MATCH(B129,$K$6:$K$18,1),1),
        INDEX($K$6:$K$18,MATCH(B129,$K$6:$K$18,1)+1,1),
        B129,
        INDEX($L$6:$L$18,MATCH(B129,$K$6:$K$18,1),1),
        INDEX($L$6:$L$18,MATCH(B129,$K$6:$K$18,1)+1,1)))/E129)</f>
        <v>11.032386345940887</v>
      </c>
    </row>
    <row r="130" spans="1:14" s="193" customFormat="1" ht="15.75" customHeight="1" x14ac:dyDescent="0.35">
      <c r="A130" s="258" t="s">
        <v>98</v>
      </c>
      <c r="B130" s="302">
        <v>273</v>
      </c>
      <c r="C130" s="303">
        <v>278</v>
      </c>
      <c r="D130" s="307">
        <v>260.5</v>
      </c>
      <c r="E130" s="308">
        <v>6.35</v>
      </c>
      <c r="F130" s="305">
        <v>10.75</v>
      </c>
      <c r="G130" s="306">
        <v>10.94</v>
      </c>
      <c r="H130" s="309">
        <v>10.25</v>
      </c>
      <c r="I130" s="310">
        <v>0.25</v>
      </c>
      <c r="K130" s="188"/>
      <c r="L130" s="381"/>
      <c r="M130" s="379">
        <v>5</v>
      </c>
      <c r="N130" s="220">
        <f>IF(B130&gt;=508,  31,
    IF(B130&gt;=219.1,  32,  34))*
    LOG(IF(B130&gt;=300,  9.53,
      mathx1x2xy1y2y(
        INDEX($K$6:$K$18,MATCH(B130,$K$6:$K$18,1),1),
        INDEX($K$6:$K$18,MATCH(B130,$K$6:$K$18,1)+1,1),
        B130,
        INDEX($L$6:$L$18,MATCH(B130,$K$6:$K$18,1),1),
        INDEX($L$6:$L$18,MATCH(B130,$K$6:$K$18,1)+1,1)))/E130)</f>
        <v>5.2577922832806845</v>
      </c>
    </row>
    <row r="131" spans="1:14" s="193" customFormat="1" ht="15.75" customHeight="1" x14ac:dyDescent="0.35">
      <c r="A131" s="258" t="s">
        <v>99</v>
      </c>
      <c r="B131" s="302">
        <v>273</v>
      </c>
      <c r="C131" s="303">
        <v>278</v>
      </c>
      <c r="D131" s="307">
        <v>257.5</v>
      </c>
      <c r="E131" s="308">
        <v>7.8</v>
      </c>
      <c r="F131" s="305">
        <v>10.75</v>
      </c>
      <c r="G131" s="306">
        <v>10.94</v>
      </c>
      <c r="H131" s="309">
        <v>10.135999999999999</v>
      </c>
      <c r="I131" s="310">
        <v>0.307</v>
      </c>
      <c r="K131" s="188"/>
      <c r="L131" s="381"/>
      <c r="M131" s="379">
        <v>2.5</v>
      </c>
      <c r="N131" s="220">
        <f>IF(B131&gt;=508,  31,
    IF(B131&gt;=219.1,  32,  34))*
    LOG(IF(B131&gt;=300,  9.53,
      mathx1x2xy1y2y(
        INDEX($K$6:$K$18,MATCH(B131,$K$6:$K$18,1),1),
        INDEX($K$6:$K$18,MATCH(B131,$K$6:$K$18,1)+1,1),
        B131,
        INDEX($L$6:$L$18,MATCH(B131,$K$6:$K$18,1),1),
        INDEX($L$6:$L$18,MATCH(B131,$K$6:$K$18,1)+1,1)))/E131)</f>
        <v>2.3995242065285338</v>
      </c>
    </row>
    <row r="132" spans="1:14" s="193" customFormat="1" ht="15.75" customHeight="1" x14ac:dyDescent="0.35">
      <c r="A132" s="258" t="s">
        <v>101</v>
      </c>
      <c r="B132" s="302">
        <v>273</v>
      </c>
      <c r="C132" s="303">
        <v>278</v>
      </c>
      <c r="D132" s="307">
        <v>254.5</v>
      </c>
      <c r="E132" s="308">
        <v>9.27</v>
      </c>
      <c r="F132" s="305">
        <v>10.75</v>
      </c>
      <c r="G132" s="306">
        <v>10.94</v>
      </c>
      <c r="H132" s="309">
        <v>10.02</v>
      </c>
      <c r="I132" s="310">
        <v>0.36499999999999999</v>
      </c>
      <c r="K132" s="188"/>
      <c r="L132" s="381"/>
      <c r="M132" s="379">
        <v>0</v>
      </c>
      <c r="N132" s="220">
        <f>IF(B132&gt;=508,  31,
    IF(B132&gt;=219.1,  32,  34))*
    LOG(IF(B132&gt;=300,  9.53,
      mathx1x2xy1y2y(
        INDEX($K$6:$K$18,MATCH(B132,$K$6:$K$18,1),1),
        INDEX($K$6:$K$18,MATCH(B132,$K$6:$K$18,1)+1,1),
        B132,
        INDEX($L$6:$L$18,MATCH(B132,$K$6:$K$18,1),1),
        INDEX($L$6:$L$18,MATCH(B132,$K$6:$K$18,1)+1,1)))/E132)</f>
        <v>0</v>
      </c>
    </row>
    <row r="133" spans="1:14" s="193" customFormat="1" ht="15.75" customHeight="1" x14ac:dyDescent="0.35">
      <c r="A133" s="258" t="s">
        <v>102</v>
      </c>
      <c r="B133" s="302">
        <v>273</v>
      </c>
      <c r="C133" s="303">
        <v>278</v>
      </c>
      <c r="D133" s="307">
        <v>254.5</v>
      </c>
      <c r="E133" s="308">
        <v>9.27</v>
      </c>
      <c r="F133" s="305">
        <v>10.75</v>
      </c>
      <c r="G133" s="306">
        <v>10.94</v>
      </c>
      <c r="H133" s="309">
        <v>10.02</v>
      </c>
      <c r="I133" s="310">
        <v>0.36499999999999999</v>
      </c>
      <c r="K133" s="188"/>
      <c r="L133" s="381"/>
      <c r="M133" s="379">
        <v>0</v>
      </c>
      <c r="N133" s="220">
        <f>IF(B133&gt;=508,  31,
    IF(B133&gt;=219.1,  32,  34))*
    LOG(IF(B133&gt;=300,  9.53,
      mathx1x2xy1y2y(
        INDEX($K$6:$K$18,MATCH(B133,$K$6:$K$18,1),1),
        INDEX($K$6:$K$18,MATCH(B133,$K$6:$K$18,1)+1,1),
        B133,
        INDEX($L$6:$L$18,MATCH(B133,$K$6:$K$18,1),1),
        INDEX($L$6:$L$18,MATCH(B133,$K$6:$K$18,1)+1,1)))/E133)</f>
        <v>0</v>
      </c>
    </row>
    <row r="134" spans="1:14" s="263" customFormat="1" ht="15.75" customHeight="1" x14ac:dyDescent="0.35">
      <c r="A134" s="258" t="s">
        <v>100</v>
      </c>
      <c r="B134" s="302">
        <v>273</v>
      </c>
      <c r="C134" s="303">
        <v>278</v>
      </c>
      <c r="D134" s="307">
        <v>254.5</v>
      </c>
      <c r="E134" s="308">
        <v>9.27</v>
      </c>
      <c r="F134" s="305">
        <v>10.75</v>
      </c>
      <c r="G134" s="306">
        <v>10.94</v>
      </c>
      <c r="H134" s="309">
        <v>10.02</v>
      </c>
      <c r="I134" s="310">
        <v>0.36499999999999999</v>
      </c>
      <c r="K134" s="188"/>
      <c r="L134" s="381"/>
      <c r="M134" s="379">
        <v>0</v>
      </c>
      <c r="N134" s="220">
        <f>IF(B134&gt;=508,  31,
    IF(B134&gt;=219.1,  32,  34))*
    LOG(IF(B134&gt;=300,  9.53,
      mathx1x2xy1y2y(
        INDEX($K$6:$K$18,MATCH(B134,$K$6:$K$18,1),1),
        INDEX($K$6:$K$18,MATCH(B134,$K$6:$K$18,1)+1,1),
        B134,
        INDEX($L$6:$L$18,MATCH(B134,$K$6:$K$18,1),1),
        INDEX($L$6:$L$18,MATCH(B134,$K$6:$K$18,1)+1,1)))/E134)</f>
        <v>0</v>
      </c>
    </row>
    <row r="135" spans="1:14" s="193" customFormat="1" ht="15.75" customHeight="1" x14ac:dyDescent="0.35">
      <c r="A135" s="301" t="s">
        <v>103</v>
      </c>
      <c r="B135" s="302">
        <v>273</v>
      </c>
      <c r="C135" s="303">
        <v>278</v>
      </c>
      <c r="D135" s="307">
        <v>247.5</v>
      </c>
      <c r="E135" s="308">
        <v>12.7</v>
      </c>
      <c r="F135" s="305">
        <v>10.75</v>
      </c>
      <c r="G135" s="306">
        <v>10.94</v>
      </c>
      <c r="H135" s="309">
        <v>9.75</v>
      </c>
      <c r="I135" s="310">
        <v>0.5</v>
      </c>
      <c r="K135" s="188"/>
      <c r="L135" s="381"/>
      <c r="M135" s="379">
        <v>-4.5</v>
      </c>
      <c r="N135" s="220">
        <f>IF(B135&gt;=508,  31,
    IF(B135&gt;=219.1,  32,  34))*
    LOG(IF(B135&gt;=300,  9.53,
      mathx1x2xy1y2y(
        INDEX($K$6:$K$18,MATCH(B135,$K$6:$K$18,1),1),
        INDEX($K$6:$K$18,MATCH(B135,$K$6:$K$18,1)+1,1),
        B135,
        INDEX($L$6:$L$18,MATCH(B135,$K$6:$K$18,1),1),
        INDEX($L$6:$L$18,MATCH(B135,$K$6:$K$18,1)+1,1)))/E135)</f>
        <v>-4.3751675779667138</v>
      </c>
    </row>
    <row r="136" spans="1:14" s="263" customFormat="1" ht="15.75" customHeight="1" x14ac:dyDescent="0.35">
      <c r="A136" s="301" t="s">
        <v>104</v>
      </c>
      <c r="B136" s="302">
        <v>273</v>
      </c>
      <c r="C136" s="303">
        <v>278</v>
      </c>
      <c r="D136" s="307">
        <v>247.5</v>
      </c>
      <c r="E136" s="308">
        <v>12.7</v>
      </c>
      <c r="F136" s="305">
        <v>10.75</v>
      </c>
      <c r="G136" s="306">
        <v>10.94</v>
      </c>
      <c r="H136" s="309">
        <v>9.75</v>
      </c>
      <c r="I136" s="310">
        <v>0.5</v>
      </c>
      <c r="K136" s="188"/>
      <c r="L136" s="381"/>
      <c r="M136" s="379">
        <v>-4.5</v>
      </c>
      <c r="N136" s="220">
        <f>IF(B136&gt;=508,  31,
    IF(B136&gt;=219.1,  32,  34))*
    LOG(IF(B136&gt;=300,  9.53,
      mathx1x2xy1y2y(
        INDEX($K$6:$K$18,MATCH(B136,$K$6:$K$18,1),1),
        INDEX($K$6:$K$18,MATCH(B136,$K$6:$K$18,1)+1,1),
        B136,
        INDEX($L$6:$L$18,MATCH(B136,$K$6:$K$18,1),1),
        INDEX($L$6:$L$18,MATCH(B136,$K$6:$K$18,1)+1,1)))/E136)</f>
        <v>-4.3751675779667138</v>
      </c>
    </row>
    <row r="137" spans="1:14" s="193" customFormat="1" ht="15.75" customHeight="1" x14ac:dyDescent="0.35">
      <c r="A137" s="258" t="s">
        <v>105</v>
      </c>
      <c r="B137" s="302">
        <v>273</v>
      </c>
      <c r="C137" s="303">
        <v>278</v>
      </c>
      <c r="D137" s="307">
        <v>247.5</v>
      </c>
      <c r="E137" s="308">
        <v>12.7</v>
      </c>
      <c r="F137" s="305">
        <v>10.75</v>
      </c>
      <c r="G137" s="306">
        <v>10.94</v>
      </c>
      <c r="H137" s="309">
        <v>9.75</v>
      </c>
      <c r="I137" s="310">
        <v>0.5</v>
      </c>
      <c r="K137" s="188"/>
      <c r="L137" s="381"/>
      <c r="M137" s="379">
        <v>-4.5</v>
      </c>
      <c r="N137" s="220">
        <f>IF(B137&gt;=508,  31,
    IF(B137&gt;=219.1,  32,  34))*
    LOG(IF(B137&gt;=300,  9.53,
      mathx1x2xy1y2y(
        INDEX($K$6:$K$18,MATCH(B137,$K$6:$K$18,1),1),
        INDEX($K$6:$K$18,MATCH(B137,$K$6:$K$18,1)+1,1),
        B137,
        INDEX($L$6:$L$18,MATCH(B137,$K$6:$K$18,1),1),
        INDEX($L$6:$L$18,MATCH(B137,$K$6:$K$18,1)+1,1)))/E137)</f>
        <v>-4.3751675779667138</v>
      </c>
    </row>
    <row r="138" spans="1:14" s="193" customFormat="1" ht="15.75" customHeight="1" x14ac:dyDescent="0.35">
      <c r="A138" s="258" t="s">
        <v>106</v>
      </c>
      <c r="B138" s="302">
        <v>273</v>
      </c>
      <c r="C138" s="303">
        <v>278</v>
      </c>
      <c r="D138" s="307">
        <v>243</v>
      </c>
      <c r="E138" s="308">
        <v>15.09</v>
      </c>
      <c r="F138" s="305">
        <v>10.75</v>
      </c>
      <c r="G138" s="306">
        <v>10.94</v>
      </c>
      <c r="H138" s="309">
        <v>9.5619999999999994</v>
      </c>
      <c r="I138" s="310">
        <v>0.59399999999999997</v>
      </c>
      <c r="K138" s="188"/>
      <c r="L138" s="381"/>
      <c r="M138" s="379">
        <v>-6.5</v>
      </c>
      <c r="N138" s="220">
        <f>IF(B138&gt;=508,  31,
    IF(B138&gt;=219.1,  32,  34))*
    LOG(IF(B138&gt;=300,  9.53,
      mathx1x2xy1y2y(
        INDEX($K$6:$K$18,MATCH(B138,$K$6:$K$18,1),1),
        INDEX($K$6:$K$18,MATCH(B138,$K$6:$K$18,1)+1,1),
        B138,
        INDEX($L$6:$L$18,MATCH(B138,$K$6:$K$18,1),1),
        INDEX($L$6:$L$18,MATCH(B138,$K$6:$K$18,1)+1,1)))/E138)</f>
        <v>-6.7715041801949694</v>
      </c>
    </row>
    <row r="139" spans="1:14" s="193" customFormat="1" ht="15.75" customHeight="1" x14ac:dyDescent="0.35">
      <c r="A139" s="258" t="s">
        <v>107</v>
      </c>
      <c r="B139" s="302">
        <v>273</v>
      </c>
      <c r="C139" s="303">
        <v>278</v>
      </c>
      <c r="D139" s="307">
        <v>236.5</v>
      </c>
      <c r="E139" s="308">
        <v>18.260000000000002</v>
      </c>
      <c r="F139" s="305">
        <v>10.75</v>
      </c>
      <c r="G139" s="306">
        <v>10.94</v>
      </c>
      <c r="H139" s="309">
        <v>9.3119999999999994</v>
      </c>
      <c r="I139" s="310">
        <v>0.71899999999999997</v>
      </c>
      <c r="K139" s="188"/>
      <c r="L139" s="381"/>
      <c r="M139" s="379">
        <v>-9.5</v>
      </c>
      <c r="N139" s="220">
        <f>IF(B139&gt;=508,  31,
    IF(B139&gt;=219.1,  32,  34))*
    LOG(IF(B139&gt;=300,  9.53,
      mathx1x2xy1y2y(
        INDEX($K$6:$K$18,MATCH(B139,$K$6:$K$18,1),1),
        INDEX($K$6:$K$18,MATCH(B139,$K$6:$K$18,1)+1,1),
        B139,
        INDEX($L$6:$L$18,MATCH(B139,$K$6:$K$18,1),1),
        INDEX($L$6:$L$18,MATCH(B139,$K$6:$K$18,1)+1,1)))/E139)</f>
        <v>-9.4214732497210605</v>
      </c>
    </row>
    <row r="140" spans="1:14" s="193" customFormat="1" ht="15.75" customHeight="1" x14ac:dyDescent="0.35">
      <c r="A140" s="258" t="s">
        <v>108</v>
      </c>
      <c r="B140" s="302">
        <v>273</v>
      </c>
      <c r="C140" s="303">
        <v>278</v>
      </c>
      <c r="D140" s="307">
        <v>230</v>
      </c>
      <c r="E140" s="308">
        <v>21.44</v>
      </c>
      <c r="F140" s="305">
        <v>10.75</v>
      </c>
      <c r="G140" s="306">
        <v>10.94</v>
      </c>
      <c r="H140" s="309">
        <v>9.0619999999999994</v>
      </c>
      <c r="I140" s="310">
        <v>0.84399999999999997</v>
      </c>
      <c r="K140" s="188"/>
      <c r="L140" s="381"/>
      <c r="M140" s="379">
        <v>-11.5</v>
      </c>
      <c r="N140" s="220">
        <f>IF(B140&gt;=508,  31,
    IF(B140&gt;=219.1,  32,  34))*
    LOG(IF(B140&gt;=300,  9.53,
      mathx1x2xy1y2y(
        INDEX($K$6:$K$18,MATCH(B140,$K$6:$K$18,1),1),
        INDEX($K$6:$K$18,MATCH(B140,$K$6:$K$18,1)+1,1),
        B140,
        INDEX($L$6:$L$18,MATCH(B140,$K$6:$K$18,1),1),
        INDEX($L$6:$L$18,MATCH(B140,$K$6:$K$18,1)+1,1)))/E140)</f>
        <v>-11.652641500039532</v>
      </c>
    </row>
    <row r="141" spans="1:14" s="263" customFormat="1" ht="15.75" customHeight="1" x14ac:dyDescent="0.35">
      <c r="A141" s="301" t="s">
        <v>109</v>
      </c>
      <c r="B141" s="302">
        <v>273</v>
      </c>
      <c r="C141" s="303">
        <v>278</v>
      </c>
      <c r="D141" s="307">
        <v>222</v>
      </c>
      <c r="E141" s="308">
        <v>25.4</v>
      </c>
      <c r="F141" s="305">
        <v>10.75</v>
      </c>
      <c r="G141" s="306">
        <v>10.94</v>
      </c>
      <c r="H141" s="309">
        <v>8.75</v>
      </c>
      <c r="I141" s="310">
        <v>1</v>
      </c>
      <c r="K141" s="188"/>
      <c r="L141" s="381"/>
      <c r="M141" s="379">
        <v>-14</v>
      </c>
      <c r="N141" s="220">
        <f>IF(B141&gt;=508,  31,
    IF(B141&gt;=219.1,  32,  34))*
    LOG(IF(B141&gt;=300,  9.53,
      mathx1x2xy1y2y(
        INDEX($K$6:$K$18,MATCH(B141,$K$6:$K$18,1),1),
        INDEX($K$6:$K$18,MATCH(B141,$K$6:$K$18,1)+1,1),
        B141,
        INDEX($L$6:$L$18,MATCH(B141,$K$6:$K$18,1),1),
        INDEX($L$6:$L$18,MATCH(B141,$K$6:$K$18,1)+1,1)))/E141)</f>
        <v>-14.008127439214112</v>
      </c>
    </row>
    <row r="142" spans="1:14" s="193" customFormat="1" ht="15.75" customHeight="1" thickBot="1" x14ac:dyDescent="0.4">
      <c r="A142" s="278" t="s">
        <v>110</v>
      </c>
      <c r="B142" s="312">
        <v>273</v>
      </c>
      <c r="C142" s="313">
        <v>278</v>
      </c>
      <c r="D142" s="314">
        <v>216</v>
      </c>
      <c r="E142" s="315">
        <v>28.58</v>
      </c>
      <c r="F142" s="316">
        <v>10.75</v>
      </c>
      <c r="G142" s="317">
        <v>10.94</v>
      </c>
      <c r="H142" s="318">
        <v>8.5</v>
      </c>
      <c r="I142" s="319">
        <v>1.125</v>
      </c>
      <c r="K142" s="188"/>
      <c r="L142" s="381"/>
      <c r="M142" s="383">
        <v>-15.5</v>
      </c>
      <c r="N142" s="230">
        <f>IF(B142&gt;=508,  31,
    IF(B142&gt;=219.1,  32,  34))*
    LOG(IF(B142&gt;=300,  9.53,
      mathx1x2xy1y2y(
        INDEX($K$6:$K$18,MATCH(B142,$K$6:$K$18,1),1),
        INDEX($K$6:$K$18,MATCH(B142,$K$6:$K$18,1)+1,1),
        B142,
        INDEX($L$6:$L$18,MATCH(B142,$K$6:$K$18,1),1),
        INDEX($L$6:$L$18,MATCH(B142,$K$6:$K$18,1)+1,1)))/E142)</f>
        <v>-15.647439689934538</v>
      </c>
    </row>
    <row r="143" spans="1:14" s="193" customFormat="1" ht="15.75" customHeight="1" x14ac:dyDescent="0.35">
      <c r="A143" s="247" t="s">
        <v>111</v>
      </c>
      <c r="B143" s="320">
        <v>323.8</v>
      </c>
      <c r="C143" s="321">
        <v>329</v>
      </c>
      <c r="D143" s="287">
        <f>H143*25.4</f>
        <v>314.70600000000002</v>
      </c>
      <c r="E143" s="322">
        <f>I143*25.4</f>
        <v>4.5719999999999992</v>
      </c>
      <c r="F143" s="323">
        <v>12.75</v>
      </c>
      <c r="G143" s="324">
        <v>12.97</v>
      </c>
      <c r="H143" s="325">
        <f t="shared" si="10"/>
        <v>12.39</v>
      </c>
      <c r="I143" s="255">
        <v>0.18</v>
      </c>
      <c r="K143" s="188"/>
      <c r="L143" s="381"/>
      <c r="M143" s="378">
        <v>10</v>
      </c>
      <c r="N143" s="209">
        <f>IF(B143&gt;=508,  31,
    IF(B143&gt;=219.1,  32,  34))*
    LOG(IF(B143&gt;=300,  9.53,
      mathx1x2xy1y2y(
        INDEX($K$6:$K$18,MATCH(B143,$K$6:$K$18,1),1),
        INDEX($K$6:$K$18,MATCH(B143,$K$6:$K$18,1)+1,1),
        B143,
        INDEX($L$6:$L$18,MATCH(B143,$K$6:$K$18,1),1),
        INDEX($L$6:$L$18,MATCH(B143,$K$6:$K$18,1)+1,1)))/E143)</f>
        <v>10.207573725282636</v>
      </c>
    </row>
    <row r="144" spans="1:14" s="193" customFormat="1" ht="15.75" customHeight="1" x14ac:dyDescent="0.35">
      <c r="A144" s="258" t="s">
        <v>823</v>
      </c>
      <c r="B144" s="302">
        <v>323.8</v>
      </c>
      <c r="C144" s="303">
        <v>329</v>
      </c>
      <c r="D144" s="277">
        <f>H144*25.4</f>
        <v>314.70600000000002</v>
      </c>
      <c r="E144" s="304">
        <f>I144*25.4</f>
        <v>4.5719999999999992</v>
      </c>
      <c r="F144" s="305">
        <v>12.75</v>
      </c>
      <c r="G144" s="306">
        <v>12.97</v>
      </c>
      <c r="H144" s="289">
        <f t="shared" si="10"/>
        <v>12.39</v>
      </c>
      <c r="I144" s="262">
        <v>0.18</v>
      </c>
      <c r="K144" s="188"/>
      <c r="L144" s="381"/>
      <c r="M144" s="379">
        <v>10</v>
      </c>
      <c r="N144" s="220">
        <f>IF(B144&gt;=508,  31,
    IF(B144&gt;=219.1,  32,  34))*
    LOG(IF(B144&gt;=300,  9.53,
      mathx1x2xy1y2y(
        INDEX($K$6:$K$18,MATCH(B144,$K$6:$K$18,1),1),
        INDEX($K$6:$K$18,MATCH(B144,$K$6:$K$18,1)+1,1),
        B144,
        INDEX($L$6:$L$18,MATCH(B144,$K$6:$K$18,1),1),
        INDEX($L$6:$L$18,MATCH(B144,$K$6:$K$18,1)+1,1)))/E144)</f>
        <v>10.207573725282636</v>
      </c>
    </row>
    <row r="145" spans="1:14" s="193" customFormat="1" ht="15.75" customHeight="1" x14ac:dyDescent="0.35">
      <c r="A145" s="258" t="s">
        <v>112</v>
      </c>
      <c r="B145" s="302">
        <v>323.8</v>
      </c>
      <c r="C145" s="303">
        <v>329</v>
      </c>
      <c r="D145" s="307">
        <v>311</v>
      </c>
      <c r="E145" s="308">
        <v>6.35</v>
      </c>
      <c r="F145" s="305">
        <v>12.75</v>
      </c>
      <c r="G145" s="306">
        <v>12.97</v>
      </c>
      <c r="H145" s="309">
        <v>12.25</v>
      </c>
      <c r="I145" s="310">
        <v>0.25</v>
      </c>
      <c r="K145" s="188"/>
      <c r="L145" s="381"/>
      <c r="M145" s="379">
        <v>5.5</v>
      </c>
      <c r="N145" s="220">
        <f>IF(B145&gt;=508,  31,
    IF(B145&gt;=219.1,  32,  34))*
    LOG(IF(B145&gt;=300,  9.53,
      mathx1x2xy1y2y(
        INDEX($K$6:$K$18,MATCH(B145,$K$6:$K$18,1),1),
        INDEX($K$6:$K$18,MATCH(B145,$K$6:$K$18,1)+1,1),
        B145,
        INDEX($L$6:$L$18,MATCH(B145,$K$6:$K$18,1),1),
        INDEX($L$6:$L$18,MATCH(B145,$K$6:$K$18,1)+1,1)))/E145)</f>
        <v>5.6422136110832231</v>
      </c>
    </row>
    <row r="146" spans="1:14" s="193" customFormat="1" ht="15.75" customHeight="1" x14ac:dyDescent="0.35">
      <c r="A146" s="258" t="s">
        <v>113</v>
      </c>
      <c r="B146" s="302">
        <v>323.8</v>
      </c>
      <c r="C146" s="303">
        <v>329</v>
      </c>
      <c r="D146" s="307">
        <v>307</v>
      </c>
      <c r="E146" s="308">
        <v>8.3800000000000008</v>
      </c>
      <c r="F146" s="305">
        <v>12.75</v>
      </c>
      <c r="G146" s="306">
        <v>12.97</v>
      </c>
      <c r="H146" s="309">
        <v>12.09</v>
      </c>
      <c r="I146" s="310">
        <v>0.33</v>
      </c>
      <c r="K146" s="188"/>
      <c r="L146" s="381"/>
      <c r="M146" s="379">
        <v>1.5</v>
      </c>
      <c r="N146" s="220">
        <f>IF(B146&gt;=508,  31,
    IF(B146&gt;=219.1,  32,  34))*
    LOG(IF(B146&gt;=300,  9.53,
      mathx1x2xy1y2y(
        INDEX($K$6:$K$18,MATCH(B146,$K$6:$K$18,1),1),
        INDEX($K$6:$K$18,MATCH(B146,$K$6:$K$18,1)+1,1),
        B146,
        INDEX($L$6:$L$18,MATCH(B146,$K$6:$K$18,1),1),
        INDEX($L$6:$L$18,MATCH(B146,$K$6:$K$18,1)+1,1)))/E146)</f>
        <v>1.7871642242575945</v>
      </c>
    </row>
    <row r="147" spans="1:14" s="193" customFormat="1" ht="15.75" customHeight="1" x14ac:dyDescent="0.35">
      <c r="A147" s="301" t="s">
        <v>114</v>
      </c>
      <c r="B147" s="302">
        <v>323.8</v>
      </c>
      <c r="C147" s="303">
        <v>329</v>
      </c>
      <c r="D147" s="307">
        <v>305</v>
      </c>
      <c r="E147" s="308">
        <v>9.5299999999999994</v>
      </c>
      <c r="F147" s="305">
        <v>12.75</v>
      </c>
      <c r="G147" s="306">
        <v>12.97</v>
      </c>
      <c r="H147" s="309">
        <v>12</v>
      </c>
      <c r="I147" s="310">
        <v>0.375</v>
      </c>
      <c r="K147" s="188"/>
      <c r="L147" s="381"/>
      <c r="M147" s="379">
        <v>0</v>
      </c>
      <c r="N147" s="220">
        <f>IF(B147&gt;=508,  31,
    IF(B147&gt;=219.1,  32,  34))*
    LOG(IF(B147&gt;=300,  9.53,
      mathx1x2xy1y2y(
        INDEX($K$6:$K$18,MATCH(B147,$K$6:$K$18,1),1),
        INDEX($K$6:$K$18,MATCH(B147,$K$6:$K$18,1)+1,1),
        B147,
        INDEX($L$6:$L$18,MATCH(B147,$K$6:$K$18,1),1),
        INDEX($L$6:$L$18,MATCH(B147,$K$6:$K$18,1)+1,1)))/E147)</f>
        <v>0</v>
      </c>
    </row>
    <row r="148" spans="1:14" s="263" customFormat="1" ht="15.75" customHeight="1" x14ac:dyDescent="0.35">
      <c r="A148" s="258" t="s">
        <v>115</v>
      </c>
      <c r="B148" s="302">
        <v>323.8</v>
      </c>
      <c r="C148" s="303">
        <v>329</v>
      </c>
      <c r="D148" s="307">
        <v>305</v>
      </c>
      <c r="E148" s="308">
        <v>9.5299999999999994</v>
      </c>
      <c r="F148" s="305">
        <v>12.75</v>
      </c>
      <c r="G148" s="306">
        <v>12.97</v>
      </c>
      <c r="H148" s="309">
        <v>12</v>
      </c>
      <c r="I148" s="310">
        <v>0.375</v>
      </c>
      <c r="K148" s="188"/>
      <c r="L148" s="381"/>
      <c r="M148" s="379">
        <v>0</v>
      </c>
      <c r="N148" s="220">
        <f>IF(B148&gt;=508,  31,
    IF(B148&gt;=219.1,  32,  34))*
    LOG(IF(B148&gt;=300,  9.53,
      mathx1x2xy1y2y(
        INDEX($K$6:$K$18,MATCH(B148,$K$6:$K$18,1),1),
        INDEX($K$6:$K$18,MATCH(B148,$K$6:$K$18,1)+1,1),
        B148,
        INDEX($L$6:$L$18,MATCH(B148,$K$6:$K$18,1),1),
        INDEX($L$6:$L$18,MATCH(B148,$K$6:$K$18,1)+1,1)))/E148)</f>
        <v>0</v>
      </c>
    </row>
    <row r="149" spans="1:14" s="193" customFormat="1" ht="15.75" customHeight="1" x14ac:dyDescent="0.35">
      <c r="A149" s="258" t="s">
        <v>116</v>
      </c>
      <c r="B149" s="302">
        <v>323.8</v>
      </c>
      <c r="C149" s="303">
        <v>329</v>
      </c>
      <c r="D149" s="307">
        <v>303</v>
      </c>
      <c r="E149" s="308">
        <v>10.31</v>
      </c>
      <c r="F149" s="305">
        <v>12.75</v>
      </c>
      <c r="G149" s="306">
        <v>12.97</v>
      </c>
      <c r="H149" s="309">
        <v>11.938000000000001</v>
      </c>
      <c r="I149" s="310">
        <v>0.40600000000000003</v>
      </c>
      <c r="K149" s="188"/>
      <c r="L149" s="381"/>
      <c r="M149" s="379">
        <v>-1</v>
      </c>
      <c r="N149" s="220">
        <f>IF(B149&gt;=508,  31,
    IF(B149&gt;=219.1,  32,  34))*
    LOG(IF(B149&gt;=300,  9.53,
      mathx1x2xy1y2y(
        INDEX($K$6:$K$18,MATCH(B149,$K$6:$K$18,1),1),
        INDEX($K$6:$K$18,MATCH(B149,$K$6:$K$18,1)+1,1),
        B149,
        INDEX($L$6:$L$18,MATCH(B149,$K$6:$K$18,1),1),
        INDEX($L$6:$L$18,MATCH(B149,$K$6:$K$18,1)+1,1)))/E149)</f>
        <v>-1.0933044686460864</v>
      </c>
    </row>
    <row r="150" spans="1:14" s="193" customFormat="1" ht="15.75" customHeight="1" x14ac:dyDescent="0.35">
      <c r="A150" s="301" t="s">
        <v>117</v>
      </c>
      <c r="B150" s="302">
        <v>323.8</v>
      </c>
      <c r="C150" s="303">
        <v>329</v>
      </c>
      <c r="D150" s="307">
        <v>298.5</v>
      </c>
      <c r="E150" s="308">
        <v>12.7</v>
      </c>
      <c r="F150" s="305">
        <v>12.75</v>
      </c>
      <c r="G150" s="306">
        <v>12.97</v>
      </c>
      <c r="H150" s="309">
        <v>11.75</v>
      </c>
      <c r="I150" s="310">
        <v>0.5</v>
      </c>
      <c r="K150" s="188"/>
      <c r="L150" s="381"/>
      <c r="M150" s="379">
        <v>-4</v>
      </c>
      <c r="N150" s="220">
        <f>IF(B150&gt;=508,  31,
    IF(B150&gt;=219.1,  32,  34))*
    LOG(IF(B150&gt;=300,  9.53,
      mathx1x2xy1y2y(
        INDEX($K$6:$K$18,MATCH(B150,$K$6:$K$18,1),1),
        INDEX($K$6:$K$18,MATCH(B150,$K$6:$K$18,1)+1,1),
        B150,
        INDEX($L$6:$L$18,MATCH(B150,$K$6:$K$18,1),1),
        INDEX($L$6:$L$18,MATCH(B150,$K$6:$K$18,1)+1,1)))/E150)</f>
        <v>-3.9907462501641753</v>
      </c>
    </row>
    <row r="151" spans="1:14" s="193" customFormat="1" ht="15.75" customHeight="1" x14ac:dyDescent="0.35">
      <c r="A151" s="258" t="s">
        <v>118</v>
      </c>
      <c r="B151" s="302">
        <v>323.8</v>
      </c>
      <c r="C151" s="303">
        <v>329</v>
      </c>
      <c r="D151" s="307">
        <v>298.5</v>
      </c>
      <c r="E151" s="308">
        <v>12.7</v>
      </c>
      <c r="F151" s="305">
        <v>12.75</v>
      </c>
      <c r="G151" s="306">
        <v>12.97</v>
      </c>
      <c r="H151" s="309">
        <v>11.75</v>
      </c>
      <c r="I151" s="310">
        <v>0.5</v>
      </c>
      <c r="K151" s="188"/>
      <c r="L151" s="381"/>
      <c r="M151" s="379">
        <v>-4</v>
      </c>
      <c r="N151" s="220">
        <f>IF(B151&gt;=508,  31,
    IF(B151&gt;=219.1,  32,  34))*
    LOG(IF(B151&gt;=300,  9.53,
      mathx1x2xy1y2y(
        INDEX($K$6:$K$18,MATCH(B151,$K$6:$K$18,1),1),
        INDEX($K$6:$K$18,MATCH(B151,$K$6:$K$18,1)+1,1),
        B151,
        INDEX($L$6:$L$18,MATCH(B151,$K$6:$K$18,1),1),
        INDEX($L$6:$L$18,MATCH(B151,$K$6:$K$18,1)+1,1)))/E151)</f>
        <v>-3.9907462501641753</v>
      </c>
    </row>
    <row r="152" spans="1:14" s="193" customFormat="1" ht="15.75" customHeight="1" x14ac:dyDescent="0.35">
      <c r="A152" s="258" t="s">
        <v>119</v>
      </c>
      <c r="B152" s="302">
        <v>323.8</v>
      </c>
      <c r="C152" s="303">
        <v>329</v>
      </c>
      <c r="D152" s="307">
        <v>295</v>
      </c>
      <c r="E152" s="308">
        <v>14.27</v>
      </c>
      <c r="F152" s="305">
        <v>12.75</v>
      </c>
      <c r="G152" s="306">
        <v>12.97</v>
      </c>
      <c r="H152" s="309">
        <v>11.625999999999999</v>
      </c>
      <c r="I152" s="310">
        <v>0.56200000000000006</v>
      </c>
      <c r="K152" s="188"/>
      <c r="L152" s="381"/>
      <c r="M152" s="379">
        <v>-5.5</v>
      </c>
      <c r="N152" s="220">
        <f>IF(B152&gt;=508,  31,
    IF(B152&gt;=219.1,  32,  34))*
    LOG(IF(B152&gt;=300,  9.53,
      mathx1x2xy1y2y(
        INDEX($K$6:$K$18,MATCH(B152,$K$6:$K$18,1),1),
        INDEX($K$6:$K$18,MATCH(B152,$K$6:$K$18,1)+1,1),
        B152,
        INDEX($L$6:$L$18,MATCH(B152,$K$6:$K$18,1),1),
        INDEX($L$6:$L$18,MATCH(B152,$K$6:$K$18,1)+1,1)))/E152)</f>
        <v>-5.6105943192422574</v>
      </c>
    </row>
    <row r="153" spans="1:14" s="193" customFormat="1" ht="15.75" customHeight="1" x14ac:dyDescent="0.35">
      <c r="A153" s="258" t="s">
        <v>120</v>
      </c>
      <c r="B153" s="302">
        <v>323.8</v>
      </c>
      <c r="C153" s="303">
        <v>329</v>
      </c>
      <c r="D153" s="307">
        <v>289</v>
      </c>
      <c r="E153" s="308">
        <v>17.48</v>
      </c>
      <c r="F153" s="305">
        <v>12.75</v>
      </c>
      <c r="G153" s="306">
        <v>12.97</v>
      </c>
      <c r="H153" s="309">
        <v>11.374000000000001</v>
      </c>
      <c r="I153" s="310">
        <v>0.68799999999999994</v>
      </c>
      <c r="K153" s="188"/>
      <c r="L153" s="381"/>
      <c r="M153" s="379">
        <v>-8</v>
      </c>
      <c r="N153" s="220">
        <f>IF(B153&gt;=508,  31,
    IF(B153&gt;=219.1,  32,  34))*
    LOG(IF(B153&gt;=300,  9.53,
      mathx1x2xy1y2y(
        INDEX($K$6:$K$18,MATCH(B153,$K$6:$K$18,1),1),
        INDEX($K$6:$K$18,MATCH(B153,$K$6:$K$18,1)+1,1),
        B153,
        INDEX($L$6:$L$18,MATCH(B153,$K$6:$K$18,1),1),
        INDEX($L$6:$L$18,MATCH(B153,$K$6:$K$18,1)+1,1)))/E153)</f>
        <v>-8.4303528851218523</v>
      </c>
    </row>
    <row r="154" spans="1:14" s="193" customFormat="1" ht="15.75" customHeight="1" x14ac:dyDescent="0.35">
      <c r="A154" s="258" t="s">
        <v>121</v>
      </c>
      <c r="B154" s="302">
        <v>323.8</v>
      </c>
      <c r="C154" s="303">
        <v>329</v>
      </c>
      <c r="D154" s="307">
        <v>281</v>
      </c>
      <c r="E154" s="308">
        <v>21.44</v>
      </c>
      <c r="F154" s="305">
        <v>12.75</v>
      </c>
      <c r="G154" s="306">
        <v>12.97</v>
      </c>
      <c r="H154" s="309">
        <v>11.061999999999999</v>
      </c>
      <c r="I154" s="310">
        <v>0.84399999999999997</v>
      </c>
      <c r="K154" s="188"/>
      <c r="L154" s="381"/>
      <c r="M154" s="379">
        <v>-11</v>
      </c>
      <c r="N154" s="220">
        <f>IF(B154&gt;=508,  31,
    IF(B154&gt;=219.1,  32,  34))*
    LOG(IF(B154&gt;=300,  9.53,
      mathx1x2xy1y2y(
        INDEX($K$6:$K$18,MATCH(B154,$K$6:$K$18,1),1),
        INDEX($K$6:$K$18,MATCH(B154,$K$6:$K$18,1)+1,1),
        B154,
        INDEX($L$6:$L$18,MATCH(B154,$K$6:$K$18,1),1),
        INDEX($L$6:$L$18,MATCH(B154,$K$6:$K$18,1)+1,1)))/E154)</f>
        <v>-11.268220172236994</v>
      </c>
    </row>
    <row r="155" spans="1:14" s="193" customFormat="1" ht="15.75" customHeight="1" x14ac:dyDescent="0.35">
      <c r="A155" s="301" t="s">
        <v>122</v>
      </c>
      <c r="B155" s="302">
        <v>323.8</v>
      </c>
      <c r="C155" s="303">
        <v>329</v>
      </c>
      <c r="D155" s="307">
        <v>273</v>
      </c>
      <c r="E155" s="308">
        <v>25.4</v>
      </c>
      <c r="F155" s="305">
        <v>12.75</v>
      </c>
      <c r="G155" s="306">
        <v>12.97</v>
      </c>
      <c r="H155" s="309">
        <v>10.75</v>
      </c>
      <c r="I155" s="310">
        <v>1</v>
      </c>
      <c r="K155" s="188"/>
      <c r="L155" s="381"/>
      <c r="M155" s="379">
        <v>-13.5</v>
      </c>
      <c r="N155" s="220">
        <f>IF(B155&gt;=508,  31,
    IF(B155&gt;=219.1,  32,  34))*
    LOG(IF(B155&gt;=300,  9.53,
      mathx1x2xy1y2y(
        INDEX($K$6:$K$18,MATCH(B155,$K$6:$K$18,1),1),
        INDEX($K$6:$K$18,MATCH(B155,$K$6:$K$18,1)+1,1),
        B155,
        INDEX($L$6:$L$18,MATCH(B155,$K$6:$K$18,1),1),
        INDEX($L$6:$L$18,MATCH(B155,$K$6:$K$18,1)+1,1)))/E155)</f>
        <v>-13.623706111411574</v>
      </c>
    </row>
    <row r="156" spans="1:14" s="193" customFormat="1" ht="15.75" customHeight="1" x14ac:dyDescent="0.35">
      <c r="A156" s="258" t="s">
        <v>123</v>
      </c>
      <c r="B156" s="302">
        <v>323.8</v>
      </c>
      <c r="C156" s="303">
        <v>329</v>
      </c>
      <c r="D156" s="307">
        <v>266.5</v>
      </c>
      <c r="E156" s="308">
        <v>28.58</v>
      </c>
      <c r="F156" s="305">
        <v>12.75</v>
      </c>
      <c r="G156" s="306">
        <v>12.97</v>
      </c>
      <c r="H156" s="309">
        <v>10.5</v>
      </c>
      <c r="I156" s="310">
        <v>1.125</v>
      </c>
      <c r="K156" s="188"/>
      <c r="L156" s="381"/>
      <c r="M156" s="379">
        <v>-15</v>
      </c>
      <c r="N156" s="220">
        <f>IF(B156&gt;=508,  31,
    IF(B156&gt;=219.1,  32,  34))*
    LOG(IF(B156&gt;=300,  9.53,
      mathx1x2xy1y2y(
        INDEX($K$6:$K$18,MATCH(B156,$K$6:$K$18,1),1),
        INDEX($K$6:$K$18,MATCH(B156,$K$6:$K$18,1)+1,1),
        B156,
        INDEX($L$6:$L$18,MATCH(B156,$K$6:$K$18,1),1),
        INDEX($L$6:$L$18,MATCH(B156,$K$6:$K$18,1)+1,1)))/E156)</f>
        <v>-15.263018362132001</v>
      </c>
    </row>
    <row r="157" spans="1:14" s="193" customFormat="1" ht="15.75" customHeight="1" thickBot="1" x14ac:dyDescent="0.4">
      <c r="A157" s="264" t="s">
        <v>124</v>
      </c>
      <c r="B157" s="326">
        <v>323.8</v>
      </c>
      <c r="C157" s="327">
        <v>329</v>
      </c>
      <c r="D157" s="328">
        <v>257</v>
      </c>
      <c r="E157" s="329">
        <v>33.32</v>
      </c>
      <c r="F157" s="330">
        <v>12.75</v>
      </c>
      <c r="G157" s="331">
        <v>12.97</v>
      </c>
      <c r="H157" s="332">
        <v>10.125999999999999</v>
      </c>
      <c r="I157" s="333">
        <v>1.3120000000000001</v>
      </c>
      <c r="K157" s="188"/>
      <c r="L157" s="381"/>
      <c r="M157" s="380">
        <v>-17.5</v>
      </c>
      <c r="N157" s="246">
        <f>IF(B157&gt;=508,  31,
    IF(B157&gt;=219.1,  32,  34))*
    LOG(IF(B157&gt;=300,  9.53,
      mathx1x2xy1y2y(
        INDEX($K$6:$K$18,MATCH(B157,$K$6:$K$18,1),1),
        INDEX($K$6:$K$18,MATCH(B157,$K$6:$K$18,1)+1,1),
        B157,
        INDEX($L$6:$L$18,MATCH(B157,$K$6:$K$18,1),1),
        INDEX($L$6:$L$18,MATCH(B157,$K$6:$K$18,1)+1,1)))/E157)</f>
        <v>-17.395586947085555</v>
      </c>
    </row>
    <row r="158" spans="1:14" s="193" customFormat="1" ht="15.75" customHeight="1" x14ac:dyDescent="0.35">
      <c r="A158" s="269" t="s">
        <v>125</v>
      </c>
      <c r="B158" s="295">
        <v>355.6</v>
      </c>
      <c r="C158" s="296">
        <v>362</v>
      </c>
      <c r="D158" s="271">
        <f>H158*25.4</f>
        <v>346.0496</v>
      </c>
      <c r="E158" s="336">
        <v>4.7751999999999999</v>
      </c>
      <c r="F158" s="298">
        <v>14</v>
      </c>
      <c r="G158" s="299">
        <v>14.25</v>
      </c>
      <c r="H158" s="300">
        <f t="shared" ref="H158:H174" si="11">ROUND(F158-2*I158,3)</f>
        <v>13.624000000000001</v>
      </c>
      <c r="I158" s="275">
        <v>0.188</v>
      </c>
      <c r="K158" s="188"/>
      <c r="L158" s="381"/>
      <c r="M158" s="382">
        <v>9.5</v>
      </c>
      <c r="N158" s="256">
        <f>IF(B158&gt;=508,  31,
    IF(B158&gt;=219.1,  32,  34))*
    LOG(IF(B158&gt;=300,  9.53,
      mathx1x2xy1y2y(
        INDEX($K$6:$K$18,MATCH(B158,$K$6:$K$18,1),1),
        INDEX($K$6:$K$18,MATCH(B158,$K$6:$K$18,1)+1,1),
        B158,
        INDEX($L$6:$L$18,MATCH(B158,$K$6:$K$18,1),1),
        INDEX($L$6:$L$18,MATCH(B158,$K$6:$K$18,1)+1,1)))/E158)</f>
        <v>9.6032427121506725</v>
      </c>
    </row>
    <row r="159" spans="1:14" s="193" customFormat="1" ht="15.75" customHeight="1" x14ac:dyDescent="0.35">
      <c r="A159" s="258" t="s">
        <v>126</v>
      </c>
      <c r="B159" s="302">
        <v>355.6</v>
      </c>
      <c r="C159" s="303">
        <v>362</v>
      </c>
      <c r="D159" s="277">
        <f>H159*25.4</f>
        <v>342.9</v>
      </c>
      <c r="E159" s="337">
        <v>6.35</v>
      </c>
      <c r="F159" s="305">
        <v>14</v>
      </c>
      <c r="G159" s="306">
        <v>14.25</v>
      </c>
      <c r="H159" s="289">
        <f t="shared" si="11"/>
        <v>13.5</v>
      </c>
      <c r="I159" s="262">
        <v>0.25</v>
      </c>
      <c r="K159" s="188"/>
      <c r="L159" s="381"/>
      <c r="M159" s="379">
        <v>5.5</v>
      </c>
      <c r="N159" s="220">
        <f>IF(B159&gt;=508,  31,
    IF(B159&gt;=219.1,  32,  34))*
    LOG(IF(B159&gt;=300,  9.53,
      mathx1x2xy1y2y(
        INDEX($K$6:$K$18,MATCH(B159,$K$6:$K$18,1),1),
        INDEX($K$6:$K$18,MATCH(B159,$K$6:$K$18,1)+1,1),
        B159,
        INDEX($L$6:$L$18,MATCH(B159,$K$6:$K$18,1),1),
        INDEX($L$6:$L$18,MATCH(B159,$K$6:$K$18,1)+1,1)))/E159)</f>
        <v>5.6422136110832231</v>
      </c>
    </row>
    <row r="160" spans="1:14" s="193" customFormat="1" ht="15.75" customHeight="1" x14ac:dyDescent="0.35">
      <c r="A160" s="258" t="s">
        <v>127</v>
      </c>
      <c r="B160" s="302">
        <v>355.6</v>
      </c>
      <c r="C160" s="303">
        <v>362</v>
      </c>
      <c r="D160" s="307">
        <v>340</v>
      </c>
      <c r="E160" s="308">
        <v>7.92</v>
      </c>
      <c r="F160" s="305">
        <v>14</v>
      </c>
      <c r="G160" s="306">
        <v>14.25</v>
      </c>
      <c r="H160" s="309">
        <v>13.375999999999999</v>
      </c>
      <c r="I160" s="310">
        <v>0.312</v>
      </c>
      <c r="K160" s="188"/>
      <c r="L160" s="381"/>
      <c r="M160" s="379">
        <v>2.5</v>
      </c>
      <c r="N160" s="220">
        <f>IF(B160&gt;=508,  31,
    IF(B160&gt;=219.1,  32,  34))*
    LOG(IF(B160&gt;=300,  9.53,
      mathx1x2xy1y2y(
        INDEX($K$6:$K$18,MATCH(B160,$K$6:$K$18,1),1),
        INDEX($K$6:$K$18,MATCH(B160,$K$6:$K$18,1)+1,1),
        B160,
        INDEX($L$6:$L$18,MATCH(B160,$K$6:$K$18,1),1),
        INDEX($L$6:$L$18,MATCH(B160,$K$6:$K$18,1)+1,1)))/E160)</f>
        <v>2.5717670095626533</v>
      </c>
    </row>
    <row r="161" spans="1:14" s="263" customFormat="1" ht="15.75" customHeight="1" x14ac:dyDescent="0.35">
      <c r="A161" s="301" t="s">
        <v>128</v>
      </c>
      <c r="B161" s="302">
        <v>355.6</v>
      </c>
      <c r="C161" s="303">
        <v>362</v>
      </c>
      <c r="D161" s="307">
        <v>336.5</v>
      </c>
      <c r="E161" s="308">
        <v>9.5299999999999994</v>
      </c>
      <c r="F161" s="305">
        <v>14</v>
      </c>
      <c r="G161" s="306">
        <v>14.25</v>
      </c>
      <c r="H161" s="309">
        <v>13.25</v>
      </c>
      <c r="I161" s="310">
        <v>0.375</v>
      </c>
      <c r="K161" s="188"/>
      <c r="L161" s="381"/>
      <c r="M161" s="379">
        <v>0</v>
      </c>
      <c r="N161" s="220">
        <f>IF(B161&gt;=508,  31,
    IF(B161&gt;=219.1,  32,  34))*
    LOG(IF(B161&gt;=300,  9.53,
      mathx1x2xy1y2y(
        INDEX($K$6:$K$18,MATCH(B161,$K$6:$K$18,1),1),
        INDEX($K$6:$K$18,MATCH(B161,$K$6:$K$18,1)+1,1),
        B161,
        INDEX($L$6:$L$18,MATCH(B161,$K$6:$K$18,1),1),
        INDEX($L$6:$L$18,MATCH(B161,$K$6:$K$18,1)+1,1)))/E161)</f>
        <v>0</v>
      </c>
    </row>
    <row r="162" spans="1:14" s="193" customFormat="1" ht="15.75" customHeight="1" x14ac:dyDescent="0.35">
      <c r="A162" s="258" t="s">
        <v>824</v>
      </c>
      <c r="B162" s="302">
        <v>355.6</v>
      </c>
      <c r="C162" s="303">
        <v>362</v>
      </c>
      <c r="D162" s="307">
        <v>336.5</v>
      </c>
      <c r="E162" s="308">
        <v>9.5299999999999994</v>
      </c>
      <c r="F162" s="305">
        <v>14</v>
      </c>
      <c r="G162" s="306">
        <v>14.25</v>
      </c>
      <c r="H162" s="309">
        <v>13.25</v>
      </c>
      <c r="I162" s="310">
        <v>0.375</v>
      </c>
      <c r="K162" s="188"/>
      <c r="L162" s="381"/>
      <c r="M162" s="379">
        <v>0</v>
      </c>
      <c r="N162" s="220">
        <f>IF(B162&gt;=508,  31,
    IF(B162&gt;=219.1,  32,  34))*
    LOG(IF(B162&gt;=300,  9.53,
      mathx1x2xy1y2y(
        INDEX($K$6:$K$18,MATCH(B162,$K$6:$K$18,1),1),
        INDEX($K$6:$K$18,MATCH(B162,$K$6:$K$18,1)+1,1),
        B162,
        INDEX($L$6:$L$18,MATCH(B162,$K$6:$K$18,1),1),
        INDEX($L$6:$L$18,MATCH(B162,$K$6:$K$18,1)+1,1)))/E162)</f>
        <v>0</v>
      </c>
    </row>
    <row r="163" spans="1:14" s="193" customFormat="1" ht="15.75" customHeight="1" x14ac:dyDescent="0.35">
      <c r="A163" s="258" t="s">
        <v>129</v>
      </c>
      <c r="B163" s="302">
        <v>355.6</v>
      </c>
      <c r="C163" s="303">
        <v>362</v>
      </c>
      <c r="D163" s="307">
        <v>336.5</v>
      </c>
      <c r="E163" s="308">
        <v>9.5299999999999994</v>
      </c>
      <c r="F163" s="305">
        <v>14</v>
      </c>
      <c r="G163" s="306">
        <v>14.25</v>
      </c>
      <c r="H163" s="309">
        <v>13.25</v>
      </c>
      <c r="I163" s="310">
        <v>0.375</v>
      </c>
      <c r="K163" s="188"/>
      <c r="L163" s="381"/>
      <c r="M163" s="379">
        <v>0</v>
      </c>
      <c r="N163" s="220">
        <f>IF(B163&gt;=508,  31,
    IF(B163&gt;=219.1,  32,  34))*
    LOG(IF(B163&gt;=300,  9.53,
      mathx1x2xy1y2y(
        INDEX($K$6:$K$18,MATCH(B163,$K$6:$K$18,1),1),
        INDEX($K$6:$K$18,MATCH(B163,$K$6:$K$18,1)+1,1),
        B163,
        INDEX($L$6:$L$18,MATCH(B163,$K$6:$K$18,1),1),
        INDEX($L$6:$L$18,MATCH(B163,$K$6:$K$18,1)+1,1)))/E163)</f>
        <v>0</v>
      </c>
    </row>
    <row r="164" spans="1:14" s="193" customFormat="1" ht="15.75" customHeight="1" x14ac:dyDescent="0.35">
      <c r="A164" s="258" t="s">
        <v>130</v>
      </c>
      <c r="B164" s="302">
        <v>355.6</v>
      </c>
      <c r="C164" s="303">
        <v>362</v>
      </c>
      <c r="D164" s="307">
        <v>333.5</v>
      </c>
      <c r="E164" s="308">
        <v>11.13</v>
      </c>
      <c r="F164" s="305">
        <v>14</v>
      </c>
      <c r="G164" s="306">
        <v>14.25</v>
      </c>
      <c r="H164" s="309">
        <v>13.124000000000001</v>
      </c>
      <c r="I164" s="310">
        <v>0.438</v>
      </c>
      <c r="K164" s="188"/>
      <c r="L164" s="381"/>
      <c r="M164" s="379">
        <v>-2</v>
      </c>
      <c r="N164" s="220">
        <f>IF(B164&gt;=508,  31,
    IF(B164&gt;=219.1,  32,  34))*
    LOG(IF(B164&gt;=300,  9.53,
      mathx1x2xy1y2y(
        INDEX($K$6:$K$18,MATCH(B164,$K$6:$K$18,1),1),
        INDEX($K$6:$K$18,MATCH(B164,$K$6:$K$18,1)+1,1),
        B164,
        INDEX($L$6:$L$18,MATCH(B164,$K$6:$K$18,1),1),
        INDEX($L$6:$L$18,MATCH(B164,$K$6:$K$18,1)+1,1)))/E164)</f>
        <v>-2.1568724382842221</v>
      </c>
    </row>
    <row r="165" spans="1:14" s="193" customFormat="1" ht="15.75" customHeight="1" x14ac:dyDescent="0.35">
      <c r="A165" s="258" t="s">
        <v>825</v>
      </c>
      <c r="B165" s="302">
        <v>355.6</v>
      </c>
      <c r="C165" s="303">
        <v>362</v>
      </c>
      <c r="D165" s="307">
        <v>330</v>
      </c>
      <c r="E165" s="308">
        <v>12.7</v>
      </c>
      <c r="F165" s="305">
        <v>14</v>
      </c>
      <c r="G165" s="306">
        <v>14.25</v>
      </c>
      <c r="H165" s="309">
        <v>13</v>
      </c>
      <c r="I165" s="310">
        <v>0.5</v>
      </c>
      <c r="K165" s="188"/>
      <c r="L165" s="381"/>
      <c r="M165" s="379">
        <v>-4</v>
      </c>
      <c r="N165" s="220">
        <f>IF(B165&gt;=508,  31,
    IF(B165&gt;=219.1,  32,  34))*
    LOG(IF(B165&gt;=300,  9.53,
      mathx1x2xy1y2y(
        INDEX($K$6:$K$18,MATCH(B165,$K$6:$K$18,1),1),
        INDEX($K$6:$K$18,MATCH(B165,$K$6:$K$18,1)+1,1),
        B165,
        INDEX($L$6:$L$18,MATCH(B165,$K$6:$K$18,1),1),
        INDEX($L$6:$L$18,MATCH(B165,$K$6:$K$18,1)+1,1)))/E165)</f>
        <v>-3.9907462501641753</v>
      </c>
    </row>
    <row r="166" spans="1:14" s="193" customFormat="1" ht="15.75" customHeight="1" x14ac:dyDescent="0.35">
      <c r="A166" s="258" t="s">
        <v>131</v>
      </c>
      <c r="B166" s="302">
        <v>355.6</v>
      </c>
      <c r="C166" s="303">
        <v>362</v>
      </c>
      <c r="D166" s="307">
        <v>330</v>
      </c>
      <c r="E166" s="308">
        <v>12.7</v>
      </c>
      <c r="F166" s="305">
        <v>14</v>
      </c>
      <c r="G166" s="306">
        <v>14.25</v>
      </c>
      <c r="H166" s="309">
        <v>13</v>
      </c>
      <c r="I166" s="310">
        <v>0.5</v>
      </c>
      <c r="K166" s="188"/>
      <c r="L166" s="381"/>
      <c r="M166" s="379">
        <v>-4</v>
      </c>
      <c r="N166" s="220">
        <f>IF(B166&gt;=508,  31,
    IF(B166&gt;=219.1,  32,  34))*
    LOG(IF(B166&gt;=300,  9.53,
      mathx1x2xy1y2y(
        INDEX($K$6:$K$18,MATCH(B166,$K$6:$K$18,1),1),
        INDEX($K$6:$K$18,MATCH(B166,$K$6:$K$18,1)+1,1),
        B166,
        INDEX($L$6:$L$18,MATCH(B166,$K$6:$K$18,1),1),
        INDEX($L$6:$L$18,MATCH(B166,$K$6:$K$18,1)+1,1)))/E166)</f>
        <v>-3.9907462501641753</v>
      </c>
    </row>
    <row r="167" spans="1:14" s="193" customFormat="1" ht="15.75" customHeight="1" x14ac:dyDescent="0.35">
      <c r="A167" s="258" t="s">
        <v>132</v>
      </c>
      <c r="B167" s="302">
        <v>355.6</v>
      </c>
      <c r="C167" s="303">
        <v>362</v>
      </c>
      <c r="D167" s="307">
        <v>325.5</v>
      </c>
      <c r="E167" s="308">
        <v>15.09</v>
      </c>
      <c r="F167" s="305">
        <v>14</v>
      </c>
      <c r="G167" s="306">
        <v>14.25</v>
      </c>
      <c r="H167" s="309">
        <v>12.811999999999999</v>
      </c>
      <c r="I167" s="310">
        <v>0.59399999999999997</v>
      </c>
      <c r="K167" s="188"/>
      <c r="L167" s="381"/>
      <c r="M167" s="379">
        <v>-6</v>
      </c>
      <c r="N167" s="220">
        <f>IF(B167&gt;=508,  31,
    IF(B167&gt;=219.1,  32,  34))*
    LOG(IF(B167&gt;=300,  9.53,
      mathx1x2xy1y2y(
        INDEX($K$6:$K$18,MATCH(B167,$K$6:$K$18,1),1),
        INDEX($K$6:$K$18,MATCH(B167,$K$6:$K$18,1)+1,1),
        B167,
        INDEX($L$6:$L$18,MATCH(B167,$K$6:$K$18,1),1),
        INDEX($L$6:$L$18,MATCH(B167,$K$6:$K$18,1)+1,1)))/E167)</f>
        <v>-6.3870828523924308</v>
      </c>
    </row>
    <row r="168" spans="1:14" s="193" customFormat="1" ht="15.75" customHeight="1" x14ac:dyDescent="0.35">
      <c r="A168" s="258" t="s">
        <v>133</v>
      </c>
      <c r="B168" s="302">
        <v>355.6</v>
      </c>
      <c r="C168" s="303">
        <v>362</v>
      </c>
      <c r="D168" s="307">
        <v>317.5</v>
      </c>
      <c r="E168" s="308">
        <v>19.049999999999997</v>
      </c>
      <c r="F168" s="305">
        <v>14</v>
      </c>
      <c r="G168" s="306">
        <v>14.25</v>
      </c>
      <c r="H168" s="309">
        <v>12.5</v>
      </c>
      <c r="I168" s="310">
        <v>0.75</v>
      </c>
      <c r="K168" s="188"/>
      <c r="L168" s="381"/>
      <c r="M168" s="379">
        <v>-9.5</v>
      </c>
      <c r="N168" s="220">
        <f>IF(B168&gt;=508,  31,
    IF(B168&gt;=219.1,  32,  34))*
    LOG(IF(B168&gt;=300,  9.53,
      mathx1x2xy1y2y(
        INDEX($K$6:$K$18,MATCH(B168,$K$6:$K$18,1),1),
        INDEX($K$6:$K$18,MATCH(B168,$K$6:$K$18,1)+1,1),
        B168,
        INDEX($L$6:$L$18,MATCH(B168,$K$6:$K$18,1),1),
        INDEX($L$6:$L$18,MATCH(B168,$K$6:$K$18,1)+1,1)))/E168)</f>
        <v>-9.6256665399459749</v>
      </c>
    </row>
    <row r="169" spans="1:14" s="193" customFormat="1" ht="15.75" customHeight="1" x14ac:dyDescent="0.35">
      <c r="A169" s="258" t="s">
        <v>134</v>
      </c>
      <c r="B169" s="302">
        <v>355.6</v>
      </c>
      <c r="C169" s="303">
        <v>362</v>
      </c>
      <c r="D169" s="307">
        <v>308</v>
      </c>
      <c r="E169" s="308">
        <v>23.83</v>
      </c>
      <c r="F169" s="305">
        <v>14</v>
      </c>
      <c r="G169" s="306">
        <v>14.25</v>
      </c>
      <c r="H169" s="309">
        <v>12.124000000000001</v>
      </c>
      <c r="I169" s="310">
        <v>0.93799999999999994</v>
      </c>
      <c r="K169" s="188"/>
      <c r="L169" s="381"/>
      <c r="M169" s="379">
        <v>-12.5</v>
      </c>
      <c r="N169" s="220">
        <f>IF(B169&gt;=508,  31,
    IF(B169&gt;=219.1,  32,  34))*
    LOG(IF(B169&gt;=300,  9.53,
      mathx1x2xy1y2y(
        INDEX($K$6:$K$18,MATCH(B169,$K$6:$K$18,1),1),
        INDEX($K$6:$K$18,MATCH(B169,$K$6:$K$18,1)+1,1),
        B169,
        INDEX($L$6:$L$18,MATCH(B169,$K$6:$K$18,1),1),
        INDEX($L$6:$L$18,MATCH(B169,$K$6:$K$18,1)+1,1)))/E169)</f>
        <v>-12.73699653466015</v>
      </c>
    </row>
    <row r="170" spans="1:14" s="193" customFormat="1" ht="15.75" customHeight="1" x14ac:dyDescent="0.35">
      <c r="A170" s="258" t="s">
        <v>135</v>
      </c>
      <c r="B170" s="302">
        <v>355.6</v>
      </c>
      <c r="C170" s="303">
        <v>362</v>
      </c>
      <c r="D170" s="307">
        <v>300</v>
      </c>
      <c r="E170" s="308">
        <v>27.79</v>
      </c>
      <c r="F170" s="305">
        <v>14</v>
      </c>
      <c r="G170" s="306">
        <v>14.25</v>
      </c>
      <c r="H170" s="309">
        <v>11.811999999999999</v>
      </c>
      <c r="I170" s="310">
        <v>1.0940000000000001</v>
      </c>
      <c r="K170" s="188"/>
      <c r="L170" s="381"/>
      <c r="M170" s="379">
        <v>-14.5</v>
      </c>
      <c r="N170" s="220">
        <f>IF(B170&gt;=508,  31,
    IF(B170&gt;=219.1,  32,  34))*
    LOG(IF(B170&gt;=300,  9.53,
      mathx1x2xy1y2y(
        INDEX($K$6:$K$18,MATCH(B170,$K$6:$K$18,1),1),
        INDEX($K$6:$K$18,MATCH(B170,$K$6:$K$18,1)+1,1),
        B170,
        INDEX($L$6:$L$18,MATCH(B170,$K$6:$K$18,1),1),
        INDEX($L$6:$L$18,MATCH(B170,$K$6:$K$18,1)+1,1)))/E170)</f>
        <v>-14.873460676449454</v>
      </c>
    </row>
    <row r="171" spans="1:14" s="193" customFormat="1" ht="15.75" customHeight="1" x14ac:dyDescent="0.35">
      <c r="A171" s="258" t="s">
        <v>136</v>
      </c>
      <c r="B171" s="302">
        <v>355.6</v>
      </c>
      <c r="C171" s="303">
        <v>362</v>
      </c>
      <c r="D171" s="307">
        <v>292</v>
      </c>
      <c r="E171" s="308">
        <v>31.75</v>
      </c>
      <c r="F171" s="305">
        <v>14</v>
      </c>
      <c r="G171" s="306">
        <v>14.25</v>
      </c>
      <c r="H171" s="309">
        <v>11.5</v>
      </c>
      <c r="I171" s="310">
        <v>1.25</v>
      </c>
      <c r="K171" s="188"/>
      <c r="L171" s="381"/>
      <c r="M171" s="379">
        <v>-16.5</v>
      </c>
      <c r="N171" s="220">
        <f>IF(B171&gt;=508,  31,
    IF(B171&gt;=219.1,  32,  34))*
    LOG(IF(B171&gt;=300,  9.53,
      mathx1x2xy1y2y(
        INDEX($K$6:$K$18,MATCH(B171,$K$6:$K$18,1),1),
        INDEX($K$6:$K$18,MATCH(B171,$K$6:$K$18,1)+1,1),
        B171,
        INDEX($L$6:$L$18,MATCH(B171,$K$6:$K$18,1),1),
        INDEX($L$6:$L$18,MATCH(B171,$K$6:$K$18,1)+1,1)))/E171)</f>
        <v>-16.724826527669379</v>
      </c>
    </row>
    <row r="172" spans="1:14" s="193" customFormat="1" ht="15.75" customHeight="1" thickBot="1" x14ac:dyDescent="0.4">
      <c r="A172" s="278" t="s">
        <v>137</v>
      </c>
      <c r="B172" s="312">
        <v>355.6</v>
      </c>
      <c r="C172" s="313">
        <v>362</v>
      </c>
      <c r="D172" s="314">
        <v>284</v>
      </c>
      <c r="E172" s="315">
        <v>35.71</v>
      </c>
      <c r="F172" s="316">
        <v>14</v>
      </c>
      <c r="G172" s="317">
        <v>14.25</v>
      </c>
      <c r="H172" s="318">
        <v>11.188000000000001</v>
      </c>
      <c r="I172" s="319">
        <v>1.4059999999999999</v>
      </c>
      <c r="K172" s="188"/>
      <c r="L172" s="381"/>
      <c r="M172" s="383">
        <v>-18</v>
      </c>
      <c r="N172" s="230">
        <f>IF(B172&gt;=508,  31,
    IF(B172&gt;=219.1,  32,  34))*
    LOG(IF(B172&gt;=300,  9.53,
      mathx1x2xy1y2y(
        INDEX($K$6:$K$18,MATCH(B172,$K$6:$K$18,1),1),
        INDEX($K$6:$K$18,MATCH(B172,$K$6:$K$18,1)+1,1),
        B172,
        INDEX($L$6:$L$18,MATCH(B172,$K$6:$K$18,1),1),
        INDEX($L$6:$L$18,MATCH(B172,$K$6:$K$18,1)+1,1)))/E172)</f>
        <v>-18.358302385742579</v>
      </c>
    </row>
    <row r="173" spans="1:14" s="193" customFormat="1" ht="15.75" customHeight="1" x14ac:dyDescent="0.35">
      <c r="A173" s="247" t="s">
        <v>138</v>
      </c>
      <c r="B173" s="338">
        <v>406.4</v>
      </c>
      <c r="C173" s="339">
        <v>413</v>
      </c>
      <c r="D173" s="287">
        <f t="shared" ref="D173:E204" si="12">H173*25.4</f>
        <v>396.84960000000001</v>
      </c>
      <c r="E173" s="322">
        <f t="shared" si="12"/>
        <v>4.7751999999999999</v>
      </c>
      <c r="F173" s="323">
        <v>16</v>
      </c>
      <c r="G173" s="324">
        <v>16.25</v>
      </c>
      <c r="H173" s="325">
        <f t="shared" si="11"/>
        <v>15.624000000000001</v>
      </c>
      <c r="I173" s="255">
        <v>0.188</v>
      </c>
      <c r="K173" s="188"/>
      <c r="L173" s="381"/>
      <c r="M173" s="378">
        <v>9.5</v>
      </c>
      <c r="N173" s="209">
        <f>IF(B173&gt;=508,  31,
    IF(B173&gt;=219.1,  32,  34))*
    LOG(IF(B173&gt;=300,  9.53,
      mathx1x2xy1y2y(
        INDEX($K$6:$K$18,MATCH(B173,$K$6:$K$18,1),1),
        INDEX($K$6:$K$18,MATCH(B173,$K$6:$K$18,1)+1,1),
        B173,
        INDEX($L$6:$L$18,MATCH(B173,$K$6:$K$18,1),1),
        INDEX($L$6:$L$18,MATCH(B173,$K$6:$K$18,1)+1,1)))/E173)</f>
        <v>9.6032427121506725</v>
      </c>
    </row>
    <row r="174" spans="1:14" s="193" customFormat="1" ht="15.75" customHeight="1" x14ac:dyDescent="0.35">
      <c r="A174" s="258" t="s">
        <v>139</v>
      </c>
      <c r="B174" s="340">
        <v>406.4</v>
      </c>
      <c r="C174" s="341">
        <v>413</v>
      </c>
      <c r="D174" s="277">
        <f t="shared" si="12"/>
        <v>393.7</v>
      </c>
      <c r="E174" s="304">
        <f t="shared" si="12"/>
        <v>6.35</v>
      </c>
      <c r="F174" s="305">
        <v>16</v>
      </c>
      <c r="G174" s="306">
        <v>16.25</v>
      </c>
      <c r="H174" s="289">
        <f t="shared" si="11"/>
        <v>15.5</v>
      </c>
      <c r="I174" s="262">
        <v>0.25</v>
      </c>
      <c r="K174" s="188"/>
      <c r="L174" s="381"/>
      <c r="M174" s="379">
        <v>5.5</v>
      </c>
      <c r="N174" s="220">
        <f>IF(B174&gt;=508,  31,
    IF(B174&gt;=219.1,  32,  34))*
    LOG(IF(B174&gt;=300,  9.53,
      mathx1x2xy1y2y(
        INDEX($K$6:$K$18,MATCH(B174,$K$6:$K$18,1),1),
        INDEX($K$6:$K$18,MATCH(B174,$K$6:$K$18,1)+1,1),
        B174,
        INDEX($L$6:$L$18,MATCH(B174,$K$6:$K$18,1),1),
        INDEX($L$6:$L$18,MATCH(B174,$K$6:$K$18,1)+1,1)))/E174)</f>
        <v>5.6422136110832231</v>
      </c>
    </row>
    <row r="175" spans="1:14" s="193" customFormat="1" ht="15.75" customHeight="1" x14ac:dyDescent="0.35">
      <c r="A175" s="258" t="s">
        <v>140</v>
      </c>
      <c r="B175" s="340">
        <v>406.4</v>
      </c>
      <c r="C175" s="341">
        <v>413</v>
      </c>
      <c r="D175" s="307">
        <v>390.5</v>
      </c>
      <c r="E175" s="308">
        <v>7.92</v>
      </c>
      <c r="F175" s="305">
        <v>16</v>
      </c>
      <c r="G175" s="306">
        <v>16.25</v>
      </c>
      <c r="H175" s="309">
        <v>15.375999999999999</v>
      </c>
      <c r="I175" s="310">
        <v>0.312</v>
      </c>
      <c r="K175" s="188"/>
      <c r="L175" s="381"/>
      <c r="M175" s="379">
        <v>2.5</v>
      </c>
      <c r="N175" s="220">
        <f>IF(B175&gt;=508,  31,
    IF(B175&gt;=219.1,  32,  34))*
    LOG(IF(B175&gt;=300,  9.53,
      mathx1x2xy1y2y(
        INDEX($K$6:$K$18,MATCH(B175,$K$6:$K$18,1),1),
        INDEX($K$6:$K$18,MATCH(B175,$K$6:$K$18,1)+1,1),
        B175,
        INDEX($L$6:$L$18,MATCH(B175,$K$6:$K$18,1),1),
        INDEX($L$6:$L$18,MATCH(B175,$K$6:$K$18,1)+1,1)))/E175)</f>
        <v>2.5717670095626533</v>
      </c>
    </row>
    <row r="176" spans="1:14" s="193" customFormat="1" ht="15.75" customHeight="1" x14ac:dyDescent="0.35">
      <c r="A176" s="301" t="s">
        <v>141</v>
      </c>
      <c r="B176" s="340">
        <v>406.4</v>
      </c>
      <c r="C176" s="341">
        <v>413</v>
      </c>
      <c r="D176" s="307">
        <v>387.5</v>
      </c>
      <c r="E176" s="308">
        <v>9.5299999999999994</v>
      </c>
      <c r="F176" s="305">
        <v>16</v>
      </c>
      <c r="G176" s="306">
        <v>16.25</v>
      </c>
      <c r="H176" s="309">
        <v>15.25</v>
      </c>
      <c r="I176" s="310">
        <v>0.375</v>
      </c>
      <c r="K176" s="188"/>
      <c r="L176" s="381"/>
      <c r="M176" s="379">
        <v>0</v>
      </c>
      <c r="N176" s="220">
        <f>IF(B176&gt;=508,  31,
    IF(B176&gt;=219.1,  32,  34))*
    LOG(IF(B176&gt;=300,  9.53,
      mathx1x2xy1y2y(
        INDEX($K$6:$K$18,MATCH(B176,$K$6:$K$18,1),1),
        INDEX($K$6:$K$18,MATCH(B176,$K$6:$K$18,1)+1,1),
        B176,
        INDEX($L$6:$L$18,MATCH(B176,$K$6:$K$18,1),1),
        INDEX($L$6:$L$18,MATCH(B176,$K$6:$K$18,1)+1,1)))/E176)</f>
        <v>0</v>
      </c>
    </row>
    <row r="177" spans="1:14" s="193" customFormat="1" ht="15.75" customHeight="1" x14ac:dyDescent="0.35">
      <c r="A177" s="258" t="s">
        <v>826</v>
      </c>
      <c r="B177" s="340">
        <v>406.4</v>
      </c>
      <c r="C177" s="341">
        <v>413</v>
      </c>
      <c r="D177" s="307">
        <v>387.5</v>
      </c>
      <c r="E177" s="308">
        <v>9.5299999999999994</v>
      </c>
      <c r="F177" s="305">
        <v>16</v>
      </c>
      <c r="G177" s="306">
        <v>16.25</v>
      </c>
      <c r="H177" s="309">
        <v>15.25</v>
      </c>
      <c r="I177" s="310">
        <v>0.375</v>
      </c>
      <c r="K177" s="188"/>
      <c r="L177" s="381"/>
      <c r="M177" s="379">
        <v>0</v>
      </c>
      <c r="N177" s="220">
        <f>IF(B177&gt;=508,  31,
    IF(B177&gt;=219.1,  32,  34))*
    LOG(IF(B177&gt;=300,  9.53,
      mathx1x2xy1y2y(
        INDEX($K$6:$K$18,MATCH(B177,$K$6:$K$18,1),1),
        INDEX($K$6:$K$18,MATCH(B177,$K$6:$K$18,1)+1,1),
        B177,
        INDEX($L$6:$L$18,MATCH(B177,$K$6:$K$18,1),1),
        INDEX($L$6:$L$18,MATCH(B177,$K$6:$K$18,1)+1,1)))/E177)</f>
        <v>0</v>
      </c>
    </row>
    <row r="178" spans="1:14" s="193" customFormat="1" ht="15.75" customHeight="1" x14ac:dyDescent="0.35">
      <c r="A178" s="258" t="s">
        <v>142</v>
      </c>
      <c r="B178" s="340">
        <v>406.4</v>
      </c>
      <c r="C178" s="341">
        <v>413</v>
      </c>
      <c r="D178" s="307">
        <v>387.5</v>
      </c>
      <c r="E178" s="308">
        <v>9.5299999999999994</v>
      </c>
      <c r="F178" s="305">
        <v>16</v>
      </c>
      <c r="G178" s="306">
        <v>16.25</v>
      </c>
      <c r="H178" s="309">
        <v>15.25</v>
      </c>
      <c r="I178" s="310">
        <v>0.375</v>
      </c>
      <c r="K178" s="188"/>
      <c r="L178" s="381"/>
      <c r="M178" s="379">
        <v>0</v>
      </c>
      <c r="N178" s="220">
        <f>IF(B178&gt;=508,  31,
    IF(B178&gt;=219.1,  32,  34))*
    LOG(IF(B178&gt;=300,  9.53,
      mathx1x2xy1y2y(
        INDEX($K$6:$K$18,MATCH(B178,$K$6:$K$18,1),1),
        INDEX($K$6:$K$18,MATCH(B178,$K$6:$K$18,1)+1,1),
        B178,
        INDEX($L$6:$L$18,MATCH(B178,$K$6:$K$18,1),1),
        INDEX($L$6:$L$18,MATCH(B178,$K$6:$K$18,1)+1,1)))/E178)</f>
        <v>0</v>
      </c>
    </row>
    <row r="179" spans="1:14" s="193" customFormat="1" ht="15.75" customHeight="1" x14ac:dyDescent="0.35">
      <c r="A179" s="258" t="s">
        <v>143</v>
      </c>
      <c r="B179" s="340">
        <v>406.4</v>
      </c>
      <c r="C179" s="341">
        <v>413</v>
      </c>
      <c r="D179" s="307">
        <v>381</v>
      </c>
      <c r="E179" s="308">
        <v>12.7</v>
      </c>
      <c r="F179" s="305">
        <v>16</v>
      </c>
      <c r="G179" s="306">
        <v>16.25</v>
      </c>
      <c r="H179" s="309">
        <v>15</v>
      </c>
      <c r="I179" s="310">
        <v>0.5</v>
      </c>
      <c r="K179" s="188"/>
      <c r="L179" s="381"/>
      <c r="M179" s="379">
        <v>-4</v>
      </c>
      <c r="N179" s="220">
        <f>IF(B179&gt;=508,  31,
    IF(B179&gt;=219.1,  32,  34))*
    LOG(IF(B179&gt;=300,  9.53,
      mathx1x2xy1y2y(
        INDEX($K$6:$K$18,MATCH(B179,$K$6:$K$18,1),1),
        INDEX($K$6:$K$18,MATCH(B179,$K$6:$K$18,1)+1,1),
        B179,
        INDEX($L$6:$L$18,MATCH(B179,$K$6:$K$18,1),1),
        INDEX($L$6:$L$18,MATCH(B179,$K$6:$K$18,1)+1,1)))/E179)</f>
        <v>-3.9907462501641753</v>
      </c>
    </row>
    <row r="180" spans="1:14" s="193" customFormat="1" ht="15.75" customHeight="1" x14ac:dyDescent="0.35">
      <c r="A180" s="258" t="s">
        <v>827</v>
      </c>
      <c r="B180" s="340">
        <v>406.4</v>
      </c>
      <c r="C180" s="341">
        <v>413</v>
      </c>
      <c r="D180" s="307">
        <v>381</v>
      </c>
      <c r="E180" s="308">
        <v>12.7</v>
      </c>
      <c r="F180" s="305">
        <v>16</v>
      </c>
      <c r="G180" s="306">
        <v>16.25</v>
      </c>
      <c r="H180" s="309">
        <v>15</v>
      </c>
      <c r="I180" s="310">
        <v>0.5</v>
      </c>
      <c r="K180" s="188"/>
      <c r="L180" s="381"/>
      <c r="M180" s="379">
        <v>-4</v>
      </c>
      <c r="N180" s="220">
        <f>IF(B180&gt;=508,  31,
    IF(B180&gt;=219.1,  32,  34))*
    LOG(IF(B180&gt;=300,  9.53,
      mathx1x2xy1y2y(
        INDEX($K$6:$K$18,MATCH(B180,$K$6:$K$18,1),1),
        INDEX($K$6:$K$18,MATCH(B180,$K$6:$K$18,1)+1,1),
        B180,
        INDEX($L$6:$L$18,MATCH(B180,$K$6:$K$18,1),1),
        INDEX($L$6:$L$18,MATCH(B180,$K$6:$K$18,1)+1,1)))/E180)</f>
        <v>-3.9907462501641753</v>
      </c>
    </row>
    <row r="181" spans="1:14" s="193" customFormat="1" ht="15.75" customHeight="1" x14ac:dyDescent="0.35">
      <c r="A181" s="258" t="s">
        <v>144</v>
      </c>
      <c r="B181" s="340">
        <v>406.4</v>
      </c>
      <c r="C181" s="341">
        <v>413</v>
      </c>
      <c r="D181" s="307">
        <v>381</v>
      </c>
      <c r="E181" s="308">
        <v>12.7</v>
      </c>
      <c r="F181" s="305">
        <v>16</v>
      </c>
      <c r="G181" s="306">
        <v>16.25</v>
      </c>
      <c r="H181" s="309">
        <v>15</v>
      </c>
      <c r="I181" s="310">
        <v>0.5</v>
      </c>
      <c r="K181" s="188"/>
      <c r="L181" s="381"/>
      <c r="M181" s="379">
        <v>-4</v>
      </c>
      <c r="N181" s="220">
        <f>IF(B181&gt;=508,  31,
    IF(B181&gt;=219.1,  32,  34))*
    LOG(IF(B181&gt;=300,  9.53,
      mathx1x2xy1y2y(
        INDEX($K$6:$K$18,MATCH(B181,$K$6:$K$18,1),1),
        INDEX($K$6:$K$18,MATCH(B181,$K$6:$K$18,1)+1,1),
        B181,
        INDEX($L$6:$L$18,MATCH(B181,$K$6:$K$18,1),1),
        INDEX($L$6:$L$18,MATCH(B181,$K$6:$K$18,1)+1,1)))/E181)</f>
        <v>-3.9907462501641753</v>
      </c>
    </row>
    <row r="182" spans="1:14" s="193" customFormat="1" ht="15.75" customHeight="1" x14ac:dyDescent="0.35">
      <c r="A182" s="258" t="s">
        <v>145</v>
      </c>
      <c r="B182" s="340">
        <v>406.4</v>
      </c>
      <c r="C182" s="341">
        <v>413</v>
      </c>
      <c r="D182" s="307">
        <v>373</v>
      </c>
      <c r="E182" s="308">
        <v>16.66</v>
      </c>
      <c r="F182" s="305">
        <v>16</v>
      </c>
      <c r="G182" s="306">
        <v>16.25</v>
      </c>
      <c r="H182" s="309">
        <v>14.688000000000001</v>
      </c>
      <c r="I182" s="310">
        <v>0.65600000000000003</v>
      </c>
      <c r="K182" s="188"/>
      <c r="L182" s="381"/>
      <c r="M182" s="379">
        <v>-7.5</v>
      </c>
      <c r="N182" s="220">
        <f>IF(B182&gt;=508,  31,
    IF(B182&gt;=219.1,  32,  34))*
    LOG(IF(B182&gt;=300,  9.53,
      mathx1x2xy1y2y(
        INDEX($K$6:$K$18,MATCH(B182,$K$6:$K$18,1),1),
        INDEX($K$6:$K$18,MATCH(B182,$K$6:$K$18,1)+1,1),
        B182,
        INDEX($L$6:$L$18,MATCH(B182,$K$6:$K$18,1),1),
        INDEX($L$6:$L$18,MATCH(B182,$K$6:$K$18,1)+1,1)))/E182)</f>
        <v>-7.7626270858381563</v>
      </c>
    </row>
    <row r="183" spans="1:14" s="193" customFormat="1" ht="15.75" customHeight="1" x14ac:dyDescent="0.35">
      <c r="A183" s="258" t="s">
        <v>146</v>
      </c>
      <c r="B183" s="340">
        <v>406.4</v>
      </c>
      <c r="C183" s="341">
        <v>413</v>
      </c>
      <c r="D183" s="307">
        <v>363.5</v>
      </c>
      <c r="E183" s="308">
        <v>21.44</v>
      </c>
      <c r="F183" s="305">
        <v>16</v>
      </c>
      <c r="G183" s="306">
        <v>16.25</v>
      </c>
      <c r="H183" s="309">
        <v>14.311999999999999</v>
      </c>
      <c r="I183" s="310">
        <v>0.84399999999999997</v>
      </c>
      <c r="K183" s="188"/>
      <c r="L183" s="381"/>
      <c r="M183" s="379">
        <v>-11</v>
      </c>
      <c r="N183" s="220">
        <f>IF(B183&gt;=508,  31,
    IF(B183&gt;=219.1,  32,  34))*
    LOG(IF(B183&gt;=300,  9.53,
      mathx1x2xy1y2y(
        INDEX($K$6:$K$18,MATCH(B183,$K$6:$K$18,1),1),
        INDEX($K$6:$K$18,MATCH(B183,$K$6:$K$18,1)+1,1),
        B183,
        INDEX($L$6:$L$18,MATCH(B183,$K$6:$K$18,1),1),
        INDEX($L$6:$L$18,MATCH(B183,$K$6:$K$18,1)+1,1)))/E183)</f>
        <v>-11.268220172236994</v>
      </c>
    </row>
    <row r="184" spans="1:14" s="193" customFormat="1" ht="15.75" customHeight="1" x14ac:dyDescent="0.35">
      <c r="A184" s="258" t="s">
        <v>147</v>
      </c>
      <c r="B184" s="340">
        <v>406.4</v>
      </c>
      <c r="C184" s="341">
        <v>413</v>
      </c>
      <c r="D184" s="307">
        <v>354</v>
      </c>
      <c r="E184" s="308">
        <v>26.19</v>
      </c>
      <c r="F184" s="305">
        <v>16</v>
      </c>
      <c r="G184" s="306">
        <v>16.25</v>
      </c>
      <c r="H184" s="309">
        <v>13.938000000000001</v>
      </c>
      <c r="I184" s="310">
        <v>1.0309999999999999</v>
      </c>
      <c r="K184" s="188"/>
      <c r="L184" s="381"/>
      <c r="M184" s="379">
        <v>-13.5</v>
      </c>
      <c r="N184" s="220">
        <f>IF(B184&gt;=508,  31,
    IF(B184&gt;=219.1,  32,  34))*
    LOG(IF(B184&gt;=300,  9.53,
      mathx1x2xy1y2y(
        INDEX($K$6:$K$18,MATCH(B184,$K$6:$K$18,1),1),
        INDEX($K$6:$K$18,MATCH(B184,$K$6:$K$18,1)+1,1),
        B184,
        INDEX($L$6:$L$18,MATCH(B184,$K$6:$K$18,1),1),
        INDEX($L$6:$L$18,MATCH(B184,$K$6:$K$18,1)+1,1)))/E184)</f>
        <v>-14.049363129180986</v>
      </c>
    </row>
    <row r="185" spans="1:14" s="193" customFormat="1" ht="15.75" customHeight="1" x14ac:dyDescent="0.35">
      <c r="A185" s="258" t="s">
        <v>148</v>
      </c>
      <c r="B185" s="340">
        <v>406.4</v>
      </c>
      <c r="C185" s="341">
        <v>413</v>
      </c>
      <c r="D185" s="307">
        <v>344.5</v>
      </c>
      <c r="E185" s="308">
        <v>30.96</v>
      </c>
      <c r="F185" s="305">
        <v>16</v>
      </c>
      <c r="G185" s="306">
        <v>16.25</v>
      </c>
      <c r="H185" s="309">
        <v>13.561999999999999</v>
      </c>
      <c r="I185" s="310">
        <v>1.2190000000000001</v>
      </c>
      <c r="K185" s="188"/>
      <c r="L185" s="381"/>
      <c r="M185" s="379">
        <v>-16</v>
      </c>
      <c r="N185" s="220">
        <f>IF(B185&gt;=508,  31,
    IF(B185&gt;=219.1,  32,  34))*
    LOG(IF(B185&gt;=300,  9.53,
      mathx1x2xy1y2y(
        INDEX($K$6:$K$18,MATCH(B185,$K$6:$K$18,1),1),
        INDEX($K$6:$K$18,MATCH(B185,$K$6:$K$18,1)+1,1),
        B185,
        INDEX($L$6:$L$18,MATCH(B185,$K$6:$K$18,1),1),
        INDEX($L$6:$L$18,MATCH(B185,$K$6:$K$18,1)+1,1)))/E185)</f>
        <v>-16.374657643920916</v>
      </c>
    </row>
    <row r="186" spans="1:14" s="263" customFormat="1" ht="15.75" customHeight="1" x14ac:dyDescent="0.35">
      <c r="A186" s="258" t="s">
        <v>149</v>
      </c>
      <c r="B186" s="340">
        <v>406.4</v>
      </c>
      <c r="C186" s="341">
        <v>413</v>
      </c>
      <c r="D186" s="307">
        <v>333.5</v>
      </c>
      <c r="E186" s="308">
        <v>36.53</v>
      </c>
      <c r="F186" s="305">
        <v>16</v>
      </c>
      <c r="G186" s="306">
        <v>16.25</v>
      </c>
      <c r="H186" s="309">
        <v>13.124000000000001</v>
      </c>
      <c r="I186" s="310">
        <v>1.4379999999999999</v>
      </c>
      <c r="K186" s="188"/>
      <c r="L186" s="381"/>
      <c r="M186" s="379">
        <v>-18.5</v>
      </c>
      <c r="N186" s="220">
        <f>IF(B186&gt;=508,  31,
    IF(B186&gt;=219.1,  32,  34))*
    LOG(IF(B186&gt;=300,  9.53,
      mathx1x2xy1y2y(
        INDEX($K$6:$K$18,MATCH(B186,$K$6:$K$18,1),1),
        INDEX($K$6:$K$18,MATCH(B186,$K$6:$K$18,1)+1,1),
        B186,
        INDEX($L$6:$L$18,MATCH(B186,$K$6:$K$18,1),1),
        INDEX($L$6:$L$18,MATCH(B186,$K$6:$K$18,1)+1,1)))/E186)</f>
        <v>-18.67381669035489</v>
      </c>
    </row>
    <row r="187" spans="1:14" s="193" customFormat="1" ht="15.75" customHeight="1" thickBot="1" x14ac:dyDescent="0.4">
      <c r="A187" s="264" t="s">
        <v>150</v>
      </c>
      <c r="B187" s="342">
        <v>406.4</v>
      </c>
      <c r="C187" s="343">
        <v>413</v>
      </c>
      <c r="D187" s="328">
        <v>325.5</v>
      </c>
      <c r="E187" s="329">
        <v>40.49</v>
      </c>
      <c r="F187" s="330">
        <v>16</v>
      </c>
      <c r="G187" s="331">
        <v>16.25</v>
      </c>
      <c r="H187" s="332">
        <v>12.811999999999999</v>
      </c>
      <c r="I187" s="333">
        <v>1.5940000000000001</v>
      </c>
      <c r="K187" s="188"/>
      <c r="L187" s="381"/>
      <c r="M187" s="380">
        <v>-20</v>
      </c>
      <c r="N187" s="246">
        <f>IF(B187&gt;=508,  31,
    IF(B187&gt;=219.1,  32,  34))*
    LOG(IF(B187&gt;=300,  9.53,
      mathx1x2xy1y2y(
        INDEX($K$6:$K$18,MATCH(B187,$K$6:$K$18,1),1),
        INDEX($K$6:$K$18,MATCH(B187,$K$6:$K$18,1)+1,1),
        B187,
        INDEX($L$6:$L$18,MATCH(B187,$K$6:$K$18,1),1),
        INDEX($L$6:$L$18,MATCH(B187,$K$6:$K$18,1)+1,1)))/E187)</f>
        <v>-20.104156036162784</v>
      </c>
    </row>
    <row r="188" spans="1:14" s="263" customFormat="1" ht="15.75" customHeight="1" x14ac:dyDescent="0.35">
      <c r="A188" s="269" t="s">
        <v>151</v>
      </c>
      <c r="B188" s="295">
        <v>457.2</v>
      </c>
      <c r="C188" s="296">
        <v>464</v>
      </c>
      <c r="D188" s="271">
        <f t="shared" si="12"/>
        <v>447.64959999999996</v>
      </c>
      <c r="E188" s="297">
        <f t="shared" si="12"/>
        <v>4.7751999999999999</v>
      </c>
      <c r="F188" s="298">
        <v>18</v>
      </c>
      <c r="G188" s="299">
        <v>18.28</v>
      </c>
      <c r="H188" s="300">
        <f t="shared" ref="H188:H219" si="13">ROUND(F188-2*I188,3)</f>
        <v>17.623999999999999</v>
      </c>
      <c r="I188" s="275">
        <v>0.188</v>
      </c>
      <c r="K188" s="188"/>
      <c r="L188" s="381"/>
      <c r="M188" s="382">
        <v>9.5</v>
      </c>
      <c r="N188" s="256">
        <f>IF(B188&gt;=508,  31,
    IF(B188&gt;=219.1,  32,  34))*
    LOG(IF(B188&gt;=300,  9.53,
      mathx1x2xy1y2y(
        INDEX($K$6:$K$18,MATCH(B188,$K$6:$K$18,1),1),
        INDEX($K$6:$K$18,MATCH(B188,$K$6:$K$18,1)+1,1),
        B188,
        INDEX($L$6:$L$18,MATCH(B188,$K$6:$K$18,1),1),
        INDEX($L$6:$L$18,MATCH(B188,$K$6:$K$18,1)+1,1)))/E188)</f>
        <v>9.6032427121506725</v>
      </c>
    </row>
    <row r="189" spans="1:14" s="193" customFormat="1" ht="15.75" customHeight="1" x14ac:dyDescent="0.35">
      <c r="A189" s="258" t="s">
        <v>152</v>
      </c>
      <c r="B189" s="302">
        <v>457.2</v>
      </c>
      <c r="C189" s="303">
        <v>464</v>
      </c>
      <c r="D189" s="277">
        <f t="shared" si="12"/>
        <v>444.5</v>
      </c>
      <c r="E189" s="304">
        <f t="shared" si="12"/>
        <v>6.35</v>
      </c>
      <c r="F189" s="305">
        <v>18</v>
      </c>
      <c r="G189" s="306">
        <v>18.28</v>
      </c>
      <c r="H189" s="289">
        <f t="shared" si="13"/>
        <v>17.5</v>
      </c>
      <c r="I189" s="262">
        <v>0.25</v>
      </c>
      <c r="K189" s="188"/>
      <c r="L189" s="381"/>
      <c r="M189" s="379">
        <v>5.5</v>
      </c>
      <c r="N189" s="220">
        <f>IF(B189&gt;=508,  31,
    IF(B189&gt;=219.1,  32,  34))*
    LOG(IF(B189&gt;=300,  9.53,
      mathx1x2xy1y2y(
        INDEX($K$6:$K$18,MATCH(B189,$K$6:$K$18,1),1),
        INDEX($K$6:$K$18,MATCH(B189,$K$6:$K$18,1)+1,1),
        B189,
        INDEX($L$6:$L$18,MATCH(B189,$K$6:$K$18,1),1),
        INDEX($L$6:$L$18,MATCH(B189,$K$6:$K$18,1)+1,1)))/E189)</f>
        <v>5.6422136110832231</v>
      </c>
    </row>
    <row r="190" spans="1:14" s="193" customFormat="1" ht="15.75" customHeight="1" x14ac:dyDescent="0.35">
      <c r="A190" s="258" t="s">
        <v>153</v>
      </c>
      <c r="B190" s="302">
        <v>457.2</v>
      </c>
      <c r="C190" s="303">
        <v>464</v>
      </c>
      <c r="D190" s="307">
        <v>441.5</v>
      </c>
      <c r="E190" s="308">
        <v>7.92</v>
      </c>
      <c r="F190" s="305">
        <v>18</v>
      </c>
      <c r="G190" s="306">
        <v>18.28</v>
      </c>
      <c r="H190" s="309">
        <v>17.376000000000001</v>
      </c>
      <c r="I190" s="310">
        <v>0.312</v>
      </c>
      <c r="K190" s="188"/>
      <c r="L190" s="381"/>
      <c r="M190" s="379">
        <v>2.5</v>
      </c>
      <c r="N190" s="220">
        <f>IF(B190&gt;=508,  31,
    IF(B190&gt;=219.1,  32,  34))*
    LOG(IF(B190&gt;=300,  9.53,
      mathx1x2xy1y2y(
        INDEX($K$6:$K$18,MATCH(B190,$K$6:$K$18,1),1),
        INDEX($K$6:$K$18,MATCH(B190,$K$6:$K$18,1)+1,1),
        B190,
        INDEX($L$6:$L$18,MATCH(B190,$K$6:$K$18,1),1),
        INDEX($L$6:$L$18,MATCH(B190,$K$6:$K$18,1)+1,1)))/E190)</f>
        <v>2.5717670095626533</v>
      </c>
    </row>
    <row r="191" spans="1:14" s="193" customFormat="1" ht="15.75" customHeight="1" x14ac:dyDescent="0.35">
      <c r="A191" s="258" t="s">
        <v>828</v>
      </c>
      <c r="B191" s="302">
        <v>457.2</v>
      </c>
      <c r="C191" s="303">
        <v>464</v>
      </c>
      <c r="D191" s="307">
        <v>438</v>
      </c>
      <c r="E191" s="308">
        <v>9.5299999999999994</v>
      </c>
      <c r="F191" s="305">
        <v>18</v>
      </c>
      <c r="G191" s="306">
        <v>18.28</v>
      </c>
      <c r="H191" s="309">
        <v>17.25</v>
      </c>
      <c r="I191" s="310">
        <v>0.375</v>
      </c>
      <c r="K191" s="188"/>
      <c r="L191" s="381"/>
      <c r="M191" s="379">
        <v>0</v>
      </c>
      <c r="N191" s="220">
        <f>IF(B191&gt;=508,  31,
    IF(B191&gt;=219.1,  32,  34))*
    LOG(IF(B191&gt;=300,  9.53,
      mathx1x2xy1y2y(
        INDEX($K$6:$K$18,MATCH(B191,$K$6:$K$18,1),1),
        INDEX($K$6:$K$18,MATCH(B191,$K$6:$K$18,1)+1,1),
        B191,
        INDEX($L$6:$L$18,MATCH(B191,$K$6:$K$18,1),1),
        INDEX($L$6:$L$18,MATCH(B191,$K$6:$K$18,1)+1,1)))/E191)</f>
        <v>0</v>
      </c>
    </row>
    <row r="192" spans="1:14" s="193" customFormat="1" ht="15.75" customHeight="1" x14ac:dyDescent="0.35">
      <c r="A192" s="258" t="s">
        <v>154</v>
      </c>
      <c r="B192" s="302">
        <v>457.2</v>
      </c>
      <c r="C192" s="303">
        <v>464</v>
      </c>
      <c r="D192" s="307">
        <v>438</v>
      </c>
      <c r="E192" s="308">
        <v>9.5299999999999994</v>
      </c>
      <c r="F192" s="305">
        <v>18</v>
      </c>
      <c r="G192" s="306">
        <v>18.28</v>
      </c>
      <c r="H192" s="309">
        <v>17.25</v>
      </c>
      <c r="I192" s="310">
        <v>0.375</v>
      </c>
      <c r="K192" s="188"/>
      <c r="L192" s="381"/>
      <c r="M192" s="379">
        <v>0</v>
      </c>
      <c r="N192" s="220">
        <f>IF(B192&gt;=508,  31,
    IF(B192&gt;=219.1,  32,  34))*
    LOG(IF(B192&gt;=300,  9.53,
      mathx1x2xy1y2y(
        INDEX($K$6:$K$18,MATCH(B192,$K$6:$K$18,1),1),
        INDEX($K$6:$K$18,MATCH(B192,$K$6:$K$18,1)+1,1),
        B192,
        INDEX($L$6:$L$18,MATCH(B192,$K$6:$K$18,1),1),
        INDEX($L$6:$L$18,MATCH(B192,$K$6:$K$18,1)+1,1)))/E192)</f>
        <v>0</v>
      </c>
    </row>
    <row r="193" spans="1:14" s="193" customFormat="1" ht="15.75" customHeight="1" x14ac:dyDescent="0.35">
      <c r="A193" s="258" t="s">
        <v>155</v>
      </c>
      <c r="B193" s="302">
        <v>457.2</v>
      </c>
      <c r="C193" s="303">
        <v>464</v>
      </c>
      <c r="D193" s="307">
        <v>435</v>
      </c>
      <c r="E193" s="308">
        <v>11.13</v>
      </c>
      <c r="F193" s="305">
        <v>18</v>
      </c>
      <c r="G193" s="306">
        <v>18.28</v>
      </c>
      <c r="H193" s="309">
        <v>17.123999999999999</v>
      </c>
      <c r="I193" s="310">
        <v>0.438</v>
      </c>
      <c r="K193" s="188"/>
      <c r="L193" s="381"/>
      <c r="M193" s="379">
        <v>-2</v>
      </c>
      <c r="N193" s="220">
        <f>IF(B193&gt;=508,  31,
    IF(B193&gt;=219.1,  32,  34))*
    LOG(IF(B193&gt;=300,  9.53,
      mathx1x2xy1y2y(
        INDEX($K$6:$K$18,MATCH(B193,$K$6:$K$18,1),1),
        INDEX($K$6:$K$18,MATCH(B193,$K$6:$K$18,1)+1,1),
        B193,
        INDEX($L$6:$L$18,MATCH(B193,$K$6:$K$18,1),1),
        INDEX($L$6:$L$18,MATCH(B193,$K$6:$K$18,1)+1,1)))/E193)</f>
        <v>-2.1568724382842221</v>
      </c>
    </row>
    <row r="194" spans="1:14" s="193" customFormat="1" ht="15.75" customHeight="1" x14ac:dyDescent="0.35">
      <c r="A194" s="258" t="s">
        <v>829</v>
      </c>
      <c r="B194" s="302">
        <v>457.2</v>
      </c>
      <c r="C194" s="303">
        <v>464</v>
      </c>
      <c r="D194" s="307">
        <v>432</v>
      </c>
      <c r="E194" s="308">
        <v>12.7</v>
      </c>
      <c r="F194" s="305">
        <v>18</v>
      </c>
      <c r="G194" s="306">
        <v>18.28</v>
      </c>
      <c r="H194" s="309">
        <v>17</v>
      </c>
      <c r="I194" s="310">
        <v>0.5</v>
      </c>
      <c r="K194" s="188"/>
      <c r="L194" s="381"/>
      <c r="M194" s="379">
        <v>-4</v>
      </c>
      <c r="N194" s="220">
        <f>IF(B194&gt;=508,  31,
    IF(B194&gt;=219.1,  32,  34))*
    LOG(IF(B194&gt;=300,  9.53,
      mathx1x2xy1y2y(
        INDEX($K$6:$K$18,MATCH(B194,$K$6:$K$18,1),1),
        INDEX($K$6:$K$18,MATCH(B194,$K$6:$K$18,1)+1,1),
        B194,
        INDEX($L$6:$L$18,MATCH(B194,$K$6:$K$18,1),1),
        INDEX($L$6:$L$18,MATCH(B194,$K$6:$K$18,1)+1,1)))/E194)</f>
        <v>-3.9907462501641753</v>
      </c>
    </row>
    <row r="195" spans="1:14" s="193" customFormat="1" ht="15.75" customHeight="1" x14ac:dyDescent="0.35">
      <c r="A195" s="258" t="s">
        <v>156</v>
      </c>
      <c r="B195" s="302">
        <v>457.2</v>
      </c>
      <c r="C195" s="303">
        <v>464</v>
      </c>
      <c r="D195" s="307">
        <v>432</v>
      </c>
      <c r="E195" s="308">
        <v>12.7</v>
      </c>
      <c r="F195" s="305">
        <v>18</v>
      </c>
      <c r="G195" s="306">
        <v>18.28</v>
      </c>
      <c r="H195" s="309">
        <v>17</v>
      </c>
      <c r="I195" s="310">
        <v>0.5</v>
      </c>
      <c r="K195" s="188"/>
      <c r="L195" s="381"/>
      <c r="M195" s="379">
        <v>-4</v>
      </c>
      <c r="N195" s="220">
        <f>IF(B195&gt;=508,  31,
    IF(B195&gt;=219.1,  32,  34))*
    LOG(IF(B195&gt;=300,  9.53,
      mathx1x2xy1y2y(
        INDEX($K$6:$K$18,MATCH(B195,$K$6:$K$18,1),1),
        INDEX($K$6:$K$18,MATCH(B195,$K$6:$K$18,1)+1,1),
        B195,
        INDEX($L$6:$L$18,MATCH(B195,$K$6:$K$18,1),1),
        INDEX($L$6:$L$18,MATCH(B195,$K$6:$K$18,1)+1,1)))/E195)</f>
        <v>-3.9907462501641753</v>
      </c>
    </row>
    <row r="196" spans="1:14" s="193" customFormat="1" ht="15.75" customHeight="1" x14ac:dyDescent="0.35">
      <c r="A196" s="258" t="s">
        <v>157</v>
      </c>
      <c r="B196" s="302">
        <v>457.2</v>
      </c>
      <c r="C196" s="303">
        <v>464</v>
      </c>
      <c r="D196" s="307">
        <v>438.5</v>
      </c>
      <c r="E196" s="308">
        <v>14.27</v>
      </c>
      <c r="F196" s="305">
        <v>18</v>
      </c>
      <c r="G196" s="306">
        <v>18.28</v>
      </c>
      <c r="H196" s="309">
        <v>16.876000000000001</v>
      </c>
      <c r="I196" s="310">
        <v>0.56200000000000006</v>
      </c>
      <c r="K196" s="188"/>
      <c r="L196" s="381"/>
      <c r="M196" s="379">
        <v>-5.5</v>
      </c>
      <c r="N196" s="220">
        <f>IF(B196&gt;=508,  31,
    IF(B196&gt;=219.1,  32,  34))*
    LOG(IF(B196&gt;=300,  9.53,
      mathx1x2xy1y2y(
        INDEX($K$6:$K$18,MATCH(B196,$K$6:$K$18,1),1),
        INDEX($K$6:$K$18,MATCH(B196,$K$6:$K$18,1)+1,1),
        B196,
        INDEX($L$6:$L$18,MATCH(B196,$K$6:$K$18,1),1),
        INDEX($L$6:$L$18,MATCH(B196,$K$6:$K$18,1)+1,1)))/E196)</f>
        <v>-5.6105943192422574</v>
      </c>
    </row>
    <row r="197" spans="1:14" s="193" customFormat="1" ht="15.75" customHeight="1" x14ac:dyDescent="0.35">
      <c r="A197" s="258" t="s">
        <v>158</v>
      </c>
      <c r="B197" s="302">
        <v>457.2</v>
      </c>
      <c r="C197" s="303">
        <v>464</v>
      </c>
      <c r="D197" s="307">
        <v>419</v>
      </c>
      <c r="E197" s="308">
        <v>19.05</v>
      </c>
      <c r="F197" s="305">
        <v>18</v>
      </c>
      <c r="G197" s="306">
        <v>18.28</v>
      </c>
      <c r="H197" s="309">
        <v>16.5</v>
      </c>
      <c r="I197" s="310">
        <v>0.75</v>
      </c>
      <c r="K197" s="188"/>
      <c r="L197" s="381"/>
      <c r="M197" s="379">
        <v>-9.5</v>
      </c>
      <c r="N197" s="220">
        <f>IF(B197&gt;=508,  31,
    IF(B197&gt;=219.1,  32,  34))*
    LOG(IF(B197&gt;=300,  9.53,
      mathx1x2xy1y2y(
        INDEX($K$6:$K$18,MATCH(B197,$K$6:$K$18,1),1),
        INDEX($K$6:$K$18,MATCH(B197,$K$6:$K$18,1)+1,1),
        B197,
        INDEX($L$6:$L$18,MATCH(B197,$K$6:$K$18,1),1),
        INDEX($L$6:$L$18,MATCH(B197,$K$6:$K$18,1)+1,1)))/E197)</f>
        <v>-9.6256665399459767</v>
      </c>
    </row>
    <row r="198" spans="1:14" s="193" customFormat="1" ht="15.75" customHeight="1" x14ac:dyDescent="0.35">
      <c r="A198" s="258" t="s">
        <v>159</v>
      </c>
      <c r="B198" s="302">
        <v>457.2</v>
      </c>
      <c r="C198" s="303">
        <v>464</v>
      </c>
      <c r="D198" s="307">
        <v>409.5</v>
      </c>
      <c r="E198" s="308">
        <v>23.83</v>
      </c>
      <c r="F198" s="305">
        <v>18</v>
      </c>
      <c r="G198" s="306">
        <v>18.28</v>
      </c>
      <c r="H198" s="309">
        <v>16.123999999999999</v>
      </c>
      <c r="I198" s="310">
        <v>0.93799999999999994</v>
      </c>
      <c r="K198" s="188"/>
      <c r="L198" s="381"/>
      <c r="M198" s="379">
        <v>-12.5</v>
      </c>
      <c r="N198" s="220">
        <f>IF(B198&gt;=508,  31,
    IF(B198&gt;=219.1,  32,  34))*
    LOG(IF(B198&gt;=300,  9.53,
      mathx1x2xy1y2y(
        INDEX($K$6:$K$18,MATCH(B198,$K$6:$K$18,1),1),
        INDEX($K$6:$K$18,MATCH(B198,$K$6:$K$18,1)+1,1),
        B198,
        INDEX($L$6:$L$18,MATCH(B198,$K$6:$K$18,1),1),
        INDEX($L$6:$L$18,MATCH(B198,$K$6:$K$18,1)+1,1)))/E198)</f>
        <v>-12.73699653466015</v>
      </c>
    </row>
    <row r="199" spans="1:14" s="263" customFormat="1" ht="15.75" customHeight="1" x14ac:dyDescent="0.35">
      <c r="A199" s="258" t="s">
        <v>160</v>
      </c>
      <c r="B199" s="302">
        <v>457.2</v>
      </c>
      <c r="C199" s="303">
        <v>464</v>
      </c>
      <c r="D199" s="307">
        <v>398.5</v>
      </c>
      <c r="E199" s="308">
        <v>29.36</v>
      </c>
      <c r="F199" s="305">
        <v>18</v>
      </c>
      <c r="G199" s="306">
        <v>18.28</v>
      </c>
      <c r="H199" s="309">
        <v>15.688000000000001</v>
      </c>
      <c r="I199" s="310">
        <v>1.1559999999999999</v>
      </c>
      <c r="K199" s="188"/>
      <c r="L199" s="381"/>
      <c r="M199" s="379">
        <v>-15.5</v>
      </c>
      <c r="N199" s="220">
        <f>IF(B199&gt;=508,  31,
    IF(B199&gt;=219.1,  32,  34))*
    LOG(IF(B199&gt;=300,  9.53,
      mathx1x2xy1y2y(
        INDEX($K$6:$K$18,MATCH(B199,$K$6:$K$18,1),1),
        INDEX($K$6:$K$18,MATCH(B199,$K$6:$K$18,1)+1,1),
        B199,
        INDEX($L$6:$L$18,MATCH(B199,$K$6:$K$18,1),1),
        INDEX($L$6:$L$18,MATCH(B199,$K$6:$K$18,1)+1,1)))/E199)</f>
        <v>-15.637220819382609</v>
      </c>
    </row>
    <row r="200" spans="1:14" s="193" customFormat="1" ht="15.75" customHeight="1" x14ac:dyDescent="0.35">
      <c r="A200" s="258" t="s">
        <v>161</v>
      </c>
      <c r="B200" s="302">
        <v>457.2</v>
      </c>
      <c r="C200" s="303">
        <v>464</v>
      </c>
      <c r="D200" s="307">
        <v>387.5</v>
      </c>
      <c r="E200" s="308">
        <v>34.93</v>
      </c>
      <c r="F200" s="305">
        <v>18</v>
      </c>
      <c r="G200" s="306">
        <v>18.28</v>
      </c>
      <c r="H200" s="309">
        <v>15.25</v>
      </c>
      <c r="I200" s="310">
        <v>1.375</v>
      </c>
      <c r="K200" s="188"/>
      <c r="L200" s="381"/>
      <c r="M200" s="379">
        <v>-17.5</v>
      </c>
      <c r="N200" s="220">
        <f>IF(B200&gt;=508,  31,
    IF(B200&gt;=219.1,  32,  34))*
    LOG(IF(B200&gt;=300,  9.53,
      mathx1x2xy1y2y(
        INDEX($K$6:$K$18,MATCH(B200,$K$6:$K$18,1),1),
        INDEX($K$6:$K$18,MATCH(B200,$K$6:$K$18,1)+1,1),
        B200,
        INDEX($L$6:$L$18,MATCH(B200,$K$6:$K$18,1),1),
        INDEX($L$6:$L$18,MATCH(B200,$K$6:$K$18,1)+1,1)))/E200)</f>
        <v>-18.051381919978251</v>
      </c>
    </row>
    <row r="201" spans="1:14" s="263" customFormat="1" ht="15.75" customHeight="1" x14ac:dyDescent="0.35">
      <c r="A201" s="258" t="s">
        <v>162</v>
      </c>
      <c r="B201" s="302">
        <v>457.2</v>
      </c>
      <c r="C201" s="303">
        <v>464</v>
      </c>
      <c r="D201" s="307">
        <v>378</v>
      </c>
      <c r="E201" s="308">
        <v>39.67</v>
      </c>
      <c r="F201" s="305">
        <v>18</v>
      </c>
      <c r="G201" s="306">
        <v>18.28</v>
      </c>
      <c r="H201" s="309">
        <v>14.875999999999999</v>
      </c>
      <c r="I201" s="310">
        <v>1.5620000000000001</v>
      </c>
      <c r="K201" s="188"/>
      <c r="L201" s="381"/>
      <c r="M201" s="379">
        <v>-19.5</v>
      </c>
      <c r="N201" s="220">
        <f>IF(B201&gt;=508,  31,
    IF(B201&gt;=219.1,  32,  34))*
    LOG(IF(B201&gt;=300,  9.53,
      mathx1x2xy1y2y(
        INDEX($K$6:$K$18,MATCH(B201,$K$6:$K$18,1),1),
        INDEX($K$6:$K$18,MATCH(B201,$K$6:$K$18,1)+1,1),
        B201,
        INDEX($L$6:$L$18,MATCH(B201,$K$6:$K$18,1),1),
        INDEX($L$6:$L$18,MATCH(B201,$K$6:$K$18,1)+1,1)))/E201)</f>
        <v>-19.819817594746372</v>
      </c>
    </row>
    <row r="202" spans="1:14" s="193" customFormat="1" ht="15.75" customHeight="1" thickBot="1" x14ac:dyDescent="0.4">
      <c r="A202" s="278" t="s">
        <v>163</v>
      </c>
      <c r="B202" s="312">
        <v>457.2</v>
      </c>
      <c r="C202" s="313">
        <v>464</v>
      </c>
      <c r="D202" s="314">
        <v>366.5</v>
      </c>
      <c r="E202" s="315">
        <v>45.24</v>
      </c>
      <c r="F202" s="316">
        <v>18</v>
      </c>
      <c r="G202" s="317">
        <v>18.28</v>
      </c>
      <c r="H202" s="318">
        <v>14.438000000000001</v>
      </c>
      <c r="I202" s="319">
        <v>1.7809999999999999</v>
      </c>
      <c r="K202" s="188"/>
      <c r="L202" s="381"/>
      <c r="M202" s="383">
        <v>-21.5</v>
      </c>
      <c r="N202" s="230">
        <f>IF(B202&gt;=508,  31,
    IF(B202&gt;=219.1,  32,  34))*
    LOG(IF(B202&gt;=300,  9.53,
      mathx1x2xy1y2y(
        INDEX($K$6:$K$18,MATCH(B202,$K$6:$K$18,1),1),
        INDEX($K$6:$K$18,MATCH(B202,$K$6:$K$18,1)+1,1),
        B202,
        INDEX($L$6:$L$18,MATCH(B202,$K$6:$K$18,1),1),
        INDEX($L$6:$L$18,MATCH(B202,$K$6:$K$18,1)+1,1)))/E202)</f>
        <v>-21.645750259682924</v>
      </c>
    </row>
    <row r="203" spans="1:14" s="193" customFormat="1" ht="15.75" customHeight="1" x14ac:dyDescent="0.35">
      <c r="A203" s="247" t="s">
        <v>164</v>
      </c>
      <c r="B203" s="320">
        <f t="shared" ref="B203:B217" si="14">F203*25.4</f>
        <v>508</v>
      </c>
      <c r="C203" s="321">
        <v>516</v>
      </c>
      <c r="D203" s="287">
        <f t="shared" si="12"/>
        <v>496.92559999999997</v>
      </c>
      <c r="E203" s="322">
        <f t="shared" si="12"/>
        <v>5.5371999999999995</v>
      </c>
      <c r="F203" s="323">
        <v>20</v>
      </c>
      <c r="G203" s="324">
        <v>20.309999999999999</v>
      </c>
      <c r="H203" s="325">
        <f t="shared" si="13"/>
        <v>19.564</v>
      </c>
      <c r="I203" s="255">
        <v>0.218</v>
      </c>
      <c r="K203" s="210"/>
      <c r="L203" s="381"/>
      <c r="M203" s="378">
        <v>7.5</v>
      </c>
      <c r="N203" s="209">
        <f>IF(B203&gt;=508,  31,
    IF(B203&gt;=219.1,  32,  34))*
    LOG(IF(B203&gt;=300,  9.53,
      mathx1x2xy1y2y(
        INDEX($K$6:$K$18,MATCH(B203,$K$6:$K$18,1),1),
        INDEX($K$6:$K$18,MATCH(B203,$K$6:$K$18,1)+1,1),
        B203,
        INDEX($L$6:$L$18,MATCH(B203,$K$6:$K$18,1),1),
        INDEX($L$6:$L$18,MATCH(B203,$K$6:$K$18,1)+1,1)))/E203)</f>
        <v>7.309883402827289</v>
      </c>
    </row>
    <row r="204" spans="1:14" s="193" customFormat="1" ht="15.75" customHeight="1" x14ac:dyDescent="0.35">
      <c r="A204" s="258" t="s">
        <v>165</v>
      </c>
      <c r="B204" s="302">
        <f t="shared" si="14"/>
        <v>508</v>
      </c>
      <c r="C204" s="303">
        <v>516</v>
      </c>
      <c r="D204" s="277">
        <f t="shared" si="12"/>
        <v>495.29999999999995</v>
      </c>
      <c r="E204" s="304">
        <f t="shared" si="12"/>
        <v>6.35</v>
      </c>
      <c r="F204" s="305">
        <v>20</v>
      </c>
      <c r="G204" s="306">
        <v>20.309999999999999</v>
      </c>
      <c r="H204" s="289">
        <f t="shared" si="13"/>
        <v>19.5</v>
      </c>
      <c r="I204" s="262">
        <v>0.25</v>
      </c>
      <c r="K204" s="188"/>
      <c r="L204" s="381"/>
      <c r="M204" s="379">
        <v>5.5</v>
      </c>
      <c r="N204" s="220">
        <f>IF(B204&gt;=508,  31,
    IF(B204&gt;=219.1,  32,  34))*
    LOG(IF(B204&gt;=300,  9.53,
      mathx1x2xy1y2y(
        INDEX($K$6:$K$18,MATCH(B204,$K$6:$K$18,1),1),
        INDEX($K$6:$K$18,MATCH(B204,$K$6:$K$18,1)+1,1),
        B204,
        INDEX($L$6:$L$18,MATCH(B204,$K$6:$K$18,1),1),
        INDEX($L$6:$L$18,MATCH(B204,$K$6:$K$18,1)+1,1)))/E204)</f>
        <v>5.4658944357368719</v>
      </c>
    </row>
    <row r="205" spans="1:14" s="193" customFormat="1" ht="15.75" customHeight="1" x14ac:dyDescent="0.35">
      <c r="A205" s="301" t="s">
        <v>166</v>
      </c>
      <c r="B205" s="302">
        <f>F205*25.4</f>
        <v>508</v>
      </c>
      <c r="C205" s="303">
        <v>516</v>
      </c>
      <c r="D205" s="307">
        <v>489</v>
      </c>
      <c r="E205" s="308">
        <v>9.5299999999999994</v>
      </c>
      <c r="F205" s="305">
        <v>20</v>
      </c>
      <c r="G205" s="306">
        <v>20.309999999999999</v>
      </c>
      <c r="H205" s="309">
        <v>19.25</v>
      </c>
      <c r="I205" s="310">
        <v>0.375</v>
      </c>
      <c r="K205" s="188"/>
      <c r="L205" s="381"/>
      <c r="M205" s="379">
        <v>0</v>
      </c>
      <c r="N205" s="220">
        <f>IF(B205&gt;=508,  31,
    IF(B205&gt;=219.1,  32,  34))*
    LOG(IF(B205&gt;=300,  9.53,
      mathx1x2xy1y2y(
        INDEX($K$6:$K$18,MATCH(B205,$K$6:$K$18,1),1),
        INDEX($K$6:$K$18,MATCH(B205,$K$6:$K$18,1)+1,1),
        B205,
        INDEX($L$6:$L$18,MATCH(B205,$K$6:$K$18,1),1),
        INDEX($L$6:$L$18,MATCH(B205,$K$6:$K$18,1)+1,1)))/E205)</f>
        <v>0</v>
      </c>
    </row>
    <row r="206" spans="1:14" s="193" customFormat="1" ht="15.75" customHeight="1" x14ac:dyDescent="0.35">
      <c r="A206" s="258" t="s">
        <v>830</v>
      </c>
      <c r="B206" s="302">
        <f t="shared" si="14"/>
        <v>508</v>
      </c>
      <c r="C206" s="303">
        <v>516</v>
      </c>
      <c r="D206" s="307">
        <v>489</v>
      </c>
      <c r="E206" s="308">
        <v>9.5299999999999994</v>
      </c>
      <c r="F206" s="305">
        <v>20</v>
      </c>
      <c r="G206" s="306">
        <v>20.309999999999999</v>
      </c>
      <c r="H206" s="309">
        <v>19.25</v>
      </c>
      <c r="I206" s="310">
        <v>0.375</v>
      </c>
      <c r="K206" s="188"/>
      <c r="L206" s="381"/>
      <c r="M206" s="379">
        <v>0</v>
      </c>
      <c r="N206" s="220">
        <f>IF(B206&gt;=508,  31,
    IF(B206&gt;=219.1,  32,  34))*
    LOG(IF(B206&gt;=300,  9.53,
      mathx1x2xy1y2y(
        INDEX($K$6:$K$18,MATCH(B206,$K$6:$K$18,1),1),
        INDEX($K$6:$K$18,MATCH(B206,$K$6:$K$18,1)+1,1),
        B206,
        INDEX($L$6:$L$18,MATCH(B206,$K$6:$K$18,1),1),
        INDEX($L$6:$L$18,MATCH(B206,$K$6:$K$18,1)+1,1)))/E206)</f>
        <v>0</v>
      </c>
    </row>
    <row r="207" spans="1:14" s="193" customFormat="1" ht="15.75" customHeight="1" x14ac:dyDescent="0.35">
      <c r="A207" s="258" t="s">
        <v>167</v>
      </c>
      <c r="B207" s="302">
        <f t="shared" si="14"/>
        <v>508</v>
      </c>
      <c r="C207" s="303">
        <v>516</v>
      </c>
      <c r="D207" s="307">
        <v>489</v>
      </c>
      <c r="E207" s="308">
        <v>9.5299999999999994</v>
      </c>
      <c r="F207" s="305">
        <v>20</v>
      </c>
      <c r="G207" s="306">
        <v>20.309999999999999</v>
      </c>
      <c r="H207" s="309">
        <v>19.25</v>
      </c>
      <c r="I207" s="310">
        <v>0.375</v>
      </c>
      <c r="K207" s="188"/>
      <c r="L207" s="381"/>
      <c r="M207" s="379">
        <v>0</v>
      </c>
      <c r="N207" s="220">
        <f>IF(B207&gt;=508,  31,
    IF(B207&gt;=219.1,  32,  34))*
    LOG(IF(B207&gt;=300,  9.53,
      mathx1x2xy1y2y(
        INDEX($K$6:$K$18,MATCH(B207,$K$6:$K$18,1),1),
        INDEX($K$6:$K$18,MATCH(B207,$K$6:$K$18,1)+1,1),
        B207,
        INDEX($L$6:$L$18,MATCH(B207,$K$6:$K$18,1),1),
        INDEX($L$6:$L$18,MATCH(B207,$K$6:$K$18,1)+1,1)))/E207)</f>
        <v>0</v>
      </c>
    </row>
    <row r="208" spans="1:14" s="193" customFormat="1" ht="15.75" customHeight="1" x14ac:dyDescent="0.35">
      <c r="A208" s="301" t="s">
        <v>168</v>
      </c>
      <c r="B208" s="302">
        <f>F208*25.4</f>
        <v>508</v>
      </c>
      <c r="C208" s="303">
        <v>516</v>
      </c>
      <c r="D208" s="307">
        <v>482.5</v>
      </c>
      <c r="E208" s="308">
        <v>12.7</v>
      </c>
      <c r="F208" s="305">
        <v>20</v>
      </c>
      <c r="G208" s="306">
        <v>20.309999999999999</v>
      </c>
      <c r="H208" s="309">
        <v>19</v>
      </c>
      <c r="I208" s="310">
        <v>0.5</v>
      </c>
      <c r="K208" s="188"/>
      <c r="L208" s="381"/>
      <c r="M208" s="379">
        <v>-4</v>
      </c>
      <c r="N208" s="220">
        <f>IF(B208&gt;=508,  31,
    IF(B208&gt;=219.1,  32,  34))*
    LOG(IF(B208&gt;=300,  9.53,
      mathx1x2xy1y2y(
        INDEX($K$6:$K$18,MATCH(B208,$K$6:$K$18,1),1),
        INDEX($K$6:$K$18,MATCH(B208,$K$6:$K$18,1)+1,1),
        B208,
        INDEX($L$6:$L$18,MATCH(B208,$K$6:$K$18,1),1),
        INDEX($L$6:$L$18,MATCH(B208,$K$6:$K$18,1)+1,1)))/E208)</f>
        <v>-3.8660354298465447</v>
      </c>
    </row>
    <row r="209" spans="1:14" s="263" customFormat="1" ht="15.75" customHeight="1" x14ac:dyDescent="0.35">
      <c r="A209" s="258" t="s">
        <v>831</v>
      </c>
      <c r="B209" s="302">
        <f t="shared" si="14"/>
        <v>508</v>
      </c>
      <c r="C209" s="303">
        <v>516</v>
      </c>
      <c r="D209" s="307">
        <v>482.5</v>
      </c>
      <c r="E209" s="308">
        <v>12.7</v>
      </c>
      <c r="F209" s="305">
        <v>20</v>
      </c>
      <c r="G209" s="306">
        <v>20.309999999999999</v>
      </c>
      <c r="H209" s="309">
        <v>19</v>
      </c>
      <c r="I209" s="310">
        <v>0.5</v>
      </c>
      <c r="K209" s="188"/>
      <c r="L209" s="381"/>
      <c r="M209" s="379">
        <v>-4</v>
      </c>
      <c r="N209" s="220">
        <f>IF(B209&gt;=508,  31,
    IF(B209&gt;=219.1,  32,  34))*
    LOG(IF(B209&gt;=300,  9.53,
      mathx1x2xy1y2y(
        INDEX($K$6:$K$18,MATCH(B209,$K$6:$K$18,1),1),
        INDEX($K$6:$K$18,MATCH(B209,$K$6:$K$18,1)+1,1),
        B209,
        INDEX($L$6:$L$18,MATCH(B209,$K$6:$K$18,1),1),
        INDEX($L$6:$L$18,MATCH(B209,$K$6:$K$18,1)+1,1)))/E209)</f>
        <v>-3.8660354298465447</v>
      </c>
    </row>
    <row r="210" spans="1:14" s="193" customFormat="1" ht="15.75" customHeight="1" x14ac:dyDescent="0.35">
      <c r="A210" s="258" t="s">
        <v>169</v>
      </c>
      <c r="B210" s="302">
        <f t="shared" si="14"/>
        <v>508</v>
      </c>
      <c r="C210" s="303">
        <v>516</v>
      </c>
      <c r="D210" s="307">
        <v>482.5</v>
      </c>
      <c r="E210" s="308">
        <v>12.7</v>
      </c>
      <c r="F210" s="305">
        <v>20</v>
      </c>
      <c r="G210" s="306">
        <v>20.309999999999999</v>
      </c>
      <c r="H210" s="309">
        <v>19</v>
      </c>
      <c r="I210" s="310">
        <v>0.5</v>
      </c>
      <c r="K210" s="188"/>
      <c r="L210" s="381"/>
      <c r="M210" s="379">
        <v>-4</v>
      </c>
      <c r="N210" s="220">
        <f>IF(B210&gt;=508,  31,
    IF(B210&gt;=219.1,  32,  34))*
    LOG(IF(B210&gt;=300,  9.53,
      mathx1x2xy1y2y(
        INDEX($K$6:$K$18,MATCH(B210,$K$6:$K$18,1),1),
        INDEX($K$6:$K$18,MATCH(B210,$K$6:$K$18,1)+1,1),
        B210,
        INDEX($L$6:$L$18,MATCH(B210,$K$6:$K$18,1),1),
        INDEX($L$6:$L$18,MATCH(B210,$K$6:$K$18,1)+1,1)))/E210)</f>
        <v>-3.8660354298465447</v>
      </c>
    </row>
    <row r="211" spans="1:14" s="263" customFormat="1" ht="15.75" customHeight="1" x14ac:dyDescent="0.35">
      <c r="A211" s="258" t="s">
        <v>170</v>
      </c>
      <c r="B211" s="302">
        <f t="shared" si="14"/>
        <v>508</v>
      </c>
      <c r="C211" s="303">
        <v>516</v>
      </c>
      <c r="D211" s="307">
        <v>478</v>
      </c>
      <c r="E211" s="308">
        <v>15.09</v>
      </c>
      <c r="F211" s="305">
        <v>20</v>
      </c>
      <c r="G211" s="306">
        <v>20.309999999999999</v>
      </c>
      <c r="H211" s="309">
        <v>18.812000000000001</v>
      </c>
      <c r="I211" s="310">
        <v>0.59399999999999997</v>
      </c>
      <c r="K211" s="188"/>
      <c r="L211" s="381"/>
      <c r="M211" s="379">
        <v>-6</v>
      </c>
      <c r="N211" s="220">
        <f>IF(B211&gt;=508,  31,
    IF(B211&gt;=219.1,  32,  34))*
    LOG(IF(B211&gt;=300,  9.53,
      mathx1x2xy1y2y(
        INDEX($K$6:$K$18,MATCH(B211,$K$6:$K$18,1),1),
        INDEX($K$6:$K$18,MATCH(B211,$K$6:$K$18,1)+1,1),
        B211,
        INDEX($L$6:$L$18,MATCH(B211,$K$6:$K$18,1),1),
        INDEX($L$6:$L$18,MATCH(B211,$K$6:$K$18,1)+1,1)))/E211)</f>
        <v>-6.1874865132551671</v>
      </c>
    </row>
    <row r="212" spans="1:14" s="193" customFormat="1" ht="15.75" customHeight="1" x14ac:dyDescent="0.35">
      <c r="A212" s="258" t="s">
        <v>171</v>
      </c>
      <c r="B212" s="302">
        <f t="shared" si="14"/>
        <v>508</v>
      </c>
      <c r="C212" s="303">
        <v>516</v>
      </c>
      <c r="D212" s="307">
        <v>467</v>
      </c>
      <c r="E212" s="308">
        <v>20.62</v>
      </c>
      <c r="F212" s="305">
        <v>20</v>
      </c>
      <c r="G212" s="306">
        <v>20.309999999999999</v>
      </c>
      <c r="H212" s="309">
        <v>18.376000000000001</v>
      </c>
      <c r="I212" s="310">
        <v>0.81200000000000006</v>
      </c>
      <c r="K212" s="188"/>
      <c r="L212" s="381"/>
      <c r="M212" s="379">
        <v>-10.5</v>
      </c>
      <c r="N212" s="220">
        <f>IF(B212&gt;=508,  31,
    IF(B212&gt;=219.1,  32,  34))*
    LOG(IF(B212&gt;=300,  9.53,
      mathx1x2xy1y2y(
        INDEX($K$6:$K$18,MATCH(B212,$K$6:$K$18,1),1),
        INDEX($K$6:$K$18,MATCH(B212,$K$6:$K$18,1)+1,1),
        B212,
        INDEX($L$6:$L$18,MATCH(B212,$K$6:$K$18,1),1),
        INDEX($L$6:$L$18,MATCH(B212,$K$6:$K$18,1)+1,1)))/E212)</f>
        <v>-10.391068569584315</v>
      </c>
    </row>
    <row r="213" spans="1:14" s="193" customFormat="1" ht="15.75" customHeight="1" x14ac:dyDescent="0.35">
      <c r="A213" s="258" t="s">
        <v>172</v>
      </c>
      <c r="B213" s="302">
        <f t="shared" si="14"/>
        <v>508</v>
      </c>
      <c r="C213" s="303">
        <v>516</v>
      </c>
      <c r="D213" s="307">
        <v>455.5</v>
      </c>
      <c r="E213" s="308">
        <v>26.19</v>
      </c>
      <c r="F213" s="305">
        <v>20</v>
      </c>
      <c r="G213" s="306">
        <v>20.309999999999999</v>
      </c>
      <c r="H213" s="309">
        <v>17.937999999999999</v>
      </c>
      <c r="I213" s="310">
        <v>1.0309999999999999</v>
      </c>
      <c r="K213" s="188"/>
      <c r="L213" s="381"/>
      <c r="M213" s="379">
        <v>-13.5</v>
      </c>
      <c r="N213" s="220">
        <f>IF(B213&gt;=508,  31,
    IF(B213&gt;=219.1,  32,  34))*
    LOG(IF(B213&gt;=300,  9.53,
      mathx1x2xy1y2y(
        INDEX($K$6:$K$18,MATCH(B213,$K$6:$K$18,1),1),
        INDEX($K$6:$K$18,MATCH(B213,$K$6:$K$18,1)+1,1),
        B213,
        INDEX($L$6:$L$18,MATCH(B213,$K$6:$K$18,1),1),
        INDEX($L$6:$L$18,MATCH(B213,$K$6:$K$18,1)+1,1)))/E213)</f>
        <v>-13.61032053139408</v>
      </c>
    </row>
    <row r="214" spans="1:14" s="193" customFormat="1" ht="15.75" customHeight="1" x14ac:dyDescent="0.35">
      <c r="A214" s="258" t="s">
        <v>173</v>
      </c>
      <c r="B214" s="302">
        <f t="shared" si="14"/>
        <v>508</v>
      </c>
      <c r="C214" s="303">
        <v>516</v>
      </c>
      <c r="D214" s="307">
        <v>443</v>
      </c>
      <c r="E214" s="308">
        <v>34.54</v>
      </c>
      <c r="F214" s="305">
        <v>20</v>
      </c>
      <c r="G214" s="306">
        <v>20.309999999999999</v>
      </c>
      <c r="H214" s="309">
        <v>17.437999999999999</v>
      </c>
      <c r="I214" s="310">
        <v>1.2809999999999999</v>
      </c>
      <c r="K214" s="188"/>
      <c r="L214" s="381"/>
      <c r="M214" s="379">
        <v>-16.5</v>
      </c>
      <c r="N214" s="220">
        <f>IF(B214&gt;=508,  31,
    IF(B214&gt;=219.1,  32,  34))*
    LOG(IF(B214&gt;=300,  9.53,
      mathx1x2xy1y2y(
        INDEX($K$6:$K$18,MATCH(B214,$K$6:$K$18,1),1),
        INDEX($K$6:$K$18,MATCH(B214,$K$6:$K$18,1)+1,1),
        B214,
        INDEX($L$6:$L$18,MATCH(B214,$K$6:$K$18,1),1),
        INDEX($L$6:$L$18,MATCH(B214,$K$6:$K$18,1)+1,1)))/E214)</f>
        <v>-17.336112410386523</v>
      </c>
    </row>
    <row r="215" spans="1:14" s="193" customFormat="1" ht="15.75" customHeight="1" x14ac:dyDescent="0.35">
      <c r="A215" s="258" t="s">
        <v>174</v>
      </c>
      <c r="B215" s="302">
        <f t="shared" si="14"/>
        <v>508</v>
      </c>
      <c r="C215" s="303">
        <v>516</v>
      </c>
      <c r="D215" s="307">
        <v>432</v>
      </c>
      <c r="E215" s="308">
        <v>38.1</v>
      </c>
      <c r="F215" s="305">
        <v>20</v>
      </c>
      <c r="G215" s="306">
        <v>20.309999999999999</v>
      </c>
      <c r="H215" s="309">
        <v>17</v>
      </c>
      <c r="I215" s="310">
        <v>1.5</v>
      </c>
      <c r="K215" s="188"/>
      <c r="L215" s="381"/>
      <c r="M215" s="379">
        <v>-19</v>
      </c>
      <c r="N215" s="220">
        <f>IF(B215&gt;=508,  31,
    IF(B215&gt;=219.1,  32,  34))*
    LOG(IF(B215&gt;=300,  9.53,
      mathx1x2xy1y2y(
        INDEX($K$6:$K$18,MATCH(B215,$K$6:$K$18,1),1),
        INDEX($K$6:$K$18,MATCH(B215,$K$6:$K$18,1)+1,1),
        B215,
        INDEX($L$6:$L$18,MATCH(B215,$K$6:$K$18,1),1),
        INDEX($L$6:$L$18,MATCH(B215,$K$6:$K$18,1)+1,1)))/E215)</f>
        <v>-18.656794326156081</v>
      </c>
    </row>
    <row r="216" spans="1:14" s="193" customFormat="1" ht="15.75" customHeight="1" x14ac:dyDescent="0.35">
      <c r="A216" s="258" t="s">
        <v>175</v>
      </c>
      <c r="B216" s="302">
        <f t="shared" si="14"/>
        <v>508</v>
      </c>
      <c r="C216" s="303">
        <v>516</v>
      </c>
      <c r="D216" s="307">
        <v>419</v>
      </c>
      <c r="E216" s="308">
        <v>44.45</v>
      </c>
      <c r="F216" s="305">
        <v>20</v>
      </c>
      <c r="G216" s="306">
        <v>20.309999999999999</v>
      </c>
      <c r="H216" s="309">
        <v>16.5</v>
      </c>
      <c r="I216" s="310">
        <v>1.75</v>
      </c>
      <c r="K216" s="188"/>
      <c r="L216" s="381"/>
      <c r="M216" s="379">
        <v>-21</v>
      </c>
      <c r="N216" s="220">
        <f>IF(B216&gt;=508,  31,
    IF(B216&gt;=219.1,  32,  34))*
    LOG(IF(B216&gt;=300,  9.53,
      mathx1x2xy1y2y(
        INDEX($K$6:$K$18,MATCH(B216,$K$6:$K$18,1),1),
        INDEX($K$6:$K$18,MATCH(B216,$K$6:$K$18,1)+1,1),
        B216,
        INDEX($L$6:$L$18,MATCH(B216,$K$6:$K$18,1),1),
        INDEX($L$6:$L$18,MATCH(B216,$K$6:$K$18,1)+1,1)))/E216)</f>
        <v>-20.73214480470509</v>
      </c>
    </row>
    <row r="217" spans="1:14" s="193" customFormat="1" ht="15.75" customHeight="1" thickBot="1" x14ac:dyDescent="0.4">
      <c r="A217" s="264" t="s">
        <v>176</v>
      </c>
      <c r="B217" s="326">
        <f t="shared" si="14"/>
        <v>508</v>
      </c>
      <c r="C217" s="327">
        <v>516</v>
      </c>
      <c r="D217" s="328">
        <v>408</v>
      </c>
      <c r="E217" s="329">
        <v>50.01</v>
      </c>
      <c r="F217" s="330">
        <v>20</v>
      </c>
      <c r="G217" s="331">
        <v>20.309999999999999</v>
      </c>
      <c r="H217" s="332">
        <v>16.062000000000001</v>
      </c>
      <c r="I217" s="333">
        <v>1.9690000000000001</v>
      </c>
      <c r="K217" s="188"/>
      <c r="L217" s="381"/>
      <c r="M217" s="380">
        <v>-22.5</v>
      </c>
      <c r="N217" s="246">
        <f>IF(B217&gt;=508,  31,
    IF(B217&gt;=219.1,  32,  34))*
    LOG(IF(B217&gt;=300,  9.53,
      mathx1x2xy1y2y(
        INDEX($K$6:$K$18,MATCH(B217,$K$6:$K$18,1),1),
        INDEX($K$6:$K$18,MATCH(B217,$K$6:$K$18,1)+1,1),
        B217,
        INDEX($L$6:$L$18,MATCH(B217,$K$6:$K$18,1),1),
        INDEX($L$6:$L$18,MATCH(B217,$K$6:$K$18,1)+1,1)))/E217)</f>
        <v>-22.31888257118958</v>
      </c>
    </row>
    <row r="218" spans="1:14" s="193" customFormat="1" ht="15.75" customHeight="1" x14ac:dyDescent="0.35">
      <c r="A218" s="269" t="s">
        <v>177</v>
      </c>
      <c r="B218" s="295">
        <v>558.79999999999995</v>
      </c>
      <c r="C218" s="296">
        <v>567</v>
      </c>
      <c r="D218" s="271">
        <f t="shared" ref="D218:E233" si="15">H218*25.4</f>
        <v>547.72559999999999</v>
      </c>
      <c r="E218" s="297">
        <f t="shared" si="15"/>
        <v>5.5371999999999995</v>
      </c>
      <c r="F218" s="298">
        <v>22</v>
      </c>
      <c r="G218" s="299">
        <v>22.34</v>
      </c>
      <c r="H218" s="344">
        <f t="shared" si="13"/>
        <v>21.564</v>
      </c>
      <c r="I218" s="345">
        <v>0.218</v>
      </c>
      <c r="K218" s="188"/>
      <c r="L218" s="381"/>
      <c r="M218" s="382">
        <v>7.5</v>
      </c>
      <c r="N218" s="256">
        <f>IF(B218&gt;=508,  31,
    IF(B218&gt;=219.1,  32,  34))*
    LOG(IF(B218&gt;=300,  9.53,
      mathx1x2xy1y2y(
        INDEX($K$6:$K$18,MATCH(B218,$K$6:$K$18,1),1),
        INDEX($K$6:$K$18,MATCH(B218,$K$6:$K$18,1)+1,1),
        B218,
        INDEX($L$6:$L$18,MATCH(B218,$K$6:$K$18,1),1),
        INDEX($L$6:$L$18,MATCH(B218,$K$6:$K$18,1)+1,1)))/E218)</f>
        <v>7.309883402827289</v>
      </c>
    </row>
    <row r="219" spans="1:14" s="193" customFormat="1" ht="15.75" customHeight="1" x14ac:dyDescent="0.35">
      <c r="A219" s="258" t="s">
        <v>178</v>
      </c>
      <c r="B219" s="302">
        <v>558.79999999999995</v>
      </c>
      <c r="C219" s="303">
        <v>567</v>
      </c>
      <c r="D219" s="277">
        <f t="shared" si="15"/>
        <v>546.1</v>
      </c>
      <c r="E219" s="304">
        <f t="shared" si="15"/>
        <v>6.35</v>
      </c>
      <c r="F219" s="305">
        <v>22</v>
      </c>
      <c r="G219" s="306">
        <v>22.34</v>
      </c>
      <c r="H219" s="346">
        <f t="shared" si="13"/>
        <v>21.5</v>
      </c>
      <c r="I219" s="347">
        <v>0.25</v>
      </c>
      <c r="K219" s="188"/>
      <c r="L219" s="381"/>
      <c r="M219" s="379">
        <v>5.5</v>
      </c>
      <c r="N219" s="220">
        <f>IF(B219&gt;=508,  31,
    IF(B219&gt;=219.1,  32,  34))*
    LOG(IF(B219&gt;=300,  9.53,
      mathx1x2xy1y2y(
        INDEX($K$6:$K$18,MATCH(B219,$K$6:$K$18,1),1),
        INDEX($K$6:$K$18,MATCH(B219,$K$6:$K$18,1)+1,1),
        B219,
        INDEX($L$6:$L$18,MATCH(B219,$K$6:$K$18,1),1),
        INDEX($L$6:$L$18,MATCH(B219,$K$6:$K$18,1)+1,1)))/E219)</f>
        <v>5.4658944357368719</v>
      </c>
    </row>
    <row r="220" spans="1:14" s="193" customFormat="1" ht="15.75" customHeight="1" x14ac:dyDescent="0.35">
      <c r="A220" s="301" t="s">
        <v>179</v>
      </c>
      <c r="B220" s="302">
        <v>558.79999999999995</v>
      </c>
      <c r="C220" s="303">
        <v>567</v>
      </c>
      <c r="D220" s="307">
        <v>539</v>
      </c>
      <c r="E220" s="308">
        <v>9.5299999999999994</v>
      </c>
      <c r="F220" s="305">
        <v>22</v>
      </c>
      <c r="G220" s="306">
        <v>22.34</v>
      </c>
      <c r="H220" s="309">
        <v>21.25</v>
      </c>
      <c r="I220" s="310">
        <v>0.375</v>
      </c>
      <c r="K220" s="188"/>
      <c r="L220" s="381"/>
      <c r="M220" s="379">
        <v>0</v>
      </c>
      <c r="N220" s="220">
        <f>IF(B220&gt;=508,  31,
    IF(B220&gt;=219.1,  32,  34))*
    LOG(IF(B220&gt;=300,  9.53,
      mathx1x2xy1y2y(
        INDEX($K$6:$K$18,MATCH(B220,$K$6:$K$18,1),1),
        INDEX($K$6:$K$18,MATCH(B220,$K$6:$K$18,1)+1,1),
        B220,
        INDEX($L$6:$L$18,MATCH(B220,$K$6:$K$18,1),1),
        INDEX($L$6:$L$18,MATCH(B220,$K$6:$K$18,1)+1,1)))/E220)</f>
        <v>0</v>
      </c>
    </row>
    <row r="221" spans="1:14" s="193" customFormat="1" ht="15.75" customHeight="1" x14ac:dyDescent="0.35">
      <c r="A221" s="258" t="s">
        <v>832</v>
      </c>
      <c r="B221" s="302">
        <v>558.79999999999995</v>
      </c>
      <c r="C221" s="303">
        <v>567</v>
      </c>
      <c r="D221" s="307">
        <v>539</v>
      </c>
      <c r="E221" s="308">
        <v>9.5299999999999994</v>
      </c>
      <c r="F221" s="305">
        <v>22</v>
      </c>
      <c r="G221" s="306">
        <v>22.34</v>
      </c>
      <c r="H221" s="309">
        <v>21.25</v>
      </c>
      <c r="I221" s="310">
        <v>0.375</v>
      </c>
      <c r="K221" s="188"/>
      <c r="L221" s="381"/>
      <c r="M221" s="379">
        <v>0</v>
      </c>
      <c r="N221" s="220">
        <f>IF(B221&gt;=508,  31,
    IF(B221&gt;=219.1,  32,  34))*
    LOG(IF(B221&gt;=300,  9.53,
      mathx1x2xy1y2y(
        INDEX($K$6:$K$18,MATCH(B221,$K$6:$K$18,1),1),
        INDEX($K$6:$K$18,MATCH(B221,$K$6:$K$18,1)+1,1),
        B221,
        INDEX($L$6:$L$18,MATCH(B221,$K$6:$K$18,1),1),
        INDEX($L$6:$L$18,MATCH(B221,$K$6:$K$18,1)+1,1)))/E221)</f>
        <v>0</v>
      </c>
    </row>
    <row r="222" spans="1:14" s="193" customFormat="1" ht="15.75" customHeight="1" x14ac:dyDescent="0.35">
      <c r="A222" s="258" t="s">
        <v>180</v>
      </c>
      <c r="B222" s="302">
        <v>558.79999999999995</v>
      </c>
      <c r="C222" s="303">
        <v>567</v>
      </c>
      <c r="D222" s="307">
        <v>539</v>
      </c>
      <c r="E222" s="308">
        <v>9.5299999999999994</v>
      </c>
      <c r="F222" s="305">
        <v>22</v>
      </c>
      <c r="G222" s="306">
        <v>22.34</v>
      </c>
      <c r="H222" s="309">
        <v>21.25</v>
      </c>
      <c r="I222" s="310">
        <v>0.375</v>
      </c>
      <c r="K222" s="188"/>
      <c r="L222" s="381"/>
      <c r="M222" s="379">
        <v>0</v>
      </c>
      <c r="N222" s="220">
        <f>IF(B222&gt;=508,  31,
    IF(B222&gt;=219.1,  32,  34))*
    LOG(IF(B222&gt;=300,  9.53,
      mathx1x2xy1y2y(
        INDEX($K$6:$K$18,MATCH(B222,$K$6:$K$18,1),1),
        INDEX($K$6:$K$18,MATCH(B222,$K$6:$K$18,1)+1,1),
        B222,
        INDEX($L$6:$L$18,MATCH(B222,$K$6:$K$18,1),1),
        INDEX($L$6:$L$18,MATCH(B222,$K$6:$K$18,1)+1,1)))/E222)</f>
        <v>0</v>
      </c>
    </row>
    <row r="223" spans="1:14" s="193" customFormat="1" ht="15.75" customHeight="1" x14ac:dyDescent="0.35">
      <c r="A223" s="301" t="s">
        <v>181</v>
      </c>
      <c r="B223" s="302">
        <v>558.79999999999995</v>
      </c>
      <c r="C223" s="303">
        <v>567</v>
      </c>
      <c r="D223" s="307">
        <v>533</v>
      </c>
      <c r="E223" s="308">
        <v>12.7</v>
      </c>
      <c r="F223" s="305">
        <v>22</v>
      </c>
      <c r="G223" s="306">
        <v>22.34</v>
      </c>
      <c r="H223" s="309">
        <v>21</v>
      </c>
      <c r="I223" s="310">
        <v>0.5</v>
      </c>
      <c r="K223" s="188"/>
      <c r="L223" s="381"/>
      <c r="M223" s="379">
        <v>-4</v>
      </c>
      <c r="N223" s="220">
        <f>IF(B223&gt;=508,  31,
    IF(B223&gt;=219.1,  32,  34))*
    LOG(IF(B223&gt;=300,  9.53,
      mathx1x2xy1y2y(
        INDEX($K$6:$K$18,MATCH(B223,$K$6:$K$18,1),1),
        INDEX($K$6:$K$18,MATCH(B223,$K$6:$K$18,1)+1,1),
        B223,
        INDEX($L$6:$L$18,MATCH(B223,$K$6:$K$18,1),1),
        INDEX($L$6:$L$18,MATCH(B223,$K$6:$K$18,1)+1,1)))/E223)</f>
        <v>-3.8660354298465447</v>
      </c>
    </row>
    <row r="224" spans="1:14" s="263" customFormat="1" ht="15.75" customHeight="1" x14ac:dyDescent="0.35">
      <c r="A224" s="258" t="s">
        <v>833</v>
      </c>
      <c r="B224" s="302">
        <v>558.79999999999995</v>
      </c>
      <c r="C224" s="303">
        <v>567</v>
      </c>
      <c r="D224" s="307">
        <v>533</v>
      </c>
      <c r="E224" s="308">
        <v>12.7</v>
      </c>
      <c r="F224" s="305">
        <v>22</v>
      </c>
      <c r="G224" s="306">
        <v>22.34</v>
      </c>
      <c r="H224" s="309">
        <v>21</v>
      </c>
      <c r="I224" s="310">
        <v>0.5</v>
      </c>
      <c r="K224" s="188"/>
      <c r="L224" s="381"/>
      <c r="M224" s="379">
        <v>-4</v>
      </c>
      <c r="N224" s="220">
        <f>IF(B224&gt;=508,  31,
    IF(B224&gt;=219.1,  32,  34))*
    LOG(IF(B224&gt;=300,  9.53,
      mathx1x2xy1y2y(
        INDEX($K$6:$K$18,MATCH(B224,$K$6:$K$18,1),1),
        INDEX($K$6:$K$18,MATCH(B224,$K$6:$K$18,1)+1,1),
        B224,
        INDEX($L$6:$L$18,MATCH(B224,$K$6:$K$18,1),1),
        INDEX($L$6:$L$18,MATCH(B224,$K$6:$K$18,1)+1,1)))/E224)</f>
        <v>-3.8660354298465447</v>
      </c>
    </row>
    <row r="225" spans="1:14" s="193" customFormat="1" ht="15.75" customHeight="1" x14ac:dyDescent="0.35">
      <c r="A225" s="258" t="s">
        <v>182</v>
      </c>
      <c r="B225" s="302">
        <v>558.79999999999995</v>
      </c>
      <c r="C225" s="303">
        <v>567</v>
      </c>
      <c r="D225" s="307">
        <v>533</v>
      </c>
      <c r="E225" s="308">
        <v>12.7</v>
      </c>
      <c r="F225" s="305">
        <v>22</v>
      </c>
      <c r="G225" s="306">
        <v>22.34</v>
      </c>
      <c r="H225" s="309">
        <v>21</v>
      </c>
      <c r="I225" s="310">
        <v>0.5</v>
      </c>
      <c r="K225" s="188"/>
      <c r="L225" s="381"/>
      <c r="M225" s="379">
        <v>-4</v>
      </c>
      <c r="N225" s="220">
        <f>IF(B225&gt;=508,  31,
    IF(B225&gt;=219.1,  32,  34))*
    LOG(IF(B225&gt;=300,  9.53,
      mathx1x2xy1y2y(
        INDEX($K$6:$K$18,MATCH(B225,$K$6:$K$18,1),1),
        INDEX($K$6:$K$18,MATCH(B225,$K$6:$K$18,1)+1,1),
        B225,
        INDEX($L$6:$L$18,MATCH(B225,$K$6:$K$18,1),1),
        INDEX($L$6:$L$18,MATCH(B225,$K$6:$K$18,1)+1,1)))/E225)</f>
        <v>-3.8660354298465447</v>
      </c>
    </row>
    <row r="226" spans="1:14" s="193" customFormat="1" ht="15.75" customHeight="1" x14ac:dyDescent="0.35">
      <c r="A226" s="258" t="s">
        <v>183</v>
      </c>
      <c r="B226" s="302">
        <v>558.79999999999995</v>
      </c>
      <c r="C226" s="303">
        <v>567</v>
      </c>
      <c r="D226" s="307">
        <v>514</v>
      </c>
      <c r="E226" s="308">
        <v>22.23</v>
      </c>
      <c r="F226" s="305">
        <v>22</v>
      </c>
      <c r="G226" s="306">
        <v>22.34</v>
      </c>
      <c r="H226" s="309">
        <v>20.25</v>
      </c>
      <c r="I226" s="310">
        <v>0.875</v>
      </c>
      <c r="K226" s="188"/>
      <c r="L226" s="381"/>
      <c r="M226" s="379">
        <v>-11.5</v>
      </c>
      <c r="N226" s="220">
        <f>IF(B226&gt;=508,  31,
    IF(B226&gt;=219.1,  32,  34))*
    LOG(IF(B226&gt;=300,  9.53,
      mathx1x2xy1y2y(
        INDEX($K$6:$K$18,MATCH(B226,$K$6:$K$18,1),1),
        INDEX($K$6:$K$18,MATCH(B226,$K$6:$K$18,1)+1,1),
        B226,
        INDEX($L$6:$L$18,MATCH(B226,$K$6:$K$18,1),1),
        INDEX($L$6:$L$18,MATCH(B226,$K$6:$K$18,1)+1,1)))/E226)</f>
        <v>-11.403243423880591</v>
      </c>
    </row>
    <row r="227" spans="1:14" s="193" customFormat="1" ht="15.75" customHeight="1" x14ac:dyDescent="0.35">
      <c r="A227" s="258" t="s">
        <v>184</v>
      </c>
      <c r="B227" s="302">
        <v>558.79999999999995</v>
      </c>
      <c r="C227" s="303">
        <v>567</v>
      </c>
      <c r="D227" s="307">
        <v>501</v>
      </c>
      <c r="E227" s="308">
        <v>28.58</v>
      </c>
      <c r="F227" s="305">
        <v>22</v>
      </c>
      <c r="G227" s="306">
        <v>22.34</v>
      </c>
      <c r="H227" s="309">
        <v>19.75</v>
      </c>
      <c r="I227" s="310">
        <v>1.125</v>
      </c>
      <c r="K227" s="188"/>
      <c r="L227" s="381"/>
      <c r="M227" s="379">
        <v>-15</v>
      </c>
      <c r="N227" s="220">
        <f>IF(B227&gt;=508,  31,
    IF(B227&gt;=219.1,  32,  34))*
    LOG(IF(B227&gt;=300,  9.53,
      mathx1x2xy1y2y(
        INDEX($K$6:$K$18,MATCH(B227,$K$6:$K$18,1),1),
        INDEX($K$6:$K$18,MATCH(B227,$K$6:$K$18,1)+1,1),
        B227,
        INDEX($L$6:$L$18,MATCH(B227,$K$6:$K$18,1),1),
        INDEX($L$6:$L$18,MATCH(B227,$K$6:$K$18,1)+1,1)))/E227)</f>
        <v>-14.786049038315376</v>
      </c>
    </row>
    <row r="228" spans="1:14" s="263" customFormat="1" ht="15.75" customHeight="1" x14ac:dyDescent="0.35">
      <c r="A228" s="258" t="s">
        <v>185</v>
      </c>
      <c r="B228" s="302">
        <v>558.79999999999995</v>
      </c>
      <c r="C228" s="303">
        <v>567</v>
      </c>
      <c r="D228" s="307">
        <v>488.5</v>
      </c>
      <c r="E228" s="308">
        <v>34.93</v>
      </c>
      <c r="F228" s="305">
        <v>22</v>
      </c>
      <c r="G228" s="306">
        <v>22.34</v>
      </c>
      <c r="H228" s="309">
        <v>19.25</v>
      </c>
      <c r="I228" s="310">
        <v>1.375</v>
      </c>
      <c r="K228" s="188"/>
      <c r="L228" s="381"/>
      <c r="M228" s="379">
        <v>-17.5</v>
      </c>
      <c r="N228" s="220">
        <f>IF(B228&gt;=508,  31,
    IF(B228&gt;=219.1,  32,  34))*
    LOG(IF(B228&gt;=300,  9.53,
      mathx1x2xy1y2y(
        INDEX($K$6:$K$18,MATCH(B228,$K$6:$K$18,1),1),
        INDEX($K$6:$K$18,MATCH(B228,$K$6:$K$18,1)+1,1),
        B228,
        INDEX($L$6:$L$18,MATCH(B228,$K$6:$K$18,1),1),
        INDEX($L$6:$L$18,MATCH(B228,$K$6:$K$18,1)+1,1)))/E228)</f>
        <v>-17.487276234978932</v>
      </c>
    </row>
    <row r="229" spans="1:14" s="193" customFormat="1" ht="15.75" customHeight="1" x14ac:dyDescent="0.35">
      <c r="A229" s="258" t="s">
        <v>186</v>
      </c>
      <c r="B229" s="302">
        <v>558.79999999999995</v>
      </c>
      <c r="C229" s="303">
        <v>567</v>
      </c>
      <c r="D229" s="307">
        <v>476</v>
      </c>
      <c r="E229" s="308">
        <v>41.28</v>
      </c>
      <c r="F229" s="305">
        <v>22</v>
      </c>
      <c r="G229" s="306">
        <v>22.34</v>
      </c>
      <c r="H229" s="309">
        <v>18.75</v>
      </c>
      <c r="I229" s="310">
        <v>1.625</v>
      </c>
      <c r="K229" s="188"/>
      <c r="L229" s="381"/>
      <c r="M229" s="379">
        <v>-20</v>
      </c>
      <c r="N229" s="220">
        <f>IF(B229&gt;=508,  31,
    IF(B229&gt;=219.1,  32,  34))*
    LOG(IF(B229&gt;=300,  9.53,
      mathx1x2xy1y2y(
        INDEX($K$6:$K$18,MATCH(B229,$K$6:$K$18,1),1),
        INDEX($K$6:$K$18,MATCH(B229,$K$6:$K$18,1)+1,1),
        B229,
        INDEX($L$6:$L$18,MATCH(B229,$K$6:$K$18,1),1),
        INDEX($L$6:$L$18,MATCH(B229,$K$6:$K$18,1)+1,1)))/E229)</f>
        <v>-19.736050427405686</v>
      </c>
    </row>
    <row r="230" spans="1:14" s="193" customFormat="1" ht="15.75" customHeight="1" x14ac:dyDescent="0.35">
      <c r="A230" s="258" t="s">
        <v>187</v>
      </c>
      <c r="B230" s="302">
        <v>558.79999999999995</v>
      </c>
      <c r="C230" s="303">
        <v>567</v>
      </c>
      <c r="D230" s="307">
        <v>463</v>
      </c>
      <c r="E230" s="308">
        <v>47.63</v>
      </c>
      <c r="F230" s="305">
        <v>22</v>
      </c>
      <c r="G230" s="306">
        <v>22.34</v>
      </c>
      <c r="H230" s="309">
        <v>18.25</v>
      </c>
      <c r="I230" s="310">
        <v>1.875</v>
      </c>
      <c r="K230" s="188"/>
      <c r="L230" s="381"/>
      <c r="M230" s="379">
        <v>-21.7</v>
      </c>
      <c r="N230" s="220">
        <f>IF(B230&gt;=508,  31,
    IF(B230&gt;=219.1,  32,  34))*
    LOG(IF(B230&gt;=300,  9.53,
      mathx1x2xy1y2y(
        INDEX($K$6:$K$18,MATCH(B230,$K$6:$K$18,1),1),
        INDEX($K$6:$K$18,MATCH(B230,$K$6:$K$18,1)+1,1),
        B230,
        INDEX($L$6:$L$18,MATCH(B230,$K$6:$K$18,1),1),
        INDEX($L$6:$L$18,MATCH(B230,$K$6:$K$18,1)+1,1)))/E230)</f>
        <v>-21.66241810707119</v>
      </c>
    </row>
    <row r="231" spans="1:14" s="263" customFormat="1" ht="15.75" customHeight="1" thickBot="1" x14ac:dyDescent="0.4">
      <c r="A231" s="278" t="s">
        <v>188</v>
      </c>
      <c r="B231" s="312">
        <v>558.79999999999995</v>
      </c>
      <c r="C231" s="313">
        <v>567</v>
      </c>
      <c r="D231" s="314">
        <v>450.5</v>
      </c>
      <c r="E231" s="315">
        <v>53.98</v>
      </c>
      <c r="F231" s="316">
        <v>22</v>
      </c>
      <c r="G231" s="317">
        <v>22.34</v>
      </c>
      <c r="H231" s="318">
        <v>17.75</v>
      </c>
      <c r="I231" s="319">
        <v>2.125</v>
      </c>
      <c r="K231" s="188"/>
      <c r="L231" s="381"/>
      <c r="M231" s="383">
        <v>-23.5</v>
      </c>
      <c r="N231" s="230">
        <f>IF(B231&gt;=508,  31,
    IF(B231&gt;=219.1,  32,  34))*
    LOG(IF(B231&gt;=300,  9.53,
      mathx1x2xy1y2y(
        INDEX($K$6:$K$18,MATCH(B231,$K$6:$K$18,1),1),
        INDEX($K$6:$K$18,MATCH(B231,$K$6:$K$18,1)+1,1),
        B231,
        INDEX($L$6:$L$18,MATCH(B231,$K$6:$K$18,1),1),
        INDEX($L$6:$L$18,MATCH(B231,$K$6:$K$18,1)+1,1)))/E231)</f>
        <v>-23.347339367047311</v>
      </c>
    </row>
    <row r="232" spans="1:14" s="193" customFormat="1" ht="15.75" customHeight="1" x14ac:dyDescent="0.35">
      <c r="A232" s="247" t="s">
        <v>189</v>
      </c>
      <c r="B232" s="320">
        <v>609.6</v>
      </c>
      <c r="C232" s="321">
        <v>619</v>
      </c>
      <c r="D232" s="287">
        <f t="shared" si="15"/>
        <v>596.9</v>
      </c>
      <c r="E232" s="322">
        <f t="shared" si="15"/>
        <v>6.35</v>
      </c>
      <c r="F232" s="323">
        <v>24</v>
      </c>
      <c r="G232" s="324">
        <v>24.38</v>
      </c>
      <c r="H232" s="325">
        <f t="shared" ref="H232:H263" si="16">ROUND(F232-2*I232,3)</f>
        <v>23.5</v>
      </c>
      <c r="I232" s="348">
        <v>0.25</v>
      </c>
      <c r="K232" s="188"/>
      <c r="L232" s="381"/>
      <c r="M232" s="378">
        <v>5.5</v>
      </c>
      <c r="N232" s="209">
        <f>IF(B232&gt;=508,  31,
    IF(B232&gt;=219.1,  32,  34))*
    LOG(IF(B232&gt;=300,  9.53,
      mathx1x2xy1y2y(
        INDEX($K$6:$K$18,MATCH(B232,$K$6:$K$18,1),1),
        INDEX($K$6:$K$18,MATCH(B232,$K$6:$K$18,1)+1,1),
        B232,
        INDEX($L$6:$L$18,MATCH(B232,$K$6:$K$18,1),1),
        INDEX($L$6:$L$18,MATCH(B232,$K$6:$K$18,1)+1,1)))/E232)</f>
        <v>5.4658944357368719</v>
      </c>
    </row>
    <row r="233" spans="1:14" s="193" customFormat="1" ht="15.75" customHeight="1" x14ac:dyDescent="0.35">
      <c r="A233" s="301" t="s">
        <v>190</v>
      </c>
      <c r="B233" s="302">
        <v>609.6</v>
      </c>
      <c r="C233" s="303">
        <v>619</v>
      </c>
      <c r="D233" s="277">
        <f t="shared" si="15"/>
        <v>596.9</v>
      </c>
      <c r="E233" s="304">
        <f t="shared" si="15"/>
        <v>6.35</v>
      </c>
      <c r="F233" s="305">
        <v>24</v>
      </c>
      <c r="G233" s="306">
        <v>24.38</v>
      </c>
      <c r="H233" s="289">
        <f t="shared" si="16"/>
        <v>23.5</v>
      </c>
      <c r="I233" s="349">
        <v>0.25</v>
      </c>
      <c r="K233" s="188"/>
      <c r="L233" s="381"/>
      <c r="M233" s="379">
        <v>5.5</v>
      </c>
      <c r="N233" s="220">
        <f>IF(B233&gt;=508,  31,
    IF(B233&gt;=219.1,  32,  34))*
    LOG(IF(B233&gt;=300,  9.53,
      mathx1x2xy1y2y(
        INDEX($K$6:$K$18,MATCH(B233,$K$6:$K$18,1),1),
        INDEX($K$6:$K$18,MATCH(B233,$K$6:$K$18,1)+1,1),
        B233,
        INDEX($L$6:$L$18,MATCH(B233,$K$6:$K$18,1),1),
        INDEX($L$6:$L$18,MATCH(B233,$K$6:$K$18,1)+1,1)))/E233)</f>
        <v>5.4658944357368719</v>
      </c>
    </row>
    <row r="234" spans="1:14" s="263" customFormat="1" ht="15.75" customHeight="1" x14ac:dyDescent="0.35">
      <c r="A234" s="301" t="s">
        <v>191</v>
      </c>
      <c r="B234" s="302">
        <v>609.6</v>
      </c>
      <c r="C234" s="303">
        <v>619</v>
      </c>
      <c r="D234" s="307">
        <v>590.5</v>
      </c>
      <c r="E234" s="308">
        <v>9.5299999999999994</v>
      </c>
      <c r="F234" s="305">
        <v>24</v>
      </c>
      <c r="G234" s="306">
        <v>24.38</v>
      </c>
      <c r="H234" s="309">
        <v>23.25</v>
      </c>
      <c r="I234" s="310">
        <v>0.375</v>
      </c>
      <c r="K234" s="188"/>
      <c r="L234" s="381"/>
      <c r="M234" s="379">
        <v>0</v>
      </c>
      <c r="N234" s="220">
        <f>IF(B234&gt;=508,  31,
    IF(B234&gt;=219.1,  32,  34))*
    LOG(IF(B234&gt;=300,  9.53,
      mathx1x2xy1y2y(
        INDEX($K$6:$K$18,MATCH(B234,$K$6:$K$18,1),1),
        INDEX($K$6:$K$18,MATCH(B234,$K$6:$K$18,1)+1,1),
        B234,
        INDEX($L$6:$L$18,MATCH(B234,$K$6:$K$18,1),1),
        INDEX($L$6:$L$18,MATCH(B234,$K$6:$K$18,1)+1,1)))/E234)</f>
        <v>0</v>
      </c>
    </row>
    <row r="235" spans="1:14" s="193" customFormat="1" ht="15.75" customHeight="1" x14ac:dyDescent="0.35">
      <c r="A235" s="258" t="s">
        <v>834</v>
      </c>
      <c r="B235" s="302">
        <v>609.6</v>
      </c>
      <c r="C235" s="303">
        <v>619</v>
      </c>
      <c r="D235" s="307">
        <v>590.5</v>
      </c>
      <c r="E235" s="308">
        <v>9.5299999999999994</v>
      </c>
      <c r="F235" s="305">
        <v>24</v>
      </c>
      <c r="G235" s="306">
        <v>24.38</v>
      </c>
      <c r="H235" s="309">
        <v>23.25</v>
      </c>
      <c r="I235" s="310">
        <v>0.375</v>
      </c>
      <c r="K235" s="188"/>
      <c r="L235" s="381"/>
      <c r="M235" s="379">
        <v>0</v>
      </c>
      <c r="N235" s="220">
        <f>IF(B235&gt;=508,  31,
    IF(B235&gt;=219.1,  32,  34))*
    LOG(IF(B235&gt;=300,  9.53,
      mathx1x2xy1y2y(
        INDEX($K$6:$K$18,MATCH(B235,$K$6:$K$18,1),1),
        INDEX($K$6:$K$18,MATCH(B235,$K$6:$K$18,1)+1,1),
        B235,
        INDEX($L$6:$L$18,MATCH(B235,$K$6:$K$18,1),1),
        INDEX($L$6:$L$18,MATCH(B235,$K$6:$K$18,1)+1,1)))/E235)</f>
        <v>0</v>
      </c>
    </row>
    <row r="236" spans="1:14" s="193" customFormat="1" ht="15.75" customHeight="1" x14ac:dyDescent="0.35">
      <c r="A236" s="258" t="s">
        <v>192</v>
      </c>
      <c r="B236" s="302">
        <v>609.6</v>
      </c>
      <c r="C236" s="303">
        <v>619</v>
      </c>
      <c r="D236" s="307">
        <v>590.5</v>
      </c>
      <c r="E236" s="308">
        <v>9.5299999999999994</v>
      </c>
      <c r="F236" s="305">
        <v>24</v>
      </c>
      <c r="G236" s="306">
        <v>24.38</v>
      </c>
      <c r="H236" s="309">
        <v>23.25</v>
      </c>
      <c r="I236" s="310">
        <v>0.375</v>
      </c>
      <c r="K236" s="188"/>
      <c r="L236" s="381"/>
      <c r="M236" s="379">
        <v>0</v>
      </c>
      <c r="N236" s="220">
        <f>IF(B236&gt;=508,  31,
    IF(B236&gt;=219.1,  32,  34))*
    LOG(IF(B236&gt;=300,  9.53,
      mathx1x2xy1y2y(
        INDEX($K$6:$K$18,MATCH(B236,$K$6:$K$18,1),1),
        INDEX($K$6:$K$18,MATCH(B236,$K$6:$K$18,1)+1,1),
        B236,
        INDEX($L$6:$L$18,MATCH(B236,$K$6:$K$18,1),1),
        INDEX($L$6:$L$18,MATCH(B236,$K$6:$K$18,1)+1,1)))/E236)</f>
        <v>0</v>
      </c>
    </row>
    <row r="237" spans="1:14" s="193" customFormat="1" ht="15.75" customHeight="1" x14ac:dyDescent="0.35">
      <c r="A237" s="258" t="s">
        <v>835</v>
      </c>
      <c r="B237" s="302">
        <v>609.6</v>
      </c>
      <c r="C237" s="303">
        <v>619</v>
      </c>
      <c r="D237" s="307">
        <v>584</v>
      </c>
      <c r="E237" s="308">
        <v>12.7</v>
      </c>
      <c r="F237" s="305">
        <v>24</v>
      </c>
      <c r="G237" s="306">
        <v>24.38</v>
      </c>
      <c r="H237" s="309">
        <v>23</v>
      </c>
      <c r="I237" s="310">
        <v>0.5</v>
      </c>
      <c r="K237" s="188"/>
      <c r="L237" s="381"/>
      <c r="M237" s="379">
        <v>-4</v>
      </c>
      <c r="N237" s="220">
        <f>IF(B237&gt;=508,  31,
    IF(B237&gt;=219.1,  32,  34))*
    LOG(IF(B237&gt;=300,  9.53,
      mathx1x2xy1y2y(
        INDEX($K$6:$K$18,MATCH(B237,$K$6:$K$18,1),1),
        INDEX($K$6:$K$18,MATCH(B237,$K$6:$K$18,1)+1,1),
        B237,
        INDEX($L$6:$L$18,MATCH(B237,$K$6:$K$18,1),1),
        INDEX($L$6:$L$18,MATCH(B237,$K$6:$K$18,1)+1,1)))/E237)</f>
        <v>-3.8660354298465447</v>
      </c>
    </row>
    <row r="238" spans="1:14" s="193" customFormat="1" ht="15.75" customHeight="1" x14ac:dyDescent="0.35">
      <c r="A238" s="258" t="s">
        <v>193</v>
      </c>
      <c r="B238" s="302">
        <v>609.6</v>
      </c>
      <c r="C238" s="303">
        <v>619</v>
      </c>
      <c r="D238" s="307">
        <v>584</v>
      </c>
      <c r="E238" s="308">
        <v>12.7</v>
      </c>
      <c r="F238" s="305">
        <v>24</v>
      </c>
      <c r="G238" s="306">
        <v>24.38</v>
      </c>
      <c r="H238" s="309">
        <v>23</v>
      </c>
      <c r="I238" s="310">
        <v>0.5</v>
      </c>
      <c r="K238" s="188"/>
      <c r="L238" s="381"/>
      <c r="M238" s="379">
        <v>-4</v>
      </c>
      <c r="N238" s="220">
        <f>IF(B238&gt;=508,  31,
    IF(B238&gt;=219.1,  32,  34))*
    LOG(IF(B238&gt;=300,  9.53,
      mathx1x2xy1y2y(
        INDEX($K$6:$K$18,MATCH(B238,$K$6:$K$18,1),1),
        INDEX($K$6:$K$18,MATCH(B238,$K$6:$K$18,1)+1,1),
        B238,
        INDEX($L$6:$L$18,MATCH(B238,$K$6:$K$18,1),1),
        INDEX($L$6:$L$18,MATCH(B238,$K$6:$K$18,1)+1,1)))/E238)</f>
        <v>-3.8660354298465447</v>
      </c>
    </row>
    <row r="239" spans="1:14" s="263" customFormat="1" ht="15.75" customHeight="1" x14ac:dyDescent="0.35">
      <c r="A239" s="258" t="s">
        <v>194</v>
      </c>
      <c r="B239" s="302">
        <v>609.6</v>
      </c>
      <c r="C239" s="303">
        <v>619</v>
      </c>
      <c r="D239" s="307">
        <v>581</v>
      </c>
      <c r="E239" s="308">
        <v>14.27</v>
      </c>
      <c r="F239" s="305">
        <v>24</v>
      </c>
      <c r="G239" s="306">
        <v>24.38</v>
      </c>
      <c r="H239" s="309">
        <v>22.876000000000001</v>
      </c>
      <c r="I239" s="310">
        <v>0.56200000000000006</v>
      </c>
      <c r="K239" s="188"/>
      <c r="L239" s="381"/>
      <c r="M239" s="379">
        <v>-5.5</v>
      </c>
      <c r="N239" s="220">
        <f>IF(B239&gt;=508,  31,
    IF(B239&gt;=219.1,  32,  34))*
    LOG(IF(B239&gt;=300,  9.53,
      mathx1x2xy1y2y(
        INDEX($K$6:$K$18,MATCH(B239,$K$6:$K$18,1),1),
        INDEX($K$6:$K$18,MATCH(B239,$K$6:$K$18,1)+1,1),
        B239,
        INDEX($L$6:$L$18,MATCH(B239,$K$6:$K$18,1),1),
        INDEX($L$6:$L$18,MATCH(B239,$K$6:$K$18,1)+1,1)))/E239)</f>
        <v>-5.4352632467659365</v>
      </c>
    </row>
    <row r="240" spans="1:14" s="193" customFormat="1" ht="15.75" customHeight="1" x14ac:dyDescent="0.35">
      <c r="A240" s="258" t="s">
        <v>195</v>
      </c>
      <c r="B240" s="302">
        <v>609.6</v>
      </c>
      <c r="C240" s="303">
        <v>619</v>
      </c>
      <c r="D240" s="307">
        <v>574.5</v>
      </c>
      <c r="E240" s="308">
        <v>17.48</v>
      </c>
      <c r="F240" s="305">
        <v>24</v>
      </c>
      <c r="G240" s="306">
        <v>24.38</v>
      </c>
      <c r="H240" s="309">
        <v>22.623999999999999</v>
      </c>
      <c r="I240" s="310">
        <v>0.68799999999999994</v>
      </c>
      <c r="K240" s="188"/>
      <c r="L240" s="381"/>
      <c r="M240" s="379">
        <v>-8</v>
      </c>
      <c r="N240" s="220">
        <f>IF(B240&gt;=508,  31,
    IF(B240&gt;=219.1,  32,  34))*
    LOG(IF(B240&gt;=300,  9.53,
      mathx1x2xy1y2y(
        INDEX($K$6:$K$18,MATCH(B240,$K$6:$K$18,1),1),
        INDEX($K$6:$K$18,MATCH(B240,$K$6:$K$18,1)+1,1),
        B240,
        INDEX($L$6:$L$18,MATCH(B240,$K$6:$K$18,1),1),
        INDEX($L$6:$L$18,MATCH(B240,$K$6:$K$18,1)+1,1)))/E240)</f>
        <v>-8.1669043574617941</v>
      </c>
    </row>
    <row r="241" spans="1:14" s="193" customFormat="1" ht="15.75" customHeight="1" x14ac:dyDescent="0.35">
      <c r="A241" s="258" t="s">
        <v>196</v>
      </c>
      <c r="B241" s="302">
        <v>609.6</v>
      </c>
      <c r="C241" s="303">
        <v>619</v>
      </c>
      <c r="D241" s="307">
        <v>560.5</v>
      </c>
      <c r="E241" s="308">
        <v>24.61</v>
      </c>
      <c r="F241" s="305">
        <v>24</v>
      </c>
      <c r="G241" s="306">
        <v>24.38</v>
      </c>
      <c r="H241" s="309">
        <v>22.062000000000001</v>
      </c>
      <c r="I241" s="310">
        <v>0.96899999999999997</v>
      </c>
      <c r="K241" s="188"/>
      <c r="L241" s="381"/>
      <c r="M241" s="379">
        <v>-12.5</v>
      </c>
      <c r="N241" s="220">
        <f>IF(B241&gt;=508,  31,
    IF(B241&gt;=219.1,  32,  34))*
    LOG(IF(B241&gt;=300,  9.53,
      mathx1x2xy1y2y(
        INDEX($K$6:$K$18,MATCH(B241,$K$6:$K$18,1),1),
        INDEX($K$6:$K$18,MATCH(B241,$K$6:$K$18,1)+1,1),
        B241,
        INDEX($L$6:$L$18,MATCH(B241,$K$6:$K$18,1),1),
        INDEX($L$6:$L$18,MATCH(B241,$K$6:$K$18,1)+1,1)))/E241)</f>
        <v>-12.77258010499876</v>
      </c>
    </row>
    <row r="242" spans="1:14" s="193" customFormat="1" ht="15.75" customHeight="1" x14ac:dyDescent="0.35">
      <c r="A242" s="258" t="s">
        <v>197</v>
      </c>
      <c r="B242" s="302">
        <v>609.6</v>
      </c>
      <c r="C242" s="303">
        <v>619</v>
      </c>
      <c r="D242" s="307">
        <v>547.5</v>
      </c>
      <c r="E242" s="308">
        <v>30.96</v>
      </c>
      <c r="F242" s="305">
        <v>24</v>
      </c>
      <c r="G242" s="306">
        <v>24.38</v>
      </c>
      <c r="H242" s="309">
        <v>21.562000000000001</v>
      </c>
      <c r="I242" s="310">
        <v>1.2190000000000001</v>
      </c>
      <c r="K242" s="188"/>
      <c r="L242" s="381"/>
      <c r="M242" s="379">
        <v>-16</v>
      </c>
      <c r="N242" s="220">
        <f>IF(B242&gt;=508,  31,
    IF(B242&gt;=219.1,  32,  34))*
    LOG(IF(B242&gt;=300,  9.53,
      mathx1x2xy1y2y(
        INDEX($K$6:$K$18,MATCH(B242,$K$6:$K$18,1),1),
        INDEX($K$6:$K$18,MATCH(B242,$K$6:$K$18,1)+1,1),
        B242,
        INDEX($L$6:$L$18,MATCH(B242,$K$6:$K$18,1),1),
        INDEX($L$6:$L$18,MATCH(B242,$K$6:$K$18,1)+1,1)))/E242)</f>
        <v>-15.862949592548388</v>
      </c>
    </row>
    <row r="243" spans="1:14" s="193" customFormat="1" ht="15.75" customHeight="1" x14ac:dyDescent="0.35">
      <c r="A243" s="258" t="s">
        <v>198</v>
      </c>
      <c r="B243" s="302">
        <v>609.6</v>
      </c>
      <c r="C243" s="303">
        <v>619</v>
      </c>
      <c r="D243" s="307">
        <v>532</v>
      </c>
      <c r="E243" s="308">
        <v>38.89</v>
      </c>
      <c r="F243" s="305">
        <v>24</v>
      </c>
      <c r="G243" s="306">
        <v>24.38</v>
      </c>
      <c r="H243" s="309">
        <v>20.937999999999999</v>
      </c>
      <c r="I243" s="310">
        <v>1.5309999999999999</v>
      </c>
      <c r="K243" s="188"/>
      <c r="L243" s="381"/>
      <c r="M243" s="379">
        <v>-19</v>
      </c>
      <c r="N243" s="220">
        <f>IF(B243&gt;=508,  31,
    IF(B243&gt;=219.1,  32,  34))*
    LOG(IF(B243&gt;=300,  9.53,
      mathx1x2xy1y2y(
        INDEX($K$6:$K$18,MATCH(B243,$K$6:$K$18,1),1),
        INDEX($K$6:$K$18,MATCH(B243,$K$6:$K$18,1)+1,1),
        B243,
        INDEX($L$6:$L$18,MATCH(B243,$K$6:$K$18,1),1),
        INDEX($L$6:$L$18,MATCH(B243,$K$6:$K$18,1)+1,1)))/E243)</f>
        <v>-18.933096317783132</v>
      </c>
    </row>
    <row r="244" spans="1:14" s="193" customFormat="1" ht="15.75" customHeight="1" x14ac:dyDescent="0.35">
      <c r="A244" s="258" t="s">
        <v>199</v>
      </c>
      <c r="B244" s="302">
        <v>609.6</v>
      </c>
      <c r="C244" s="303">
        <v>619</v>
      </c>
      <c r="D244" s="307">
        <v>517.5</v>
      </c>
      <c r="E244" s="308">
        <v>46.02</v>
      </c>
      <c r="F244" s="305">
        <v>24</v>
      </c>
      <c r="G244" s="306">
        <v>24.38</v>
      </c>
      <c r="H244" s="309">
        <v>20.376000000000001</v>
      </c>
      <c r="I244" s="310">
        <v>1.8120000000000001</v>
      </c>
      <c r="K244" s="188"/>
      <c r="L244" s="381"/>
      <c r="M244" s="379">
        <v>-21.5</v>
      </c>
      <c r="N244" s="220">
        <f>IF(B244&gt;=508,  31,
    IF(B244&gt;=219.1,  32,  34))*
    LOG(IF(B244&gt;=300,  9.53,
      mathx1x2xy1y2y(
        INDEX($K$6:$K$18,MATCH(B244,$K$6:$K$18,1),1),
        INDEX($K$6:$K$18,MATCH(B244,$K$6:$K$18,1)+1,1),
        B244,
        INDEX($L$6:$L$18,MATCH(B244,$K$6:$K$18,1),1),
        INDEX($L$6:$L$18,MATCH(B244,$K$6:$K$18,1)+1,1)))/E244)</f>
        <v>-21.199465124523247</v>
      </c>
    </row>
    <row r="245" spans="1:14" s="263" customFormat="1" ht="15.75" customHeight="1" x14ac:dyDescent="0.35">
      <c r="A245" s="258" t="s">
        <v>200</v>
      </c>
      <c r="B245" s="302">
        <v>609.6</v>
      </c>
      <c r="C245" s="303">
        <v>619</v>
      </c>
      <c r="D245" s="307">
        <v>505</v>
      </c>
      <c r="E245" s="308">
        <v>52.37</v>
      </c>
      <c r="F245" s="305">
        <v>24</v>
      </c>
      <c r="G245" s="306">
        <v>24.38</v>
      </c>
      <c r="H245" s="309">
        <v>19.876000000000001</v>
      </c>
      <c r="I245" s="310">
        <v>2.0619999999999998</v>
      </c>
      <c r="K245" s="188"/>
      <c r="L245" s="381"/>
      <c r="M245" s="379">
        <v>-23</v>
      </c>
      <c r="N245" s="220">
        <f>IF(B245&gt;=508,  31,
    IF(B245&gt;=219.1,  32,  34))*
    LOG(IF(B245&gt;=300,  9.53,
      mathx1x2xy1y2y(
        INDEX($K$6:$K$18,MATCH(B245,$K$6:$K$18,1),1),
        INDEX($K$6:$K$18,MATCH(B245,$K$6:$K$18,1)+1,1),
        B245,
        INDEX($L$6:$L$18,MATCH(B245,$K$6:$K$18,1),1),
        INDEX($L$6:$L$18,MATCH(B245,$K$6:$K$18,1)+1,1)))/E245)</f>
        <v>-22.939679871157946</v>
      </c>
    </row>
    <row r="246" spans="1:14" s="193" customFormat="1" ht="15.75" customHeight="1" thickBot="1" x14ac:dyDescent="0.4">
      <c r="A246" s="264" t="s">
        <v>201</v>
      </c>
      <c r="B246" s="326">
        <v>609.6</v>
      </c>
      <c r="C246" s="327">
        <v>619</v>
      </c>
      <c r="D246" s="328">
        <v>490.5</v>
      </c>
      <c r="E246" s="329">
        <v>59.54</v>
      </c>
      <c r="F246" s="330">
        <v>24</v>
      </c>
      <c r="G246" s="331">
        <v>24.38</v>
      </c>
      <c r="H246" s="332">
        <v>19.312000000000001</v>
      </c>
      <c r="I246" s="333">
        <v>2.3439999999999999</v>
      </c>
      <c r="K246" s="188"/>
      <c r="L246" s="381"/>
      <c r="M246" s="380">
        <v>-25</v>
      </c>
      <c r="N246" s="246">
        <f>IF(B246&gt;=508,  31,
    IF(B246&gt;=219.1,  32,  34))*
    LOG(IF(B246&gt;=300,  9.53,
      mathx1x2xy1y2y(
        INDEX($K$6:$K$18,MATCH(B246,$K$6:$K$18,1),1),
        INDEX($K$6:$K$18,MATCH(B246,$K$6:$K$18,1)+1,1),
        B246,
        INDEX($L$6:$L$18,MATCH(B246,$K$6:$K$18,1),1),
        INDEX($L$6:$L$18,MATCH(B246,$K$6:$K$18,1)+1,1)))/E246)</f>
        <v>-24.667193819843767</v>
      </c>
    </row>
    <row r="247" spans="1:14" s="193" customFormat="1" ht="14.5" x14ac:dyDescent="0.35">
      <c r="A247" s="269" t="s">
        <v>202</v>
      </c>
      <c r="B247" s="295">
        <v>660.4</v>
      </c>
      <c r="C247" s="296">
        <v>670</v>
      </c>
      <c r="D247" s="350">
        <v>645.5</v>
      </c>
      <c r="E247" s="351">
        <v>7.92</v>
      </c>
      <c r="F247" s="298">
        <v>26</v>
      </c>
      <c r="G247" s="299">
        <v>26.38</v>
      </c>
      <c r="H247" s="352">
        <v>25.376000000000001</v>
      </c>
      <c r="I247" s="353">
        <v>0.312</v>
      </c>
      <c r="K247" s="188"/>
      <c r="L247" s="381"/>
      <c r="M247" s="382">
        <v>2.5</v>
      </c>
      <c r="N247" s="256">
        <f>IF(B247&gt;=508,  31,
    IF(B247&gt;=219.1,  32,  34))*
    LOG(IF(B247&gt;=300,  9.53,
      mathx1x2xy1y2y(
        INDEX($K$6:$K$18,MATCH(B247,$K$6:$K$18,1),1),
        INDEX($K$6:$K$18,MATCH(B247,$K$6:$K$18,1)+1,1),
        B247,
        INDEX($L$6:$L$18,MATCH(B247,$K$6:$K$18,1),1),
        INDEX($L$6:$L$18,MATCH(B247,$K$6:$K$18,1)+1,1)))/E247)</f>
        <v>2.4913992905138205</v>
      </c>
    </row>
    <row r="248" spans="1:14" s="193" customFormat="1" ht="14.5" x14ac:dyDescent="0.35">
      <c r="A248" s="258" t="s">
        <v>836</v>
      </c>
      <c r="B248" s="302">
        <v>660.4</v>
      </c>
      <c r="C248" s="303">
        <v>670</v>
      </c>
      <c r="D248" s="307">
        <v>641.34</v>
      </c>
      <c r="E248" s="308">
        <v>9.5299999999999994</v>
      </c>
      <c r="F248" s="305">
        <v>26</v>
      </c>
      <c r="G248" s="306">
        <v>26.38</v>
      </c>
      <c r="H248" s="309">
        <v>25.25</v>
      </c>
      <c r="I248" s="310">
        <v>0.375</v>
      </c>
      <c r="K248" s="188"/>
      <c r="L248" s="381"/>
      <c r="M248" s="379">
        <v>0</v>
      </c>
      <c r="N248" s="220">
        <f>IF(B248&gt;=508,  31,
    IF(B248&gt;=219.1,  32,  34))*
    LOG(IF(B248&gt;=300,  9.53,
      mathx1x2xy1y2y(
        INDEX($K$6:$K$18,MATCH(B248,$K$6:$K$18,1),1),
        INDEX($K$6:$K$18,MATCH(B248,$K$6:$K$18,1)+1,1),
        B248,
        INDEX($L$6:$L$18,MATCH(B248,$K$6:$K$18,1),1),
        INDEX($L$6:$L$18,MATCH(B248,$K$6:$K$18,1)+1,1)))/E248)</f>
        <v>0</v>
      </c>
    </row>
    <row r="249" spans="1:14" s="193" customFormat="1" ht="14.5" x14ac:dyDescent="0.35">
      <c r="A249" s="258" t="s">
        <v>203</v>
      </c>
      <c r="B249" s="302">
        <v>660.4</v>
      </c>
      <c r="C249" s="303">
        <v>670</v>
      </c>
      <c r="D249" s="307">
        <v>641.34</v>
      </c>
      <c r="E249" s="308">
        <v>9.5299999999999994</v>
      </c>
      <c r="F249" s="305">
        <v>26</v>
      </c>
      <c r="G249" s="306">
        <v>26.38</v>
      </c>
      <c r="H249" s="309">
        <v>25.25</v>
      </c>
      <c r="I249" s="310">
        <v>0.375</v>
      </c>
      <c r="K249" s="188"/>
      <c r="L249" s="381"/>
      <c r="M249" s="379">
        <v>0</v>
      </c>
      <c r="N249" s="220">
        <f>IF(B249&gt;=508,  31,
    IF(B249&gt;=219.1,  32,  34))*
    LOG(IF(B249&gt;=300,  9.53,
      mathx1x2xy1y2y(
        INDEX($K$6:$K$18,MATCH(B249,$K$6:$K$18,1),1),
        INDEX($K$6:$K$18,MATCH(B249,$K$6:$K$18,1)+1,1),
        B249,
        INDEX($L$6:$L$18,MATCH(B249,$K$6:$K$18,1),1),
        INDEX($L$6:$L$18,MATCH(B249,$K$6:$K$18,1)+1,1)))/E249)</f>
        <v>0</v>
      </c>
    </row>
    <row r="250" spans="1:14" s="193" customFormat="1" ht="14.5" x14ac:dyDescent="0.35">
      <c r="A250" s="301" t="s">
        <v>204</v>
      </c>
      <c r="B250" s="302">
        <v>660.4</v>
      </c>
      <c r="C250" s="303">
        <v>670</v>
      </c>
      <c r="D250" s="307">
        <v>635</v>
      </c>
      <c r="E250" s="308">
        <v>12.7</v>
      </c>
      <c r="F250" s="305">
        <v>26</v>
      </c>
      <c r="G250" s="306">
        <v>26.38</v>
      </c>
      <c r="H250" s="309">
        <f t="shared" ref="H250" si="17">ROUND(F250-2*I250,3)</f>
        <v>25</v>
      </c>
      <c r="I250" s="310">
        <v>0.5</v>
      </c>
      <c r="K250" s="188"/>
      <c r="L250" s="381"/>
      <c r="M250" s="379">
        <v>-4</v>
      </c>
      <c r="N250" s="220">
        <f>IF(B250&gt;=508,  31,
    IF(B250&gt;=219.1,  32,  34))*
    LOG(IF(B250&gt;=300,  9.53,
      mathx1x2xy1y2y(
        INDEX($K$6:$K$18,MATCH(B250,$K$6:$K$18,1),1),
        INDEX($K$6:$K$18,MATCH(B250,$K$6:$K$18,1)+1,1),
        B250,
        INDEX($L$6:$L$18,MATCH(B250,$K$6:$K$18,1),1),
        INDEX($L$6:$L$18,MATCH(B250,$K$6:$K$18,1)+1,1)))/E250)</f>
        <v>-3.8660354298465447</v>
      </c>
    </row>
    <row r="251" spans="1:14" s="193" customFormat="1" ht="15" thickBot="1" x14ac:dyDescent="0.4">
      <c r="A251" s="311" t="s">
        <v>205</v>
      </c>
      <c r="B251" s="312">
        <v>660.4</v>
      </c>
      <c r="C251" s="313">
        <v>670</v>
      </c>
      <c r="D251" s="314">
        <v>635</v>
      </c>
      <c r="E251" s="315">
        <v>12.7</v>
      </c>
      <c r="F251" s="316">
        <v>26</v>
      </c>
      <c r="G251" s="317">
        <v>26.38</v>
      </c>
      <c r="H251" s="318">
        <f t="shared" si="16"/>
        <v>25</v>
      </c>
      <c r="I251" s="319">
        <v>0.5</v>
      </c>
      <c r="K251" s="188"/>
      <c r="L251" s="381"/>
      <c r="M251" s="383">
        <v>-4</v>
      </c>
      <c r="N251" s="230">
        <f>IF(B251&gt;=508,  31,
    IF(B251&gt;=219.1,  32,  34))*
    LOG(IF(B251&gt;=300,  9.53,
      mathx1x2xy1y2y(
        INDEX($K$6:$K$18,MATCH(B251,$K$6:$K$18,1),1),
        INDEX($K$6:$K$18,MATCH(B251,$K$6:$K$18,1)+1,1),
        B251,
        INDEX($L$6:$L$18,MATCH(B251,$K$6:$K$18,1),1),
        INDEX($L$6:$L$18,MATCH(B251,$K$6:$K$18,1)+1,1)))/E251)</f>
        <v>-3.8660354298465447</v>
      </c>
    </row>
    <row r="252" spans="1:14" s="193" customFormat="1" ht="14.5" x14ac:dyDescent="0.35">
      <c r="A252" s="247" t="s">
        <v>206</v>
      </c>
      <c r="B252" s="320">
        <v>711.2</v>
      </c>
      <c r="C252" s="321">
        <v>721</v>
      </c>
      <c r="D252" s="354">
        <v>695.5</v>
      </c>
      <c r="E252" s="355">
        <v>7.92</v>
      </c>
      <c r="F252" s="323">
        <v>28</v>
      </c>
      <c r="G252" s="324">
        <v>28.38</v>
      </c>
      <c r="H252" s="356">
        <f t="shared" si="16"/>
        <v>27.376000000000001</v>
      </c>
      <c r="I252" s="357">
        <v>0.312</v>
      </c>
      <c r="K252" s="188"/>
      <c r="L252" s="381"/>
      <c r="M252" s="378">
        <v>2.5</v>
      </c>
      <c r="N252" s="209">
        <f>IF(B252&gt;=508,  31,
    IF(B252&gt;=219.1,  32,  34))*
    LOG(IF(B252&gt;=300,  9.53,
      mathx1x2xy1y2y(
        INDEX($K$6:$K$18,MATCH(B252,$K$6:$K$18,1),1),
        INDEX($K$6:$K$18,MATCH(B252,$K$6:$K$18,1)+1,1),
        B252,
        INDEX($L$6:$L$18,MATCH(B252,$K$6:$K$18,1),1),
        INDEX($L$6:$L$18,MATCH(B252,$K$6:$K$18,1)+1,1)))/E252)</f>
        <v>2.4913992905138205</v>
      </c>
    </row>
    <row r="253" spans="1:14" s="193" customFormat="1" ht="14.5" x14ac:dyDescent="0.35">
      <c r="A253" s="258" t="s">
        <v>837</v>
      </c>
      <c r="B253" s="302">
        <v>711.2</v>
      </c>
      <c r="C253" s="303">
        <v>721</v>
      </c>
      <c r="D253" s="307">
        <v>692.14</v>
      </c>
      <c r="E253" s="308">
        <v>9.5299999999999994</v>
      </c>
      <c r="F253" s="305">
        <v>28</v>
      </c>
      <c r="G253" s="306">
        <v>28.38</v>
      </c>
      <c r="H253" s="309">
        <f t="shared" si="16"/>
        <v>27.25</v>
      </c>
      <c r="I253" s="310">
        <v>0.375</v>
      </c>
      <c r="K253" s="188"/>
      <c r="L253" s="381"/>
      <c r="M253" s="379">
        <v>0</v>
      </c>
      <c r="N253" s="220">
        <f>IF(B253&gt;=508,  31,
    IF(B253&gt;=219.1,  32,  34))*
    LOG(IF(B253&gt;=300,  9.53,
      mathx1x2xy1y2y(
        INDEX($K$6:$K$18,MATCH(B253,$K$6:$K$18,1),1),
        INDEX($K$6:$K$18,MATCH(B253,$K$6:$K$18,1)+1,1),
        B253,
        INDEX($L$6:$L$18,MATCH(B253,$K$6:$K$18,1),1),
        INDEX($L$6:$L$18,MATCH(B253,$K$6:$K$18,1)+1,1)))/E253)</f>
        <v>0</v>
      </c>
    </row>
    <row r="254" spans="1:14" s="193" customFormat="1" ht="14.5" x14ac:dyDescent="0.35">
      <c r="A254" s="258" t="s">
        <v>207</v>
      </c>
      <c r="B254" s="302">
        <v>711.2</v>
      </c>
      <c r="C254" s="303">
        <v>721</v>
      </c>
      <c r="D254" s="307">
        <v>692.14</v>
      </c>
      <c r="E254" s="308">
        <v>9.5299999999999994</v>
      </c>
      <c r="F254" s="305">
        <v>28</v>
      </c>
      <c r="G254" s="306">
        <v>28.38</v>
      </c>
      <c r="H254" s="309">
        <f t="shared" si="16"/>
        <v>27.25</v>
      </c>
      <c r="I254" s="310">
        <v>0.375</v>
      </c>
      <c r="K254" s="188"/>
      <c r="L254" s="381"/>
      <c r="M254" s="379">
        <v>0</v>
      </c>
      <c r="N254" s="220">
        <f>IF(B254&gt;=508,  31,
    IF(B254&gt;=219.1,  32,  34))*
    LOG(IF(B254&gt;=300,  9.53,
      mathx1x2xy1y2y(
        INDEX($K$6:$K$18,MATCH(B254,$K$6:$K$18,1),1),
        INDEX($K$6:$K$18,MATCH(B254,$K$6:$K$18,1)+1,1),
        B254,
        INDEX($L$6:$L$18,MATCH(B254,$K$6:$K$18,1),1),
        INDEX($L$6:$L$18,MATCH(B254,$K$6:$K$18,1)+1,1)))/E254)</f>
        <v>0</v>
      </c>
    </row>
    <row r="255" spans="1:14" s="193" customFormat="1" ht="14.5" x14ac:dyDescent="0.35">
      <c r="A255" s="301" t="s">
        <v>208</v>
      </c>
      <c r="B255" s="302">
        <v>711.2</v>
      </c>
      <c r="C255" s="303">
        <v>721</v>
      </c>
      <c r="D255" s="307">
        <v>686</v>
      </c>
      <c r="E255" s="308">
        <v>12.7</v>
      </c>
      <c r="F255" s="305">
        <v>28</v>
      </c>
      <c r="G255" s="306">
        <v>28.38</v>
      </c>
      <c r="H255" s="309">
        <f t="shared" si="16"/>
        <v>27</v>
      </c>
      <c r="I255" s="310">
        <v>0.5</v>
      </c>
      <c r="K255" s="188"/>
      <c r="L255" s="381"/>
      <c r="M255" s="379">
        <v>-4</v>
      </c>
      <c r="N255" s="220">
        <f>IF(B255&gt;=508,  31,
    IF(B255&gt;=219.1,  32,  34))*
    LOG(IF(B255&gt;=300,  9.53,
      mathx1x2xy1y2y(
        INDEX($K$6:$K$18,MATCH(B255,$K$6:$K$18,1),1),
        INDEX($K$6:$K$18,MATCH(B255,$K$6:$K$18,1)+1,1),
        B255,
        INDEX($L$6:$L$18,MATCH(B255,$K$6:$K$18,1),1),
        INDEX($L$6:$L$18,MATCH(B255,$K$6:$K$18,1)+1,1)))/E255)</f>
        <v>-3.8660354298465447</v>
      </c>
    </row>
    <row r="256" spans="1:14" s="193" customFormat="1" ht="15" thickBot="1" x14ac:dyDescent="0.4">
      <c r="A256" s="264" t="s">
        <v>209</v>
      </c>
      <c r="B256" s="326">
        <v>711.2</v>
      </c>
      <c r="C256" s="327">
        <v>721</v>
      </c>
      <c r="D256" s="328">
        <v>679.5</v>
      </c>
      <c r="E256" s="329">
        <v>15.88</v>
      </c>
      <c r="F256" s="330">
        <v>28</v>
      </c>
      <c r="G256" s="331">
        <v>28.38</v>
      </c>
      <c r="H256" s="332">
        <f t="shared" si="16"/>
        <v>26.75</v>
      </c>
      <c r="I256" s="333">
        <v>0.625</v>
      </c>
      <c r="K256" s="188"/>
      <c r="L256" s="381"/>
      <c r="M256" s="380">
        <v>-7</v>
      </c>
      <c r="N256" s="246">
        <f>IF(B256&gt;=508,  31,
    IF(B256&gt;=219.1,  32,  34))*
    LOG(IF(B256&gt;=300,  9.53,
      mathx1x2xy1y2y(
        INDEX($K$6:$K$18,MATCH(B256,$K$6:$K$18,1),1),
        INDEX($K$6:$K$18,MATCH(B256,$K$6:$K$18,1)+1,1),
        B256,
        INDEX($L$6:$L$18,MATCH(B256,$K$6:$K$18,1),1),
        INDEX($L$6:$L$18,MATCH(B256,$K$6:$K$18,1)+1,1)))/E256)</f>
        <v>-6.8744855210352824</v>
      </c>
    </row>
    <row r="257" spans="1:14" s="193" customFormat="1" ht="14.5" x14ac:dyDescent="0.35">
      <c r="A257" s="294" t="s">
        <v>211</v>
      </c>
      <c r="B257" s="295">
        <f t="shared" ref="B257:B263" si="18">F257*25.4</f>
        <v>762</v>
      </c>
      <c r="C257" s="296">
        <v>772</v>
      </c>
      <c r="D257" s="350">
        <v>746</v>
      </c>
      <c r="E257" s="351">
        <v>7.92</v>
      </c>
      <c r="F257" s="298">
        <v>30</v>
      </c>
      <c r="G257" s="299">
        <v>30.38</v>
      </c>
      <c r="H257" s="352">
        <f t="shared" si="16"/>
        <v>29.376000000000001</v>
      </c>
      <c r="I257" s="353">
        <v>0.312</v>
      </c>
      <c r="K257" s="188"/>
      <c r="L257" s="381"/>
      <c r="M257" s="382">
        <v>2.5</v>
      </c>
      <c r="N257" s="256">
        <f>IF(B257&gt;=508,  31,
    IF(B257&gt;=219.1,  32,  34))*
    LOG(IF(B257&gt;=300,  9.53,
      mathx1x2xy1y2y(
        INDEX($K$6:$K$18,MATCH(B257,$K$6:$K$18,1),1),
        INDEX($K$6:$K$18,MATCH(B257,$K$6:$K$18,1)+1,1),
        B257,
        INDEX($L$6:$L$18,MATCH(B257,$K$6:$K$18,1),1),
        INDEX($L$6:$L$18,MATCH(B257,$K$6:$K$18,1)+1,1)))/E257)</f>
        <v>2.4913992905138205</v>
      </c>
    </row>
    <row r="258" spans="1:14" s="193" customFormat="1" ht="14.5" x14ac:dyDescent="0.35">
      <c r="A258" s="258" t="s">
        <v>210</v>
      </c>
      <c r="B258" s="302">
        <f t="shared" si="18"/>
        <v>762</v>
      </c>
      <c r="C258" s="303">
        <v>772</v>
      </c>
      <c r="D258" s="307">
        <v>746</v>
      </c>
      <c r="E258" s="308">
        <v>7.92</v>
      </c>
      <c r="F258" s="305">
        <v>30</v>
      </c>
      <c r="G258" s="306">
        <v>30.38</v>
      </c>
      <c r="H258" s="309">
        <f t="shared" si="16"/>
        <v>29.376000000000001</v>
      </c>
      <c r="I258" s="310">
        <v>0.312</v>
      </c>
      <c r="K258" s="188"/>
      <c r="L258" s="381"/>
      <c r="M258" s="379">
        <v>2.5</v>
      </c>
      <c r="N258" s="220">
        <f>IF(B258&gt;=508,  31,
    IF(B258&gt;=219.1,  32,  34))*
    LOG(IF(B258&gt;=300,  9.53,
      mathx1x2xy1y2y(
        INDEX($K$6:$K$18,MATCH(B258,$K$6:$K$18,1),1),
        INDEX($K$6:$K$18,MATCH(B258,$K$6:$K$18,1)+1,1),
        B258,
        INDEX($L$6:$L$18,MATCH(B258,$K$6:$K$18,1),1),
        INDEX($L$6:$L$18,MATCH(B258,$K$6:$K$18,1)+1,1)))/E258)</f>
        <v>2.4913992905138205</v>
      </c>
    </row>
    <row r="259" spans="1:14" s="193" customFormat="1" ht="14.5" x14ac:dyDescent="0.35">
      <c r="A259" s="258" t="s">
        <v>838</v>
      </c>
      <c r="B259" s="302">
        <f t="shared" si="18"/>
        <v>762</v>
      </c>
      <c r="C259" s="303">
        <v>772</v>
      </c>
      <c r="D259" s="307">
        <v>742.94</v>
      </c>
      <c r="E259" s="308">
        <v>9.5299999999999994</v>
      </c>
      <c r="F259" s="305">
        <v>30</v>
      </c>
      <c r="G259" s="306">
        <v>30.38</v>
      </c>
      <c r="H259" s="309">
        <f t="shared" si="16"/>
        <v>29.25</v>
      </c>
      <c r="I259" s="310">
        <v>0.375</v>
      </c>
      <c r="K259" s="188"/>
      <c r="L259" s="381"/>
      <c r="M259" s="379">
        <v>0</v>
      </c>
      <c r="N259" s="220">
        <f>IF(B259&gt;=508,  31,
    IF(B259&gt;=219.1,  32,  34))*
    LOG(IF(B259&gt;=300,  9.53,
      mathx1x2xy1y2y(
        INDEX($K$6:$K$18,MATCH(B259,$K$6:$K$18,1),1),
        INDEX($K$6:$K$18,MATCH(B259,$K$6:$K$18,1)+1,1),
        B259,
        INDEX($L$6:$L$18,MATCH(B259,$K$6:$K$18,1),1),
        INDEX($L$6:$L$18,MATCH(B259,$K$6:$K$18,1)+1,1)))/E259)</f>
        <v>0</v>
      </c>
    </row>
    <row r="260" spans="1:14" s="193" customFormat="1" ht="14.5" x14ac:dyDescent="0.35">
      <c r="A260" s="258" t="s">
        <v>212</v>
      </c>
      <c r="B260" s="302">
        <f t="shared" si="18"/>
        <v>762</v>
      </c>
      <c r="C260" s="303">
        <v>772</v>
      </c>
      <c r="D260" s="307">
        <v>742.94</v>
      </c>
      <c r="E260" s="308">
        <v>9.5299999999999994</v>
      </c>
      <c r="F260" s="305">
        <v>30</v>
      </c>
      <c r="G260" s="306">
        <v>30.38</v>
      </c>
      <c r="H260" s="309">
        <f t="shared" si="16"/>
        <v>29.25</v>
      </c>
      <c r="I260" s="310">
        <v>0.375</v>
      </c>
      <c r="K260" s="188"/>
      <c r="L260" s="381"/>
      <c r="M260" s="379">
        <v>0</v>
      </c>
      <c r="N260" s="220">
        <f>IF(B260&gt;=508,  31,
    IF(B260&gt;=219.1,  32,  34))*
    LOG(IF(B260&gt;=300,  9.53,
      mathx1x2xy1y2y(
        INDEX($K$6:$K$18,MATCH(B260,$K$6:$K$18,1),1),
        INDEX($K$6:$K$18,MATCH(B260,$K$6:$K$18,1)+1,1),
        B260,
        INDEX($L$6:$L$18,MATCH(B260,$K$6:$K$18,1),1),
        INDEX($L$6:$L$18,MATCH(B260,$K$6:$K$18,1)+1,1)))/E260)</f>
        <v>0</v>
      </c>
    </row>
    <row r="261" spans="1:14" s="193" customFormat="1" ht="14.5" x14ac:dyDescent="0.35">
      <c r="A261" s="301" t="s">
        <v>213</v>
      </c>
      <c r="B261" s="302">
        <f t="shared" si="18"/>
        <v>762</v>
      </c>
      <c r="C261" s="303">
        <v>772</v>
      </c>
      <c r="D261" s="307">
        <v>736.5</v>
      </c>
      <c r="E261" s="308">
        <v>12.7</v>
      </c>
      <c r="F261" s="305">
        <v>30</v>
      </c>
      <c r="G261" s="306">
        <v>30.38</v>
      </c>
      <c r="H261" s="309">
        <f t="shared" si="16"/>
        <v>29</v>
      </c>
      <c r="I261" s="310">
        <v>0.5</v>
      </c>
      <c r="K261" s="188"/>
      <c r="L261" s="381"/>
      <c r="M261" s="379">
        <v>-4</v>
      </c>
      <c r="N261" s="220">
        <f>IF(B261&gt;=508,  31,
    IF(B261&gt;=219.1,  32,  34))*
    LOG(IF(B261&gt;=300,  9.53,
      mathx1x2xy1y2y(
        INDEX($K$6:$K$18,MATCH(B261,$K$6:$K$18,1),1),
        INDEX($K$6:$K$18,MATCH(B261,$K$6:$K$18,1)+1,1),
        B261,
        INDEX($L$6:$L$18,MATCH(B261,$K$6:$K$18,1),1),
        INDEX($L$6:$L$18,MATCH(B261,$K$6:$K$18,1)+1,1)))/E261)</f>
        <v>-3.8660354298465447</v>
      </c>
    </row>
    <row r="262" spans="1:14" s="193" customFormat="1" ht="14.5" x14ac:dyDescent="0.35">
      <c r="A262" s="258" t="s">
        <v>214</v>
      </c>
      <c r="B262" s="302">
        <f t="shared" si="18"/>
        <v>762</v>
      </c>
      <c r="C262" s="303">
        <v>772</v>
      </c>
      <c r="D262" s="307">
        <v>736.5</v>
      </c>
      <c r="E262" s="308">
        <v>12.7</v>
      </c>
      <c r="F262" s="305">
        <v>30</v>
      </c>
      <c r="G262" s="306">
        <v>30.38</v>
      </c>
      <c r="H262" s="309">
        <f t="shared" si="16"/>
        <v>29</v>
      </c>
      <c r="I262" s="310">
        <v>0.5</v>
      </c>
      <c r="K262" s="188"/>
      <c r="L262" s="381"/>
      <c r="M262" s="379">
        <v>-4</v>
      </c>
      <c r="N262" s="220">
        <f>IF(B262&gt;=508,  31,
    IF(B262&gt;=219.1,  32,  34))*
    LOG(IF(B262&gt;=300,  9.53,
      mathx1x2xy1y2y(
        INDEX($K$6:$K$18,MATCH(B262,$K$6:$K$18,1),1),
        INDEX($K$6:$K$18,MATCH(B262,$K$6:$K$18,1)+1,1),
        B262,
        INDEX($L$6:$L$18,MATCH(B262,$K$6:$K$18,1),1),
        INDEX($L$6:$L$18,MATCH(B262,$K$6:$K$18,1)+1,1)))/E262)</f>
        <v>-3.8660354298465447</v>
      </c>
    </row>
    <row r="263" spans="1:14" s="193" customFormat="1" ht="15" thickBot="1" x14ac:dyDescent="0.4">
      <c r="A263" s="278" t="s">
        <v>215</v>
      </c>
      <c r="B263" s="312">
        <f t="shared" si="18"/>
        <v>762</v>
      </c>
      <c r="C263" s="313">
        <v>772</v>
      </c>
      <c r="D263" s="314">
        <v>730</v>
      </c>
      <c r="E263" s="315">
        <v>15.88</v>
      </c>
      <c r="F263" s="316">
        <v>30</v>
      </c>
      <c r="G263" s="317">
        <v>30.38</v>
      </c>
      <c r="H263" s="318">
        <f t="shared" si="16"/>
        <v>28.75</v>
      </c>
      <c r="I263" s="319">
        <v>0.625</v>
      </c>
      <c r="K263" s="188"/>
      <c r="L263" s="381"/>
      <c r="M263" s="383">
        <v>-7</v>
      </c>
      <c r="N263" s="230">
        <f>IF(B263&gt;=508,  31,
    IF(B263&gt;=219.1,  32,  34))*
    LOG(IF(B263&gt;=300,  9.53,
      mathx1x2xy1y2y(
        INDEX($K$6:$K$18,MATCH(B263,$K$6:$K$18,1),1),
        INDEX($K$6:$K$18,MATCH(B263,$K$6:$K$18,1)+1,1),
        B263,
        INDEX($L$6:$L$18,MATCH(B263,$K$6:$K$18,1),1),
        INDEX($L$6:$L$18,MATCH(B263,$K$6:$K$18,1)+1,1)))/E263)</f>
        <v>-6.8744855210352824</v>
      </c>
    </row>
    <row r="264" spans="1:14" s="193" customFormat="1" ht="14.5" x14ac:dyDescent="0.35">
      <c r="A264" s="247" t="s">
        <v>216</v>
      </c>
      <c r="B264" s="320">
        <v>812.8</v>
      </c>
      <c r="C264" s="321">
        <v>825</v>
      </c>
      <c r="D264" s="354">
        <v>797</v>
      </c>
      <c r="E264" s="355">
        <v>7.92</v>
      </c>
      <c r="F264" s="323">
        <v>32</v>
      </c>
      <c r="G264" s="324">
        <v>32.5</v>
      </c>
      <c r="H264" s="356">
        <v>31.376000000000001</v>
      </c>
      <c r="I264" s="357">
        <v>0.312</v>
      </c>
      <c r="K264" s="188"/>
      <c r="L264" s="381"/>
      <c r="M264" s="378">
        <v>2.5</v>
      </c>
      <c r="N264" s="209">
        <f>IF(B264&gt;=508,  31,
    IF(B264&gt;=219.1,  32,  34))*
    LOG(IF(B264&gt;=300,  9.53,
      mathx1x2xy1y2y(
        INDEX($K$6:$K$18,MATCH(B264,$K$6:$K$18,1),1),
        INDEX($K$6:$K$18,MATCH(B264,$K$6:$K$18,1)+1,1),
        B264,
        INDEX($L$6:$L$18,MATCH(B264,$K$6:$K$18,1),1),
        INDEX($L$6:$L$18,MATCH(B264,$K$6:$K$18,1)+1,1)))/E264)</f>
        <v>2.4913992905138205</v>
      </c>
    </row>
    <row r="265" spans="1:14" s="193" customFormat="1" ht="14.5" x14ac:dyDescent="0.35">
      <c r="A265" s="258" t="s">
        <v>839</v>
      </c>
      <c r="B265" s="302">
        <v>812.8</v>
      </c>
      <c r="C265" s="303">
        <v>825</v>
      </c>
      <c r="D265" s="307">
        <v>793.74</v>
      </c>
      <c r="E265" s="308">
        <v>9.5299999999999994</v>
      </c>
      <c r="F265" s="305">
        <v>32</v>
      </c>
      <c r="G265" s="306">
        <v>32.5</v>
      </c>
      <c r="H265" s="309">
        <v>31.25</v>
      </c>
      <c r="I265" s="310">
        <v>0.375</v>
      </c>
      <c r="K265" s="188"/>
      <c r="L265" s="381"/>
      <c r="M265" s="379">
        <v>0</v>
      </c>
      <c r="N265" s="220">
        <f>IF(B265&gt;=508,  31,
    IF(B265&gt;=219.1,  32,  34))*
    LOG(IF(B265&gt;=300,  9.53,
      mathx1x2xy1y2y(
        INDEX($K$6:$K$18,MATCH(B265,$K$6:$K$18,1),1),
        INDEX($K$6:$K$18,MATCH(B265,$K$6:$K$18,1)+1,1),
        B265,
        INDEX($L$6:$L$18,MATCH(B265,$K$6:$K$18,1),1),
        INDEX($L$6:$L$18,MATCH(B265,$K$6:$K$18,1)+1,1)))/E265)</f>
        <v>0</v>
      </c>
    </row>
    <row r="266" spans="1:14" s="193" customFormat="1" ht="14.5" x14ac:dyDescent="0.35">
      <c r="A266" s="258" t="s">
        <v>217</v>
      </c>
      <c r="B266" s="302">
        <v>812.8</v>
      </c>
      <c r="C266" s="303">
        <v>825</v>
      </c>
      <c r="D266" s="307">
        <v>793.74</v>
      </c>
      <c r="E266" s="308">
        <v>9.5299999999999994</v>
      </c>
      <c r="F266" s="305">
        <v>32</v>
      </c>
      <c r="G266" s="306">
        <v>32.5</v>
      </c>
      <c r="H266" s="309">
        <v>31.25</v>
      </c>
      <c r="I266" s="310">
        <v>0.375</v>
      </c>
      <c r="K266" s="188"/>
      <c r="L266" s="381"/>
      <c r="M266" s="379">
        <v>0</v>
      </c>
      <c r="N266" s="220">
        <f>IF(B266&gt;=508,  31,
    IF(B266&gt;=219.1,  32,  34))*
    LOG(IF(B266&gt;=300,  9.53,
      mathx1x2xy1y2y(
        INDEX($K$6:$K$18,MATCH(B266,$K$6:$K$18,1),1),
        INDEX($K$6:$K$18,MATCH(B266,$K$6:$K$18,1)+1,1),
        B266,
        INDEX($L$6:$L$18,MATCH(B266,$K$6:$K$18,1),1),
        INDEX($L$6:$L$18,MATCH(B266,$K$6:$K$18,1)+1,1)))/E266)</f>
        <v>0</v>
      </c>
    </row>
    <row r="267" spans="1:14" s="193" customFormat="1" ht="14.5" x14ac:dyDescent="0.35">
      <c r="A267" s="301" t="s">
        <v>218</v>
      </c>
      <c r="B267" s="302">
        <v>812.8</v>
      </c>
      <c r="C267" s="303">
        <v>825</v>
      </c>
      <c r="D267" s="307">
        <v>787.5</v>
      </c>
      <c r="E267" s="308">
        <v>12.7</v>
      </c>
      <c r="F267" s="305">
        <v>32</v>
      </c>
      <c r="G267" s="306">
        <v>32.5</v>
      </c>
      <c r="H267" s="309">
        <v>31</v>
      </c>
      <c r="I267" s="310">
        <v>0.5</v>
      </c>
      <c r="K267" s="188"/>
      <c r="L267" s="381"/>
      <c r="M267" s="379">
        <v>-4</v>
      </c>
      <c r="N267" s="220">
        <f>IF(B267&gt;=508,  31,
    IF(B267&gt;=219.1,  32,  34))*
    LOG(IF(B267&gt;=300,  9.53,
      mathx1x2xy1y2y(
        INDEX($K$6:$K$18,MATCH(B267,$K$6:$K$18,1),1),
        INDEX($K$6:$K$18,MATCH(B267,$K$6:$K$18,1)+1,1),
        B267,
        INDEX($L$6:$L$18,MATCH(B267,$K$6:$K$18,1),1),
        INDEX($L$6:$L$18,MATCH(B267,$K$6:$K$18,1)+1,1)))/E267)</f>
        <v>-3.8660354298465447</v>
      </c>
    </row>
    <row r="268" spans="1:14" s="193" customFormat="1" ht="14.5" x14ac:dyDescent="0.35">
      <c r="A268" s="258" t="s">
        <v>219</v>
      </c>
      <c r="B268" s="302">
        <v>812.8</v>
      </c>
      <c r="C268" s="303">
        <v>825</v>
      </c>
      <c r="D268" s="307">
        <v>787.5</v>
      </c>
      <c r="E268" s="308">
        <v>12.7</v>
      </c>
      <c r="F268" s="305">
        <v>32</v>
      </c>
      <c r="G268" s="306">
        <v>32.5</v>
      </c>
      <c r="H268" s="309">
        <v>31</v>
      </c>
      <c r="I268" s="310">
        <v>0.5</v>
      </c>
      <c r="K268" s="188"/>
      <c r="L268" s="381"/>
      <c r="M268" s="379">
        <v>-4</v>
      </c>
      <c r="N268" s="220">
        <f>IF(B268&gt;=508,  31,
    IF(B268&gt;=219.1,  32,  34))*
    LOG(IF(B268&gt;=300,  9.53,
      mathx1x2xy1y2y(
        INDEX($K$6:$K$18,MATCH(B268,$K$6:$K$18,1),1),
        INDEX($K$6:$K$18,MATCH(B268,$K$6:$K$18,1)+1,1),
        B268,
        INDEX($L$6:$L$18,MATCH(B268,$K$6:$K$18,1),1),
        INDEX($L$6:$L$18,MATCH(B268,$K$6:$K$18,1)+1,1)))/E268)</f>
        <v>-3.8660354298465447</v>
      </c>
    </row>
    <row r="269" spans="1:14" s="193" customFormat="1" ht="14.5" x14ac:dyDescent="0.35">
      <c r="A269" s="258" t="s">
        <v>220</v>
      </c>
      <c r="B269" s="302">
        <v>812.8</v>
      </c>
      <c r="C269" s="303">
        <v>825</v>
      </c>
      <c r="D269" s="307">
        <v>781</v>
      </c>
      <c r="E269" s="308">
        <v>15.88</v>
      </c>
      <c r="F269" s="305">
        <v>32</v>
      </c>
      <c r="G269" s="306">
        <v>32.5</v>
      </c>
      <c r="H269" s="309">
        <v>30.75</v>
      </c>
      <c r="I269" s="310">
        <v>0.625</v>
      </c>
      <c r="K269" s="188"/>
      <c r="L269" s="381"/>
      <c r="M269" s="379">
        <v>-7</v>
      </c>
      <c r="N269" s="220">
        <f>IF(B269&gt;=508,  31,
    IF(B269&gt;=219.1,  32,  34))*
    LOG(IF(B269&gt;=300,  9.53,
      mathx1x2xy1y2y(
        INDEX($K$6:$K$18,MATCH(B269,$K$6:$K$18,1),1),
        INDEX($K$6:$K$18,MATCH(B269,$K$6:$K$18,1)+1,1),
        B269,
        INDEX($L$6:$L$18,MATCH(B269,$K$6:$K$18,1),1),
        INDEX($L$6:$L$18,MATCH(B269,$K$6:$K$18,1)+1,1)))/E269)</f>
        <v>-6.8744855210352824</v>
      </c>
    </row>
    <row r="270" spans="1:14" s="193" customFormat="1" ht="15" thickBot="1" x14ac:dyDescent="0.4">
      <c r="A270" s="264" t="s">
        <v>221</v>
      </c>
      <c r="B270" s="326">
        <v>812.8</v>
      </c>
      <c r="C270" s="327">
        <v>825</v>
      </c>
      <c r="D270" s="328">
        <v>778</v>
      </c>
      <c r="E270" s="329">
        <v>17.48</v>
      </c>
      <c r="F270" s="330">
        <v>32</v>
      </c>
      <c r="G270" s="331">
        <v>32.5</v>
      </c>
      <c r="H270" s="332">
        <v>30.623999999999999</v>
      </c>
      <c r="I270" s="333">
        <v>0.68799999999999994</v>
      </c>
      <c r="K270" s="188"/>
      <c r="L270" s="381"/>
      <c r="M270" s="380">
        <v>-8</v>
      </c>
      <c r="N270" s="246">
        <f>IF(B270&gt;=508,  31,
    IF(B270&gt;=219.1,  32,  34))*
    LOG(IF(B270&gt;=300,  9.53,
      mathx1x2xy1y2y(
        INDEX($K$6:$K$18,MATCH(B270,$K$6:$K$18,1),1),
        INDEX($K$6:$K$18,MATCH(B270,$K$6:$K$18,1)+1,1),
        B270,
        INDEX($L$6:$L$18,MATCH(B270,$K$6:$K$18,1),1),
        INDEX($L$6:$L$18,MATCH(B270,$K$6:$K$18,1)+1,1)))/E270)</f>
        <v>-8.1669043574617941</v>
      </c>
    </row>
    <row r="271" spans="1:14" s="193" customFormat="1" ht="14.5" x14ac:dyDescent="0.35">
      <c r="A271" s="269" t="s">
        <v>222</v>
      </c>
      <c r="B271" s="295">
        <v>863.6</v>
      </c>
      <c r="C271" s="296">
        <v>876</v>
      </c>
      <c r="D271" s="350">
        <v>848</v>
      </c>
      <c r="E271" s="351">
        <v>7.92</v>
      </c>
      <c r="F271" s="298">
        <v>34</v>
      </c>
      <c r="G271" s="299">
        <v>34.5</v>
      </c>
      <c r="H271" s="352">
        <v>33.375999999999998</v>
      </c>
      <c r="I271" s="353">
        <v>0.312</v>
      </c>
      <c r="K271" s="188"/>
      <c r="L271" s="381"/>
      <c r="M271" s="382">
        <v>2.5</v>
      </c>
      <c r="N271" s="256">
        <f>IF(B271&gt;=508,  31,
    IF(B271&gt;=219.1,  32,  34))*
    LOG(IF(B271&gt;=300,  9.53,
      mathx1x2xy1y2y(
        INDEX($K$6:$K$18,MATCH(B271,$K$6:$K$18,1),1),
        INDEX($K$6:$K$18,MATCH(B271,$K$6:$K$18,1)+1,1),
        B271,
        INDEX($L$6:$L$18,MATCH(B271,$K$6:$K$18,1),1),
        INDEX($L$6:$L$18,MATCH(B271,$K$6:$K$18,1)+1,1)))/E271)</f>
        <v>2.4913992905138205</v>
      </c>
    </row>
    <row r="272" spans="1:14" s="193" customFormat="1" ht="14.5" x14ac:dyDescent="0.35">
      <c r="A272" s="258" t="s">
        <v>840</v>
      </c>
      <c r="B272" s="302">
        <v>863.6</v>
      </c>
      <c r="C272" s="303">
        <v>876</v>
      </c>
      <c r="D272" s="307">
        <v>844.54</v>
      </c>
      <c r="E272" s="308">
        <v>9.5299999999999994</v>
      </c>
      <c r="F272" s="305">
        <v>34</v>
      </c>
      <c r="G272" s="306">
        <v>34.5</v>
      </c>
      <c r="H272" s="309">
        <v>33.25</v>
      </c>
      <c r="I272" s="310">
        <v>0.375</v>
      </c>
      <c r="K272" s="188"/>
      <c r="L272" s="381"/>
      <c r="M272" s="379">
        <v>0</v>
      </c>
      <c r="N272" s="220">
        <f>IF(B272&gt;=508,  31,
    IF(B272&gt;=219.1,  32,  34))*
    LOG(IF(B272&gt;=300,  9.53,
      mathx1x2xy1y2y(
        INDEX($K$6:$K$18,MATCH(B272,$K$6:$K$18,1),1),
        INDEX($K$6:$K$18,MATCH(B272,$K$6:$K$18,1)+1,1),
        B272,
        INDEX($L$6:$L$18,MATCH(B272,$K$6:$K$18,1),1),
        INDEX($L$6:$L$18,MATCH(B272,$K$6:$K$18,1)+1,1)))/E272)</f>
        <v>0</v>
      </c>
    </row>
    <row r="273" spans="1:14" s="193" customFormat="1" ht="14.5" x14ac:dyDescent="0.35">
      <c r="A273" s="258" t="s">
        <v>223</v>
      </c>
      <c r="B273" s="302">
        <v>863.6</v>
      </c>
      <c r="C273" s="303">
        <v>876</v>
      </c>
      <c r="D273" s="307">
        <v>844.54</v>
      </c>
      <c r="E273" s="308">
        <v>9.5299999999999994</v>
      </c>
      <c r="F273" s="305">
        <v>34</v>
      </c>
      <c r="G273" s="306">
        <v>34.5</v>
      </c>
      <c r="H273" s="309">
        <v>33.25</v>
      </c>
      <c r="I273" s="310">
        <v>0.375</v>
      </c>
      <c r="K273" s="188"/>
      <c r="L273" s="381"/>
      <c r="M273" s="379">
        <v>0</v>
      </c>
      <c r="N273" s="220">
        <f>IF(B273&gt;=508,  31,
    IF(B273&gt;=219.1,  32,  34))*
    LOG(IF(B273&gt;=300,  9.53,
      mathx1x2xy1y2y(
        INDEX($K$6:$K$18,MATCH(B273,$K$6:$K$18,1),1),
        INDEX($K$6:$K$18,MATCH(B273,$K$6:$K$18,1)+1,1),
        B273,
        INDEX($L$6:$L$18,MATCH(B273,$K$6:$K$18,1),1),
        INDEX($L$6:$L$18,MATCH(B273,$K$6:$K$18,1)+1,1)))/E273)</f>
        <v>0</v>
      </c>
    </row>
    <row r="274" spans="1:14" s="193" customFormat="1" ht="14.5" x14ac:dyDescent="0.35">
      <c r="A274" s="301" t="s">
        <v>224</v>
      </c>
      <c r="B274" s="302">
        <v>863.6</v>
      </c>
      <c r="C274" s="303">
        <v>876</v>
      </c>
      <c r="D274" s="307">
        <v>838</v>
      </c>
      <c r="E274" s="308">
        <v>12.7</v>
      </c>
      <c r="F274" s="305">
        <v>34</v>
      </c>
      <c r="G274" s="306">
        <v>34.5</v>
      </c>
      <c r="H274" s="309">
        <v>33</v>
      </c>
      <c r="I274" s="310">
        <v>0.5</v>
      </c>
      <c r="K274" s="188"/>
      <c r="L274" s="381"/>
      <c r="M274" s="379">
        <v>-4</v>
      </c>
      <c r="N274" s="220">
        <f>IF(B274&gt;=508,  31,
    IF(B274&gt;=219.1,  32,  34))*
    LOG(IF(B274&gt;=300,  9.53,
      mathx1x2xy1y2y(
        INDEX($K$6:$K$18,MATCH(B274,$K$6:$K$18,1),1),
        INDEX($K$6:$K$18,MATCH(B274,$K$6:$K$18,1)+1,1),
        B274,
        INDEX($L$6:$L$18,MATCH(B274,$K$6:$K$18,1),1),
        INDEX($L$6:$L$18,MATCH(B274,$K$6:$K$18,1)+1,1)))/E274)</f>
        <v>-3.8660354298465447</v>
      </c>
    </row>
    <row r="275" spans="1:14" s="193" customFormat="1" ht="14.5" x14ac:dyDescent="0.35">
      <c r="A275" s="258" t="s">
        <v>225</v>
      </c>
      <c r="B275" s="302">
        <v>863.6</v>
      </c>
      <c r="C275" s="303">
        <v>876</v>
      </c>
      <c r="D275" s="307">
        <v>832</v>
      </c>
      <c r="E275" s="308">
        <v>15.88</v>
      </c>
      <c r="F275" s="305">
        <v>34</v>
      </c>
      <c r="G275" s="306">
        <v>34.5</v>
      </c>
      <c r="H275" s="309">
        <v>32.75</v>
      </c>
      <c r="I275" s="310">
        <v>0.625</v>
      </c>
      <c r="K275" s="188"/>
      <c r="L275" s="381"/>
      <c r="M275" s="379">
        <v>-7</v>
      </c>
      <c r="N275" s="220">
        <f>IF(B275&gt;=508,  31,
    IF(B275&gt;=219.1,  32,  34))*
    LOG(IF(B275&gt;=300,  9.53,
      mathx1x2xy1y2y(
        INDEX($K$6:$K$18,MATCH(B275,$K$6:$K$18,1),1),
        INDEX($K$6:$K$18,MATCH(B275,$K$6:$K$18,1)+1,1),
        B275,
        INDEX($L$6:$L$18,MATCH(B275,$K$6:$K$18,1),1),
        INDEX($L$6:$L$18,MATCH(B275,$K$6:$K$18,1)+1,1)))/E275)</f>
        <v>-6.8744855210352824</v>
      </c>
    </row>
    <row r="276" spans="1:14" s="193" customFormat="1" ht="15" thickBot="1" x14ac:dyDescent="0.4">
      <c r="A276" s="278" t="s">
        <v>226</v>
      </c>
      <c r="B276" s="312">
        <v>863.6</v>
      </c>
      <c r="C276" s="313">
        <v>876</v>
      </c>
      <c r="D276" s="314">
        <v>828.5</v>
      </c>
      <c r="E276" s="315">
        <v>17.48</v>
      </c>
      <c r="F276" s="316">
        <v>34</v>
      </c>
      <c r="G276" s="317">
        <v>34.5</v>
      </c>
      <c r="H276" s="318">
        <v>32.624000000000002</v>
      </c>
      <c r="I276" s="319">
        <v>0.68799999999999994</v>
      </c>
      <c r="K276" s="188"/>
      <c r="L276" s="381"/>
      <c r="M276" s="383">
        <v>-8</v>
      </c>
      <c r="N276" s="230">
        <f>IF(B276&gt;=508,  31,
    IF(B276&gt;=219.1,  32,  34))*
    LOG(IF(B276&gt;=300,  9.53,
      mathx1x2xy1y2y(
        INDEX($K$6:$K$18,MATCH(B276,$K$6:$K$18,1),1),
        INDEX($K$6:$K$18,MATCH(B276,$K$6:$K$18,1)+1,1),
        B276,
        INDEX($L$6:$L$18,MATCH(B276,$K$6:$K$18,1),1),
        INDEX($L$6:$L$18,MATCH(B276,$K$6:$K$18,1)+1,1)))/E276)</f>
        <v>-8.1669043574617941</v>
      </c>
    </row>
    <row r="277" spans="1:14" s="193" customFormat="1" ht="14.5" x14ac:dyDescent="0.35">
      <c r="A277" s="247" t="s">
        <v>227</v>
      </c>
      <c r="B277" s="320">
        <v>814.4</v>
      </c>
      <c r="C277" s="321">
        <v>927</v>
      </c>
      <c r="D277" s="354">
        <v>898.5</v>
      </c>
      <c r="E277" s="355">
        <v>7.92</v>
      </c>
      <c r="F277" s="323">
        <v>36</v>
      </c>
      <c r="G277" s="324">
        <v>36.5</v>
      </c>
      <c r="H277" s="356">
        <v>35.375999999999998</v>
      </c>
      <c r="I277" s="357">
        <v>0.312</v>
      </c>
      <c r="K277" s="188"/>
      <c r="L277" s="381"/>
      <c r="M277" s="378">
        <v>2.5</v>
      </c>
      <c r="N277" s="209">
        <f>IF(B277&gt;=508,  31,
    IF(B277&gt;=219.1,  32,  34))*
    LOG(IF(B277&gt;=300,  9.53,
      mathx1x2xy1y2y(
        INDEX($K$6:$K$18,MATCH(B277,$K$6:$K$18,1),1),
        INDEX($K$6:$K$18,MATCH(B277,$K$6:$K$18,1)+1,1),
        B277,
        INDEX($L$6:$L$18,MATCH(B277,$K$6:$K$18,1),1),
        INDEX($L$6:$L$18,MATCH(B277,$K$6:$K$18,1)+1,1)))/E277)</f>
        <v>2.4913992905138205</v>
      </c>
    </row>
    <row r="278" spans="1:14" s="193" customFormat="1" ht="14.5" x14ac:dyDescent="0.35">
      <c r="A278" s="258" t="s">
        <v>841</v>
      </c>
      <c r="B278" s="302">
        <v>814.4</v>
      </c>
      <c r="C278" s="303">
        <v>927</v>
      </c>
      <c r="D278" s="307">
        <v>895.34</v>
      </c>
      <c r="E278" s="308">
        <v>9.5299999999999994</v>
      </c>
      <c r="F278" s="305">
        <v>36</v>
      </c>
      <c r="G278" s="306">
        <v>36.5</v>
      </c>
      <c r="H278" s="309">
        <v>35.25</v>
      </c>
      <c r="I278" s="310">
        <v>0.375</v>
      </c>
      <c r="K278" s="188"/>
      <c r="L278" s="381"/>
      <c r="M278" s="379">
        <v>0</v>
      </c>
      <c r="N278" s="220">
        <f>IF(B278&gt;=508,  31,
    IF(B278&gt;=219.1,  32,  34))*
    LOG(IF(B278&gt;=300,  9.53,
      mathx1x2xy1y2y(
        INDEX($K$6:$K$18,MATCH(B278,$K$6:$K$18,1),1),
        INDEX($K$6:$K$18,MATCH(B278,$K$6:$K$18,1)+1,1),
        B278,
        INDEX($L$6:$L$18,MATCH(B278,$K$6:$K$18,1),1),
        INDEX($L$6:$L$18,MATCH(B278,$K$6:$K$18,1)+1,1)))/E278)</f>
        <v>0</v>
      </c>
    </row>
    <row r="279" spans="1:14" s="193" customFormat="1" ht="14.5" x14ac:dyDescent="0.35">
      <c r="A279" s="258" t="s">
        <v>228</v>
      </c>
      <c r="B279" s="302">
        <v>814.4</v>
      </c>
      <c r="C279" s="303">
        <v>927</v>
      </c>
      <c r="D279" s="307">
        <v>895.34</v>
      </c>
      <c r="E279" s="308">
        <v>9.5299999999999994</v>
      </c>
      <c r="F279" s="305">
        <v>36</v>
      </c>
      <c r="G279" s="306">
        <v>36.5</v>
      </c>
      <c r="H279" s="309">
        <v>35.25</v>
      </c>
      <c r="I279" s="310">
        <v>0.375</v>
      </c>
      <c r="K279" s="188"/>
      <c r="L279" s="381"/>
      <c r="M279" s="379">
        <v>0</v>
      </c>
      <c r="N279" s="220">
        <f>IF(B279&gt;=508,  31,
    IF(B279&gt;=219.1,  32,  34))*
    LOG(IF(B279&gt;=300,  9.53,
      mathx1x2xy1y2y(
        INDEX($K$6:$K$18,MATCH(B279,$K$6:$K$18,1),1),
        INDEX($K$6:$K$18,MATCH(B279,$K$6:$K$18,1)+1,1),
        B279,
        INDEX($L$6:$L$18,MATCH(B279,$K$6:$K$18,1),1),
        INDEX($L$6:$L$18,MATCH(B279,$K$6:$K$18,1)+1,1)))/E279)</f>
        <v>0</v>
      </c>
    </row>
    <row r="280" spans="1:14" s="193" customFormat="1" ht="14.5" x14ac:dyDescent="0.35">
      <c r="A280" s="258" t="s">
        <v>229</v>
      </c>
      <c r="B280" s="302">
        <v>814.4</v>
      </c>
      <c r="C280" s="303">
        <v>927</v>
      </c>
      <c r="D280" s="307">
        <v>889</v>
      </c>
      <c r="E280" s="308">
        <v>12.7</v>
      </c>
      <c r="F280" s="305">
        <v>36</v>
      </c>
      <c r="G280" s="306">
        <v>36.5</v>
      </c>
      <c r="H280" s="309">
        <v>35</v>
      </c>
      <c r="I280" s="310">
        <v>0.5</v>
      </c>
      <c r="K280" s="188"/>
      <c r="L280" s="381"/>
      <c r="M280" s="379">
        <v>-4</v>
      </c>
      <c r="N280" s="220">
        <f>IF(B280&gt;=508,  31,
    IF(B280&gt;=219.1,  32,  34))*
    LOG(IF(B280&gt;=300,  9.53,
      mathx1x2xy1y2y(
        INDEX($K$6:$K$18,MATCH(B280,$K$6:$K$18,1),1),
        INDEX($K$6:$K$18,MATCH(B280,$K$6:$K$18,1)+1,1),
        B280,
        INDEX($L$6:$L$18,MATCH(B280,$K$6:$K$18,1),1),
        INDEX($L$6:$L$18,MATCH(B280,$K$6:$K$18,1)+1,1)))/E280)</f>
        <v>-3.8660354298465447</v>
      </c>
    </row>
    <row r="281" spans="1:14" s="193" customFormat="1" ht="14.5" x14ac:dyDescent="0.35">
      <c r="A281" s="258" t="s">
        <v>230</v>
      </c>
      <c r="B281" s="302">
        <v>814.4</v>
      </c>
      <c r="C281" s="303">
        <v>927</v>
      </c>
      <c r="D281" s="307">
        <v>889</v>
      </c>
      <c r="E281" s="308">
        <v>12.7</v>
      </c>
      <c r="F281" s="305">
        <v>36</v>
      </c>
      <c r="G281" s="306">
        <v>36.5</v>
      </c>
      <c r="H281" s="309">
        <v>35</v>
      </c>
      <c r="I281" s="310">
        <v>0.5</v>
      </c>
      <c r="K281" s="188"/>
      <c r="L281" s="381"/>
      <c r="M281" s="379">
        <v>-4</v>
      </c>
      <c r="N281" s="220">
        <f>IF(B281&gt;=508,  31,
    IF(B281&gt;=219.1,  32,  34))*
    LOG(IF(B281&gt;=300,  9.53,
      mathx1x2xy1y2y(
        INDEX($K$6:$K$18,MATCH(B281,$K$6:$K$18,1),1),
        INDEX($K$6:$K$18,MATCH(B281,$K$6:$K$18,1)+1,1),
        B281,
        INDEX($L$6:$L$18,MATCH(B281,$K$6:$K$18,1),1),
        INDEX($L$6:$L$18,MATCH(B281,$K$6:$K$18,1)+1,1)))/E281)</f>
        <v>-3.8660354298465447</v>
      </c>
    </row>
    <row r="282" spans="1:14" s="193" customFormat="1" ht="14.5" x14ac:dyDescent="0.35">
      <c r="A282" s="258" t="s">
        <v>231</v>
      </c>
      <c r="B282" s="302">
        <v>814.4</v>
      </c>
      <c r="C282" s="303">
        <v>927</v>
      </c>
      <c r="D282" s="307">
        <v>882.5</v>
      </c>
      <c r="E282" s="308">
        <v>15.88</v>
      </c>
      <c r="F282" s="305">
        <v>36</v>
      </c>
      <c r="G282" s="306">
        <v>36.5</v>
      </c>
      <c r="H282" s="309">
        <v>34.75</v>
      </c>
      <c r="I282" s="310">
        <v>0.625</v>
      </c>
      <c r="K282" s="188"/>
      <c r="L282" s="381"/>
      <c r="M282" s="379">
        <v>-7</v>
      </c>
      <c r="N282" s="220">
        <f>IF(B282&gt;=508,  31,
    IF(B282&gt;=219.1,  32,  34))*
    LOG(IF(B282&gt;=300,  9.53,
      mathx1x2xy1y2y(
        INDEX($K$6:$K$18,MATCH(B282,$K$6:$K$18,1),1),
        INDEX($K$6:$K$18,MATCH(B282,$K$6:$K$18,1)+1,1),
        B282,
        INDEX($L$6:$L$18,MATCH(B282,$K$6:$K$18,1),1),
        INDEX($L$6:$L$18,MATCH(B282,$K$6:$K$18,1)+1,1)))/E282)</f>
        <v>-6.8744855210352824</v>
      </c>
    </row>
    <row r="283" spans="1:14" ht="15" thickBot="1" x14ac:dyDescent="0.4">
      <c r="A283" s="264" t="s">
        <v>232</v>
      </c>
      <c r="B283" s="326">
        <v>814.4</v>
      </c>
      <c r="C283" s="327">
        <v>927</v>
      </c>
      <c r="D283" s="328">
        <v>876.5</v>
      </c>
      <c r="E283" s="329">
        <v>19.05</v>
      </c>
      <c r="F283" s="330">
        <v>36</v>
      </c>
      <c r="G283" s="331">
        <v>36.5</v>
      </c>
      <c r="H283" s="332">
        <v>34.5</v>
      </c>
      <c r="I283" s="333">
        <v>0.75</v>
      </c>
      <c r="K283" s="188"/>
      <c r="L283" s="381"/>
      <c r="M283" s="380">
        <v>-9</v>
      </c>
      <c r="N283" s="246">
        <f>IF(B283&gt;=508,  31,
    IF(B283&gt;=219.1,  32,  34))*
    LOG(IF(B283&gt;=300,  9.53,
      mathx1x2xy1y2y(
        INDEX($K$6:$K$18,MATCH(B283,$K$6:$K$18,1),1),
        INDEX($K$6:$K$18,MATCH(B283,$K$6:$K$18,1)+1,1),
        B283,
        INDEX($L$6:$L$18,MATCH(B283,$K$6:$K$18,1),1),
        INDEX($L$6:$L$18,MATCH(B283,$K$6:$K$18,1)+1,1)))/E283)</f>
        <v>-9.3248644605726643</v>
      </c>
    </row>
    <row r="284" spans="1:14" ht="14.5" x14ac:dyDescent="0.35">
      <c r="A284" s="269" t="s">
        <v>842</v>
      </c>
      <c r="B284" s="295">
        <v>1016</v>
      </c>
      <c r="C284" s="296">
        <v>1029</v>
      </c>
      <c r="D284" s="350">
        <v>997</v>
      </c>
      <c r="E284" s="351">
        <v>9.5299999999999994</v>
      </c>
      <c r="F284" s="298">
        <v>40</v>
      </c>
      <c r="G284" s="299">
        <v>40.5</v>
      </c>
      <c r="H284" s="352">
        <v>39.25</v>
      </c>
      <c r="I284" s="353">
        <v>0.375</v>
      </c>
      <c r="K284" s="188"/>
      <c r="L284" s="381"/>
      <c r="M284" s="382">
        <v>0</v>
      </c>
      <c r="N284" s="256">
        <f>IF(B284&gt;=508,  31,
    IF(B284&gt;=219.1,  32,  34))*
    LOG(IF(B284&gt;=300,  9.53,
      mathx1x2xy1y2y(
        INDEX($K$6:$K$18,MATCH(B284,$K$6:$K$18,1),1),
        INDEX($K$6:$K$18,MATCH(B284,$K$6:$K$18,1)+1,1),
        B284,
        INDEX($L$6:$L$18,MATCH(B284,$K$6:$K$18,1),1),
        INDEX($L$6:$L$18,MATCH(B284,$K$6:$K$18,1)+1,1)))/E284)</f>
        <v>0</v>
      </c>
    </row>
    <row r="285" spans="1:14" ht="15" thickBot="1" x14ac:dyDescent="0.4">
      <c r="A285" s="278" t="s">
        <v>843</v>
      </c>
      <c r="B285" s="312">
        <v>1016</v>
      </c>
      <c r="C285" s="313">
        <v>1029</v>
      </c>
      <c r="D285" s="314">
        <v>990.5</v>
      </c>
      <c r="E285" s="315">
        <v>12.7</v>
      </c>
      <c r="F285" s="316">
        <v>40</v>
      </c>
      <c r="G285" s="317">
        <v>40.5</v>
      </c>
      <c r="H285" s="318">
        <v>39</v>
      </c>
      <c r="I285" s="319">
        <v>0.5</v>
      </c>
      <c r="K285" s="188"/>
      <c r="L285" s="381"/>
      <c r="M285" s="383">
        <v>-4</v>
      </c>
      <c r="N285" s="230">
        <f>IF(B285&gt;=508,  31,
    IF(B285&gt;=219.1,  32,  34))*
    LOG(IF(B285&gt;=300,  9.53,
      mathx1x2xy1y2y(
        INDEX($K$6:$K$18,MATCH(B285,$K$6:$K$18,1),1),
        INDEX($K$6:$K$18,MATCH(B285,$K$6:$K$18,1)+1,1),
        B285,
        INDEX($L$6:$L$18,MATCH(B285,$K$6:$K$18,1),1),
        INDEX($L$6:$L$18,MATCH(B285,$K$6:$K$18,1)+1,1)))/E285)</f>
        <v>-3.8660354298465447</v>
      </c>
    </row>
    <row r="286" spans="1:14" ht="14.5" x14ac:dyDescent="0.35">
      <c r="A286" s="247" t="s">
        <v>233</v>
      </c>
      <c r="B286" s="320">
        <v>1066.8</v>
      </c>
      <c r="C286" s="321">
        <v>1079</v>
      </c>
      <c r="D286" s="354">
        <v>1047.5</v>
      </c>
      <c r="E286" s="355">
        <v>9.5299999999999994</v>
      </c>
      <c r="F286" s="323">
        <v>42</v>
      </c>
      <c r="G286" s="324">
        <v>42.5</v>
      </c>
      <c r="H286" s="356">
        <v>41.25</v>
      </c>
      <c r="I286" s="357">
        <v>0.375</v>
      </c>
      <c r="K286" s="188"/>
      <c r="L286" s="381"/>
      <c r="M286" s="378">
        <v>0</v>
      </c>
      <c r="N286" s="209">
        <f>IF(B286&gt;=508,  31,
    IF(B286&gt;=219.1,  32,  34))*
    LOG(IF(B286&gt;=300,  9.53,
      mathx1x2xy1y2y(
        INDEX($K$6:$K$18,MATCH(B286,$K$6:$K$18,1),1),
        INDEX($K$6:$K$18,MATCH(B286,$K$6:$K$18,1)+1,1),
        B286,
        INDEX($L$6:$L$18,MATCH(B286,$K$6:$K$18,1),1),
        INDEX($L$6:$L$18,MATCH(B286,$K$6:$K$18,1)+1,1)))/E286)</f>
        <v>0</v>
      </c>
    </row>
    <row r="287" spans="1:14" ht="15" thickBot="1" x14ac:dyDescent="0.4">
      <c r="A287" s="264" t="s">
        <v>234</v>
      </c>
      <c r="B287" s="326">
        <v>1066.8</v>
      </c>
      <c r="C287" s="327">
        <v>1079</v>
      </c>
      <c r="D287" s="328">
        <v>1041.5</v>
      </c>
      <c r="E287" s="329">
        <v>12.7</v>
      </c>
      <c r="F287" s="330">
        <v>42</v>
      </c>
      <c r="G287" s="331">
        <v>42.5</v>
      </c>
      <c r="H287" s="332">
        <v>41</v>
      </c>
      <c r="I287" s="333">
        <v>0.5</v>
      </c>
      <c r="K287" s="188"/>
      <c r="L287" s="381"/>
      <c r="M287" s="380">
        <v>-4</v>
      </c>
      <c r="N287" s="246">
        <f>IF(B287&gt;=508,  31,
    IF(B287&gt;=219.1,  32,  34))*
    LOG(IF(B287&gt;=300,  9.53,
      mathx1x2xy1y2y(
        INDEX($K$6:$K$18,MATCH(B287,$K$6:$K$18,1),1),
        INDEX($K$6:$K$18,MATCH(B287,$K$6:$K$18,1)+1,1),
        B287,
        INDEX($L$6:$L$18,MATCH(B287,$K$6:$K$18,1),1),
        INDEX($L$6:$L$18,MATCH(B287,$K$6:$K$18,1)+1,1)))/E287)</f>
        <v>-3.8660354298465447</v>
      </c>
    </row>
    <row r="288" spans="1:14" ht="14.5" x14ac:dyDescent="0.35">
      <c r="A288" s="269" t="s">
        <v>844</v>
      </c>
      <c r="B288" s="295">
        <v>1117.5999999999999</v>
      </c>
      <c r="C288" s="296">
        <v>1130</v>
      </c>
      <c r="D288" s="350">
        <v>1098.5</v>
      </c>
      <c r="E288" s="351">
        <v>9.5299999999999994</v>
      </c>
      <c r="F288" s="298">
        <v>44</v>
      </c>
      <c r="G288" s="299">
        <v>44.5</v>
      </c>
      <c r="H288" s="352">
        <v>43.25</v>
      </c>
      <c r="I288" s="353">
        <v>0.375</v>
      </c>
      <c r="K288" s="188"/>
      <c r="L288" s="381"/>
      <c r="M288" s="382">
        <v>0</v>
      </c>
      <c r="N288" s="256">
        <f>IF(B288&gt;=508,  31,
    IF(B288&gt;=219.1,  32,  34))*
    LOG(IF(B288&gt;=300,  9.53,
      mathx1x2xy1y2y(
        INDEX($K$6:$K$18,MATCH(B288,$K$6:$K$18,1),1),
        INDEX($K$6:$K$18,MATCH(B288,$K$6:$K$18,1)+1,1),
        B288,
        INDEX($L$6:$L$18,MATCH(B288,$K$6:$K$18,1),1),
        INDEX($L$6:$L$18,MATCH(B288,$K$6:$K$18,1)+1,1)))/E288)</f>
        <v>0</v>
      </c>
    </row>
    <row r="289" spans="1:14" ht="15" thickBot="1" x14ac:dyDescent="0.4">
      <c r="A289" s="278" t="s">
        <v>845</v>
      </c>
      <c r="B289" s="312">
        <v>1117.5999999999999</v>
      </c>
      <c r="C289" s="313">
        <v>1130</v>
      </c>
      <c r="D289" s="314">
        <v>1092</v>
      </c>
      <c r="E289" s="315">
        <v>12.7</v>
      </c>
      <c r="F289" s="316">
        <v>44</v>
      </c>
      <c r="G289" s="317">
        <v>44.5</v>
      </c>
      <c r="H289" s="318">
        <v>43</v>
      </c>
      <c r="I289" s="319">
        <v>0.5</v>
      </c>
      <c r="K289" s="188"/>
      <c r="L289" s="381"/>
      <c r="M289" s="383">
        <v>-4</v>
      </c>
      <c r="N289" s="230">
        <f>IF(B289&gt;=508,  31,
    IF(B289&gt;=219.1,  32,  34))*
    LOG(IF(B289&gt;=300,  9.53,
      mathx1x2xy1y2y(
        INDEX($K$6:$K$18,MATCH(B289,$K$6:$K$18,1),1),
        INDEX($K$6:$K$18,MATCH(B289,$K$6:$K$18,1)+1,1),
        B289,
        INDEX($L$6:$L$18,MATCH(B289,$K$6:$K$18,1),1),
        INDEX($L$6:$L$18,MATCH(B289,$K$6:$K$18,1)+1,1)))/E289)</f>
        <v>-3.8660354298465447</v>
      </c>
    </row>
    <row r="290" spans="1:14" ht="14.5" x14ac:dyDescent="0.35">
      <c r="A290" s="247" t="s">
        <v>846</v>
      </c>
      <c r="B290" s="320">
        <v>1168.4000000000001</v>
      </c>
      <c r="C290" s="321">
        <v>1181</v>
      </c>
      <c r="D290" s="354">
        <v>1149.5</v>
      </c>
      <c r="E290" s="355">
        <v>9.5299999999999994</v>
      </c>
      <c r="F290" s="323">
        <v>46</v>
      </c>
      <c r="G290" s="324">
        <v>46.5</v>
      </c>
      <c r="H290" s="356">
        <v>45.25</v>
      </c>
      <c r="I290" s="357">
        <v>0.375</v>
      </c>
      <c r="K290" s="188"/>
      <c r="L290" s="381"/>
      <c r="M290" s="378">
        <v>0</v>
      </c>
      <c r="N290" s="209">
        <f>IF(B290&gt;=508,  31,
    IF(B290&gt;=219.1,  32,  34))*
    LOG(IF(B290&gt;=300,  9.53,
      mathx1x2xy1y2y(
        INDEX($K$6:$K$18,MATCH(B290,$K$6:$K$18,1),1),
        INDEX($K$6:$K$18,MATCH(B290,$K$6:$K$18,1)+1,1),
        B290,
        INDEX($L$6:$L$18,MATCH(B290,$K$6:$K$18,1),1),
        INDEX($L$6:$L$18,MATCH(B290,$K$6:$K$18,1)+1,1)))/E290)</f>
        <v>0</v>
      </c>
    </row>
    <row r="291" spans="1:14" ht="15" thickBot="1" x14ac:dyDescent="0.4">
      <c r="A291" s="264" t="s">
        <v>847</v>
      </c>
      <c r="B291" s="326">
        <v>1168.4000000000001</v>
      </c>
      <c r="C291" s="327">
        <v>1181</v>
      </c>
      <c r="D291" s="328">
        <v>1143</v>
      </c>
      <c r="E291" s="329">
        <v>12.7</v>
      </c>
      <c r="F291" s="330">
        <v>46</v>
      </c>
      <c r="G291" s="331">
        <v>46.5</v>
      </c>
      <c r="H291" s="332">
        <v>45</v>
      </c>
      <c r="I291" s="333">
        <v>0.5</v>
      </c>
      <c r="K291" s="188"/>
      <c r="L291" s="381"/>
      <c r="M291" s="380">
        <v>-4</v>
      </c>
      <c r="N291" s="246">
        <f>IF(B291&gt;=508,  31,
    IF(B291&gt;=219.1,  32,  34))*
    LOG(IF(B291&gt;=300,  9.53,
      mathx1x2xy1y2y(
        INDEX($K$6:$K$18,MATCH(B291,$K$6:$K$18,1),1),
        INDEX($K$6:$K$18,MATCH(B291,$K$6:$K$18,1)+1,1),
        B291,
        INDEX($L$6:$L$18,MATCH(B291,$K$6:$K$18,1),1),
        INDEX($L$6:$L$18,MATCH(B291,$K$6:$K$18,1)+1,1)))/E291)</f>
        <v>-3.8660354298465447</v>
      </c>
    </row>
    <row r="292" spans="1:14" ht="14.5" x14ac:dyDescent="0.35">
      <c r="A292" s="269" t="s">
        <v>848</v>
      </c>
      <c r="B292" s="295">
        <v>1219.2</v>
      </c>
      <c r="C292" s="296">
        <v>1232</v>
      </c>
      <c r="D292" s="350">
        <v>1200</v>
      </c>
      <c r="E292" s="351">
        <v>9.5299999999999994</v>
      </c>
      <c r="F292" s="298">
        <v>48</v>
      </c>
      <c r="G292" s="299">
        <v>48.5</v>
      </c>
      <c r="H292" s="352">
        <v>47.25</v>
      </c>
      <c r="I292" s="353">
        <v>0.375</v>
      </c>
      <c r="K292" s="188"/>
      <c r="L292" s="381"/>
      <c r="M292" s="382">
        <v>0</v>
      </c>
      <c r="N292" s="256">
        <f>IF(B292&gt;=508,  31,
    IF(B292&gt;=219.1,  32,  34))*
    LOG(IF(B292&gt;=300,  9.53,
      mathx1x2xy1y2y(
        INDEX($K$6:$K$18,MATCH(B292,$K$6:$K$18,1),1),
        INDEX($K$6:$K$18,MATCH(B292,$K$6:$K$18,1)+1,1),
        B292,
        INDEX($L$6:$L$18,MATCH(B292,$K$6:$K$18,1),1),
        INDEX($L$6:$L$18,MATCH(B292,$K$6:$K$18,1)+1,1)))/E292)</f>
        <v>0</v>
      </c>
    </row>
    <row r="293" spans="1:14" ht="15" thickBot="1" x14ac:dyDescent="0.4">
      <c r="A293" s="278" t="s">
        <v>849</v>
      </c>
      <c r="B293" s="312">
        <v>1219.2</v>
      </c>
      <c r="C293" s="313">
        <v>1232</v>
      </c>
      <c r="D293" s="314">
        <v>1194</v>
      </c>
      <c r="E293" s="315">
        <v>12.7</v>
      </c>
      <c r="F293" s="316">
        <v>48</v>
      </c>
      <c r="G293" s="317">
        <v>48.5</v>
      </c>
      <c r="H293" s="318">
        <v>47</v>
      </c>
      <c r="I293" s="319">
        <v>0.5</v>
      </c>
      <c r="K293" s="188"/>
      <c r="L293" s="381"/>
      <c r="M293" s="380">
        <v>-4</v>
      </c>
      <c r="N293" s="246">
        <f>IF(B293&gt;=508,  31,
    IF(B293&gt;=219.1,  32,  34))*
    LOG(IF(B293&gt;=300,  9.53,
      mathx1x2xy1y2y(
        INDEX($K$6:$K$18,MATCH(B293,$K$6:$K$18,1),1),
        INDEX($K$6:$K$18,MATCH(B293,$K$6:$K$18,1)+1,1),
        B293,
        INDEX($L$6:$L$18,MATCH(B293,$K$6:$K$18,1),1),
        INDEX($L$6:$L$18,MATCH(B293,$K$6:$K$18,1)+1,1)))/E293)</f>
        <v>-3.8660354298465447</v>
      </c>
    </row>
    <row r="294" spans="1:14" ht="14.5" x14ac:dyDescent="0.35">
      <c r="A294" s="190"/>
      <c r="B294" s="190"/>
      <c r="C294" s="190"/>
      <c r="D294" s="191"/>
      <c r="E294" s="191"/>
      <c r="F294" s="190"/>
      <c r="G294" s="190"/>
      <c r="H294" s="190"/>
      <c r="I294" s="190"/>
      <c r="K294" s="188"/>
      <c r="M294" s="187"/>
      <c r="N294" s="188"/>
    </row>
    <row r="295" spans="1:14" ht="14.5" x14ac:dyDescent="0.35">
      <c r="A295" s="190"/>
      <c r="B295" s="190"/>
      <c r="C295" s="190"/>
      <c r="D295" s="191"/>
      <c r="E295" s="191"/>
      <c r="F295" s="190"/>
      <c r="G295" s="190"/>
      <c r="H295" s="190"/>
      <c r="I295" s="190"/>
      <c r="K295" s="188"/>
      <c r="M295" s="187"/>
      <c r="N295" s="188"/>
    </row>
    <row r="296" spans="1:14" ht="14.5" x14ac:dyDescent="0.35">
      <c r="A296" s="190"/>
      <c r="B296" s="190"/>
      <c r="C296" s="190"/>
      <c r="D296" s="191"/>
      <c r="E296" s="191"/>
      <c r="F296" s="190"/>
      <c r="G296" s="190"/>
      <c r="H296" s="190"/>
      <c r="I296" s="190"/>
      <c r="K296" s="188"/>
      <c r="M296" s="187"/>
      <c r="N296" s="188"/>
    </row>
    <row r="297" spans="1:14" ht="14.5" x14ac:dyDescent="0.35">
      <c r="A297" s="190"/>
      <c r="B297" s="190"/>
      <c r="C297" s="190"/>
      <c r="D297" s="191"/>
      <c r="E297" s="191"/>
      <c r="F297" s="190"/>
      <c r="G297" s="190"/>
      <c r="H297" s="190"/>
      <c r="I297" s="190"/>
      <c r="K297" s="188"/>
      <c r="M297" s="187"/>
      <c r="N297" s="188"/>
    </row>
    <row r="298" spans="1:14" ht="14.5" x14ac:dyDescent="0.35">
      <c r="A298" s="190"/>
      <c r="B298" s="190"/>
      <c r="C298" s="190"/>
      <c r="D298" s="191"/>
      <c r="E298" s="191"/>
      <c r="F298" s="190"/>
      <c r="G298" s="190"/>
      <c r="H298" s="190"/>
      <c r="I298" s="190"/>
      <c r="K298" s="188"/>
      <c r="M298" s="187"/>
      <c r="N298" s="188"/>
    </row>
    <row r="299" spans="1:14" ht="14.5" x14ac:dyDescent="0.35">
      <c r="A299" s="190"/>
      <c r="B299" s="190"/>
      <c r="C299" s="190"/>
      <c r="D299" s="191"/>
      <c r="E299" s="191"/>
      <c r="F299" s="190"/>
      <c r="G299" s="190"/>
      <c r="H299" s="190"/>
      <c r="I299" s="190"/>
      <c r="K299" s="188"/>
      <c r="M299" s="187"/>
      <c r="N299" s="188"/>
    </row>
    <row r="300" spans="1:14" ht="14.5" x14ac:dyDescent="0.35">
      <c r="A300" s="190"/>
      <c r="B300" s="190"/>
      <c r="C300" s="190"/>
      <c r="D300" s="191"/>
      <c r="E300" s="191"/>
      <c r="F300" s="190"/>
      <c r="G300" s="190"/>
      <c r="H300" s="190"/>
      <c r="I300" s="190"/>
      <c r="K300" s="188"/>
      <c r="M300" s="187"/>
      <c r="N300" s="188"/>
    </row>
    <row r="301" spans="1:14" ht="14.5" x14ac:dyDescent="0.35">
      <c r="A301" s="190"/>
      <c r="B301" s="190"/>
      <c r="C301" s="190"/>
      <c r="D301" s="191"/>
      <c r="E301" s="191"/>
      <c r="F301" s="190"/>
      <c r="G301" s="190"/>
      <c r="H301" s="190"/>
      <c r="I301" s="190"/>
      <c r="K301" s="188"/>
      <c r="M301" s="187"/>
      <c r="N301" s="188"/>
    </row>
    <row r="302" spans="1:14" ht="14.5" x14ac:dyDescent="0.35">
      <c r="A302" s="190"/>
      <c r="B302" s="190"/>
      <c r="C302" s="190"/>
      <c r="D302" s="191"/>
      <c r="E302" s="191"/>
      <c r="F302" s="190"/>
      <c r="G302" s="190"/>
      <c r="H302" s="190"/>
      <c r="I302" s="190"/>
      <c r="K302" s="188"/>
      <c r="M302" s="187"/>
      <c r="N302" s="188"/>
    </row>
    <row r="303" spans="1:14" ht="14.5" x14ac:dyDescent="0.35">
      <c r="A303" s="190"/>
      <c r="B303" s="190"/>
      <c r="C303" s="190"/>
      <c r="D303" s="191"/>
      <c r="E303" s="191"/>
      <c r="F303" s="190"/>
      <c r="G303" s="190"/>
      <c r="H303" s="190"/>
      <c r="I303" s="190"/>
      <c r="K303" s="188"/>
      <c r="M303" s="187"/>
      <c r="N303" s="188"/>
    </row>
    <row r="304" spans="1:14" ht="14.5" x14ac:dyDescent="0.35">
      <c r="A304" s="190"/>
      <c r="B304" s="190"/>
      <c r="C304" s="190"/>
      <c r="D304" s="191"/>
      <c r="E304" s="191"/>
      <c r="F304" s="190"/>
      <c r="G304" s="190"/>
      <c r="H304" s="190"/>
      <c r="I304" s="190"/>
      <c r="K304" s="188"/>
      <c r="M304" s="187"/>
      <c r="N304" s="188"/>
    </row>
    <row r="305" spans="1:14" ht="14.5" x14ac:dyDescent="0.35">
      <c r="A305" s="190"/>
      <c r="B305" s="190"/>
      <c r="C305" s="190"/>
      <c r="D305" s="191"/>
      <c r="E305" s="191"/>
      <c r="F305" s="190"/>
      <c r="G305" s="190"/>
      <c r="H305" s="190"/>
      <c r="I305" s="190"/>
      <c r="K305" s="188"/>
      <c r="M305" s="187"/>
      <c r="N305" s="188"/>
    </row>
    <row r="306" spans="1:14" ht="14.5" x14ac:dyDescent="0.35">
      <c r="A306" s="190"/>
      <c r="B306" s="190"/>
      <c r="C306" s="190"/>
      <c r="D306" s="191"/>
      <c r="E306" s="191"/>
      <c r="F306" s="190"/>
      <c r="G306" s="190"/>
      <c r="H306" s="190"/>
      <c r="I306" s="190"/>
      <c r="K306" s="188"/>
      <c r="M306" s="187"/>
      <c r="N306" s="188"/>
    </row>
    <row r="307" spans="1:14" ht="14.5" x14ac:dyDescent="0.35">
      <c r="A307" s="190"/>
      <c r="B307" s="190"/>
      <c r="C307" s="190"/>
      <c r="D307" s="191"/>
      <c r="E307" s="191"/>
      <c r="F307" s="190"/>
      <c r="G307" s="190"/>
      <c r="H307" s="190"/>
      <c r="I307" s="190"/>
      <c r="K307" s="188"/>
      <c r="M307" s="187"/>
      <c r="N307" s="188"/>
    </row>
    <row r="308" spans="1:14" ht="14.5" x14ac:dyDescent="0.35">
      <c r="A308" s="190"/>
      <c r="B308" s="190"/>
      <c r="C308" s="190"/>
      <c r="D308" s="191"/>
      <c r="E308" s="191"/>
      <c r="F308" s="190"/>
      <c r="G308" s="190"/>
      <c r="H308" s="190"/>
      <c r="I308" s="190"/>
      <c r="K308" s="188"/>
      <c r="M308" s="187"/>
      <c r="N308" s="188"/>
    </row>
    <row r="309" spans="1:14" ht="14.5" x14ac:dyDescent="0.35">
      <c r="A309" s="190"/>
      <c r="B309" s="190"/>
      <c r="C309" s="190"/>
      <c r="D309" s="191"/>
      <c r="E309" s="191"/>
      <c r="F309" s="190"/>
      <c r="G309" s="190"/>
      <c r="H309" s="190"/>
      <c r="I309" s="190"/>
      <c r="K309" s="188"/>
      <c r="M309" s="187"/>
      <c r="N309" s="188"/>
    </row>
    <row r="310" spans="1:14" ht="14.5" x14ac:dyDescent="0.35">
      <c r="A310" s="190"/>
      <c r="B310" s="190"/>
      <c r="C310" s="190"/>
      <c r="D310" s="191"/>
      <c r="E310" s="191"/>
      <c r="F310" s="190"/>
      <c r="G310" s="190"/>
      <c r="H310" s="190"/>
      <c r="I310" s="190"/>
      <c r="K310" s="188"/>
      <c r="M310" s="187"/>
      <c r="N310" s="188"/>
    </row>
    <row r="311" spans="1:14" ht="14.5" x14ac:dyDescent="0.35">
      <c r="A311" s="190"/>
      <c r="B311" s="190"/>
      <c r="C311" s="190"/>
      <c r="D311" s="191"/>
      <c r="E311" s="191"/>
      <c r="F311" s="190"/>
      <c r="G311" s="190"/>
      <c r="H311" s="190"/>
      <c r="I311" s="190"/>
      <c r="K311" s="188"/>
      <c r="M311" s="187"/>
      <c r="N311" s="188"/>
    </row>
  </sheetData>
  <mergeCells count="1">
    <mergeCell ref="M3:N4"/>
  </mergeCell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valuation="1" codeName="Sheet5">
    <tabColor indexed="22"/>
    <pageSetUpPr fitToPage="1"/>
  </sheetPr>
  <dimension ref="A1:R81"/>
  <sheetViews>
    <sheetView showGridLines="0" zoomScale="80" zoomScaleNormal="80" workbookViewId="0">
      <selection activeCell="I30" sqref="I30"/>
    </sheetView>
  </sheetViews>
  <sheetFormatPr defaultColWidth="11.36328125" defaultRowHeight="11.5" x14ac:dyDescent="0.25"/>
  <cols>
    <col min="1" max="1" width="37.6328125" style="69" customWidth="1"/>
    <col min="2" max="14" width="8.6328125" style="68" customWidth="1"/>
    <col min="15" max="16384" width="11.36328125" style="69"/>
  </cols>
  <sheetData>
    <row r="1" spans="1:14" ht="15.5" x14ac:dyDescent="0.35">
      <c r="A1" s="2" t="s">
        <v>8</v>
      </c>
    </row>
    <row r="2" spans="1:14" x14ac:dyDescent="0.25">
      <c r="B2" s="70">
        <v>2</v>
      </c>
      <c r="C2" s="70">
        <v>3</v>
      </c>
      <c r="D2" s="70">
        <v>4</v>
      </c>
      <c r="E2" s="70">
        <v>5</v>
      </c>
      <c r="F2" s="70">
        <v>6</v>
      </c>
      <c r="G2" s="70">
        <v>7</v>
      </c>
      <c r="H2" s="70">
        <v>8</v>
      </c>
      <c r="I2" s="70">
        <v>9</v>
      </c>
      <c r="J2" s="70">
        <v>10</v>
      </c>
      <c r="K2" s="70">
        <v>11</v>
      </c>
      <c r="L2" s="70">
        <v>12</v>
      </c>
    </row>
    <row r="3" spans="1:14" s="157" customFormat="1" ht="13" x14ac:dyDescent="0.3">
      <c r="A3" s="154" t="s">
        <v>9</v>
      </c>
      <c r="B3" s="155" t="s">
        <v>10</v>
      </c>
      <c r="C3" s="155" t="s">
        <v>11</v>
      </c>
      <c r="D3" s="155" t="s">
        <v>12</v>
      </c>
      <c r="E3" s="155" t="s">
        <v>13</v>
      </c>
      <c r="F3" s="155" t="s">
        <v>14</v>
      </c>
      <c r="G3" s="156" t="s">
        <v>15</v>
      </c>
      <c r="H3" s="155" t="s">
        <v>16</v>
      </c>
      <c r="I3" s="34" t="s">
        <v>17</v>
      </c>
      <c r="J3" s="34" t="s">
        <v>18</v>
      </c>
      <c r="K3" s="34" t="s">
        <v>19</v>
      </c>
      <c r="L3" s="34" t="s">
        <v>20</v>
      </c>
      <c r="M3" s="449"/>
      <c r="N3" s="449"/>
    </row>
    <row r="4" spans="1:14" s="157" customFormat="1" ht="13" x14ac:dyDescent="0.3">
      <c r="A4" s="440" t="s">
        <v>1030</v>
      </c>
      <c r="B4" s="420">
        <v>1.0699999999999999E-2</v>
      </c>
      <c r="C4" s="446">
        <v>1</v>
      </c>
      <c r="D4" s="446">
        <v>1</v>
      </c>
      <c r="E4" s="447">
        <v>0.09</v>
      </c>
      <c r="F4" s="446">
        <v>1</v>
      </c>
      <c r="G4" s="421">
        <v>2</v>
      </c>
      <c r="H4" s="415" t="s">
        <v>21</v>
      </c>
      <c r="I4" s="430" t="s">
        <v>21</v>
      </c>
      <c r="J4" s="423">
        <v>0.2</v>
      </c>
      <c r="K4" s="421">
        <v>0</v>
      </c>
      <c r="L4" s="421">
        <v>1</v>
      </c>
      <c r="M4" s="449"/>
      <c r="N4" s="449"/>
    </row>
    <row r="5" spans="1:14" s="157" customFormat="1" ht="13" x14ac:dyDescent="0.3">
      <c r="A5" s="440" t="s">
        <v>1031</v>
      </c>
      <c r="B5" s="420">
        <v>6.7000000000000002E-3</v>
      </c>
      <c r="C5" s="447">
        <v>1</v>
      </c>
      <c r="D5" s="447">
        <v>1</v>
      </c>
      <c r="E5" s="447">
        <v>0.09</v>
      </c>
      <c r="F5" s="447">
        <v>1</v>
      </c>
      <c r="G5" s="421">
        <v>2</v>
      </c>
      <c r="H5" s="415" t="s">
        <v>21</v>
      </c>
      <c r="I5" s="430" t="s">
        <v>21</v>
      </c>
      <c r="J5" s="423">
        <v>0.2</v>
      </c>
      <c r="K5" s="421">
        <v>0</v>
      </c>
      <c r="L5" s="421">
        <v>1</v>
      </c>
      <c r="M5" s="449"/>
      <c r="N5" s="449"/>
    </row>
    <row r="6" spans="1:14" s="157" customFormat="1" ht="13" x14ac:dyDescent="0.3">
      <c r="A6" s="440" t="s">
        <v>1040</v>
      </c>
      <c r="B6" s="420">
        <f>0.0156*
  IF(Noise!D16="HF",  1,
    IF(Noise!D16="HF-2",  0.54,
      IF(Noise!D16="HF-3",  0.36,
        IF(Noise!D16="HF-4",  0.22,  0.19))))</f>
        <v>8.4240000000000009E-3</v>
      </c>
      <c r="C6" s="446">
        <f>IF(Noise!D16="HF",  0.94,  1)</f>
        <v>1</v>
      </c>
      <c r="D6" s="446">
        <f>IF(Noise!D16="HF",  0.742,  1)</f>
        <v>1</v>
      </c>
      <c r="E6" s="447">
        <v>0.09</v>
      </c>
      <c r="F6" s="446">
        <f>IF(Noise!D16="HF",  0.85,  1)</f>
        <v>1</v>
      </c>
      <c r="G6" s="421">
        <v>2</v>
      </c>
      <c r="H6" s="445" t="s">
        <v>21</v>
      </c>
      <c r="I6" s="445" t="s">
        <v>21</v>
      </c>
      <c r="J6" s="423">
        <v>0.2</v>
      </c>
      <c r="K6" s="421">
        <v>0</v>
      </c>
      <c r="L6" s="421">
        <v>1</v>
      </c>
      <c r="M6" s="449"/>
      <c r="N6" s="449"/>
    </row>
    <row r="7" spans="1:14" s="157" customFormat="1" ht="13" x14ac:dyDescent="0.3">
      <c r="A7" s="134" t="s">
        <v>1032</v>
      </c>
      <c r="B7" s="420">
        <v>1.34E-2</v>
      </c>
      <c r="C7" s="446">
        <v>0.94</v>
      </c>
      <c r="D7" s="446">
        <v>0.74199999999999999</v>
      </c>
      <c r="E7" s="447">
        <v>0.09</v>
      </c>
      <c r="F7" s="446">
        <v>0.85</v>
      </c>
      <c r="G7" s="421">
        <v>1</v>
      </c>
      <c r="H7" s="415" t="s">
        <v>21</v>
      </c>
      <c r="I7" s="430" t="s">
        <v>21</v>
      </c>
      <c r="J7" s="423">
        <v>0.2</v>
      </c>
      <c r="K7" s="421">
        <v>0</v>
      </c>
      <c r="L7" s="421">
        <v>1</v>
      </c>
      <c r="M7" s="449"/>
      <c r="N7" s="449"/>
    </row>
    <row r="8" spans="1:14" s="157" customFormat="1" ht="13" x14ac:dyDescent="0.3">
      <c r="A8" s="440" t="s">
        <v>1033</v>
      </c>
      <c r="B8" s="424">
        <v>1.47E-2</v>
      </c>
      <c r="C8" s="446">
        <v>0.9</v>
      </c>
      <c r="D8" s="446">
        <v>0.68899999999999995</v>
      </c>
      <c r="E8" s="447">
        <v>0.37</v>
      </c>
      <c r="F8" s="446">
        <v>0.65</v>
      </c>
      <c r="G8" s="421">
        <v>1</v>
      </c>
      <c r="H8" s="415">
        <v>4</v>
      </c>
      <c r="I8" s="422">
        <v>-3.8</v>
      </c>
      <c r="J8" s="423">
        <v>0.2</v>
      </c>
      <c r="K8" s="421">
        <v>0</v>
      </c>
      <c r="L8" s="421">
        <v>1</v>
      </c>
      <c r="M8" s="449"/>
      <c r="N8" s="449"/>
    </row>
    <row r="9" spans="1:14" s="157" customFormat="1" ht="13" x14ac:dyDescent="0.3">
      <c r="A9" s="440" t="s">
        <v>1034</v>
      </c>
      <c r="B9" s="424">
        <v>1.6E-2</v>
      </c>
      <c r="C9" s="446">
        <f>IF(FlowDirection="Flow to Open (UTP)",0.9,0.8)</f>
        <v>0.9</v>
      </c>
      <c r="D9" s="446">
        <f>IF(FlowDirection="Flow to Open (UTP)",0.68,0.538)</f>
        <v>0.68</v>
      </c>
      <c r="E9" s="447">
        <f>IF(FlowDirection="Flow to Open (UTP)",0.34,1)</f>
        <v>0.34</v>
      </c>
      <c r="F9" s="446">
        <f>IF(FlowDirection="Flow to Open (UTP)",0.65,0.58)</f>
        <v>0.65</v>
      </c>
      <c r="G9" s="421">
        <v>1</v>
      </c>
      <c r="H9" s="415">
        <v>4</v>
      </c>
      <c r="I9" s="422">
        <v>-4.2</v>
      </c>
      <c r="J9" s="423">
        <v>0.19</v>
      </c>
      <c r="K9" s="421">
        <v>0</v>
      </c>
      <c r="L9" s="421">
        <v>1</v>
      </c>
      <c r="M9" s="449"/>
      <c r="N9" s="449"/>
    </row>
    <row r="10" spans="1:14" s="157" customFormat="1" ht="13" x14ac:dyDescent="0.3">
      <c r="A10" s="440" t="s">
        <v>1035</v>
      </c>
      <c r="B10" s="424">
        <v>3.7199999999999997E-2</v>
      </c>
      <c r="C10" s="446">
        <v>0.60499999999999998</v>
      </c>
      <c r="D10" s="446">
        <v>0.308</v>
      </c>
      <c r="E10" s="447">
        <v>0.8</v>
      </c>
      <c r="F10" s="446">
        <v>0.307</v>
      </c>
      <c r="G10" s="421">
        <v>1</v>
      </c>
      <c r="H10" s="415">
        <v>1</v>
      </c>
      <c r="I10" s="422">
        <v>-3.6</v>
      </c>
      <c r="J10" s="423">
        <v>0.3</v>
      </c>
      <c r="K10" s="421">
        <v>0</v>
      </c>
      <c r="L10" s="421">
        <v>1</v>
      </c>
      <c r="M10" s="449"/>
      <c r="N10" s="449"/>
    </row>
    <row r="11" spans="1:14" s="157" customFormat="1" ht="13" x14ac:dyDescent="0.3">
      <c r="A11" s="440" t="s">
        <v>1038</v>
      </c>
      <c r="B11" s="424">
        <v>2.5999999999999999E-2</v>
      </c>
      <c r="C11" s="446">
        <v>0.60499999999999998</v>
      </c>
      <c r="D11" s="446">
        <v>0.308</v>
      </c>
      <c r="E11" s="447">
        <v>0.8</v>
      </c>
      <c r="F11" s="446">
        <v>0.307</v>
      </c>
      <c r="G11" s="421">
        <v>1</v>
      </c>
      <c r="H11" s="445">
        <v>1</v>
      </c>
      <c r="I11" s="422">
        <v>-3.6</v>
      </c>
      <c r="J11" s="423">
        <v>0.3</v>
      </c>
      <c r="K11" s="421">
        <v>0</v>
      </c>
      <c r="L11" s="421">
        <v>1</v>
      </c>
      <c r="M11" s="449"/>
      <c r="N11" s="449"/>
    </row>
    <row r="12" spans="1:14" s="157" customFormat="1" ht="13" x14ac:dyDescent="0.3">
      <c r="A12" s="440" t="s">
        <v>1037</v>
      </c>
      <c r="B12" s="424">
        <v>1.83E-2</v>
      </c>
      <c r="C12" s="446">
        <v>0.85</v>
      </c>
      <c r="D12" s="446">
        <v>0.60699999999999998</v>
      </c>
      <c r="E12" s="447">
        <v>0.42</v>
      </c>
      <c r="F12" s="446">
        <v>0.61299999999999999</v>
      </c>
      <c r="G12" s="421">
        <v>1</v>
      </c>
      <c r="H12" s="445">
        <v>2</v>
      </c>
      <c r="I12" s="422">
        <v>-3.6</v>
      </c>
      <c r="J12" s="423">
        <v>0.3</v>
      </c>
      <c r="K12" s="421">
        <v>0</v>
      </c>
      <c r="L12" s="421">
        <v>1</v>
      </c>
      <c r="M12" s="449"/>
      <c r="N12" s="449"/>
    </row>
    <row r="13" spans="1:14" s="157" customFormat="1" ht="13" x14ac:dyDescent="0.3">
      <c r="A13" s="440" t="s">
        <v>1036</v>
      </c>
      <c r="B13" s="424">
        <v>4.07E-2</v>
      </c>
      <c r="C13" s="446">
        <v>5.5199999999999999E-2</v>
      </c>
      <c r="D13" s="446">
        <v>0.25600000000000001</v>
      </c>
      <c r="E13" s="447">
        <v>0.61799999999999999</v>
      </c>
      <c r="F13" s="446">
        <v>0.215</v>
      </c>
      <c r="G13" s="421">
        <v>1</v>
      </c>
      <c r="H13" s="445">
        <v>2</v>
      </c>
      <c r="I13" s="422">
        <v>-4.2</v>
      </c>
      <c r="J13" s="423">
        <v>0.3</v>
      </c>
      <c r="K13" s="421">
        <v>0</v>
      </c>
      <c r="L13" s="421">
        <v>1</v>
      </c>
      <c r="M13" s="449"/>
      <c r="N13" s="449"/>
    </row>
    <row r="14" spans="1:14" s="157" customFormat="1" ht="13" x14ac:dyDescent="0.3">
      <c r="A14" s="440" t="s">
        <v>1039</v>
      </c>
      <c r="B14" s="424">
        <v>4.3999999999999997E-2</v>
      </c>
      <c r="C14" s="446">
        <v>0.55200000000000005</v>
      </c>
      <c r="D14" s="446">
        <v>0.25600000000000001</v>
      </c>
      <c r="E14" s="447">
        <v>0.61799999999999999</v>
      </c>
      <c r="F14" s="446">
        <v>0.215</v>
      </c>
      <c r="G14" s="421">
        <v>1</v>
      </c>
      <c r="H14" s="445">
        <v>2</v>
      </c>
      <c r="I14" s="422">
        <v>-4.2</v>
      </c>
      <c r="J14" s="423">
        <v>0.3</v>
      </c>
      <c r="K14" s="421">
        <v>0</v>
      </c>
      <c r="L14" s="421">
        <v>1</v>
      </c>
      <c r="M14" s="449"/>
      <c r="N14" s="449"/>
    </row>
    <row r="16" spans="1:14" x14ac:dyDescent="0.25">
      <c r="B16" s="450">
        <v>2</v>
      </c>
      <c r="C16" s="450">
        <v>3</v>
      </c>
      <c r="D16" s="450">
        <v>4</v>
      </c>
      <c r="E16" s="450">
        <v>5</v>
      </c>
      <c r="F16" s="450">
        <v>6</v>
      </c>
      <c r="G16" s="450">
        <v>7</v>
      </c>
      <c r="H16" s="450">
        <v>8</v>
      </c>
      <c r="I16" s="450">
        <v>9</v>
      </c>
      <c r="J16" s="450">
        <v>10</v>
      </c>
      <c r="K16" s="450"/>
      <c r="L16" s="450">
        <v>1</v>
      </c>
      <c r="M16" s="450">
        <v>2</v>
      </c>
      <c r="N16" s="450"/>
    </row>
    <row r="17" spans="1:18" ht="13" x14ac:dyDescent="0.3">
      <c r="A17" s="158" t="s">
        <v>710</v>
      </c>
      <c r="B17" s="151" t="s">
        <v>712</v>
      </c>
      <c r="C17" s="151" t="s">
        <v>713</v>
      </c>
      <c r="D17" s="502" t="s">
        <v>719</v>
      </c>
      <c r="E17" s="502"/>
      <c r="F17" s="502"/>
      <c r="G17" s="502"/>
      <c r="H17" s="502"/>
      <c r="I17" s="502"/>
      <c r="J17" s="502"/>
      <c r="L17" s="503" t="s">
        <v>1044</v>
      </c>
      <c r="M17" s="503"/>
      <c r="N17" s="453"/>
    </row>
    <row r="18" spans="1:18" ht="13" x14ac:dyDescent="0.3">
      <c r="A18" s="159" t="s">
        <v>711</v>
      </c>
      <c r="B18" s="68" t="s">
        <v>24</v>
      </c>
      <c r="C18" s="68" t="s">
        <v>469</v>
      </c>
      <c r="D18" s="151">
        <v>150</v>
      </c>
      <c r="E18" s="151">
        <v>300</v>
      </c>
      <c r="F18" s="151">
        <v>600</v>
      </c>
      <c r="G18" s="151">
        <v>900</v>
      </c>
      <c r="H18" s="151">
        <v>1500</v>
      </c>
      <c r="I18" s="151">
        <v>2500</v>
      </c>
      <c r="J18" s="151">
        <v>4500</v>
      </c>
      <c r="L18" s="454" t="s">
        <v>1042</v>
      </c>
      <c r="M18" s="454" t="s">
        <v>1051</v>
      </c>
    </row>
    <row r="19" spans="1:18" ht="13" x14ac:dyDescent="0.3">
      <c r="A19" s="160" t="s">
        <v>714</v>
      </c>
      <c r="B19" s="152">
        <v>0.5</v>
      </c>
      <c r="C19" s="151">
        <v>15</v>
      </c>
      <c r="D19" s="162">
        <v>12.7</v>
      </c>
      <c r="E19" s="162">
        <v>12.7</v>
      </c>
      <c r="F19" s="162">
        <v>12.7</v>
      </c>
      <c r="G19" s="162">
        <v>12.7</v>
      </c>
      <c r="H19" s="162">
        <v>12.7</v>
      </c>
      <c r="I19" s="162">
        <v>11.2</v>
      </c>
      <c r="J19" s="163">
        <v>7.5</v>
      </c>
      <c r="M19" s="69"/>
    </row>
    <row r="20" spans="1:18" ht="13" x14ac:dyDescent="0.3">
      <c r="A20" s="160" t="s">
        <v>715</v>
      </c>
      <c r="B20" s="152">
        <v>0.75</v>
      </c>
      <c r="C20" s="151">
        <v>20</v>
      </c>
      <c r="D20" s="162">
        <v>19.100000000000001</v>
      </c>
      <c r="E20" s="162">
        <v>19.100000000000001</v>
      </c>
      <c r="F20" s="162">
        <v>19.100000000000001</v>
      </c>
      <c r="G20" s="162">
        <v>17.5</v>
      </c>
      <c r="H20" s="162">
        <v>17.5</v>
      </c>
      <c r="I20" s="162">
        <v>14.2</v>
      </c>
      <c r="J20" s="163">
        <v>9.3000000000000007</v>
      </c>
      <c r="M20" s="69"/>
    </row>
    <row r="21" spans="1:18" ht="13" x14ac:dyDescent="0.3">
      <c r="A21" s="160" t="s">
        <v>611</v>
      </c>
      <c r="B21" s="152">
        <v>1</v>
      </c>
      <c r="C21" s="151">
        <v>25</v>
      </c>
      <c r="D21" s="162">
        <v>25.4</v>
      </c>
      <c r="E21" s="162">
        <v>25.4</v>
      </c>
      <c r="F21" s="162">
        <v>25.4</v>
      </c>
      <c r="G21" s="162">
        <v>22.1</v>
      </c>
      <c r="H21" s="162">
        <v>22.3</v>
      </c>
      <c r="I21" s="162">
        <v>19.100000000000001</v>
      </c>
      <c r="J21" s="163">
        <v>11.7</v>
      </c>
      <c r="L21" s="451">
        <v>3</v>
      </c>
      <c r="M21" s="452">
        <v>3.1</v>
      </c>
    </row>
    <row r="22" spans="1:18" ht="13" x14ac:dyDescent="0.3">
      <c r="A22" s="160" t="s">
        <v>716</v>
      </c>
      <c r="B22" s="152">
        <v>1.25</v>
      </c>
      <c r="C22" s="151">
        <v>32</v>
      </c>
      <c r="D22" s="162">
        <v>31.8</v>
      </c>
      <c r="E22" s="162">
        <v>31.8</v>
      </c>
      <c r="F22" s="162">
        <v>31.8</v>
      </c>
      <c r="G22" s="162">
        <v>28.4</v>
      </c>
      <c r="H22" s="162">
        <v>28.4</v>
      </c>
      <c r="I22" s="162">
        <v>25.4</v>
      </c>
      <c r="J22" s="163">
        <v>14.8</v>
      </c>
      <c r="L22" s="69"/>
      <c r="M22" s="69"/>
    </row>
    <row r="23" spans="1:18" ht="13" x14ac:dyDescent="0.3">
      <c r="A23" s="160" t="s">
        <v>717</v>
      </c>
      <c r="B23" s="152">
        <v>1.5</v>
      </c>
      <c r="C23" s="151">
        <v>40</v>
      </c>
      <c r="D23" s="162">
        <v>38.1</v>
      </c>
      <c r="E23" s="162">
        <v>38.1</v>
      </c>
      <c r="F23" s="162">
        <v>38.1</v>
      </c>
      <c r="G23" s="162">
        <v>34.799999999999997</v>
      </c>
      <c r="H23" s="162">
        <v>34.799999999999997</v>
      </c>
      <c r="I23" s="162">
        <v>28.4</v>
      </c>
      <c r="J23" s="163">
        <v>16.899999999999999</v>
      </c>
      <c r="L23" s="451">
        <v>5</v>
      </c>
      <c r="M23" s="452">
        <v>3.1</v>
      </c>
    </row>
    <row r="24" spans="1:18" ht="13" x14ac:dyDescent="0.3">
      <c r="A24" s="160" t="s">
        <v>613</v>
      </c>
      <c r="B24" s="152">
        <v>2</v>
      </c>
      <c r="C24" s="151">
        <v>50</v>
      </c>
      <c r="D24" s="162">
        <v>50.8</v>
      </c>
      <c r="E24" s="162">
        <v>50.8</v>
      </c>
      <c r="F24" s="162">
        <v>50.8</v>
      </c>
      <c r="G24" s="162">
        <v>47.5</v>
      </c>
      <c r="H24" s="162">
        <v>47.5</v>
      </c>
      <c r="I24" s="162">
        <v>38.1</v>
      </c>
      <c r="J24" s="163">
        <v>21.1</v>
      </c>
      <c r="L24" s="451">
        <v>6</v>
      </c>
      <c r="M24" s="452">
        <v>3.1</v>
      </c>
    </row>
    <row r="25" spans="1:18" ht="13" x14ac:dyDescent="0.3">
      <c r="A25" s="160" t="s">
        <v>718</v>
      </c>
      <c r="B25" s="152">
        <v>2.5</v>
      </c>
      <c r="C25" s="151">
        <v>65</v>
      </c>
      <c r="D25" s="162">
        <v>63.5</v>
      </c>
      <c r="E25" s="162">
        <v>63.5</v>
      </c>
      <c r="F25" s="162">
        <v>63.5</v>
      </c>
      <c r="G25" s="162">
        <v>57.2</v>
      </c>
      <c r="H25" s="162">
        <v>57.2</v>
      </c>
      <c r="I25" s="162">
        <v>47.5</v>
      </c>
      <c r="J25" s="163">
        <v>27</v>
      </c>
      <c r="L25" s="69"/>
      <c r="M25" s="69"/>
      <c r="O25" s="71"/>
      <c r="P25" s="72"/>
      <c r="Q25" s="71"/>
      <c r="R25" s="71"/>
    </row>
    <row r="26" spans="1:18" ht="13" x14ac:dyDescent="0.3">
      <c r="A26" s="160" t="s">
        <v>615</v>
      </c>
      <c r="B26" s="152">
        <v>3</v>
      </c>
      <c r="C26" s="151">
        <v>80</v>
      </c>
      <c r="D26" s="162">
        <v>76.2</v>
      </c>
      <c r="E26" s="162">
        <v>76.2</v>
      </c>
      <c r="F26" s="162">
        <v>76.2</v>
      </c>
      <c r="G26" s="162">
        <v>72.900000000000006</v>
      </c>
      <c r="H26" s="162">
        <v>69.900000000000006</v>
      </c>
      <c r="I26" s="162">
        <v>57.2</v>
      </c>
      <c r="J26" s="163">
        <v>32.9</v>
      </c>
      <c r="L26" s="451">
        <v>8</v>
      </c>
      <c r="M26" s="452">
        <v>3.1</v>
      </c>
    </row>
    <row r="27" spans="1:18" ht="13" x14ac:dyDescent="0.3">
      <c r="A27" s="160" t="s">
        <v>616</v>
      </c>
      <c r="B27" s="152">
        <v>4</v>
      </c>
      <c r="C27" s="151">
        <v>100</v>
      </c>
      <c r="D27" s="162">
        <v>101.6</v>
      </c>
      <c r="E27" s="162">
        <v>101.6</v>
      </c>
      <c r="F27" s="162">
        <v>101.6</v>
      </c>
      <c r="G27" s="162">
        <v>98.3</v>
      </c>
      <c r="H27" s="162">
        <v>91.9</v>
      </c>
      <c r="I27" s="162">
        <v>72.900000000000006</v>
      </c>
      <c r="J27" s="163">
        <v>42.3</v>
      </c>
      <c r="L27" s="451">
        <v>9.5</v>
      </c>
      <c r="M27" s="452">
        <v>3.1</v>
      </c>
    </row>
    <row r="28" spans="1:18" ht="13" x14ac:dyDescent="0.3">
      <c r="A28" s="160" t="s">
        <v>617</v>
      </c>
      <c r="B28" s="152">
        <v>5</v>
      </c>
      <c r="C28" s="151">
        <v>125</v>
      </c>
      <c r="D28" s="162">
        <v>127</v>
      </c>
      <c r="E28" s="162">
        <v>127</v>
      </c>
      <c r="F28" s="162">
        <v>127</v>
      </c>
      <c r="G28" s="162">
        <v>120.7</v>
      </c>
      <c r="H28" s="162">
        <v>111</v>
      </c>
      <c r="I28" s="162">
        <v>91.9</v>
      </c>
      <c r="J28" s="163">
        <v>51.3</v>
      </c>
      <c r="L28" s="69"/>
      <c r="M28" s="69"/>
    </row>
    <row r="29" spans="1:18" ht="13" x14ac:dyDescent="0.3">
      <c r="A29" s="160" t="s">
        <v>618</v>
      </c>
      <c r="B29" s="152">
        <v>6</v>
      </c>
      <c r="C29" s="151">
        <v>150</v>
      </c>
      <c r="D29" s="162">
        <v>152.4</v>
      </c>
      <c r="E29" s="162">
        <v>152.4</v>
      </c>
      <c r="F29" s="162">
        <v>152.4</v>
      </c>
      <c r="G29" s="162">
        <v>146.1</v>
      </c>
      <c r="H29" s="162">
        <v>136.4</v>
      </c>
      <c r="I29" s="162">
        <v>111</v>
      </c>
      <c r="J29" s="163">
        <v>62.3</v>
      </c>
      <c r="L29" s="451">
        <v>12</v>
      </c>
      <c r="M29" s="452">
        <v>3.9</v>
      </c>
    </row>
    <row r="30" spans="1:18" ht="13" x14ac:dyDescent="0.3">
      <c r="A30" s="160" t="s">
        <v>619</v>
      </c>
      <c r="B30" s="152">
        <v>8</v>
      </c>
      <c r="C30" s="151">
        <v>200</v>
      </c>
      <c r="D30" s="162">
        <v>203.2</v>
      </c>
      <c r="E30" s="162">
        <v>203.2</v>
      </c>
      <c r="F30" s="162">
        <v>199.9</v>
      </c>
      <c r="G30" s="162">
        <v>190.5</v>
      </c>
      <c r="H30" s="162">
        <v>177.8</v>
      </c>
      <c r="I30" s="162">
        <v>146.1</v>
      </c>
      <c r="J30" s="163">
        <v>81.099999999999994</v>
      </c>
      <c r="L30" s="451">
        <v>15</v>
      </c>
      <c r="M30" s="452">
        <v>3.9</v>
      </c>
    </row>
    <row r="31" spans="1:18" ht="13" x14ac:dyDescent="0.3">
      <c r="A31" s="160" t="s">
        <v>620</v>
      </c>
      <c r="B31" s="152">
        <v>10</v>
      </c>
      <c r="C31" s="151">
        <v>250</v>
      </c>
      <c r="D31" s="162">
        <v>254</v>
      </c>
      <c r="E31" s="162">
        <v>254</v>
      </c>
      <c r="F31" s="162">
        <v>247.7</v>
      </c>
      <c r="G31" s="162">
        <v>238</v>
      </c>
      <c r="H31" s="162">
        <v>222.3</v>
      </c>
      <c r="I31" s="162">
        <v>184.2</v>
      </c>
      <c r="J31" s="163">
        <v>109.2</v>
      </c>
      <c r="L31" s="451">
        <v>19</v>
      </c>
      <c r="M31" s="452">
        <v>4.9000000000000004</v>
      </c>
    </row>
    <row r="32" spans="1:18" ht="13" x14ac:dyDescent="0.3">
      <c r="A32" s="160" t="s">
        <v>621</v>
      </c>
      <c r="B32" s="152">
        <v>12</v>
      </c>
      <c r="C32" s="151">
        <v>300</v>
      </c>
      <c r="D32" s="162">
        <v>304.8</v>
      </c>
      <c r="E32" s="162">
        <v>304.8</v>
      </c>
      <c r="F32" s="162">
        <v>298.5</v>
      </c>
      <c r="G32" s="162">
        <v>282.39999999999998</v>
      </c>
      <c r="H32" s="162">
        <v>263.39999999999998</v>
      </c>
      <c r="I32" s="162">
        <v>218.9</v>
      </c>
      <c r="J32" s="163">
        <v>129.5</v>
      </c>
      <c r="L32" s="451">
        <v>22</v>
      </c>
      <c r="M32" s="452">
        <v>4.9000000000000004</v>
      </c>
    </row>
    <row r="33" spans="1:13" ht="13" x14ac:dyDescent="0.3">
      <c r="A33" s="160" t="s">
        <v>622</v>
      </c>
      <c r="B33" s="152">
        <v>14</v>
      </c>
      <c r="C33" s="151">
        <v>350</v>
      </c>
      <c r="D33" s="162">
        <v>336.6</v>
      </c>
      <c r="E33" s="162">
        <v>336.6</v>
      </c>
      <c r="F33" s="162">
        <v>326.89999999999998</v>
      </c>
      <c r="G33" s="162">
        <v>311.2</v>
      </c>
      <c r="H33" s="162">
        <v>288.8</v>
      </c>
      <c r="I33" s="162">
        <v>241.3</v>
      </c>
      <c r="J33" s="163">
        <v>142.19999999999999</v>
      </c>
      <c r="L33" s="451">
        <v>25</v>
      </c>
      <c r="M33" s="452">
        <v>6.9</v>
      </c>
    </row>
    <row r="34" spans="1:13" ht="13" x14ac:dyDescent="0.3">
      <c r="A34" s="160" t="s">
        <v>408</v>
      </c>
      <c r="B34" s="152">
        <v>16</v>
      </c>
      <c r="C34" s="151">
        <v>400</v>
      </c>
      <c r="D34" s="162">
        <v>387.4</v>
      </c>
      <c r="E34" s="162">
        <v>387.4</v>
      </c>
      <c r="F34" s="162">
        <v>374.7</v>
      </c>
      <c r="G34" s="162">
        <v>355.6</v>
      </c>
      <c r="H34" s="162">
        <v>300.2</v>
      </c>
      <c r="I34" s="162">
        <v>276.10000000000002</v>
      </c>
      <c r="J34" s="163">
        <v>162.6</v>
      </c>
      <c r="L34" s="451">
        <v>28</v>
      </c>
      <c r="M34" s="452">
        <v>6.9</v>
      </c>
    </row>
    <row r="35" spans="1:13" ht="13" x14ac:dyDescent="0.3">
      <c r="A35" s="160" t="s">
        <v>623</v>
      </c>
      <c r="B35" s="152">
        <v>18</v>
      </c>
      <c r="C35" s="151">
        <v>450</v>
      </c>
      <c r="D35" s="162">
        <v>438.2</v>
      </c>
      <c r="E35" s="162">
        <v>431.8</v>
      </c>
      <c r="F35" s="162">
        <v>419.1</v>
      </c>
      <c r="G35" s="162">
        <v>400.1</v>
      </c>
      <c r="H35" s="162">
        <v>371.3</v>
      </c>
      <c r="I35" s="162">
        <v>311.2</v>
      </c>
      <c r="J35" s="163">
        <v>182.9</v>
      </c>
      <c r="L35" s="451">
        <v>31</v>
      </c>
      <c r="M35" s="452">
        <v>9.9</v>
      </c>
    </row>
    <row r="36" spans="1:13" ht="13" x14ac:dyDescent="0.3">
      <c r="A36" s="160" t="s">
        <v>624</v>
      </c>
      <c r="B36" s="152">
        <v>20</v>
      </c>
      <c r="C36" s="151">
        <v>500</v>
      </c>
      <c r="D36" s="162">
        <v>489</v>
      </c>
      <c r="E36" s="162">
        <v>482.6</v>
      </c>
      <c r="F36" s="162">
        <v>463.6</v>
      </c>
      <c r="G36" s="162">
        <v>444.5</v>
      </c>
      <c r="H36" s="162">
        <v>415.8</v>
      </c>
      <c r="I36" s="162">
        <v>342.9</v>
      </c>
      <c r="J36" s="163">
        <v>203.2</v>
      </c>
      <c r="L36" s="451">
        <v>35</v>
      </c>
      <c r="M36" s="452">
        <v>9.9</v>
      </c>
    </row>
    <row r="37" spans="1:13" ht="13" x14ac:dyDescent="0.3">
      <c r="A37" s="160" t="s">
        <v>625</v>
      </c>
      <c r="B37" s="152">
        <v>22</v>
      </c>
      <c r="C37" s="151">
        <v>550</v>
      </c>
      <c r="D37" s="162">
        <v>539.79999999999995</v>
      </c>
      <c r="E37" s="162">
        <v>533.4</v>
      </c>
      <c r="F37" s="162">
        <v>511</v>
      </c>
      <c r="G37" s="162">
        <v>489</v>
      </c>
      <c r="H37" s="162">
        <v>457.2</v>
      </c>
      <c r="I37" s="162">
        <v>377.7</v>
      </c>
      <c r="J37" s="163">
        <v>223.5</v>
      </c>
      <c r="L37" s="69"/>
      <c r="M37" s="69"/>
    </row>
    <row r="38" spans="1:13" ht="13" x14ac:dyDescent="0.3">
      <c r="A38" s="160" t="s">
        <v>626</v>
      </c>
      <c r="B38" s="152">
        <v>24</v>
      </c>
      <c r="C38" s="151">
        <v>600</v>
      </c>
      <c r="D38" s="162">
        <v>590.6</v>
      </c>
      <c r="E38" s="162">
        <v>584.20000000000005</v>
      </c>
      <c r="F38" s="162">
        <v>558.79999999999995</v>
      </c>
      <c r="G38" s="162">
        <v>533.4</v>
      </c>
      <c r="H38" s="162">
        <v>498.3</v>
      </c>
      <c r="I38" s="162">
        <v>412.8</v>
      </c>
      <c r="J38" s="163">
        <v>243.8</v>
      </c>
      <c r="L38" s="451">
        <v>44</v>
      </c>
      <c r="M38" s="452">
        <v>15</v>
      </c>
    </row>
    <row r="39" spans="1:13" ht="13" x14ac:dyDescent="0.3">
      <c r="A39" s="160" t="s">
        <v>627</v>
      </c>
      <c r="B39" s="152">
        <v>26</v>
      </c>
      <c r="C39" s="151">
        <v>650</v>
      </c>
      <c r="D39" s="162">
        <v>641.4</v>
      </c>
      <c r="E39" s="162">
        <v>635</v>
      </c>
      <c r="F39" s="162">
        <v>603.29999999999995</v>
      </c>
      <c r="G39" s="162">
        <v>577.9</v>
      </c>
      <c r="H39" s="162">
        <v>539.79999999999995</v>
      </c>
      <c r="I39" s="162">
        <v>447.5</v>
      </c>
      <c r="J39" s="163">
        <v>264.2</v>
      </c>
    </row>
    <row r="40" spans="1:13" s="68" customFormat="1" ht="13" x14ac:dyDescent="0.3">
      <c r="A40" s="160" t="s">
        <v>628</v>
      </c>
      <c r="B40" s="152">
        <v>28</v>
      </c>
      <c r="C40" s="151">
        <v>700</v>
      </c>
      <c r="D40" s="162">
        <v>692.2</v>
      </c>
      <c r="E40" s="162">
        <v>685.8</v>
      </c>
      <c r="F40" s="162">
        <v>647.70000000000005</v>
      </c>
      <c r="G40" s="162">
        <v>622.29999999999995</v>
      </c>
      <c r="H40" s="162">
        <v>584.20000000000005</v>
      </c>
      <c r="I40" s="162">
        <v>482.6</v>
      </c>
      <c r="J40" s="163">
        <v>284.5</v>
      </c>
    </row>
    <row r="41" spans="1:13" s="68" customFormat="1" ht="13" x14ac:dyDescent="0.3">
      <c r="A41" s="160" t="s">
        <v>629</v>
      </c>
      <c r="B41" s="152">
        <v>30</v>
      </c>
      <c r="C41" s="151">
        <v>750</v>
      </c>
      <c r="D41" s="162">
        <v>743</v>
      </c>
      <c r="E41" s="162">
        <v>736.6</v>
      </c>
      <c r="F41" s="162">
        <v>695.2</v>
      </c>
      <c r="G41" s="162">
        <v>666.8</v>
      </c>
      <c r="H41" s="162">
        <v>625.29999999999995</v>
      </c>
      <c r="I41" s="162">
        <v>517.4</v>
      </c>
      <c r="J41" s="163">
        <v>304.8</v>
      </c>
    </row>
    <row r="42" spans="1:13" s="68" customFormat="1" ht="13" x14ac:dyDescent="0.3">
      <c r="A42" s="160" t="s">
        <v>632</v>
      </c>
      <c r="B42" s="152">
        <v>36</v>
      </c>
      <c r="C42" s="151">
        <v>900</v>
      </c>
      <c r="D42" s="163">
        <f>mathx1x2xy1y2y($B$40,$B$41,$B$42,D40,D41)</f>
        <v>895.39999999999986</v>
      </c>
      <c r="E42" s="163">
        <f t="shared" ref="E42:J42" si="0">mathx1x2xy1y2y($B$40,$B$41,$B$42,E40,E41)</f>
        <v>889.00000000000023</v>
      </c>
      <c r="F42" s="163">
        <f t="shared" si="0"/>
        <v>837.7</v>
      </c>
      <c r="G42" s="163">
        <f t="shared" si="0"/>
        <v>800.3</v>
      </c>
      <c r="H42" s="163">
        <f t="shared" si="0"/>
        <v>748.59999999999968</v>
      </c>
      <c r="I42" s="163">
        <f t="shared" si="0"/>
        <v>621.79999999999984</v>
      </c>
      <c r="J42" s="163">
        <f t="shared" si="0"/>
        <v>365.70000000000005</v>
      </c>
    </row>
    <row r="43" spans="1:13" s="68" customFormat="1" ht="13" x14ac:dyDescent="0.3">
      <c r="A43" s="160"/>
      <c r="B43" s="152"/>
      <c r="C43" s="151"/>
      <c r="D43" s="153"/>
      <c r="E43" s="153"/>
      <c r="F43" s="153"/>
      <c r="G43" s="153"/>
      <c r="H43" s="153"/>
      <c r="I43" s="153"/>
      <c r="J43" s="153"/>
    </row>
    <row r="44" spans="1:13" s="68" customFormat="1" ht="13" x14ac:dyDescent="0.3">
      <c r="A44" s="160"/>
      <c r="B44" s="152"/>
      <c r="C44" s="151"/>
      <c r="D44" s="151"/>
      <c r="E44" s="151"/>
      <c r="F44" s="151"/>
      <c r="G44" s="151"/>
      <c r="H44" s="151"/>
      <c r="I44" s="151"/>
      <c r="J44" s="151"/>
      <c r="K44" s="151"/>
    </row>
    <row r="45" spans="1:13" s="68" customFormat="1" ht="13" x14ac:dyDescent="0.3">
      <c r="A45" s="160"/>
      <c r="B45" s="152"/>
      <c r="C45" s="151"/>
      <c r="D45" s="153"/>
      <c r="E45" s="153"/>
      <c r="F45" s="153"/>
      <c r="G45" s="153"/>
      <c r="H45" s="153"/>
      <c r="I45" s="153"/>
      <c r="J45" s="153"/>
    </row>
    <row r="46" spans="1:13" s="68" customFormat="1" x14ac:dyDescent="0.25">
      <c r="B46" s="69"/>
      <c r="C46" s="69"/>
      <c r="D46" s="69"/>
      <c r="E46" s="69"/>
      <c r="F46" s="69"/>
      <c r="G46" s="69"/>
    </row>
    <row r="47" spans="1:13" s="68" customFormat="1" x14ac:dyDescent="0.25">
      <c r="B47" s="69"/>
      <c r="C47" s="69"/>
      <c r="D47" s="69"/>
      <c r="E47" s="69"/>
      <c r="F47" s="69"/>
      <c r="G47" s="69"/>
    </row>
    <row r="48" spans="1:13" s="68" customFormat="1" x14ac:dyDescent="0.25">
      <c r="B48" s="69"/>
      <c r="C48" s="69"/>
      <c r="D48" s="69"/>
      <c r="E48" s="69"/>
      <c r="F48" s="69"/>
      <c r="G48" s="69"/>
    </row>
    <row r="49" spans="2:7" s="68" customFormat="1" x14ac:dyDescent="0.25">
      <c r="B49" s="69"/>
      <c r="C49" s="69"/>
      <c r="D49" s="69"/>
      <c r="E49" s="69"/>
      <c r="F49" s="69"/>
      <c r="G49" s="69"/>
    </row>
    <row r="50" spans="2:7" s="68" customFormat="1" x14ac:dyDescent="0.25">
      <c r="B50" s="69"/>
      <c r="C50" s="69"/>
      <c r="D50" s="69"/>
      <c r="E50" s="69"/>
      <c r="F50" s="69"/>
      <c r="G50" s="69"/>
    </row>
    <row r="51" spans="2:7" s="68" customFormat="1" x14ac:dyDescent="0.25">
      <c r="B51" s="69"/>
      <c r="C51" s="69"/>
      <c r="D51" s="69"/>
      <c r="E51" s="69"/>
      <c r="F51" s="69"/>
      <c r="G51" s="69"/>
    </row>
    <row r="52" spans="2:7" s="68" customFormat="1" x14ac:dyDescent="0.25">
      <c r="B52" s="69"/>
      <c r="C52" s="69"/>
      <c r="D52" s="69"/>
      <c r="E52" s="69"/>
      <c r="F52" s="69"/>
      <c r="G52" s="69"/>
    </row>
    <row r="53" spans="2:7" s="68" customFormat="1" x14ac:dyDescent="0.25">
      <c r="B53" s="69"/>
      <c r="C53" s="69"/>
      <c r="D53" s="69"/>
      <c r="E53" s="69"/>
      <c r="F53" s="69"/>
      <c r="G53" s="69"/>
    </row>
    <row r="54" spans="2:7" s="68" customFormat="1" x14ac:dyDescent="0.25">
      <c r="B54" s="69"/>
      <c r="C54" s="69"/>
      <c r="D54" s="69"/>
      <c r="E54" s="69"/>
      <c r="F54" s="69"/>
      <c r="G54" s="69"/>
    </row>
    <row r="55" spans="2:7" s="68" customFormat="1" x14ac:dyDescent="0.25">
      <c r="B55" s="69"/>
      <c r="C55" s="69"/>
      <c r="D55" s="69"/>
      <c r="E55" s="69"/>
      <c r="F55" s="69"/>
      <c r="G55" s="69"/>
    </row>
    <row r="56" spans="2:7" x14ac:dyDescent="0.25">
      <c r="B56" s="69"/>
      <c r="C56" s="69"/>
      <c r="D56" s="69"/>
      <c r="E56" s="69"/>
      <c r="F56" s="69"/>
      <c r="G56" s="69"/>
    </row>
    <row r="57" spans="2:7" x14ac:dyDescent="0.25">
      <c r="B57" s="69"/>
      <c r="C57" s="69"/>
      <c r="D57" s="69"/>
      <c r="E57" s="69"/>
      <c r="F57" s="69"/>
      <c r="G57" s="69"/>
    </row>
    <row r="58" spans="2:7" x14ac:dyDescent="0.25">
      <c r="B58" s="69"/>
      <c r="C58" s="69"/>
      <c r="D58" s="69"/>
      <c r="E58" s="69"/>
      <c r="F58" s="69"/>
      <c r="G58" s="69"/>
    </row>
    <row r="59" spans="2:7" x14ac:dyDescent="0.25">
      <c r="B59" s="69"/>
      <c r="C59" s="69"/>
      <c r="D59" s="69"/>
      <c r="E59" s="69"/>
      <c r="F59" s="69"/>
      <c r="G59" s="69"/>
    </row>
    <row r="60" spans="2:7" x14ac:dyDescent="0.25">
      <c r="B60" s="69"/>
      <c r="C60" s="69"/>
      <c r="D60" s="69"/>
      <c r="E60" s="69"/>
      <c r="F60" s="69"/>
      <c r="G60" s="69"/>
    </row>
    <row r="61" spans="2:7" x14ac:dyDescent="0.25">
      <c r="B61" s="69"/>
      <c r="C61" s="69"/>
      <c r="D61" s="69"/>
      <c r="E61" s="69"/>
      <c r="F61" s="69"/>
      <c r="G61" s="69"/>
    </row>
    <row r="62" spans="2:7" x14ac:dyDescent="0.25">
      <c r="B62" s="69"/>
      <c r="C62" s="69"/>
      <c r="D62" s="69"/>
      <c r="E62" s="69"/>
      <c r="F62" s="69"/>
      <c r="G62" s="69"/>
    </row>
    <row r="63" spans="2:7" x14ac:dyDescent="0.25">
      <c r="B63" s="69"/>
      <c r="C63" s="69"/>
      <c r="D63" s="69"/>
      <c r="E63" s="69"/>
      <c r="F63" s="69"/>
      <c r="G63" s="69"/>
    </row>
    <row r="64" spans="2:7" x14ac:dyDescent="0.25">
      <c r="B64" s="69"/>
      <c r="C64" s="69"/>
      <c r="D64" s="69"/>
      <c r="E64" s="69"/>
      <c r="F64" s="69"/>
      <c r="G64" s="69"/>
    </row>
    <row r="65" spans="2:15" x14ac:dyDescent="0.25">
      <c r="B65" s="69"/>
      <c r="C65" s="69"/>
      <c r="D65" s="69"/>
      <c r="E65" s="69"/>
      <c r="F65" s="69"/>
      <c r="G65" s="69"/>
    </row>
    <row r="66" spans="2:15" x14ac:dyDescent="0.25">
      <c r="B66" s="69"/>
      <c r="C66" s="69"/>
      <c r="D66" s="69"/>
      <c r="E66" s="69"/>
      <c r="F66" s="69"/>
      <c r="G66" s="69"/>
    </row>
    <row r="67" spans="2:15" x14ac:dyDescent="0.25">
      <c r="B67" s="69"/>
      <c r="C67" s="69"/>
      <c r="D67" s="69"/>
      <c r="E67" s="69"/>
      <c r="F67" s="69"/>
      <c r="G67" s="69"/>
    </row>
    <row r="68" spans="2:15" x14ac:dyDescent="0.25">
      <c r="B68" s="69"/>
      <c r="C68" s="69"/>
      <c r="D68" s="69"/>
      <c r="E68" s="69"/>
      <c r="F68" s="69"/>
      <c r="G68" s="69"/>
    </row>
    <row r="69" spans="2:15" x14ac:dyDescent="0.25">
      <c r="B69" s="69"/>
      <c r="C69" s="69"/>
      <c r="D69" s="69"/>
      <c r="E69" s="69"/>
      <c r="F69" s="69"/>
      <c r="G69" s="69"/>
      <c r="O69" s="68"/>
    </row>
    <row r="70" spans="2:15" x14ac:dyDescent="0.25">
      <c r="B70" s="69"/>
      <c r="C70" s="69"/>
      <c r="D70" s="69"/>
      <c r="E70" s="69"/>
      <c r="F70" s="69"/>
      <c r="G70" s="69"/>
    </row>
    <row r="71" spans="2:15" x14ac:dyDescent="0.25">
      <c r="B71" s="69"/>
      <c r="C71" s="69"/>
      <c r="D71" s="69"/>
      <c r="E71" s="69"/>
      <c r="F71" s="69"/>
      <c r="G71" s="69"/>
    </row>
    <row r="72" spans="2:15" s="68" customFormat="1" x14ac:dyDescent="0.25">
      <c r="B72" s="69"/>
      <c r="C72" s="69"/>
      <c r="D72" s="69"/>
      <c r="E72" s="69"/>
      <c r="F72" s="69"/>
      <c r="G72" s="69"/>
    </row>
    <row r="73" spans="2:15" s="68" customFormat="1" x14ac:dyDescent="0.25">
      <c r="B73" s="69"/>
      <c r="C73" s="69"/>
      <c r="D73" s="69"/>
      <c r="E73" s="69"/>
      <c r="F73" s="69"/>
      <c r="G73" s="69"/>
    </row>
    <row r="74" spans="2:15" s="68" customFormat="1" x14ac:dyDescent="0.25">
      <c r="B74" s="69"/>
      <c r="C74" s="69"/>
      <c r="D74" s="69"/>
      <c r="E74" s="69"/>
      <c r="F74" s="69"/>
      <c r="G74" s="69"/>
    </row>
    <row r="75" spans="2:15" s="68" customFormat="1" x14ac:dyDescent="0.25">
      <c r="B75" s="69"/>
      <c r="C75" s="69"/>
      <c r="D75" s="69"/>
      <c r="E75" s="69"/>
      <c r="F75" s="69"/>
      <c r="G75" s="69"/>
    </row>
    <row r="76" spans="2:15" s="68" customFormat="1" x14ac:dyDescent="0.25">
      <c r="B76" s="69"/>
      <c r="C76" s="69"/>
      <c r="D76" s="69"/>
      <c r="E76" s="69"/>
      <c r="F76" s="69"/>
      <c r="G76" s="69"/>
    </row>
    <row r="77" spans="2:15" s="68" customFormat="1" x14ac:dyDescent="0.25">
      <c r="B77" s="69"/>
      <c r="C77" s="69"/>
      <c r="D77" s="69"/>
      <c r="E77" s="69"/>
      <c r="F77" s="69"/>
      <c r="G77" s="69"/>
    </row>
    <row r="78" spans="2:15" s="68" customFormat="1" x14ac:dyDescent="0.25">
      <c r="B78" s="69"/>
      <c r="C78" s="69"/>
      <c r="D78" s="69"/>
      <c r="E78" s="69"/>
      <c r="F78" s="69"/>
      <c r="G78" s="69"/>
    </row>
    <row r="79" spans="2:15" s="68" customFormat="1" x14ac:dyDescent="0.25">
      <c r="B79" s="69"/>
      <c r="C79" s="69"/>
      <c r="D79" s="69"/>
      <c r="E79" s="69"/>
      <c r="F79" s="69"/>
      <c r="G79" s="69"/>
    </row>
    <row r="80" spans="2:15" s="68" customFormat="1" x14ac:dyDescent="0.25">
      <c r="B80" s="69"/>
      <c r="C80" s="69"/>
      <c r="D80" s="69"/>
      <c r="E80" s="69"/>
      <c r="F80" s="69"/>
      <c r="G80" s="69"/>
    </row>
    <row r="81" spans="2:7" s="68" customFormat="1" x14ac:dyDescent="0.25">
      <c r="B81" s="69"/>
      <c r="C81" s="69"/>
      <c r="D81" s="69"/>
      <c r="E81" s="69"/>
      <c r="F81" s="69"/>
      <c r="G81" s="69"/>
    </row>
  </sheetData>
  <mergeCells count="2">
    <mergeCell ref="D17:J17"/>
    <mergeCell ref="L17:M17"/>
  </mergeCells>
  <pageMargins left="0.8" right="0.8" top="0.33300000000000002" bottom="1.1659999999999999" header="0.5" footer="0.5"/>
  <pageSetup scale="92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41"/>
  </sheetPr>
  <dimension ref="A1:F65"/>
  <sheetViews>
    <sheetView zoomScale="85" zoomScaleNormal="85" workbookViewId="0"/>
  </sheetViews>
  <sheetFormatPr defaultColWidth="9.08984375" defaultRowHeight="13.5" x14ac:dyDescent="0.35"/>
  <cols>
    <col min="1" max="1" width="13.90625" style="5" customWidth="1"/>
    <col min="2" max="2" width="7.453125" style="5" customWidth="1"/>
    <col min="3" max="3" width="8.6328125" style="5" customWidth="1"/>
    <col min="4" max="4" width="9.08984375" style="13"/>
    <col min="5" max="5" width="97.453125" style="10" customWidth="1"/>
    <col min="6" max="6" width="8.90625" customWidth="1"/>
    <col min="7" max="16384" width="9.08984375" style="4"/>
  </cols>
  <sheetData>
    <row r="1" spans="1:5" ht="15.5" x14ac:dyDescent="0.35">
      <c r="A1" s="1" t="s">
        <v>0</v>
      </c>
    </row>
    <row r="3" spans="1:5" ht="13" x14ac:dyDescent="0.3">
      <c r="A3" s="34" t="s">
        <v>1</v>
      </c>
      <c r="B3" s="34" t="s">
        <v>3</v>
      </c>
      <c r="C3" s="34" t="s">
        <v>2</v>
      </c>
      <c r="D3" s="34" t="s">
        <v>4</v>
      </c>
      <c r="E3" s="86" t="s">
        <v>5</v>
      </c>
    </row>
    <row r="4" spans="1:5" s="77" customFormat="1" ht="13" x14ac:dyDescent="0.25">
      <c r="A4" s="73">
        <v>39470</v>
      </c>
      <c r="B4" s="74" t="s">
        <v>6</v>
      </c>
      <c r="C4" s="74" t="s">
        <v>686</v>
      </c>
      <c r="D4" s="75">
        <v>1</v>
      </c>
      <c r="E4" s="76" t="s">
        <v>7</v>
      </c>
    </row>
    <row r="5" spans="1:5" s="77" customFormat="1" ht="12.5" x14ac:dyDescent="0.25">
      <c r="A5" s="73">
        <v>39874</v>
      </c>
      <c r="B5" s="78">
        <v>2</v>
      </c>
      <c r="C5" s="74" t="s">
        <v>686</v>
      </c>
      <c r="D5" s="74">
        <v>1</v>
      </c>
      <c r="E5" s="76" t="s">
        <v>687</v>
      </c>
    </row>
    <row r="6" spans="1:5" s="77" customFormat="1" ht="12.5" x14ac:dyDescent="0.25">
      <c r="A6" s="73"/>
      <c r="B6" s="78"/>
      <c r="C6" s="74"/>
      <c r="D6" s="74">
        <v>2</v>
      </c>
      <c r="E6" s="76" t="s">
        <v>688</v>
      </c>
    </row>
    <row r="7" spans="1:5" s="77" customFormat="1" ht="12.5" x14ac:dyDescent="0.25">
      <c r="A7" s="73"/>
      <c r="B7" s="74"/>
      <c r="C7" s="74"/>
      <c r="D7" s="74">
        <v>3</v>
      </c>
      <c r="E7" s="76" t="s">
        <v>709</v>
      </c>
    </row>
    <row r="8" spans="1:5" s="77" customFormat="1" ht="12.5" x14ac:dyDescent="0.25">
      <c r="A8" s="73">
        <v>39987</v>
      </c>
      <c r="B8" s="74">
        <v>2.1</v>
      </c>
      <c r="C8" s="74" t="s">
        <v>686</v>
      </c>
      <c r="D8" s="74">
        <v>1</v>
      </c>
      <c r="E8" s="76" t="s">
        <v>728</v>
      </c>
    </row>
    <row r="9" spans="1:5" s="77" customFormat="1" ht="12.5" x14ac:dyDescent="0.25">
      <c r="A9" s="73">
        <v>40234</v>
      </c>
      <c r="B9" s="74">
        <v>2.2000000000000002</v>
      </c>
      <c r="C9" s="74" t="s">
        <v>686</v>
      </c>
      <c r="D9" s="74">
        <v>1</v>
      </c>
      <c r="E9" s="76" t="s">
        <v>729</v>
      </c>
    </row>
    <row r="10" spans="1:5" s="77" customFormat="1" ht="12.5" x14ac:dyDescent="0.25">
      <c r="A10" s="73">
        <v>40374</v>
      </c>
      <c r="B10" s="78">
        <v>2.2999999999999998</v>
      </c>
      <c r="C10" s="74" t="s">
        <v>686</v>
      </c>
      <c r="D10" s="74">
        <v>1</v>
      </c>
      <c r="E10" s="76" t="s">
        <v>731</v>
      </c>
    </row>
    <row r="11" spans="1:5" s="77" customFormat="1" ht="12.5" x14ac:dyDescent="0.25">
      <c r="A11" s="73"/>
      <c r="B11" s="78"/>
      <c r="C11" s="74"/>
      <c r="D11" s="74">
        <v>2</v>
      </c>
      <c r="E11" s="76" t="s">
        <v>732</v>
      </c>
    </row>
    <row r="12" spans="1:5" s="77" customFormat="1" ht="12.5" x14ac:dyDescent="0.25">
      <c r="A12" s="73">
        <v>40429</v>
      </c>
      <c r="B12" s="78">
        <v>2.4</v>
      </c>
      <c r="C12" s="74" t="s">
        <v>686</v>
      </c>
      <c r="D12" s="74">
        <v>1</v>
      </c>
      <c r="E12" s="76" t="s">
        <v>733</v>
      </c>
    </row>
    <row r="13" spans="1:5" s="77" customFormat="1" ht="12.5" x14ac:dyDescent="0.25">
      <c r="A13" s="73">
        <v>41351</v>
      </c>
      <c r="B13" s="78">
        <v>2.5</v>
      </c>
      <c r="C13" s="78" t="s">
        <v>686</v>
      </c>
      <c r="D13" s="74">
        <v>1</v>
      </c>
      <c r="E13" s="79" t="s">
        <v>737</v>
      </c>
    </row>
    <row r="14" spans="1:5" s="77" customFormat="1" ht="12.5" x14ac:dyDescent="0.25">
      <c r="A14" s="73"/>
      <c r="B14" s="78"/>
      <c r="C14" s="78"/>
      <c r="D14" s="74">
        <v>2</v>
      </c>
      <c r="E14" s="79" t="s">
        <v>738</v>
      </c>
    </row>
    <row r="15" spans="1:5" s="77" customFormat="1" ht="12.5" x14ac:dyDescent="0.25">
      <c r="A15" s="73"/>
      <c r="B15" s="74"/>
      <c r="C15" s="74"/>
      <c r="D15" s="74">
        <v>3</v>
      </c>
      <c r="E15" s="79" t="s">
        <v>740</v>
      </c>
    </row>
    <row r="16" spans="1:5" s="77" customFormat="1" ht="12.5" x14ac:dyDescent="0.25">
      <c r="A16" s="73"/>
      <c r="B16" s="78"/>
      <c r="C16" s="74"/>
      <c r="D16" s="74">
        <v>4</v>
      </c>
      <c r="E16" s="79" t="s">
        <v>745</v>
      </c>
    </row>
    <row r="17" spans="1:5" s="77" customFormat="1" ht="12.5" x14ac:dyDescent="0.25">
      <c r="A17" s="73"/>
      <c r="B17" s="74"/>
      <c r="C17" s="74"/>
      <c r="D17" s="74">
        <v>5</v>
      </c>
      <c r="E17" s="79" t="s">
        <v>746</v>
      </c>
    </row>
    <row r="18" spans="1:5" s="77" customFormat="1" ht="12.5" x14ac:dyDescent="0.25">
      <c r="A18" s="73">
        <v>41368</v>
      </c>
      <c r="B18" s="74">
        <v>2.6</v>
      </c>
      <c r="C18" s="74" t="s">
        <v>686</v>
      </c>
      <c r="D18" s="74">
        <v>1</v>
      </c>
      <c r="E18" s="79" t="s">
        <v>747</v>
      </c>
    </row>
    <row r="19" spans="1:5" s="77" customFormat="1" ht="12.5" x14ac:dyDescent="0.25">
      <c r="A19" s="73"/>
      <c r="B19" s="74"/>
      <c r="C19" s="74"/>
      <c r="D19" s="74">
        <v>2</v>
      </c>
      <c r="E19" s="79" t="s">
        <v>759</v>
      </c>
    </row>
    <row r="20" spans="1:5" s="77" customFormat="1" ht="12.5" x14ac:dyDescent="0.25">
      <c r="A20" s="73"/>
      <c r="B20" s="74"/>
      <c r="C20" s="74"/>
      <c r="D20" s="74">
        <v>3</v>
      </c>
      <c r="E20" s="79" t="s">
        <v>760</v>
      </c>
    </row>
    <row r="21" spans="1:5" s="77" customFormat="1" ht="12.5" x14ac:dyDescent="0.25">
      <c r="A21" s="73"/>
      <c r="B21" s="74"/>
      <c r="C21" s="74"/>
      <c r="D21" s="74">
        <v>4</v>
      </c>
      <c r="E21" s="79" t="s">
        <v>761</v>
      </c>
    </row>
    <row r="22" spans="1:5" s="77" customFormat="1" ht="12.5" x14ac:dyDescent="0.25">
      <c r="A22" s="73">
        <v>41427</v>
      </c>
      <c r="B22" s="74">
        <v>2.7</v>
      </c>
      <c r="C22" s="74" t="s">
        <v>686</v>
      </c>
      <c r="D22" s="74">
        <v>1</v>
      </c>
      <c r="E22" s="79" t="s">
        <v>766</v>
      </c>
    </row>
    <row r="23" spans="1:5" s="77" customFormat="1" ht="12.5" x14ac:dyDescent="0.25">
      <c r="A23" s="73">
        <v>41524</v>
      </c>
      <c r="B23" s="74">
        <v>2.8</v>
      </c>
      <c r="C23" s="74" t="s">
        <v>686</v>
      </c>
      <c r="D23" s="74">
        <v>1</v>
      </c>
      <c r="E23" s="79" t="s">
        <v>854</v>
      </c>
    </row>
    <row r="24" spans="1:5" s="77" customFormat="1" ht="12.5" x14ac:dyDescent="0.25">
      <c r="A24" s="73">
        <v>41834</v>
      </c>
      <c r="B24" s="74">
        <v>3</v>
      </c>
      <c r="C24" s="74" t="s">
        <v>686</v>
      </c>
      <c r="D24" s="74">
        <v>1</v>
      </c>
      <c r="E24" s="79" t="s">
        <v>1018</v>
      </c>
    </row>
    <row r="25" spans="1:5" s="77" customFormat="1" ht="12.5" x14ac:dyDescent="0.25">
      <c r="A25" s="73"/>
      <c r="B25" s="74"/>
      <c r="C25" s="74"/>
      <c r="D25" s="74">
        <v>2</v>
      </c>
      <c r="E25" s="79" t="s">
        <v>1021</v>
      </c>
    </row>
    <row r="26" spans="1:5" s="77" customFormat="1" ht="12.5" x14ac:dyDescent="0.25">
      <c r="A26" s="73">
        <v>41920</v>
      </c>
      <c r="B26" s="74">
        <v>3.1</v>
      </c>
      <c r="C26" s="74" t="s">
        <v>686</v>
      </c>
      <c r="D26" s="74">
        <v>1</v>
      </c>
      <c r="E26" s="79" t="s">
        <v>1022</v>
      </c>
    </row>
    <row r="27" spans="1:5" s="77" customFormat="1" ht="12.5" x14ac:dyDescent="0.25">
      <c r="A27" s="73">
        <v>42254</v>
      </c>
      <c r="B27" s="74">
        <v>3.2</v>
      </c>
      <c r="C27" s="74" t="s">
        <v>686</v>
      </c>
      <c r="D27" s="74">
        <v>1</v>
      </c>
      <c r="E27" s="79" t="s">
        <v>1024</v>
      </c>
    </row>
    <row r="28" spans="1:5" s="77" customFormat="1" ht="12.5" x14ac:dyDescent="0.25">
      <c r="A28" s="73">
        <v>42419</v>
      </c>
      <c r="B28" s="74">
        <v>3.3</v>
      </c>
      <c r="C28" s="74" t="s">
        <v>686</v>
      </c>
      <c r="D28" s="74">
        <v>1</v>
      </c>
      <c r="E28" s="79" t="s">
        <v>1027</v>
      </c>
    </row>
    <row r="29" spans="1:5" s="77" customFormat="1" ht="12.5" x14ac:dyDescent="0.25">
      <c r="A29" s="73"/>
      <c r="B29" s="74"/>
      <c r="C29" s="74"/>
      <c r="D29" s="74">
        <v>2</v>
      </c>
      <c r="E29" s="79" t="s">
        <v>1028</v>
      </c>
    </row>
    <row r="30" spans="1:5" s="77" customFormat="1" ht="12.5" x14ac:dyDescent="0.25">
      <c r="A30" s="73"/>
      <c r="B30" s="74"/>
      <c r="C30" s="74"/>
      <c r="D30" s="74">
        <v>3</v>
      </c>
      <c r="E30" s="79" t="s">
        <v>1029</v>
      </c>
    </row>
    <row r="31" spans="1:5" s="77" customFormat="1" ht="12.5" x14ac:dyDescent="0.25">
      <c r="A31" s="73">
        <v>42448</v>
      </c>
      <c r="B31" s="74">
        <v>3.4</v>
      </c>
      <c r="C31" s="74" t="s">
        <v>686</v>
      </c>
      <c r="D31" s="74">
        <v>1</v>
      </c>
      <c r="E31" s="79" t="s">
        <v>1047</v>
      </c>
    </row>
    <row r="32" spans="1:5" s="77" customFormat="1" ht="12.5" x14ac:dyDescent="0.25">
      <c r="A32" s="73"/>
      <c r="B32" s="74"/>
      <c r="C32" s="74"/>
      <c r="D32" s="74">
        <v>2</v>
      </c>
      <c r="E32" s="79" t="s">
        <v>1048</v>
      </c>
    </row>
    <row r="33" spans="1:5" s="77" customFormat="1" ht="12.5" x14ac:dyDescent="0.25">
      <c r="A33" s="73">
        <v>42493</v>
      </c>
      <c r="B33" s="74">
        <v>3.5</v>
      </c>
      <c r="C33" s="74" t="s">
        <v>686</v>
      </c>
      <c r="D33" s="74">
        <v>1</v>
      </c>
      <c r="E33" s="79" t="s">
        <v>1050</v>
      </c>
    </row>
    <row r="34" spans="1:5" s="77" customFormat="1" ht="12.5" x14ac:dyDescent="0.25">
      <c r="A34" s="73">
        <v>42509</v>
      </c>
      <c r="B34" s="74">
        <v>3.6</v>
      </c>
      <c r="C34" s="74" t="s">
        <v>686</v>
      </c>
      <c r="D34" s="74">
        <v>1</v>
      </c>
      <c r="E34" s="79" t="s">
        <v>1053</v>
      </c>
    </row>
    <row r="35" spans="1:5" s="77" customFormat="1" ht="12.5" x14ac:dyDescent="0.25">
      <c r="A35" s="73"/>
      <c r="B35" s="74"/>
      <c r="C35" s="74"/>
      <c r="D35" s="74"/>
      <c r="E35" s="79"/>
    </row>
    <row r="36" spans="1:5" s="77" customFormat="1" ht="12.5" x14ac:dyDescent="0.25">
      <c r="A36" s="73"/>
      <c r="B36" s="74"/>
      <c r="C36" s="74"/>
      <c r="D36" s="74"/>
      <c r="E36" s="79"/>
    </row>
    <row r="37" spans="1:5" s="77" customFormat="1" ht="12.5" x14ac:dyDescent="0.25">
      <c r="A37" s="73"/>
      <c r="B37" s="74"/>
      <c r="C37" s="74"/>
      <c r="D37" s="74"/>
      <c r="E37" s="79"/>
    </row>
    <row r="38" spans="1:5" s="77" customFormat="1" ht="12.5" x14ac:dyDescent="0.25">
      <c r="A38" s="73"/>
      <c r="B38" s="74"/>
      <c r="C38" s="74"/>
      <c r="D38" s="74"/>
      <c r="E38" s="79"/>
    </row>
    <row r="39" spans="1:5" s="77" customFormat="1" ht="12.5" x14ac:dyDescent="0.25">
      <c r="A39" s="73"/>
      <c r="B39" s="74"/>
      <c r="C39" s="74"/>
      <c r="D39" s="74"/>
      <c r="E39" s="79"/>
    </row>
    <row r="40" spans="1:5" s="77" customFormat="1" ht="12.5" x14ac:dyDescent="0.25">
      <c r="A40" s="73"/>
      <c r="B40" s="74"/>
      <c r="C40" s="74"/>
      <c r="D40" s="74"/>
      <c r="E40" s="79"/>
    </row>
    <row r="41" spans="1:5" s="77" customFormat="1" ht="12.5" x14ac:dyDescent="0.25">
      <c r="A41" s="73"/>
      <c r="B41" s="74"/>
      <c r="C41" s="74"/>
      <c r="D41" s="74"/>
      <c r="E41" s="79"/>
    </row>
    <row r="42" spans="1:5" s="77" customFormat="1" ht="12.5" x14ac:dyDescent="0.25">
      <c r="A42" s="73"/>
      <c r="B42" s="74"/>
      <c r="C42" s="74"/>
      <c r="D42" s="74">
        <v>6</v>
      </c>
      <c r="E42" s="79"/>
    </row>
    <row r="43" spans="1:5" s="77" customFormat="1" ht="12.5" x14ac:dyDescent="0.25">
      <c r="A43" s="73"/>
      <c r="B43" s="74"/>
      <c r="C43" s="74"/>
      <c r="D43" s="74"/>
      <c r="E43" s="79"/>
    </row>
    <row r="44" spans="1:5" s="77" customFormat="1" ht="12.5" x14ac:dyDescent="0.25">
      <c r="A44" s="73"/>
      <c r="B44" s="74"/>
      <c r="C44" s="74"/>
      <c r="D44" s="74"/>
      <c r="E44" s="79"/>
    </row>
    <row r="45" spans="1:5" s="77" customFormat="1" ht="12.5" x14ac:dyDescent="0.25">
      <c r="A45" s="73"/>
      <c r="B45" s="74"/>
      <c r="C45" s="74"/>
      <c r="D45" s="74"/>
      <c r="E45" s="79"/>
    </row>
    <row r="46" spans="1:5" s="77" customFormat="1" ht="12.5" x14ac:dyDescent="0.25">
      <c r="A46" s="73"/>
      <c r="B46" s="74"/>
      <c r="C46" s="74"/>
      <c r="D46" s="74"/>
      <c r="E46" s="79"/>
    </row>
    <row r="47" spans="1:5" s="77" customFormat="1" ht="12.5" x14ac:dyDescent="0.25">
      <c r="A47" s="73"/>
      <c r="B47" s="74"/>
      <c r="C47" s="74"/>
      <c r="D47" s="74"/>
      <c r="E47" s="79"/>
    </row>
    <row r="48" spans="1:5" s="77" customFormat="1" ht="12.5" x14ac:dyDescent="0.25">
      <c r="A48" s="73"/>
      <c r="B48" s="74"/>
      <c r="C48" s="74"/>
      <c r="D48" s="74"/>
      <c r="E48" s="79"/>
    </row>
    <row r="49" spans="1:5" s="77" customFormat="1" ht="12.5" x14ac:dyDescent="0.25">
      <c r="A49" s="73"/>
      <c r="B49" s="74"/>
      <c r="C49" s="74"/>
      <c r="D49" s="74"/>
      <c r="E49" s="79"/>
    </row>
    <row r="50" spans="1:5" s="77" customFormat="1" ht="12.5" x14ac:dyDescent="0.25">
      <c r="A50" s="73"/>
      <c r="B50" s="74"/>
      <c r="C50" s="74"/>
      <c r="D50" s="74"/>
      <c r="E50" s="79"/>
    </row>
    <row r="51" spans="1:5" s="77" customFormat="1" ht="12.5" x14ac:dyDescent="0.25">
      <c r="A51" s="73"/>
      <c r="B51" s="74"/>
      <c r="C51" s="74"/>
      <c r="D51" s="74"/>
      <c r="E51" s="79"/>
    </row>
    <row r="52" spans="1:5" s="77" customFormat="1" ht="12.5" x14ac:dyDescent="0.25">
      <c r="A52" s="73"/>
      <c r="B52" s="74"/>
      <c r="C52" s="74"/>
      <c r="D52" s="74"/>
      <c r="E52" s="79"/>
    </row>
    <row r="53" spans="1:5" s="77" customFormat="1" ht="12.5" x14ac:dyDescent="0.25">
      <c r="A53" s="73"/>
      <c r="B53" s="74"/>
      <c r="C53" s="74"/>
      <c r="D53" s="74"/>
      <c r="E53" s="79"/>
    </row>
    <row r="54" spans="1:5" s="77" customFormat="1" ht="12.5" x14ac:dyDescent="0.25">
      <c r="A54" s="73"/>
      <c r="B54" s="74"/>
      <c r="C54" s="74"/>
      <c r="D54" s="74"/>
      <c r="E54" s="79"/>
    </row>
    <row r="55" spans="1:5" s="77" customFormat="1" ht="12.5" x14ac:dyDescent="0.25">
      <c r="A55" s="73"/>
      <c r="B55" s="74"/>
      <c r="C55" s="74"/>
      <c r="D55" s="74"/>
      <c r="E55" s="79"/>
    </row>
    <row r="56" spans="1:5" s="77" customFormat="1" ht="12.5" x14ac:dyDescent="0.25">
      <c r="A56" s="73"/>
      <c r="B56" s="74"/>
      <c r="C56" s="74"/>
      <c r="D56" s="74"/>
      <c r="E56" s="79"/>
    </row>
    <row r="57" spans="1:5" s="77" customFormat="1" ht="12.5" x14ac:dyDescent="0.25">
      <c r="A57" s="73"/>
      <c r="B57" s="74"/>
      <c r="C57" s="74"/>
      <c r="D57" s="74"/>
      <c r="E57" s="79"/>
    </row>
    <row r="58" spans="1:5" s="77" customFormat="1" ht="12.5" x14ac:dyDescent="0.25">
      <c r="A58" s="74"/>
      <c r="B58" s="74"/>
      <c r="C58" s="74"/>
      <c r="D58" s="74"/>
      <c r="E58" s="79"/>
    </row>
    <row r="59" spans="1:5" ht="12.5" x14ac:dyDescent="0.25">
      <c r="D59" s="5"/>
    </row>
    <row r="60" spans="1:5" ht="12.5" x14ac:dyDescent="0.25">
      <c r="D60" s="5"/>
    </row>
    <row r="61" spans="1:5" ht="12.5" x14ac:dyDescent="0.25">
      <c r="D61" s="5"/>
    </row>
    <row r="62" spans="1:5" ht="12.5" x14ac:dyDescent="0.25">
      <c r="D62" s="5"/>
    </row>
    <row r="63" spans="1:5" ht="12.5" x14ac:dyDescent="0.25">
      <c r="D63" s="5"/>
    </row>
    <row r="64" spans="1:5" ht="12.5" x14ac:dyDescent="0.25">
      <c r="D64" s="5"/>
    </row>
    <row r="65" spans="1:4" s="10" customFormat="1" ht="12.5" x14ac:dyDescent="0.25">
      <c r="A65" s="5"/>
      <c r="B65" s="5"/>
      <c r="C65" s="5"/>
      <c r="D65" s="5"/>
    </row>
  </sheetData>
  <pageMargins left="0.75" right="0.75" top="1" bottom="1" header="0.5" footer="0.5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0A263714877574EB8BA1833754D055E" ma:contentTypeVersion="1" ma:contentTypeDescription="Create a new document." ma:contentTypeScope="" ma:versionID="5236800ea90f4c04412c990d5eda1a41">
  <xsd:schema xmlns:xsd="http://www.w3.org/2001/XMLSchema" xmlns:p="http://schemas.microsoft.com/office/2006/metadata/properties" xmlns:ns2="f4825121-5e18-4ddc-920c-7681b926e5f9" targetNamespace="http://schemas.microsoft.com/office/2006/metadata/properties" ma:root="true" ma:fieldsID="b5b6e8d5cdd4ba4cbea398c6aa7f0a83" ns2:_="">
    <xsd:import namespace="f4825121-5e18-4ddc-920c-7681b926e5f9"/>
    <xsd:element name="properties">
      <xsd:complexType>
        <xsd:sequence>
          <xsd:element name="documentManagement">
            <xsd:complexType>
              <xsd:all>
                <xsd:element ref="ns2:Description0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f4825121-5e18-4ddc-920c-7681b926e5f9" elementFormDefault="qualified">
    <xsd:import namespace="http://schemas.microsoft.com/office/2006/documentManagement/types"/>
    <xsd:element name="Description0" ma:index="8" nillable="true" ma:displayName="Description" ma:internalName="Description0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>
    <Description0 xmlns="f4825121-5e18-4ddc-920c-7681b926e5f9">Calculates aerodynamic noise</Description0>
  </documentManagement>
</p:properties>
</file>

<file path=customXml/itemProps1.xml><?xml version="1.0" encoding="utf-8"?>
<ds:datastoreItem xmlns:ds="http://schemas.openxmlformats.org/officeDocument/2006/customXml" ds:itemID="{3D68A5F2-593C-4518-8988-5F95C1A90C66}"/>
</file>

<file path=customXml/itemProps2.xml><?xml version="1.0" encoding="utf-8"?>
<ds:datastoreItem xmlns:ds="http://schemas.openxmlformats.org/officeDocument/2006/customXml" ds:itemID="{B731818F-A813-44AA-B567-2C39D8F090E5}"/>
</file>

<file path=customXml/itemProps3.xml><?xml version="1.0" encoding="utf-8"?>
<ds:datastoreItem xmlns:ds="http://schemas.openxmlformats.org/officeDocument/2006/customXml" ds:itemID="{D0B612BF-A377-408D-BCCF-30DD5922813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18</vt:i4>
      </vt:variant>
    </vt:vector>
  </HeadingPairs>
  <TitlesOfParts>
    <vt:vector size="24" baseType="lpstr">
      <vt:lpstr>Noise</vt:lpstr>
      <vt:lpstr>ExtFreq</vt:lpstr>
      <vt:lpstr>FluidData</vt:lpstr>
      <vt:lpstr>PipeData</vt:lpstr>
      <vt:lpstr>ValveData</vt:lpstr>
      <vt:lpstr>Revisions</vt:lpstr>
      <vt:lpstr>Application</vt:lpstr>
      <vt:lpstr>BodyType</vt:lpstr>
      <vt:lpstr>CompressibilityOption</vt:lpstr>
      <vt:lpstr>FlowDirection</vt:lpstr>
      <vt:lpstr>FlowDistributorDesign</vt:lpstr>
      <vt:lpstr>FlowRateType</vt:lpstr>
      <vt:lpstr>FluidList</vt:lpstr>
      <vt:lpstr>MethodOfSpecifyingDensity</vt:lpstr>
      <vt:lpstr>MOSPin</vt:lpstr>
      <vt:lpstr>MOSPout</vt:lpstr>
      <vt:lpstr>NomValveSizes</vt:lpstr>
      <vt:lpstr>PipeCorrectionFactorOption</vt:lpstr>
      <vt:lpstr>Pr</vt:lpstr>
      <vt:lpstr>Noise!Print_Area</vt:lpstr>
      <vt:lpstr>ValveData!Print_Area</vt:lpstr>
      <vt:lpstr>TypeOfGas</vt:lpstr>
      <vt:lpstr>ValveType</vt:lpstr>
      <vt:lpstr>ValveTypes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Aerodynamic Noise Prediction, Version 3.6</dc:title>
  <dc:creator>Administratr</dc:creator>
  <cp:lastModifiedBy>Larry</cp:lastModifiedBy>
  <cp:lastPrinted>2016-02-22T20:31:56Z</cp:lastPrinted>
  <dcterms:created xsi:type="dcterms:W3CDTF">2008-05-23T18:05:50Z</dcterms:created>
  <dcterms:modified xsi:type="dcterms:W3CDTF">2017-01-12T05:02:25Z</dcterms:modified>
  <cp:contentType>Document</cp:contentTyp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0x01010020A263714877574EB8BA1833754D055E</vt:lpwstr>
  </property>
</Properties>
</file>