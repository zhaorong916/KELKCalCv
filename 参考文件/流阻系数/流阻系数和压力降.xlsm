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工作文档(ST)\设计资料\选型计算\流阻系数\"/>
    </mc:Choice>
  </mc:AlternateContent>
  <bookViews>
    <workbookView xWindow="0" yWindow="0" windowWidth="23895" windowHeight="10365" activeTab="1"/>
  </bookViews>
  <sheets>
    <sheet name="Date" sheetId="6" r:id="rId1"/>
    <sheet name="Sheet1" sheetId="5" r:id="rId2"/>
  </sheets>
  <definedNames>
    <definedName name="_xlnm.Print_Area" localSheetId="1">Sheet1!$A$1:$D$27</definedName>
    <definedName name="阀门设计计算参考资料">Date!$A$1:$A$24</definedName>
  </definedNames>
  <calcPr calcId="162913"/>
</workbook>
</file>

<file path=xl/calcChain.xml><?xml version="1.0" encoding="utf-8"?>
<calcChain xmlns="http://schemas.openxmlformats.org/spreadsheetml/2006/main">
  <c r="B13" i="5" l="1"/>
  <c r="B14" i="5" s="1"/>
  <c r="B17" i="5" s="1"/>
  <c r="B9" i="5"/>
  <c r="B10" i="5" s="1"/>
  <c r="B11" i="5" s="1"/>
  <c r="B12" i="5" s="1"/>
  <c r="B16" i="5" s="1"/>
  <c r="B25" i="5" s="1"/>
  <c r="B27" i="5" s="1"/>
</calcChain>
</file>

<file path=xl/sharedStrings.xml><?xml version="1.0" encoding="utf-8"?>
<sst xmlns="http://schemas.openxmlformats.org/spreadsheetml/2006/main" count="44" uniqueCount="37">
  <si>
    <t>口径</t>
  </si>
  <si>
    <r>
      <rPr>
        <sz val="11"/>
        <color theme="1"/>
        <rFont val="宋体"/>
        <charset val="134"/>
      </rPr>
      <t>管道在完全絮流下的摩擦阻力系数</t>
    </r>
    <r>
      <rPr>
        <sz val="11"/>
        <color theme="1"/>
        <rFont val="Tahoma"/>
        <family val="2"/>
      </rPr>
      <t>fT</t>
    </r>
    <r>
      <rPr>
        <sz val="11"/>
        <color theme="1"/>
        <rFont val="宋体"/>
        <charset val="134"/>
      </rPr>
      <t>表</t>
    </r>
  </si>
  <si>
    <t>流阻系数计算公式</t>
  </si>
  <si>
    <t>已知阀门口径和CV算流阻系数</t>
  </si>
  <si>
    <t>输入数据：</t>
  </si>
  <si>
    <t>水</t>
  </si>
  <si>
    <t>阀门口径</t>
  </si>
  <si>
    <t>mm</t>
  </si>
  <si>
    <r>
      <rPr>
        <sz val="11"/>
        <color theme="1"/>
        <rFont val="宋体"/>
        <charset val="134"/>
      </rPr>
      <t>阀门流量系数</t>
    </r>
    <r>
      <rPr>
        <sz val="11"/>
        <color theme="1"/>
        <rFont val="Tahoma"/>
        <family val="2"/>
      </rPr>
      <t>CV</t>
    </r>
  </si>
  <si>
    <t>输出数据：</t>
  </si>
  <si>
    <t>输入数据</t>
  </si>
  <si>
    <t>压力损失△p</t>
  </si>
  <si>
    <t>bar(G)</t>
  </si>
  <si>
    <t>水的密度ρ</t>
  </si>
  <si>
    <r>
      <rPr>
        <sz val="11"/>
        <color theme="1"/>
        <rFont val="Tahoma"/>
        <family val="2"/>
      </rPr>
      <t>kg/m</t>
    </r>
    <r>
      <rPr>
        <vertAlign val="superscript"/>
        <sz val="11"/>
        <color theme="1"/>
        <rFont val="Tahoma"/>
        <family val="2"/>
      </rPr>
      <t>3</t>
    </r>
  </si>
  <si>
    <t>阀门流量系数CV=1.156kv</t>
  </si>
  <si>
    <r>
      <rPr>
        <sz val="11"/>
        <color theme="1"/>
        <rFont val="宋体"/>
        <charset val="134"/>
      </rPr>
      <t>阀门流量系数</t>
    </r>
    <r>
      <rPr>
        <sz val="11"/>
        <color theme="1"/>
        <rFont val="Tahoma"/>
        <family val="2"/>
      </rPr>
      <t>KV</t>
    </r>
  </si>
  <si>
    <r>
      <rPr>
        <sz val="11"/>
        <color theme="1"/>
        <rFont val="Tahoma"/>
        <family val="2"/>
      </rPr>
      <t>kv:20</t>
    </r>
    <r>
      <rPr>
        <sz val="11"/>
        <color theme="1"/>
        <rFont val="宋体"/>
        <charset val="134"/>
      </rPr>
      <t>℃水流经阀门产生</t>
    </r>
    <r>
      <rPr>
        <sz val="11"/>
        <color theme="1"/>
        <rFont val="Tahoma"/>
        <family val="2"/>
      </rPr>
      <t>1bar</t>
    </r>
    <r>
      <rPr>
        <sz val="11"/>
        <color theme="1"/>
        <rFont val="宋体"/>
        <charset val="134"/>
      </rPr>
      <t>的压力
降时的体积流量</t>
    </r>
    <r>
      <rPr>
        <sz val="11"/>
        <color theme="1"/>
        <rFont val="Tahoma"/>
        <family val="2"/>
      </rPr>
      <t>m</t>
    </r>
    <r>
      <rPr>
        <vertAlign val="superscript"/>
        <sz val="11"/>
        <color theme="1"/>
        <rFont val="Tahoma"/>
        <family val="2"/>
      </rPr>
      <t>3</t>
    </r>
    <r>
      <rPr>
        <sz val="11"/>
        <color theme="1"/>
        <rFont val="Tahoma"/>
        <family val="2"/>
      </rPr>
      <t>/h</t>
    </r>
  </si>
  <si>
    <r>
      <rPr>
        <sz val="11"/>
        <color theme="1"/>
        <rFont val="宋体"/>
        <charset val="134"/>
      </rPr>
      <t>体积流量</t>
    </r>
    <r>
      <rPr>
        <sz val="11"/>
        <color theme="1"/>
        <rFont val="Tahoma"/>
        <family val="2"/>
      </rPr>
      <t>Q</t>
    </r>
  </si>
  <si>
    <r>
      <rPr>
        <sz val="11"/>
        <color theme="1"/>
        <rFont val="Tahoma"/>
        <family val="2"/>
      </rPr>
      <t>m</t>
    </r>
    <r>
      <rPr>
        <vertAlign val="superscript"/>
        <sz val="11"/>
        <color theme="1"/>
        <rFont val="Tahoma"/>
        <family val="2"/>
      </rPr>
      <t>3</t>
    </r>
    <r>
      <rPr>
        <sz val="11"/>
        <color theme="1"/>
        <rFont val="Tahoma"/>
        <family val="2"/>
      </rPr>
      <t>/h</t>
    </r>
  </si>
  <si>
    <r>
      <rPr>
        <sz val="11"/>
        <color theme="1"/>
        <rFont val="宋体"/>
        <charset val="134"/>
      </rPr>
      <t>流体速度</t>
    </r>
    <r>
      <rPr>
        <sz val="11"/>
        <color theme="1"/>
        <rFont val="Tahoma"/>
        <family val="2"/>
      </rPr>
      <t>v</t>
    </r>
  </si>
  <si>
    <t>m/s</t>
  </si>
  <si>
    <r>
      <rPr>
        <sz val="11"/>
        <color theme="1"/>
        <rFont val="宋体"/>
        <charset val="134"/>
      </rPr>
      <t>流阻系数</t>
    </r>
    <r>
      <rPr>
        <sz val="11"/>
        <color theme="1"/>
        <rFont val="Tahoma"/>
        <family val="2"/>
      </rPr>
      <t>K</t>
    </r>
  </si>
  <si>
    <r>
      <rPr>
        <sz val="11"/>
        <color theme="1"/>
        <rFont val="宋体"/>
        <charset val="134"/>
      </rPr>
      <t>流阻系数K=2△p/ρV</t>
    </r>
    <r>
      <rPr>
        <vertAlign val="superscript"/>
        <sz val="11"/>
        <color theme="1"/>
        <rFont val="宋体"/>
        <charset val="134"/>
      </rPr>
      <t>2</t>
    </r>
  </si>
  <si>
    <t>摩擦阻力系数fT</t>
  </si>
  <si>
    <r>
      <rPr>
        <sz val="11"/>
        <color theme="1"/>
        <rFont val="宋体"/>
        <charset val="134"/>
      </rPr>
      <t>流阻系数</t>
    </r>
    <r>
      <rPr>
        <sz val="11"/>
        <color theme="1"/>
        <rFont val="Tahoma"/>
        <family val="2"/>
      </rPr>
      <t>L/D</t>
    </r>
  </si>
  <si>
    <t>结果输出：</t>
  </si>
  <si>
    <t>流阻系数只与阀门结构有关</t>
  </si>
  <si>
    <t>已知流阻系数算压降</t>
  </si>
  <si>
    <t>介质状态</t>
  </si>
  <si>
    <t>液体</t>
  </si>
  <si>
    <t>介质密度</t>
  </si>
  <si>
    <t>kg/m3</t>
  </si>
  <si>
    <t>密度与流速需已知</t>
  </si>
  <si>
    <t>介质流速</t>
  </si>
  <si>
    <t>流阻系数</t>
  </si>
  <si>
    <t>压力降△p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</si>
</sst>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8" formatCode="0.00_);[Red]\(0.00\)"/>
    <numFmt numFmtId="179" formatCode="0_ "/>
    <numFmt numFmtId="180" formatCode="0.00_ "/>
    <numFmt numFmtId="181" formatCode="0.000_ "/>
    <numFmt numFmtId="182" formatCode="0.0_);[Red]\(0.0\)"/>
  </numFmts>
  <fonts count="11" x14ac:knownFonts="1">
    <font>
      <sz val="11"/>
      <color theme="1"/>
      <name val="Tahoma"/>
      <charset val="134"/>
    </font>
    <font>
      <b/>
      <sz val="20"/>
      <color theme="1"/>
      <name val="宋体"/>
      <charset val="134"/>
    </font>
    <font>
      <b/>
      <sz val="12"/>
      <color theme="1"/>
      <name val="宋体"/>
      <charset val="134"/>
    </font>
    <font>
      <b/>
      <sz val="11"/>
      <color theme="1"/>
      <name val="宋体"/>
      <charset val="134"/>
    </font>
    <font>
      <sz val="11"/>
      <color theme="1"/>
      <name val="宋体"/>
      <charset val="134"/>
    </font>
    <font>
      <b/>
      <sz val="11"/>
      <color theme="1"/>
      <name val="Tahoma"/>
      <family val="2"/>
    </font>
    <font>
      <vertAlign val="superscript"/>
      <sz val="11"/>
      <color theme="1"/>
      <name val="Tahoma"/>
      <family val="2"/>
    </font>
    <font>
      <vertAlign val="superscript"/>
      <sz val="11"/>
      <color theme="1"/>
      <name val="宋体"/>
      <charset val="134"/>
    </font>
    <font>
      <sz val="11"/>
      <color theme="1"/>
      <name val="Tahoma"/>
      <family val="2"/>
    </font>
    <font>
      <sz val="11"/>
      <color rgb="FF000000"/>
      <name val="宋体"/>
      <family val="3"/>
      <charset val="134"/>
    </font>
    <font>
      <sz val="9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0" fontId="0" fillId="0" borderId="6" xfId="0" applyBorder="1"/>
    <xf numFmtId="0" fontId="3" fillId="0" borderId="7" xfId="0" applyFont="1" applyBorder="1"/>
    <xf numFmtId="0" fontId="4" fillId="0" borderId="8" xfId="0" applyFont="1" applyBorder="1"/>
    <xf numFmtId="0" fontId="4" fillId="0" borderId="7" xfId="0" applyFont="1" applyBorder="1"/>
    <xf numFmtId="0" fontId="0" fillId="2" borderId="7" xfId="0" applyFill="1" applyBorder="1"/>
    <xf numFmtId="0" fontId="0" fillId="0" borderId="7" xfId="0" applyBorder="1"/>
    <xf numFmtId="0" fontId="0" fillId="2" borderId="9" xfId="0" applyFill="1" applyBorder="1"/>
    <xf numFmtId="0" fontId="4" fillId="0" borderId="0" xfId="0" applyFont="1"/>
    <xf numFmtId="0" fontId="0" fillId="0" borderId="8" xfId="0" applyBorder="1"/>
    <xf numFmtId="0" fontId="4" fillId="0" borderId="6" xfId="0" applyFont="1" applyBorder="1"/>
    <xf numFmtId="0" fontId="0" fillId="0" borderId="7" xfId="0" applyBorder="1" applyAlignment="1">
      <alignment horizontal="left" vertical="center"/>
    </xf>
    <xf numFmtId="179" fontId="0" fillId="0" borderId="7" xfId="0" applyNumberFormat="1" applyBorder="1" applyAlignment="1">
      <alignment horizontal="right" vertical="center"/>
    </xf>
    <xf numFmtId="0" fontId="0" fillId="0" borderId="6" xfId="0" applyBorder="1" applyAlignment="1">
      <alignment wrapText="1"/>
    </xf>
    <xf numFmtId="179" fontId="0" fillId="0" borderId="7" xfId="0" applyNumberFormat="1" applyBorder="1"/>
    <xf numFmtId="180" fontId="0" fillId="0" borderId="7" xfId="0" applyNumberFormat="1" applyBorder="1"/>
    <xf numFmtId="178" fontId="0" fillId="3" borderId="7" xfId="0" applyNumberFormat="1" applyFill="1" applyBorder="1"/>
    <xf numFmtId="181" fontId="0" fillId="0" borderId="7" xfId="0" applyNumberFormat="1" applyBorder="1"/>
    <xf numFmtId="179" fontId="0" fillId="0" borderId="9" xfId="0" applyNumberFormat="1" applyBorder="1"/>
    <xf numFmtId="182" fontId="0" fillId="0" borderId="8" xfId="0" applyNumberFormat="1" applyBorder="1"/>
    <xf numFmtId="0" fontId="0" fillId="0" borderId="10" xfId="0" applyBorder="1"/>
    <xf numFmtId="0" fontId="0" fillId="2" borderId="8" xfId="0" applyFill="1" applyBorder="1" applyAlignment="1">
      <alignment horizontal="right"/>
    </xf>
    <xf numFmtId="0" fontId="3" fillId="0" borderId="6" xfId="0" applyFont="1" applyBorder="1"/>
    <xf numFmtId="182" fontId="0" fillId="0" borderId="7" xfId="0" applyNumberFormat="1" applyBorder="1"/>
    <xf numFmtId="0" fontId="0" fillId="0" borderId="11" xfId="0" applyBorder="1"/>
    <xf numFmtId="0" fontId="0" fillId="0" borderId="5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266700</xdr:rowOff>
        </xdr:from>
        <xdr:to>
          <xdr:col>7</xdr:col>
          <xdr:colOff>85725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打印当前页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topLeftCell="A3" workbookViewId="0">
      <selection activeCell="A14" sqref="A14"/>
    </sheetView>
  </sheetViews>
  <sheetFormatPr defaultColWidth="9" defaultRowHeight="14.25" x14ac:dyDescent="0.2"/>
  <cols>
    <col min="1" max="1" width="10" customWidth="1"/>
  </cols>
  <sheetData>
    <row r="1" spans="1:2" x14ac:dyDescent="0.2">
      <c r="A1" s="9" t="s">
        <v>0</v>
      </c>
      <c r="B1" t="s">
        <v>1</v>
      </c>
    </row>
    <row r="2" spans="1:2" x14ac:dyDescent="0.2">
      <c r="A2">
        <v>8</v>
      </c>
      <c r="B2">
        <v>0.03</v>
      </c>
    </row>
    <row r="3" spans="1:2" x14ac:dyDescent="0.2">
      <c r="A3">
        <v>10</v>
      </c>
      <c r="B3">
        <v>2.8000000000000001E-2</v>
      </c>
    </row>
    <row r="4" spans="1:2" x14ac:dyDescent="0.2">
      <c r="A4">
        <v>15</v>
      </c>
      <c r="B4">
        <v>2.5999999999999999E-2</v>
      </c>
    </row>
    <row r="5" spans="1:2" x14ac:dyDescent="0.2">
      <c r="A5">
        <v>20</v>
      </c>
      <c r="B5">
        <v>2.4E-2</v>
      </c>
    </row>
    <row r="6" spans="1:2" x14ac:dyDescent="0.2">
      <c r="A6">
        <v>25</v>
      </c>
      <c r="B6">
        <v>2.1999999999999999E-2</v>
      </c>
    </row>
    <row r="7" spans="1:2" x14ac:dyDescent="0.2">
      <c r="A7">
        <v>32</v>
      </c>
      <c r="B7">
        <v>2.1000000000000001E-2</v>
      </c>
    </row>
    <row r="8" spans="1:2" x14ac:dyDescent="0.2">
      <c r="A8">
        <v>40</v>
      </c>
      <c r="B8">
        <v>0.02</v>
      </c>
    </row>
    <row r="9" spans="1:2" x14ac:dyDescent="0.2">
      <c r="A9">
        <v>50</v>
      </c>
      <c r="B9">
        <v>1.9E-2</v>
      </c>
    </row>
    <row r="10" spans="1:2" x14ac:dyDescent="0.2">
      <c r="A10">
        <v>65</v>
      </c>
      <c r="B10">
        <v>1.7999999999999999E-2</v>
      </c>
    </row>
    <row r="11" spans="1:2" x14ac:dyDescent="0.2">
      <c r="A11">
        <v>80</v>
      </c>
      <c r="B11">
        <v>1.7000000000000001E-2</v>
      </c>
    </row>
    <row r="12" spans="1:2" x14ac:dyDescent="0.2">
      <c r="A12">
        <v>100</v>
      </c>
      <c r="B12">
        <v>1.6E-2</v>
      </c>
    </row>
    <row r="13" spans="1:2" x14ac:dyDescent="0.2">
      <c r="A13">
        <v>125</v>
      </c>
      <c r="B13">
        <v>1.4999999999999999E-2</v>
      </c>
    </row>
    <row r="14" spans="1:2" x14ac:dyDescent="0.2">
      <c r="A14">
        <v>150</v>
      </c>
      <c r="B14">
        <v>1.4999999999999999E-2</v>
      </c>
    </row>
    <row r="15" spans="1:2" x14ac:dyDescent="0.2">
      <c r="A15">
        <v>200</v>
      </c>
      <c r="B15">
        <v>1.4E-2</v>
      </c>
    </row>
    <row r="16" spans="1:2" x14ac:dyDescent="0.2">
      <c r="A16">
        <v>250</v>
      </c>
      <c r="B16">
        <v>1.2999999999999999E-2</v>
      </c>
    </row>
    <row r="17" spans="1:2" x14ac:dyDescent="0.2">
      <c r="A17">
        <v>300</v>
      </c>
      <c r="B17">
        <v>1.2999999999999999E-2</v>
      </c>
    </row>
    <row r="18" spans="1:2" x14ac:dyDescent="0.2">
      <c r="A18">
        <v>350</v>
      </c>
      <c r="B18">
        <v>1.2999999999999999E-2</v>
      </c>
    </row>
    <row r="19" spans="1:2" x14ac:dyDescent="0.2">
      <c r="A19">
        <v>400</v>
      </c>
      <c r="B19">
        <v>1.2E-2</v>
      </c>
    </row>
    <row r="20" spans="1:2" x14ac:dyDescent="0.2">
      <c r="A20">
        <v>450</v>
      </c>
      <c r="B20">
        <v>1.2E-2</v>
      </c>
    </row>
    <row r="21" spans="1:2" x14ac:dyDescent="0.2">
      <c r="A21">
        <v>500</v>
      </c>
      <c r="B21">
        <v>1.2E-2</v>
      </c>
    </row>
    <row r="22" spans="1:2" x14ac:dyDescent="0.2">
      <c r="A22">
        <v>550</v>
      </c>
      <c r="B22">
        <v>1.2E-2</v>
      </c>
    </row>
    <row r="23" spans="1:2" x14ac:dyDescent="0.2">
      <c r="A23">
        <v>600</v>
      </c>
      <c r="B23">
        <v>1.0999999999999999E-2</v>
      </c>
    </row>
    <row r="24" spans="1:2" x14ac:dyDescent="0.2">
      <c r="A24">
        <v>650</v>
      </c>
      <c r="B24">
        <v>1.0999999999999999E-2</v>
      </c>
    </row>
    <row r="25" spans="1:2" x14ac:dyDescent="0.2">
      <c r="A25">
        <v>700</v>
      </c>
      <c r="B25">
        <v>1.0999999999999999E-2</v>
      </c>
    </row>
    <row r="26" spans="1:2" x14ac:dyDescent="0.2">
      <c r="A26">
        <v>750</v>
      </c>
      <c r="B26">
        <v>1.0999999999999999E-2</v>
      </c>
    </row>
    <row r="27" spans="1:2" x14ac:dyDescent="0.2">
      <c r="A27">
        <v>800</v>
      </c>
      <c r="B27">
        <v>1.0999999999999999E-2</v>
      </c>
    </row>
    <row r="28" spans="1:2" x14ac:dyDescent="0.2">
      <c r="A28">
        <v>850</v>
      </c>
      <c r="B28">
        <v>1.0999999999999999E-2</v>
      </c>
    </row>
    <row r="29" spans="1:2" x14ac:dyDescent="0.2">
      <c r="A29">
        <v>900</v>
      </c>
      <c r="B29">
        <v>1.0999999999999999E-2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7"/>
  <sheetViews>
    <sheetView tabSelected="1" workbookViewId="0">
      <selection activeCell="I8" sqref="I8"/>
    </sheetView>
  </sheetViews>
  <sheetFormatPr defaultColWidth="9" defaultRowHeight="14.25" x14ac:dyDescent="0.2"/>
  <cols>
    <col min="1" max="1" width="15.5" customWidth="1"/>
    <col min="2" max="2" width="20.5" customWidth="1"/>
    <col min="3" max="3" width="13.125" customWidth="1"/>
    <col min="4" max="4" width="31.625" customWidth="1"/>
  </cols>
  <sheetData>
    <row r="1" spans="1:7" ht="25.5" x14ac:dyDescent="0.3">
      <c r="A1" s="27" t="s">
        <v>2</v>
      </c>
      <c r="B1" s="28"/>
      <c r="C1" s="28"/>
      <c r="D1" s="29"/>
    </row>
    <row r="2" spans="1:7" ht="21" customHeight="1" x14ac:dyDescent="0.2">
      <c r="A2" s="30" t="s">
        <v>3</v>
      </c>
      <c r="B2" s="31"/>
      <c r="C2" s="1"/>
      <c r="D2" s="2"/>
    </row>
    <row r="3" spans="1:7" x14ac:dyDescent="0.2">
      <c r="A3" s="3" t="s">
        <v>4</v>
      </c>
      <c r="B3" s="4" t="s">
        <v>5</v>
      </c>
      <c r="C3" s="1"/>
      <c r="D3" s="2"/>
    </row>
    <row r="4" spans="1:7" x14ac:dyDescent="0.2">
      <c r="A4" s="5" t="s">
        <v>6</v>
      </c>
      <c r="B4" s="6">
        <v>177.8</v>
      </c>
      <c r="C4" s="1" t="s">
        <v>7</v>
      </c>
      <c r="D4" s="2"/>
    </row>
    <row r="5" spans="1:7" x14ac:dyDescent="0.2">
      <c r="A5" s="7" t="s">
        <v>8</v>
      </c>
      <c r="B5" s="8">
        <v>697</v>
      </c>
      <c r="C5" s="1"/>
      <c r="D5" s="2"/>
    </row>
    <row r="6" spans="1:7" x14ac:dyDescent="0.2">
      <c r="A6" s="32" t="s">
        <v>9</v>
      </c>
      <c r="B6" s="32"/>
      <c r="C6" s="1"/>
      <c r="D6" s="2"/>
      <c r="F6" s="6"/>
      <c r="G6" s="9" t="s">
        <v>10</v>
      </c>
    </row>
    <row r="7" spans="1:7" x14ac:dyDescent="0.2">
      <c r="A7" s="5" t="s">
        <v>11</v>
      </c>
      <c r="B7" s="10">
        <v>1</v>
      </c>
      <c r="C7" s="1" t="s">
        <v>12</v>
      </c>
      <c r="D7" s="2"/>
    </row>
    <row r="8" spans="1:7" ht="15.75" x14ac:dyDescent="0.2">
      <c r="A8" s="5" t="s">
        <v>13</v>
      </c>
      <c r="B8" s="7">
        <v>1000</v>
      </c>
      <c r="C8" s="1" t="s">
        <v>14</v>
      </c>
      <c r="D8" s="11" t="s">
        <v>15</v>
      </c>
    </row>
    <row r="9" spans="1:7" ht="31.5" customHeight="1" x14ac:dyDescent="0.2">
      <c r="A9" s="12" t="s">
        <v>16</v>
      </c>
      <c r="B9" s="13">
        <f>B5/1.156</f>
        <v>602.94117647058829</v>
      </c>
      <c r="C9" s="1"/>
      <c r="D9" s="14" t="s">
        <v>17</v>
      </c>
    </row>
    <row r="10" spans="1:7" ht="15.75" x14ac:dyDescent="0.2">
      <c r="A10" s="7" t="s">
        <v>18</v>
      </c>
      <c r="B10" s="15">
        <f>B9</f>
        <v>602.94117647058829</v>
      </c>
      <c r="C10" s="1" t="s">
        <v>19</v>
      </c>
      <c r="D10" s="2"/>
    </row>
    <row r="11" spans="1:7" x14ac:dyDescent="0.2">
      <c r="A11" s="7" t="s">
        <v>20</v>
      </c>
      <c r="B11" s="16">
        <f>B10/(B4/1000)^2/3600</f>
        <v>5.2979631102652887</v>
      </c>
      <c r="C11" s="1" t="s">
        <v>21</v>
      </c>
      <c r="D11" s="2"/>
    </row>
    <row r="12" spans="1:7" ht="16.5" x14ac:dyDescent="0.2">
      <c r="A12" s="7" t="s">
        <v>22</v>
      </c>
      <c r="B12" s="17">
        <f>2*B7*10^(5)/(B8*B11^2)</f>
        <v>7.1254473546868464</v>
      </c>
      <c r="C12" s="1"/>
      <c r="D12" s="11" t="s">
        <v>23</v>
      </c>
    </row>
    <row r="13" spans="1:7" x14ac:dyDescent="0.2">
      <c r="A13" s="5" t="s">
        <v>24</v>
      </c>
      <c r="B13" s="18">
        <f>VLOOKUP(B4,Date!A2:B29,2,1)</f>
        <v>1.4999999999999999E-2</v>
      </c>
      <c r="C13" s="1"/>
      <c r="D13" s="2"/>
    </row>
    <row r="14" spans="1:7" x14ac:dyDescent="0.2">
      <c r="A14" s="7" t="s">
        <v>25</v>
      </c>
      <c r="B14" s="19">
        <f>2.175*10^(-3)*B4^4/(B13*B5^2)</f>
        <v>298.28366634935139</v>
      </c>
      <c r="C14" s="1"/>
      <c r="D14" s="2"/>
    </row>
    <row r="15" spans="1:7" x14ac:dyDescent="0.2">
      <c r="A15" s="33" t="s">
        <v>26</v>
      </c>
      <c r="B15" s="34"/>
      <c r="C15" s="1"/>
      <c r="D15" s="2"/>
    </row>
    <row r="16" spans="1:7" x14ac:dyDescent="0.2">
      <c r="A16" s="7" t="s">
        <v>22</v>
      </c>
      <c r="B16" s="20">
        <f>B12</f>
        <v>7.1254473546868464</v>
      </c>
      <c r="C16" s="1"/>
      <c r="D16" s="2"/>
    </row>
    <row r="17" spans="1:4" x14ac:dyDescent="0.2">
      <c r="A17" s="7" t="s">
        <v>25</v>
      </c>
      <c r="B17" s="15">
        <f>B14</f>
        <v>298.28366634935139</v>
      </c>
      <c r="C17" s="1"/>
      <c r="D17" s="11" t="s">
        <v>27</v>
      </c>
    </row>
    <row r="18" spans="1:4" x14ac:dyDescent="0.2">
      <c r="A18" s="21"/>
      <c r="B18" s="1"/>
      <c r="C18" s="1"/>
      <c r="D18" s="2"/>
    </row>
    <row r="19" spans="1:4" ht="25.5" customHeight="1" x14ac:dyDescent="0.2">
      <c r="A19" s="35" t="s">
        <v>28</v>
      </c>
      <c r="B19" s="35"/>
      <c r="C19" s="1"/>
      <c r="D19" s="2"/>
    </row>
    <row r="20" spans="1:4" x14ac:dyDescent="0.2">
      <c r="A20" s="32" t="s">
        <v>4</v>
      </c>
      <c r="B20" s="32"/>
      <c r="C20" s="1"/>
      <c r="D20" s="2"/>
    </row>
    <row r="21" spans="1:4" x14ac:dyDescent="0.2">
      <c r="A21" s="4" t="s">
        <v>29</v>
      </c>
      <c r="B21" s="22" t="s">
        <v>30</v>
      </c>
      <c r="C21" s="1"/>
      <c r="D21" s="2"/>
    </row>
    <row r="22" spans="1:4" x14ac:dyDescent="0.2">
      <c r="A22" s="5" t="s">
        <v>31</v>
      </c>
      <c r="B22" s="8">
        <v>1000</v>
      </c>
      <c r="C22" s="1" t="s">
        <v>32</v>
      </c>
      <c r="D22" s="23" t="s">
        <v>33</v>
      </c>
    </row>
    <row r="23" spans="1:4" x14ac:dyDescent="0.2">
      <c r="A23" s="5" t="s">
        <v>34</v>
      </c>
      <c r="B23" s="8">
        <v>5.3</v>
      </c>
      <c r="C23" s="1" t="s">
        <v>21</v>
      </c>
      <c r="D23" s="2"/>
    </row>
    <row r="24" spans="1:4" x14ac:dyDescent="0.2">
      <c r="A24" s="32" t="s">
        <v>9</v>
      </c>
      <c r="B24" s="32"/>
      <c r="C24" s="1"/>
      <c r="D24" s="2"/>
    </row>
    <row r="25" spans="1:4" x14ac:dyDescent="0.2">
      <c r="A25" s="5" t="s">
        <v>35</v>
      </c>
      <c r="B25" s="24">
        <f>B16</f>
        <v>7.1254473546868464</v>
      </c>
      <c r="C25" s="1"/>
      <c r="D25" s="2"/>
    </row>
    <row r="26" spans="1:4" x14ac:dyDescent="0.2">
      <c r="A26" s="32" t="s">
        <v>26</v>
      </c>
      <c r="B26" s="36"/>
      <c r="C26" s="1"/>
      <c r="D26" s="2"/>
    </row>
    <row r="27" spans="1:4" x14ac:dyDescent="0.2">
      <c r="A27" s="5" t="s">
        <v>36</v>
      </c>
      <c r="B27" s="16">
        <f>B22*B23^2*B25/2/100000</f>
        <v>1.0007690809657677</v>
      </c>
      <c r="C27" s="25" t="s">
        <v>12</v>
      </c>
      <c r="D27" s="26"/>
    </row>
  </sheetData>
  <mergeCells count="8">
    <mergeCell ref="A20:B20"/>
    <mergeCell ref="A24:B24"/>
    <mergeCell ref="A26:B26"/>
    <mergeCell ref="A1:D1"/>
    <mergeCell ref="A2:B2"/>
    <mergeCell ref="A6:B6"/>
    <mergeCell ref="A15:B15"/>
    <mergeCell ref="A19:B19"/>
  </mergeCells>
  <phoneticPr fontId="10" type="noConversion"/>
  <dataValidations count="1">
    <dataValidation type="list" allowBlank="1" showInputMessage="1" showErrorMessage="1" sqref="B21">
      <formula1>"液体,气体,蒸汽"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打印当前页">
                <anchor moveWithCells="1" sizeWithCells="1">
                  <from>
                    <xdr:col>5</xdr:col>
                    <xdr:colOff>247650</xdr:colOff>
                    <xdr:row>0</xdr:row>
                    <xdr:rowOff>266700</xdr:rowOff>
                  </from>
                  <to>
                    <xdr:col>7</xdr:col>
                    <xdr:colOff>85725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Date</vt:lpstr>
      <vt:lpstr>Sheet1</vt:lpstr>
      <vt:lpstr>Sheet1!Print_Area</vt:lpstr>
      <vt:lpstr>阀门设计计算参考资料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rong zhao</cp:lastModifiedBy>
  <cp:lastPrinted>2017-03-28T07:50:00Z</cp:lastPrinted>
  <dcterms:created xsi:type="dcterms:W3CDTF">2008-09-11T17:22:00Z</dcterms:created>
  <dcterms:modified xsi:type="dcterms:W3CDTF">2019-07-20T09:24:44Z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