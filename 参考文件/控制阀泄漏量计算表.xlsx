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codeName="ThisWorkbook" defaultThemeVersion="124226"/>
  <xr:revisionPtr revIDLastSave="0" documentId="13_ncr:1_{62C72340-EBD5-457E-8FDF-F561CD798CA5}" xr6:coauthVersionLast="47" xr6:coauthVersionMax="47" xr10:uidLastSave="{00000000-0000-0000-0000-000000000000}"/>
  <bookViews>
    <workbookView xWindow="10335" yWindow="150" windowWidth="16395" windowHeight="14865" tabRatio="847" xr2:uid="{00000000-000D-0000-FFFF-FFFF00000000}"/>
  </bookViews>
  <sheets>
    <sheet name="测试相关计算" sheetId="8" r:id="rId1"/>
    <sheet name="参考数据表" sheetId="9" state="hidden" r:id="rId2"/>
    <sheet name="Sheet2" sheetId="11" state="hidden" r:id="rId3"/>
  </sheets>
  <definedNames>
    <definedName name="_xlnm.Print_Area" localSheetId="0">测试相关计算!$A$1:$H$38</definedName>
  </definedNames>
  <calcPr calcId="191029"/>
</workbook>
</file>

<file path=xl/calcChain.xml><?xml version="1.0" encoding="utf-8"?>
<calcChain xmlns="http://schemas.openxmlformats.org/spreadsheetml/2006/main">
  <c r="M32" i="8" l="1"/>
  <c r="G6" i="8"/>
  <c r="G19" i="8" s="1"/>
  <c r="G7" i="8"/>
  <c r="G8" i="8"/>
  <c r="AB11" i="8"/>
  <c r="AC11" i="8"/>
  <c r="AD11" i="8"/>
  <c r="AE11" i="8"/>
  <c r="AF11" i="8"/>
  <c r="AG11" i="8"/>
  <c r="AA11" i="8"/>
  <c r="AB10" i="8"/>
  <c r="AC10" i="8"/>
  <c r="AD10" i="8"/>
  <c r="AE10" i="8"/>
  <c r="AF10" i="8"/>
  <c r="AG10" i="8"/>
  <c r="AA10" i="8"/>
  <c r="P12" i="8" l="1"/>
  <c r="O12" i="8"/>
  <c r="K11" i="8" l="1"/>
  <c r="Y8" i="8" l="1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7" i="8"/>
  <c r="M14" i="11" l="1"/>
  <c r="M15" i="11"/>
  <c r="M16" i="11"/>
  <c r="M17" i="11"/>
  <c r="M18" i="11"/>
  <c r="M19" i="11"/>
  <c r="M20" i="11"/>
  <c r="M21" i="11"/>
  <c r="M22" i="11"/>
  <c r="M23" i="11"/>
  <c r="M24" i="11"/>
  <c r="M25" i="11"/>
  <c r="M26" i="11"/>
  <c r="M13" i="11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7" i="8"/>
  <c r="J12" i="8" l="1"/>
  <c r="G11" i="8" l="1"/>
  <c r="G9" i="8" s="1"/>
  <c r="G33" i="8" s="1"/>
  <c r="G34" i="8" s="1"/>
  <c r="M4" i="8"/>
  <c r="G37" i="8" l="1"/>
  <c r="G35" i="8"/>
  <c r="G21" i="8"/>
  <c r="G22" i="8" l="1"/>
  <c r="G38" i="8"/>
  <c r="G36" i="8"/>
  <c r="G20" i="8"/>
  <c r="G29" i="8" l="1"/>
  <c r="G30" i="8" s="1"/>
  <c r="G25" i="8"/>
  <c r="G26" i="8" s="1"/>
  <c r="J26" i="8" s="1"/>
  <c r="G31" i="8"/>
  <c r="G32" i="8" s="1"/>
  <c r="G27" i="8"/>
  <c r="G28" i="8" s="1"/>
  <c r="J28" i="8" s="1"/>
  <c r="J11" i="8" l="1"/>
  <c r="J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7" authorId="0" shapeId="0" xr:uid="{00000000-0006-0000-0000-000001000000}">
      <text>
        <r>
          <rPr>
            <sz val="9"/>
            <color indexed="81"/>
            <rFont val="宋体"/>
            <family val="3"/>
            <charset val="134"/>
          </rPr>
          <t>CLASS V、VI时需要输入数值</t>
        </r>
      </text>
    </comment>
  </commentList>
</comments>
</file>

<file path=xl/sharedStrings.xml><?xml version="1.0" encoding="utf-8"?>
<sst xmlns="http://schemas.openxmlformats.org/spreadsheetml/2006/main" count="292" uniqueCount="203">
  <si>
    <t>编 号:</t>
    <phoneticPr fontId="1" type="noConversion"/>
  </si>
  <si>
    <t>页 码:</t>
    <phoneticPr fontId="1" type="noConversion"/>
  </si>
  <si>
    <t>类别</t>
    <phoneticPr fontId="1" type="noConversion"/>
  </si>
  <si>
    <t>名    称</t>
    <phoneticPr fontId="1" type="noConversion"/>
  </si>
  <si>
    <t>符号</t>
    <phoneticPr fontId="1" type="noConversion"/>
  </si>
  <si>
    <t>单 位</t>
    <phoneticPr fontId="1" type="noConversion"/>
  </si>
  <si>
    <t>备     注</t>
    <phoneticPr fontId="1" type="noConversion"/>
  </si>
  <si>
    <t>数据</t>
    <phoneticPr fontId="1" type="noConversion"/>
  </si>
  <si>
    <t>℃</t>
    <phoneticPr fontId="1" type="noConversion"/>
  </si>
  <si>
    <t>测试数据</t>
    <phoneticPr fontId="1" type="noConversion"/>
  </si>
  <si>
    <t>额定流量系数</t>
    <phoneticPr fontId="1" type="noConversion"/>
  </si>
  <si>
    <t>Cv</t>
    <phoneticPr fontId="1" type="noConversion"/>
  </si>
  <si>
    <t>阀座直径</t>
    <phoneticPr fontId="1" type="noConversion"/>
  </si>
  <si>
    <t>D</t>
    <phoneticPr fontId="1" type="noConversion"/>
  </si>
  <si>
    <t>mm</t>
    <phoneticPr fontId="1" type="noConversion"/>
  </si>
  <si>
    <t>阀前后压差</t>
    <phoneticPr fontId="1" type="noConversion"/>
  </si>
  <si>
    <t>KPa</t>
    <phoneticPr fontId="1" type="noConversion"/>
  </si>
  <si>
    <t>相对密度</t>
    <phoneticPr fontId="1" type="noConversion"/>
  </si>
  <si>
    <t>阀前绝对压力</t>
    <phoneticPr fontId="1" type="noConversion"/>
  </si>
  <si>
    <t>阀后绝对压力</t>
    <phoneticPr fontId="1" type="noConversion"/>
  </si>
  <si>
    <t>kPa A</t>
    <phoneticPr fontId="1" type="noConversion"/>
  </si>
  <si>
    <t>试验介质的温度</t>
    <phoneticPr fontId="1" type="noConversion"/>
  </si>
  <si>
    <t>t</t>
    <phoneticPr fontId="1" type="noConversion"/>
  </si>
  <si>
    <t>取用</t>
    <phoneticPr fontId="1" type="noConversion"/>
  </si>
  <si>
    <t>气体比重</t>
    <phoneticPr fontId="1" type="noConversion"/>
  </si>
  <si>
    <t>G</t>
    <phoneticPr fontId="1" type="noConversion"/>
  </si>
  <si>
    <t>空气=1</t>
    <phoneticPr fontId="1" type="noConversion"/>
  </si>
  <si>
    <t xml:space="preserve"> 1 / 1</t>
    <phoneticPr fontId="1" type="noConversion"/>
  </si>
  <si>
    <t xml:space="preserve"> 二、计算过程及结果</t>
    <phoneticPr fontId="1" type="noConversion"/>
  </si>
  <si>
    <t>Kv</t>
    <phoneticPr fontId="1" type="noConversion"/>
  </si>
  <si>
    <t>公式及计算</t>
    <phoneticPr fontId="1" type="noConversion"/>
  </si>
  <si>
    <t>Cv/1.167</t>
    <phoneticPr fontId="1" type="noConversion"/>
  </si>
  <si>
    <r>
      <t>Q</t>
    </r>
    <r>
      <rPr>
        <vertAlign val="subscript"/>
        <sz val="11"/>
        <rFont val="宋体"/>
        <family val="3"/>
        <charset val="134"/>
      </rPr>
      <t>1</t>
    </r>
    <phoneticPr fontId="1" type="noConversion"/>
  </si>
  <si>
    <r>
      <t>m</t>
    </r>
    <r>
      <rPr>
        <vertAlign val="superscript"/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/h</t>
    </r>
    <phoneticPr fontId="1" type="noConversion"/>
  </si>
  <si>
    <r>
      <t>ρ/ρ</t>
    </r>
    <r>
      <rPr>
        <vertAlign val="subscript"/>
        <sz val="11"/>
        <rFont val="宋体"/>
        <family val="3"/>
        <charset val="134"/>
      </rPr>
      <t>0</t>
    </r>
    <phoneticPr fontId="1" type="noConversion"/>
  </si>
  <si>
    <t>液体额定容量</t>
    <phoneticPr fontId="1" type="noConversion"/>
  </si>
  <si>
    <t>气体额定容量</t>
    <phoneticPr fontId="1" type="noConversion"/>
  </si>
  <si>
    <r>
      <t>Q</t>
    </r>
    <r>
      <rPr>
        <vertAlign val="subscript"/>
        <sz val="11"/>
        <rFont val="宋体"/>
        <family val="3"/>
        <charset val="134"/>
      </rPr>
      <t>g</t>
    </r>
    <phoneticPr fontId="1" type="noConversion"/>
  </si>
  <si>
    <r>
      <t>Δp＜0.5p</t>
    </r>
    <r>
      <rPr>
        <vertAlign val="subscript"/>
        <sz val="11"/>
        <rFont val="宋体"/>
        <family val="3"/>
        <charset val="134"/>
      </rPr>
      <t xml:space="preserve">1  </t>
    </r>
    <r>
      <rPr>
        <sz val="11"/>
        <rFont val="宋体"/>
        <family val="3"/>
        <charset val="134"/>
      </rPr>
      <t>4.73*Kv*SQRT(Δp*p</t>
    </r>
    <r>
      <rPr>
        <vertAlign val="subscript"/>
        <sz val="11"/>
        <rFont val="宋体"/>
        <family val="3"/>
        <charset val="134"/>
      </rPr>
      <t>m</t>
    </r>
    <r>
      <rPr>
        <sz val="11"/>
        <rFont val="宋体"/>
        <family val="3"/>
        <charset val="134"/>
      </rPr>
      <t>/G/(273+t))</t>
    </r>
    <phoneticPr fontId="1" type="noConversion"/>
  </si>
  <si>
    <r>
      <t>Δp≥0.5p1 2.9*p</t>
    </r>
    <r>
      <rPr>
        <vertAlign val="subscript"/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*Kv/SQRT(G*(273+t))</t>
    </r>
    <phoneticPr fontId="1" type="noConversion"/>
  </si>
  <si>
    <t>平均压力</t>
    <phoneticPr fontId="1" type="noConversion"/>
  </si>
  <si>
    <r>
      <t>p</t>
    </r>
    <r>
      <rPr>
        <vertAlign val="subscript"/>
        <sz val="11"/>
        <rFont val="宋体"/>
        <family val="3"/>
        <charset val="134"/>
      </rPr>
      <t>m</t>
    </r>
    <phoneticPr fontId="1" type="noConversion"/>
  </si>
  <si>
    <r>
      <t>p</t>
    </r>
    <r>
      <rPr>
        <vertAlign val="subscript"/>
        <sz val="11"/>
        <rFont val="宋体"/>
        <family val="3"/>
        <charset val="134"/>
      </rPr>
      <t>1</t>
    </r>
    <phoneticPr fontId="1" type="noConversion"/>
  </si>
  <si>
    <r>
      <t>p</t>
    </r>
    <r>
      <rPr>
        <vertAlign val="subscript"/>
        <sz val="11"/>
        <rFont val="宋体"/>
        <family val="3"/>
        <charset val="134"/>
      </rPr>
      <t>2</t>
    </r>
    <phoneticPr fontId="1" type="noConversion"/>
  </si>
  <si>
    <t>绝压=表压+101.3</t>
    <phoneticPr fontId="1" type="noConversion"/>
  </si>
  <si>
    <t>通用计算</t>
    <phoneticPr fontId="1" type="noConversion"/>
  </si>
  <si>
    <t>液体 最大阀座泄漏量</t>
    <phoneticPr fontId="1" type="noConversion"/>
  </si>
  <si>
    <t>气体 最大阀座泄漏量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</si>
  <si>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LIV</t>
    </r>
    <phoneticPr fontId="1" type="noConversion"/>
  </si>
  <si>
    <t>l/h</t>
    <phoneticPr fontId="1" type="noConversion"/>
  </si>
  <si>
    <t>l/h</t>
    <phoneticPr fontId="1" type="noConversion"/>
  </si>
  <si>
    <t>ml/min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</si>
  <si>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LIV</t>
    </r>
    <r>
      <rPr>
        <vertAlign val="superscript"/>
        <sz val="11"/>
        <rFont val="宋体"/>
        <family val="3"/>
        <charset val="134"/>
      </rPr>
      <t>'</t>
    </r>
    <phoneticPr fontId="1" type="noConversion"/>
  </si>
  <si>
    <t>备注</t>
    <phoneticPr fontId="1" type="noConversion"/>
  </si>
  <si>
    <t>测试用值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</si>
  <si>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GIV</t>
    </r>
    <r>
      <rPr>
        <vertAlign val="superscript"/>
        <sz val="11"/>
        <rFont val="宋体"/>
        <family val="3"/>
        <charset val="134"/>
      </rPr>
      <t>’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</si>
  <si>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GIV</t>
    </r>
    <phoneticPr fontId="1" type="noConversion"/>
  </si>
  <si>
    <r>
      <t>10^(-4)*Q</t>
    </r>
    <r>
      <rPr>
        <vertAlign val="subscript"/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*1000</t>
    </r>
    <phoneticPr fontId="1" type="noConversion"/>
  </si>
  <si>
    <r>
      <t>10^(-4)*Q</t>
    </r>
    <r>
      <rPr>
        <vertAlign val="subscript"/>
        <sz val="11"/>
        <rFont val="宋体"/>
        <family val="3"/>
        <charset val="134"/>
      </rPr>
      <t>g</t>
    </r>
    <r>
      <rPr>
        <sz val="11"/>
        <rFont val="宋体"/>
        <family val="3"/>
        <charset val="134"/>
      </rPr>
      <t>*1000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</si>
  <si>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LIV</t>
    </r>
    <r>
      <rPr>
        <vertAlign val="superscript"/>
        <sz val="11"/>
        <rFont val="宋体"/>
        <family val="3"/>
        <charset val="134"/>
      </rPr>
      <t>'</t>
    </r>
    <r>
      <rPr>
        <sz val="11"/>
        <rFont val="宋体"/>
        <family val="3"/>
        <charset val="134"/>
      </rPr>
      <t>*1000/60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</si>
  <si>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GIV</t>
    </r>
    <r>
      <rPr>
        <vertAlign val="superscript"/>
        <sz val="11"/>
        <rFont val="宋体"/>
        <family val="3"/>
        <charset val="134"/>
      </rPr>
      <t>'</t>
    </r>
    <r>
      <rPr>
        <sz val="11"/>
        <rFont val="宋体"/>
        <family val="3"/>
        <charset val="134"/>
      </rPr>
      <t>*1000/60</t>
    </r>
    <phoneticPr fontId="1" type="noConversion"/>
  </si>
  <si>
    <t>IV
级</t>
    <phoneticPr fontId="1" type="noConversion"/>
  </si>
  <si>
    <t>V
级</t>
    <phoneticPr fontId="1" type="noConversion"/>
  </si>
  <si>
    <t>1.8*10^-7*Δp*D</t>
    <phoneticPr fontId="1" type="noConversion"/>
  </si>
  <si>
    <t>VI
级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</si>
  <si>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LV</t>
    </r>
    <r>
      <rPr>
        <vertAlign val="superscript"/>
        <sz val="11"/>
        <rFont val="宋体"/>
        <family val="3"/>
        <charset val="134"/>
      </rPr>
      <t>'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</si>
  <si>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LV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</si>
  <si>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LV</t>
    </r>
    <r>
      <rPr>
        <vertAlign val="superscript"/>
        <sz val="11"/>
        <rFont val="宋体"/>
        <family val="3"/>
        <charset val="134"/>
      </rPr>
      <t>'</t>
    </r>
    <r>
      <rPr>
        <sz val="11"/>
        <rFont val="宋体"/>
        <family val="3"/>
        <charset val="134"/>
      </rPr>
      <t>*1000/60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</si>
  <si>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LVI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</si>
  <si>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GVI</t>
    </r>
    <phoneticPr fontId="1" type="noConversion"/>
  </si>
  <si>
    <t>ml/min</t>
    <phoneticPr fontId="1" type="noConversion"/>
  </si>
  <si>
    <t>气泡数</t>
    <phoneticPr fontId="1" type="noConversion"/>
  </si>
  <si>
    <t>Δp</t>
    <phoneticPr fontId="1" type="noConversion"/>
  </si>
  <si>
    <t>排气 表3泄漏量</t>
    <phoneticPr fontId="1" type="noConversion"/>
  </si>
  <si>
    <t>排气 最大阀座泄漏量</t>
    <phoneticPr fontId="1" type="noConversion"/>
  </si>
  <si>
    <t>气泡 表3泄漏量</t>
    <phoneticPr fontId="1" type="noConversion"/>
  </si>
  <si>
    <t>气泡 最大阀座泄漏量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</si>
  <si>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LVIB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</si>
  <si>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GVIB</t>
    </r>
    <phoneticPr fontId="1" type="noConversion"/>
  </si>
  <si>
    <r>
      <t>3*10^-3*Δp*L</t>
    </r>
    <r>
      <rPr>
        <vertAlign val="subscript"/>
        <sz val="11"/>
        <rFont val="宋体"/>
        <family val="3"/>
        <charset val="134"/>
      </rPr>
      <t>LVIB</t>
    </r>
    <phoneticPr fontId="1" type="noConversion"/>
  </si>
  <si>
    <r>
      <t>3*10^-3*Δp*L</t>
    </r>
    <r>
      <rPr>
        <vertAlign val="subscript"/>
        <sz val="11"/>
        <rFont val="宋体"/>
        <family val="3"/>
        <charset val="134"/>
      </rPr>
      <t>GVIB</t>
    </r>
    <phoneticPr fontId="1" type="noConversion"/>
  </si>
  <si>
    <t>按阀座直径查表</t>
    <phoneticPr fontId="1" type="noConversion"/>
  </si>
  <si>
    <t>阀座直径</t>
    <phoneticPr fontId="1" type="noConversion"/>
  </si>
  <si>
    <t>泄漏量</t>
    <phoneticPr fontId="1" type="noConversion"/>
  </si>
  <si>
    <t>查表按相邻数值进行插值计算</t>
    <phoneticPr fontId="1" type="noConversion"/>
  </si>
  <si>
    <t>II
级</t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</si>
  <si>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LII</t>
    </r>
    <r>
      <rPr>
        <vertAlign val="superscript"/>
        <sz val="11"/>
        <rFont val="宋体"/>
        <family val="3"/>
        <charset val="134"/>
      </rPr>
      <t>'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</si>
  <si>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LII</t>
    </r>
    <phoneticPr fontId="1" type="noConversion"/>
  </si>
  <si>
    <r>
      <t>5*10^(-3)*Q</t>
    </r>
    <r>
      <rPr>
        <vertAlign val="subscript"/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*1000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</si>
  <si>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LII</t>
    </r>
    <r>
      <rPr>
        <vertAlign val="superscript"/>
        <sz val="11"/>
        <rFont val="宋体"/>
        <family val="3"/>
        <charset val="134"/>
      </rPr>
      <t>'</t>
    </r>
    <r>
      <rPr>
        <sz val="11"/>
        <rFont val="宋体"/>
        <family val="3"/>
        <charset val="134"/>
      </rPr>
      <t>*1000/60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</si>
  <si>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GII</t>
    </r>
    <r>
      <rPr>
        <vertAlign val="superscript"/>
        <sz val="11"/>
        <rFont val="宋体"/>
        <family val="3"/>
        <charset val="134"/>
      </rPr>
      <t>’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</si>
  <si>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GII</t>
    </r>
    <phoneticPr fontId="1" type="noConversion"/>
  </si>
  <si>
    <r>
      <t>L</t>
    </r>
    <r>
      <rPr>
        <vertAlign val="subscript"/>
        <sz val="11"/>
        <rFont val="宋体"/>
        <family val="3"/>
        <charset val="134"/>
      </rPr>
      <t>GII</t>
    </r>
    <r>
      <rPr>
        <vertAlign val="superscript"/>
        <sz val="11"/>
        <rFont val="宋体"/>
        <family val="3"/>
        <charset val="134"/>
      </rPr>
      <t>'</t>
    </r>
    <r>
      <rPr>
        <sz val="11"/>
        <rFont val="宋体"/>
        <family val="3"/>
        <charset val="134"/>
      </rPr>
      <t>*1000/60</t>
    </r>
    <phoneticPr fontId="1" type="noConversion"/>
  </si>
  <si>
    <t>试验时阀前压力</t>
    <phoneticPr fontId="1" type="noConversion"/>
  </si>
  <si>
    <r>
      <t>P</t>
    </r>
    <r>
      <rPr>
        <vertAlign val="subscript"/>
        <sz val="11"/>
        <rFont val="宋体"/>
        <family val="3"/>
        <charset val="134"/>
      </rPr>
      <t>1G</t>
    </r>
    <phoneticPr fontId="1" type="noConversion"/>
  </si>
  <si>
    <t>—</t>
  </si>
  <si>
    <r>
      <t>(p</t>
    </r>
    <r>
      <rPr>
        <vertAlign val="subscript"/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+p</t>
    </r>
    <r>
      <rPr>
        <vertAlign val="subscript"/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)/2</t>
    </r>
    <phoneticPr fontId="1" type="noConversion"/>
  </si>
  <si>
    <t>0.1*Kv*SQRT(Δp/(ρ/ρ0))</t>
    <phoneticPr fontId="1" type="noConversion"/>
  </si>
  <si>
    <t>每分钟气泡数</t>
    <phoneticPr fontId="1" type="noConversion"/>
  </si>
  <si>
    <t>—</t>
    <phoneticPr fontId="1" type="noConversion"/>
  </si>
  <si>
    <t>控制阀泄漏量计算</t>
    <phoneticPr fontId="1" type="noConversion"/>
  </si>
  <si>
    <t>泄漏等级</t>
    <phoneticPr fontId="1" type="noConversion"/>
  </si>
  <si>
    <t>试验压力</t>
    <phoneticPr fontId="1" type="noConversion"/>
  </si>
  <si>
    <t>额定Cv值</t>
    <phoneticPr fontId="1" type="noConversion"/>
  </si>
  <si>
    <t>输出：</t>
    <phoneticPr fontId="1" type="noConversion"/>
  </si>
  <si>
    <t>输入：</t>
    <phoneticPr fontId="1" type="noConversion"/>
  </si>
  <si>
    <t>单位</t>
    <phoneticPr fontId="1" type="noConversion"/>
  </si>
  <si>
    <t>阀芯尺寸</t>
    <phoneticPr fontId="12" type="noConversion"/>
  </si>
  <si>
    <t>内径</t>
    <phoneticPr fontId="12" type="noConversion"/>
  </si>
  <si>
    <t>公差</t>
    <phoneticPr fontId="12" type="noConversion"/>
  </si>
  <si>
    <t>25A</t>
    <phoneticPr fontId="12" type="noConversion"/>
  </si>
  <si>
    <t>5A</t>
    <phoneticPr fontId="12" type="noConversion"/>
  </si>
  <si>
    <t>+0.012
0</t>
    <phoneticPr fontId="12" type="noConversion"/>
  </si>
  <si>
    <t>6A</t>
    <phoneticPr fontId="12" type="noConversion"/>
  </si>
  <si>
    <t>7A</t>
    <phoneticPr fontId="12" type="noConversion"/>
  </si>
  <si>
    <t>8A</t>
    <phoneticPr fontId="12" type="noConversion"/>
  </si>
  <si>
    <t>+0.015
0</t>
    <phoneticPr fontId="12" type="noConversion"/>
  </si>
  <si>
    <t>9A</t>
  </si>
  <si>
    <t>10A</t>
  </si>
  <si>
    <t>15A</t>
    <phoneticPr fontId="12" type="noConversion"/>
  </si>
  <si>
    <t>+0.018
0</t>
    <phoneticPr fontId="12" type="noConversion"/>
  </si>
  <si>
    <t>20A</t>
    <phoneticPr fontId="12" type="noConversion"/>
  </si>
  <si>
    <t>+0.021
0</t>
    <phoneticPr fontId="12" type="noConversion"/>
  </si>
  <si>
    <t>40A</t>
    <phoneticPr fontId="12" type="noConversion"/>
  </si>
  <si>
    <t>32A</t>
    <phoneticPr fontId="12" type="noConversion"/>
  </si>
  <si>
    <t>±0.1</t>
    <phoneticPr fontId="12" type="noConversion"/>
  </si>
  <si>
    <t>+0.025
0</t>
    <phoneticPr fontId="12" type="noConversion"/>
  </si>
  <si>
    <t>50A</t>
    <phoneticPr fontId="12" type="noConversion"/>
  </si>
  <si>
    <t>65A</t>
    <phoneticPr fontId="12" type="noConversion"/>
  </si>
  <si>
    <t>+0.03
0</t>
    <phoneticPr fontId="12" type="noConversion"/>
  </si>
  <si>
    <t>80A</t>
    <phoneticPr fontId="12" type="noConversion"/>
  </si>
  <si>
    <t>100A</t>
    <phoneticPr fontId="12" type="noConversion"/>
  </si>
  <si>
    <t>+0.035
0</t>
    <phoneticPr fontId="12" type="noConversion"/>
  </si>
  <si>
    <t>125A</t>
    <phoneticPr fontId="12" type="noConversion"/>
  </si>
  <si>
    <t>150A</t>
    <phoneticPr fontId="12" type="noConversion"/>
  </si>
  <si>
    <t>+0.04
0</t>
    <phoneticPr fontId="12" type="noConversion"/>
  </si>
  <si>
    <t>200A</t>
    <phoneticPr fontId="12" type="noConversion"/>
  </si>
  <si>
    <t>阀座尺寸</t>
    <phoneticPr fontId="12" type="noConversion"/>
  </si>
  <si>
    <t>250A</t>
    <phoneticPr fontId="12" type="noConversion"/>
  </si>
  <si>
    <t>300A</t>
    <phoneticPr fontId="1" type="noConversion"/>
  </si>
  <si>
    <t>350A</t>
  </si>
  <si>
    <t>400A</t>
  </si>
  <si>
    <t xml:space="preserve"> 一、计算输入数据</t>
    <phoneticPr fontId="1" type="noConversion"/>
  </si>
  <si>
    <t>单座阀</t>
    <phoneticPr fontId="1" type="noConversion"/>
  </si>
  <si>
    <t>套筒阀</t>
    <phoneticPr fontId="1" type="noConversion"/>
  </si>
  <si>
    <t>KPa G</t>
    <phoneticPr fontId="1" type="noConversion"/>
  </si>
  <si>
    <t>KPa G</t>
    <phoneticPr fontId="1" type="noConversion"/>
  </si>
  <si>
    <t>mm</t>
    <phoneticPr fontId="1" type="noConversion"/>
  </si>
  <si>
    <t>III级</t>
    <phoneticPr fontId="1" type="noConversion"/>
  </si>
  <si>
    <t>10^(-3)*Q1*1000</t>
    <phoneticPr fontId="1" type="noConversion"/>
  </si>
  <si>
    <t>测试用值</t>
    <phoneticPr fontId="1" type="noConversion"/>
  </si>
  <si>
    <t>测试用值</t>
    <phoneticPr fontId="1" type="noConversion"/>
  </si>
  <si>
    <t>INDEX</t>
    <phoneticPr fontId="18"/>
  </si>
  <si>
    <t>口径</t>
    <rPh sb="0" eb="2">
      <t>コウケイ</t>
    </rPh>
    <phoneticPr fontId="18"/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</si>
  <si>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</si>
  <si>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</si>
  <si>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</si>
  <si>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</si>
  <si>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</si>
  <si>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</si>
  <si>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</si>
  <si>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</si>
  <si>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</si>
  <si>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22</t>
    <phoneticPr fontId="18"/>
  </si>
  <si>
    <t>24</t>
  </si>
  <si>
    <t>26</t>
    <phoneticPr fontId="18"/>
  </si>
  <si>
    <t>28</t>
  </si>
  <si>
    <t>30</t>
    <phoneticPr fontId="18"/>
  </si>
  <si>
    <t>32</t>
    <phoneticPr fontId="18"/>
  </si>
  <si>
    <t>34</t>
    <phoneticPr fontId="18"/>
  </si>
  <si>
    <t>36</t>
    <phoneticPr fontId="18"/>
  </si>
  <si>
    <t>40</t>
    <phoneticPr fontId="18"/>
  </si>
  <si>
    <t>44</t>
    <phoneticPr fontId="18"/>
  </si>
  <si>
    <t>48</t>
    <phoneticPr fontId="18"/>
  </si>
  <si>
    <t>52</t>
    <phoneticPr fontId="18"/>
  </si>
  <si>
    <t>54</t>
    <phoneticPr fontId="18"/>
  </si>
  <si>
    <t>60</t>
    <phoneticPr fontId="18"/>
  </si>
  <si>
    <t>Eq%</t>
  </si>
  <si>
    <t>阀型</t>
    <rPh sb="0" eb="2">
      <t>キシュ</t>
    </rPh>
    <phoneticPr fontId="18"/>
  </si>
  <si>
    <r>
      <t xml:space="preserve">Butterfly 600S </t>
    </r>
    <r>
      <rPr>
        <sz val="12"/>
        <rFont val="宋体"/>
        <family val="3"/>
        <charset val="134"/>
      </rPr>
      <t>后座型</t>
    </r>
    <r>
      <rPr>
        <sz val="12"/>
        <rFont val="宋体"/>
        <family val="3"/>
        <charset val="134"/>
      </rPr>
      <t xml:space="preserve"> 90</t>
    </r>
    <phoneticPr fontId="1" type="noConversion"/>
  </si>
  <si>
    <t>液体</t>
    <phoneticPr fontId="1" type="noConversion"/>
  </si>
  <si>
    <t>气体</t>
    <phoneticPr fontId="1" type="noConversion"/>
  </si>
  <si>
    <t>ml/min</t>
    <phoneticPr fontId="1" type="noConversion"/>
  </si>
  <si>
    <r>
      <t>350KPa</t>
    </r>
    <r>
      <rPr>
        <sz val="12"/>
        <rFont val="宋体"/>
        <family val="3"/>
        <charset val="134"/>
      </rPr>
      <t xml:space="preserve"> G</t>
    </r>
    <phoneticPr fontId="1" type="noConversion"/>
  </si>
  <si>
    <t>口径</t>
    <phoneticPr fontId="1" type="noConversion"/>
  </si>
  <si>
    <t>额定Cv</t>
    <phoneticPr fontId="1" type="noConversion"/>
  </si>
  <si>
    <t>ml/min</t>
    <phoneticPr fontId="1" type="noConversion"/>
  </si>
  <si>
    <t>250KPa G</t>
    <phoneticPr fontId="1" type="noConversion"/>
  </si>
  <si>
    <t>EN 12266-1</t>
  </si>
  <si>
    <t>试验压力1.1倍许用压差</t>
    <phoneticPr fontId="1" type="noConversion"/>
  </si>
  <si>
    <t>试验介质</t>
    <phoneticPr fontId="1" type="noConversion"/>
  </si>
  <si>
    <t>泄漏率A</t>
    <phoneticPr fontId="1" type="noConversion"/>
  </si>
  <si>
    <t>泄漏率B</t>
    <phoneticPr fontId="1" type="noConversion"/>
  </si>
  <si>
    <t>泄漏率C</t>
    <phoneticPr fontId="1" type="noConversion"/>
  </si>
  <si>
    <t>泄漏率D</t>
    <phoneticPr fontId="1" type="noConversion"/>
  </si>
  <si>
    <t>泄漏率E</t>
    <phoneticPr fontId="1" type="noConversion"/>
  </si>
  <si>
    <t>泄漏率F</t>
    <phoneticPr fontId="1" type="noConversion"/>
  </si>
  <si>
    <t>泄漏率G</t>
    <phoneticPr fontId="1" type="noConversion"/>
  </si>
  <si>
    <t>mm3/s</t>
    <phoneticPr fontId="1" type="noConversion"/>
  </si>
  <si>
    <r>
      <t>5*10^(-3)*Q</t>
    </r>
    <r>
      <rPr>
        <vertAlign val="subscript"/>
        <sz val="11"/>
        <rFont val="宋体"/>
        <family val="3"/>
        <charset val="134"/>
      </rPr>
      <t>g</t>
    </r>
    <r>
      <rPr>
        <sz val="11"/>
        <rFont val="宋体"/>
        <family val="3"/>
        <charset val="134"/>
      </rPr>
      <t>*1000</t>
    </r>
    <phoneticPr fontId="1" type="noConversion"/>
  </si>
  <si>
    <t>GBT 13927</t>
    <phoneticPr fontId="1" type="noConversion"/>
  </si>
  <si>
    <t>IV级及以下阀座直径可不填</t>
    <phoneticPr fontId="1" type="noConversion"/>
  </si>
  <si>
    <t>CLASS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</si>
</sst>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_ "/>
    <numFmt numFmtId="178" formatCode="0.00_ "/>
    <numFmt numFmtId="179" formatCode="0_);[Red]\(0\)"/>
    <numFmt numFmtId="180" formatCode="#,##0.00_);[Red]\(#,##0.00\)"/>
    <numFmt numFmtId="181" formatCode="#,##0_);[Red]\(#,##0\)"/>
    <numFmt numFmtId="182" formatCode="0.0"/>
  </numFmts>
  <fonts count="21">
    <font>
      <sz val="12"/>
      <name val="宋体"/>
      <charset val="134"/>
    </font>
    <font>
      <sz val="9"/>
      <name val="宋体"/>
      <family val="3"/>
      <charset val="134"/>
    </font>
    <font>
      <b/>
      <sz val="24"/>
      <name val="宋体"/>
      <family val="3"/>
      <charset val="134"/>
    </font>
    <font>
      <sz val="11"/>
      <name val="宋体"/>
      <family val="3"/>
      <charset val="134"/>
    </font>
    <font>
      <b/>
      <sz val="10"/>
      <name val="宋体"/>
      <family val="3"/>
      <charset val="134"/>
    </font>
    <font>
      <vertAlign val="superscript"/>
      <sz val="11"/>
      <name val="宋体"/>
      <family val="3"/>
      <charset val="134"/>
    </font>
    <font>
      <vertAlign val="subscript"/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0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12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3" fillId="0" borderId="12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 shrinkToFit="1"/>
    </xf>
    <xf numFmtId="0" fontId="3" fillId="2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shrinkToFit="1"/>
    </xf>
    <xf numFmtId="0" fontId="3" fillId="0" borderId="3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0" fillId="2" borderId="12" xfId="0" applyNumberForma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shrinkToFit="1"/>
    </xf>
    <xf numFmtId="177" fontId="8" fillId="3" borderId="18" xfId="0" applyNumberFormat="1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/>
    </xf>
    <xf numFmtId="176" fontId="8" fillId="3" borderId="14" xfId="0" applyNumberFormat="1" applyFont="1" applyFill="1" applyBorder="1" applyAlignment="1">
      <alignment horizontal="center" vertical="center"/>
    </xf>
    <xf numFmtId="177" fontId="8" fillId="3" borderId="14" xfId="0" applyNumberFormat="1" applyFont="1" applyFill="1" applyBorder="1" applyAlignment="1">
      <alignment horizontal="center" vertical="center" shrinkToFit="1"/>
    </xf>
    <xf numFmtId="177" fontId="8" fillId="3" borderId="12" xfId="0" applyNumberFormat="1" applyFont="1" applyFill="1" applyBorder="1" applyAlignment="1">
      <alignment horizontal="center" vertical="center" shrinkToFit="1"/>
    </xf>
    <xf numFmtId="176" fontId="0" fillId="2" borderId="12" xfId="0" applyNumberFormat="1" applyFill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79" fontId="3" fillId="0" borderId="13" xfId="0" applyNumberFormat="1" applyFont="1" applyBorder="1" applyAlignment="1">
      <alignment horizontal="center" vertical="center"/>
    </xf>
    <xf numFmtId="0" fontId="0" fillId="4" borderId="34" xfId="0" applyFill="1" applyBorder="1" applyAlignment="1">
      <alignment horizontal="center" wrapText="1"/>
    </xf>
    <xf numFmtId="0" fontId="10" fillId="4" borderId="35" xfId="0" applyFont="1" applyFill="1" applyBorder="1" applyAlignment="1">
      <alignment horizontal="center" wrapText="1"/>
    </xf>
    <xf numFmtId="0" fontId="10" fillId="4" borderId="36" xfId="0" applyFont="1" applyFill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10" fillId="0" borderId="36" xfId="0" applyFont="1" applyBorder="1" applyAlignment="1">
      <alignment horizontal="center" wrapText="1"/>
    </xf>
    <xf numFmtId="177" fontId="3" fillId="0" borderId="8" xfId="0" applyNumberFormat="1" applyFont="1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0" fontId="16" fillId="0" borderId="10" xfId="0" quotePrefix="1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/>
    <xf numFmtId="0" fontId="11" fillId="5" borderId="5" xfId="0" applyFont="1" applyFill="1" applyBorder="1"/>
    <xf numFmtId="0" fontId="13" fillId="6" borderId="43" xfId="0" applyFont="1" applyFill="1" applyBorder="1" applyAlignment="1">
      <alignment horizontal="left" vertical="center"/>
    </xf>
    <xf numFmtId="0" fontId="14" fillId="6" borderId="40" xfId="0" applyFont="1" applyFill="1" applyBorder="1"/>
    <xf numFmtId="0" fontId="17" fillId="6" borderId="49" xfId="0" applyFont="1" applyFill="1" applyBorder="1" applyAlignment="1">
      <alignment vertical="center"/>
    </xf>
    <xf numFmtId="0" fontId="3" fillId="0" borderId="50" xfId="0" applyFont="1" applyBorder="1"/>
    <xf numFmtId="0" fontId="11" fillId="0" borderId="51" xfId="0" applyFont="1" applyBorder="1"/>
    <xf numFmtId="0" fontId="11" fillId="0" borderId="36" xfId="0" applyFont="1" applyBorder="1"/>
    <xf numFmtId="0" fontId="11" fillId="0" borderId="5" xfId="0" applyFont="1" applyBorder="1"/>
    <xf numFmtId="0" fontId="11" fillId="6" borderId="49" xfId="0" applyFont="1" applyFill="1" applyBorder="1"/>
    <xf numFmtId="0" fontId="13" fillId="6" borderId="43" xfId="0" applyFont="1" applyFill="1" applyBorder="1" applyAlignment="1">
      <alignment vertical="center"/>
    </xf>
    <xf numFmtId="49" fontId="0" fillId="0" borderId="21" xfId="0" applyNumberFormat="1" applyBorder="1" applyAlignment="1">
      <alignment horizontal="center"/>
    </xf>
    <xf numFmtId="49" fontId="0" fillId="0" borderId="53" xfId="0" applyNumberFormat="1" applyBorder="1" applyAlignment="1">
      <alignment horizontal="center"/>
    </xf>
    <xf numFmtId="49" fontId="0" fillId="0" borderId="54" xfId="0" applyNumberFormat="1" applyBorder="1" applyAlignment="1">
      <alignment horizontal="center"/>
    </xf>
    <xf numFmtId="180" fontId="0" fillId="0" borderId="10" xfId="0" applyNumberFormat="1" applyBorder="1" applyAlignment="1">
      <alignment horizontal="center"/>
    </xf>
    <xf numFmtId="181" fontId="0" fillId="0" borderId="10" xfId="0" applyNumberFormat="1" applyBorder="1" applyAlignment="1">
      <alignment horizontal="center"/>
    </xf>
    <xf numFmtId="180" fontId="0" fillId="0" borderId="0" xfId="0" applyNumberFormat="1" applyAlignment="1">
      <alignment horizontal="center"/>
    </xf>
    <xf numFmtId="49" fontId="0" fillId="0" borderId="55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2" xfId="0" applyBorder="1"/>
    <xf numFmtId="0" fontId="0" fillId="0" borderId="54" xfId="0" applyBorder="1"/>
    <xf numFmtId="180" fontId="0" fillId="0" borderId="10" xfId="0" applyNumberFormat="1" applyBorder="1"/>
    <xf numFmtId="0" fontId="11" fillId="0" borderId="31" xfId="0" applyFont="1" applyBorder="1" applyAlignment="1">
      <alignment horizontal="center"/>
    </xf>
    <xf numFmtId="0" fontId="11" fillId="0" borderId="45" xfId="0" applyFont="1" applyBorder="1"/>
    <xf numFmtId="0" fontId="19" fillId="0" borderId="36" xfId="0" applyFont="1" applyBorder="1" applyAlignment="1">
      <alignment horizontal="center" vertical="center" wrapText="1"/>
    </xf>
    <xf numFmtId="182" fontId="3" fillId="0" borderId="4" xfId="0" applyNumberFormat="1" applyFont="1" applyBorder="1" applyAlignment="1">
      <alignment horizontal="center"/>
    </xf>
    <xf numFmtId="0" fontId="20" fillId="0" borderId="0" xfId="0" applyFont="1"/>
    <xf numFmtId="0" fontId="20" fillId="0" borderId="43" xfId="0" applyFont="1" applyBorder="1"/>
    <xf numFmtId="0" fontId="20" fillId="0" borderId="40" xfId="0" applyFont="1" applyBorder="1"/>
    <xf numFmtId="0" fontId="20" fillId="0" borderId="49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50" xfId="0" applyFont="1" applyBorder="1"/>
    <xf numFmtId="0" fontId="20" fillId="0" borderId="51" xfId="0" applyFont="1" applyBorder="1"/>
    <xf numFmtId="0" fontId="20" fillId="0" borderId="36" xfId="0" applyFont="1" applyBorder="1"/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0" xfId="0" applyFont="1" applyBorder="1" applyAlignment="1">
      <alignment vertical="center"/>
    </xf>
    <xf numFmtId="179" fontId="8" fillId="3" borderId="60" xfId="0" applyNumberFormat="1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0" fillId="4" borderId="36" xfId="0" applyFill="1" applyBorder="1" applyAlignment="1">
      <alignment horizontal="center" shrinkToFit="1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0" borderId="39" xfId="0" applyBorder="1"/>
    <xf numFmtId="0" fontId="0" fillId="0" borderId="38" xfId="0" applyBorder="1"/>
    <xf numFmtId="0" fontId="0" fillId="4" borderId="47" xfId="0" applyFill="1" applyBorder="1" applyAlignment="1">
      <alignment horizontal="center" wrapText="1"/>
    </xf>
    <xf numFmtId="0" fontId="0" fillId="4" borderId="48" xfId="0" applyFill="1" applyBorder="1" applyAlignment="1">
      <alignment horizontal="center" wrapText="1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5" borderId="50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</cellXfs>
  <cellStyles count="1">
    <cellStyle name="常规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114301</xdr:colOff>
      <xdr:row>11</xdr:row>
      <xdr:rowOff>190500</xdr:rowOff>
    </xdr:from>
    <xdr:to>
      <xdr:col>33</xdr:col>
      <xdr:colOff>533401</xdr:colOff>
      <xdr:row>22</xdr:row>
      <xdr:rowOff>204056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0EA9EB-0037-443F-B56D-4D165E653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0151" y="2733675"/>
          <a:ext cx="5905500" cy="2632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39"/>
  <sheetViews>
    <sheetView tabSelected="1" workbookViewId="0">
      <selection activeCell="L8" sqref="L8"/>
    </sheetView>
  </sheetViews>
  <sheetFormatPr defaultRowHeight="14.25"/>
  <cols>
    <col min="1" max="1" width="4.125" customWidth="1"/>
    <col min="2" max="2" width="6.25" customWidth="1"/>
    <col min="3" max="3" width="12.375" customWidth="1"/>
    <col min="4" max="4" width="5.625" customWidth="1"/>
    <col min="5" max="5" width="7.375" customWidth="1"/>
    <col min="6" max="6" width="28.5" customWidth="1"/>
    <col min="7" max="7" width="8.375" customWidth="1"/>
    <col min="8" max="8" width="7.375" customWidth="1"/>
    <col min="9" max="9" width="2.125" customWidth="1"/>
    <col min="10" max="10" width="10.125" customWidth="1"/>
    <col min="15" max="15" width="9" customWidth="1"/>
    <col min="19" max="20" width="0" hidden="1" customWidth="1"/>
    <col min="21" max="21" width="12.75" hidden="1" customWidth="1"/>
    <col min="22" max="22" width="0" hidden="1" customWidth="1"/>
    <col min="23" max="23" width="9.5" hidden="1" customWidth="1"/>
    <col min="24" max="25" width="0" hidden="1" customWidth="1"/>
  </cols>
  <sheetData>
    <row r="1" spans="1:35" ht="18.75" customHeight="1">
      <c r="A1" s="145"/>
      <c r="B1" s="141" t="s">
        <v>100</v>
      </c>
      <c r="C1" s="141"/>
      <c r="D1" s="141"/>
      <c r="E1" s="141"/>
      <c r="F1" s="142"/>
      <c r="G1" s="2" t="s">
        <v>0</v>
      </c>
      <c r="H1" s="29"/>
    </row>
    <row r="2" spans="1:35" ht="18.75" customHeight="1">
      <c r="A2" s="146"/>
      <c r="B2" s="143"/>
      <c r="C2" s="143"/>
      <c r="D2" s="143"/>
      <c r="E2" s="143"/>
      <c r="F2" s="144"/>
      <c r="G2" s="3" t="s">
        <v>1</v>
      </c>
      <c r="H2" s="4" t="s">
        <v>27</v>
      </c>
    </row>
    <row r="3" spans="1:35" ht="12.75" customHeight="1" thickBot="1">
      <c r="A3" s="5"/>
      <c r="B3" s="6"/>
      <c r="C3" s="6"/>
      <c r="D3" s="6"/>
      <c r="E3" s="6"/>
      <c r="F3" s="6"/>
      <c r="G3" s="6"/>
      <c r="H3" s="7"/>
      <c r="I3" s="1"/>
      <c r="J3" s="1"/>
    </row>
    <row r="4" spans="1:35" ht="18.75" customHeight="1">
      <c r="A4" s="8" t="s">
        <v>142</v>
      </c>
      <c r="B4" s="6"/>
      <c r="C4" s="6"/>
      <c r="D4" s="6"/>
      <c r="E4" s="6"/>
      <c r="F4" s="6"/>
      <c r="G4" s="6"/>
      <c r="H4" s="7"/>
      <c r="I4" s="1"/>
      <c r="J4" s="86" t="s">
        <v>105</v>
      </c>
      <c r="K4" s="87"/>
      <c r="L4" s="87"/>
      <c r="M4" s="88" t="str">
        <f>IF($J7="CLASS V","输入直径",IF($J7="CLASS VI","输入直径","去除数值"))</f>
        <v>去除数值</v>
      </c>
      <c r="V4" s="139" t="s">
        <v>183</v>
      </c>
      <c r="W4" s="140"/>
      <c r="X4" s="139" t="s">
        <v>187</v>
      </c>
      <c r="Y4" s="140"/>
      <c r="Z4" s="112" t="s">
        <v>188</v>
      </c>
      <c r="AA4" s="113"/>
      <c r="AB4" s="113" t="s">
        <v>189</v>
      </c>
      <c r="AC4" s="113"/>
      <c r="AD4" s="113"/>
      <c r="AE4" s="113"/>
      <c r="AF4" s="113"/>
      <c r="AG4" s="113"/>
      <c r="AH4" s="114"/>
    </row>
    <row r="5" spans="1:35" ht="18.75" customHeight="1">
      <c r="A5" s="12" t="s">
        <v>2</v>
      </c>
      <c r="B5" s="128" t="s">
        <v>3</v>
      </c>
      <c r="C5" s="129"/>
      <c r="D5" s="13" t="s">
        <v>4</v>
      </c>
      <c r="E5" s="13" t="s">
        <v>5</v>
      </c>
      <c r="F5" s="13" t="s">
        <v>6</v>
      </c>
      <c r="G5" s="13" t="s">
        <v>7</v>
      </c>
      <c r="H5" s="14" t="s">
        <v>7</v>
      </c>
      <c r="I5" s="1"/>
      <c r="J5" s="82" t="s">
        <v>101</v>
      </c>
      <c r="K5" s="81" t="s">
        <v>102</v>
      </c>
      <c r="L5" s="81" t="s">
        <v>103</v>
      </c>
      <c r="M5" s="83" t="s">
        <v>12</v>
      </c>
      <c r="V5" s="75" t="s">
        <v>186</v>
      </c>
      <c r="W5" s="75" t="s">
        <v>182</v>
      </c>
      <c r="Y5" s="75" t="s">
        <v>186</v>
      </c>
      <c r="Z5" s="115" t="s">
        <v>200</v>
      </c>
      <c r="AA5" s="111"/>
      <c r="AB5" s="111"/>
      <c r="AC5" s="111"/>
      <c r="AD5" s="111"/>
      <c r="AE5" s="111"/>
      <c r="AF5" s="111"/>
      <c r="AG5" s="111"/>
      <c r="AH5" s="116"/>
    </row>
    <row r="6" spans="1:35" ht="18.75" customHeight="1">
      <c r="A6" s="130" t="s">
        <v>9</v>
      </c>
      <c r="B6" s="33" t="s">
        <v>10</v>
      </c>
      <c r="C6" s="34"/>
      <c r="D6" s="10" t="s">
        <v>11</v>
      </c>
      <c r="E6" s="10"/>
      <c r="F6" s="15"/>
      <c r="G6" s="10">
        <f>L7</f>
        <v>110</v>
      </c>
      <c r="H6" s="74"/>
      <c r="I6" s="1"/>
      <c r="J6" s="82"/>
      <c r="K6" s="81" t="s">
        <v>146</v>
      </c>
      <c r="L6" s="81"/>
      <c r="M6" s="83" t="s">
        <v>147</v>
      </c>
      <c r="T6" s="75" t="s">
        <v>184</v>
      </c>
      <c r="U6" s="75" t="s">
        <v>185</v>
      </c>
      <c r="V6" s="75" t="s">
        <v>180</v>
      </c>
      <c r="W6" s="75" t="s">
        <v>181</v>
      </c>
      <c r="Y6" s="75" t="s">
        <v>180</v>
      </c>
      <c r="Z6" s="115" t="s">
        <v>190</v>
      </c>
      <c r="AA6" s="111" t="s">
        <v>191</v>
      </c>
      <c r="AB6" s="111" t="s">
        <v>192</v>
      </c>
      <c r="AC6" s="111" t="s">
        <v>193</v>
      </c>
      <c r="AD6" s="111" t="s">
        <v>194</v>
      </c>
      <c r="AE6" s="111" t="s">
        <v>195</v>
      </c>
      <c r="AF6" s="111" t="s">
        <v>196</v>
      </c>
      <c r="AG6" s="111" t="s">
        <v>197</v>
      </c>
      <c r="AH6" s="116"/>
      <c r="AI6" s="75"/>
    </row>
    <row r="7" spans="1:35" ht="18.75" customHeight="1" thickBot="1">
      <c r="A7" s="147"/>
      <c r="B7" s="35" t="s">
        <v>12</v>
      </c>
      <c r="C7" s="36"/>
      <c r="D7" s="18" t="s">
        <v>13</v>
      </c>
      <c r="E7" s="18" t="s">
        <v>14</v>
      </c>
      <c r="F7" s="16"/>
      <c r="G7" s="18" t="str">
        <f>IF($J7="CLASS II","/",IF($J7="CLASS IV","/",IF($J7="CLASS V",M7,IF($J7="CLASS VI",M7))))</f>
        <v>/</v>
      </c>
      <c r="H7" s="20"/>
      <c r="I7" s="1"/>
      <c r="J7" s="89" t="s">
        <v>202</v>
      </c>
      <c r="K7" s="90">
        <v>350</v>
      </c>
      <c r="L7" s="90">
        <v>110</v>
      </c>
      <c r="M7" s="91">
        <v>73.3</v>
      </c>
      <c r="N7" s="75" t="s">
        <v>201</v>
      </c>
      <c r="S7" t="str">
        <f>"DN"&amp;T7*25</f>
        <v>DN125</v>
      </c>
      <c r="T7" s="98" t="s">
        <v>154</v>
      </c>
      <c r="U7" s="106">
        <v>585</v>
      </c>
      <c r="V7">
        <v>1563</v>
      </c>
      <c r="W7">
        <v>63880</v>
      </c>
      <c r="X7">
        <v>250</v>
      </c>
      <c r="Y7">
        <f>V7/SQRT(350/X7)</f>
        <v>1320.9761001406714</v>
      </c>
      <c r="Z7" s="115" t="s">
        <v>180</v>
      </c>
      <c r="AA7" s="111">
        <v>0</v>
      </c>
      <c r="AB7" s="111">
        <v>0.01</v>
      </c>
      <c r="AC7" s="111">
        <v>0.03</v>
      </c>
      <c r="AD7" s="111">
        <v>0.1</v>
      </c>
      <c r="AE7" s="111">
        <v>0.3</v>
      </c>
      <c r="AF7" s="111">
        <v>1</v>
      </c>
      <c r="AG7" s="111">
        <v>2</v>
      </c>
      <c r="AH7" s="116"/>
    </row>
    <row r="8" spans="1:35" ht="18.75" customHeight="1" thickBot="1">
      <c r="A8" s="147"/>
      <c r="B8" s="151" t="s">
        <v>93</v>
      </c>
      <c r="C8" s="152"/>
      <c r="D8" s="18" t="s">
        <v>94</v>
      </c>
      <c r="E8" s="18" t="s">
        <v>145</v>
      </c>
      <c r="F8" s="16"/>
      <c r="G8" s="18">
        <f>K7</f>
        <v>350</v>
      </c>
      <c r="H8" s="20"/>
      <c r="I8" s="1"/>
      <c r="J8" s="1"/>
      <c r="K8" s="75"/>
      <c r="L8" s="75"/>
      <c r="M8" s="75"/>
      <c r="S8" t="str">
        <f t="shared" ref="S8:S29" si="0">"DN"&amp;T8*25</f>
        <v>DN150</v>
      </c>
      <c r="T8" s="98" t="s">
        <v>155</v>
      </c>
      <c r="U8" s="106">
        <v>845</v>
      </c>
      <c r="V8">
        <v>2258</v>
      </c>
      <c r="W8">
        <v>92271</v>
      </c>
      <c r="X8">
        <v>250</v>
      </c>
      <c r="Y8">
        <f t="shared" ref="Y8:Y29" si="1">V8/SQRT(350/X8)</f>
        <v>1908.3583071769904</v>
      </c>
      <c r="Z8" s="115" t="s">
        <v>181</v>
      </c>
      <c r="AA8" s="111">
        <v>0</v>
      </c>
      <c r="AB8" s="111">
        <v>0.3</v>
      </c>
      <c r="AC8" s="111">
        <v>3</v>
      </c>
      <c r="AD8" s="111">
        <v>30</v>
      </c>
      <c r="AE8" s="111">
        <v>300</v>
      </c>
      <c r="AF8" s="111">
        <v>3000</v>
      </c>
      <c r="AG8" s="111">
        <v>6000</v>
      </c>
      <c r="AH8" s="116"/>
    </row>
    <row r="9" spans="1:35" ht="18.75" customHeight="1">
      <c r="A9" s="147"/>
      <c r="B9" s="35" t="s">
        <v>15</v>
      </c>
      <c r="C9" s="36"/>
      <c r="D9" s="18" t="s">
        <v>72</v>
      </c>
      <c r="E9" s="18" t="s">
        <v>16</v>
      </c>
      <c r="F9" s="16"/>
      <c r="G9" s="44">
        <f>G11-G12</f>
        <v>350</v>
      </c>
      <c r="H9" s="20"/>
      <c r="I9" s="1"/>
      <c r="J9" s="94" t="s">
        <v>104</v>
      </c>
      <c r="K9" s="93"/>
      <c r="N9" s="1" t="s">
        <v>84</v>
      </c>
      <c r="S9" t="str">
        <f t="shared" si="0"/>
        <v>DN200</v>
      </c>
      <c r="T9" s="98" t="s">
        <v>156</v>
      </c>
      <c r="U9" s="106">
        <v>1500</v>
      </c>
      <c r="V9">
        <v>4008</v>
      </c>
      <c r="W9">
        <v>163794</v>
      </c>
      <c r="X9">
        <v>250</v>
      </c>
      <c r="Y9">
        <f t="shared" si="1"/>
        <v>3387.3782529518944</v>
      </c>
      <c r="Z9" s="115" t="s">
        <v>184</v>
      </c>
      <c r="AA9" s="111"/>
      <c r="AB9" s="111"/>
      <c r="AC9" s="111"/>
      <c r="AD9" s="111"/>
      <c r="AE9" s="111"/>
      <c r="AF9" s="111"/>
      <c r="AG9" s="111"/>
      <c r="AH9" s="116"/>
    </row>
    <row r="10" spans="1:35" ht="18.75" customHeight="1">
      <c r="A10" s="147"/>
      <c r="B10" s="35" t="s">
        <v>17</v>
      </c>
      <c r="C10" s="36"/>
      <c r="D10" s="25" t="s">
        <v>34</v>
      </c>
      <c r="E10" s="18"/>
      <c r="F10" s="16"/>
      <c r="G10" s="44">
        <v>1</v>
      </c>
      <c r="H10" s="20"/>
      <c r="I10" s="1"/>
      <c r="J10" s="84" t="s">
        <v>83</v>
      </c>
      <c r="K10" s="85" t="s">
        <v>106</v>
      </c>
      <c r="L10" s="75"/>
      <c r="M10" s="75"/>
      <c r="N10" s="13" t="s">
        <v>82</v>
      </c>
      <c r="O10" s="49" t="s">
        <v>83</v>
      </c>
      <c r="P10" s="49" t="s">
        <v>71</v>
      </c>
      <c r="S10" t="str">
        <f t="shared" si="0"/>
        <v>DN250</v>
      </c>
      <c r="T10" s="98" t="s">
        <v>157</v>
      </c>
      <c r="U10" s="106">
        <v>2550</v>
      </c>
      <c r="V10">
        <v>6813</v>
      </c>
      <c r="W10">
        <v>278450</v>
      </c>
      <c r="X10">
        <v>250</v>
      </c>
      <c r="Y10">
        <f t="shared" si="1"/>
        <v>5758.0359374653835</v>
      </c>
      <c r="Z10" s="115">
        <v>100</v>
      </c>
      <c r="AA10" s="111">
        <f>AA7*$Z$10</f>
        <v>0</v>
      </c>
      <c r="AB10" s="111">
        <f t="shared" ref="AB10:AG10" si="2">AB7*$Z$10</f>
        <v>1</v>
      </c>
      <c r="AC10" s="111">
        <f t="shared" si="2"/>
        <v>3</v>
      </c>
      <c r="AD10" s="111">
        <f t="shared" si="2"/>
        <v>10</v>
      </c>
      <c r="AE10" s="111">
        <f t="shared" si="2"/>
        <v>30</v>
      </c>
      <c r="AF10" s="111">
        <f t="shared" si="2"/>
        <v>100</v>
      </c>
      <c r="AG10" s="111">
        <f t="shared" si="2"/>
        <v>200</v>
      </c>
      <c r="AH10" s="116" t="s">
        <v>198</v>
      </c>
    </row>
    <row r="11" spans="1:35" ht="18.75" customHeight="1">
      <c r="A11" s="147"/>
      <c r="B11" s="35" t="s">
        <v>18</v>
      </c>
      <c r="C11" s="36"/>
      <c r="D11" s="25" t="s">
        <v>42</v>
      </c>
      <c r="E11" s="18" t="s">
        <v>20</v>
      </c>
      <c r="F11" s="16" t="s">
        <v>44</v>
      </c>
      <c r="G11" s="44">
        <f>G8+101.3</f>
        <v>451.3</v>
      </c>
      <c r="H11" s="20"/>
      <c r="I11" s="1"/>
      <c r="J11" s="110">
        <f>IF($J7="CLASS II",G26,IF($J7="CLASS IV",G30,IF($J7="CLASS V",G34,IF($J7="CLASS VI",G38))))</f>
        <v>293.90339370546536</v>
      </c>
      <c r="K11" s="92" t="str">
        <f>IF($J7="CLASS VI","气泡","ml/min")</f>
        <v>ml/min</v>
      </c>
      <c r="N11" s="22">
        <v>150</v>
      </c>
      <c r="O11" s="50">
        <v>4</v>
      </c>
      <c r="P11" s="50">
        <v>27</v>
      </c>
      <c r="S11" t="str">
        <f t="shared" si="0"/>
        <v>DN300</v>
      </c>
      <c r="T11" s="98" t="s">
        <v>158</v>
      </c>
      <c r="U11" s="106">
        <v>3900</v>
      </c>
      <c r="V11">
        <v>10420</v>
      </c>
      <c r="W11">
        <v>425865</v>
      </c>
      <c r="X11">
        <v>250</v>
      </c>
      <c r="Y11">
        <f t="shared" si="1"/>
        <v>8806.5073342711421</v>
      </c>
      <c r="Z11" s="115"/>
      <c r="AA11" s="111">
        <f>AA8*$Z$10</f>
        <v>0</v>
      </c>
      <c r="AB11" s="111">
        <f t="shared" ref="AB11:AG11" si="3">AB8*$Z$10</f>
        <v>30</v>
      </c>
      <c r="AC11" s="111">
        <f t="shared" si="3"/>
        <v>300</v>
      </c>
      <c r="AD11" s="111">
        <f t="shared" si="3"/>
        <v>3000</v>
      </c>
      <c r="AE11" s="111">
        <f t="shared" si="3"/>
        <v>30000</v>
      </c>
      <c r="AF11" s="111">
        <f t="shared" si="3"/>
        <v>300000</v>
      </c>
      <c r="AG11" s="111">
        <f t="shared" si="3"/>
        <v>600000</v>
      </c>
      <c r="AH11" s="116"/>
    </row>
    <row r="12" spans="1:35" ht="18.75" customHeight="1" thickBot="1">
      <c r="A12" s="147"/>
      <c r="B12" s="35" t="s">
        <v>19</v>
      </c>
      <c r="C12" s="36"/>
      <c r="D12" s="25" t="s">
        <v>43</v>
      </c>
      <c r="E12" s="18" t="s">
        <v>20</v>
      </c>
      <c r="F12" s="16"/>
      <c r="G12" s="44">
        <v>101.3</v>
      </c>
      <c r="H12" s="20"/>
      <c r="I12" s="1"/>
      <c r="J12" s="153" t="str">
        <f>IF($J7="CLASS VI","需插值计算数据","")</f>
        <v/>
      </c>
      <c r="K12" s="154"/>
      <c r="N12" s="18">
        <v>200</v>
      </c>
      <c r="O12" s="52">
        <f>(N12^2-N11^2)/(N13^2-N11^2)*(O13-O11)+O11</f>
        <v>6.75</v>
      </c>
      <c r="P12" s="65">
        <f>(N12^2-N11^2)/(N13^2-N11^2)*(P13-P11)+P11</f>
        <v>45</v>
      </c>
      <c r="S12" t="str">
        <f t="shared" si="0"/>
        <v>DN350</v>
      </c>
      <c r="T12" s="98" t="s">
        <v>159</v>
      </c>
      <c r="U12" s="106">
        <v>5500</v>
      </c>
      <c r="V12">
        <v>14695</v>
      </c>
      <c r="W12">
        <v>600579</v>
      </c>
      <c r="X12">
        <v>250</v>
      </c>
      <c r="Y12">
        <f t="shared" si="1"/>
        <v>12419.541773235551</v>
      </c>
      <c r="Z12" s="115"/>
      <c r="AA12" s="111"/>
      <c r="AB12" s="111"/>
      <c r="AC12" s="111"/>
      <c r="AD12" s="111"/>
      <c r="AE12" s="111"/>
      <c r="AF12" s="111"/>
      <c r="AG12" s="111"/>
      <c r="AH12" s="116"/>
    </row>
    <row r="13" spans="1:35" ht="18.75" customHeight="1">
      <c r="A13" s="147"/>
      <c r="B13" s="35" t="s">
        <v>21</v>
      </c>
      <c r="C13" s="36"/>
      <c r="D13" s="18" t="s">
        <v>22</v>
      </c>
      <c r="E13" s="18" t="s">
        <v>8</v>
      </c>
      <c r="F13" s="16" t="s">
        <v>23</v>
      </c>
      <c r="G13" s="44">
        <v>20</v>
      </c>
      <c r="H13" s="20"/>
      <c r="I13" s="1"/>
      <c r="J13" s="1"/>
      <c r="N13" s="51">
        <v>200</v>
      </c>
      <c r="O13" s="51">
        <v>6.75</v>
      </c>
      <c r="P13" s="51">
        <v>45</v>
      </c>
      <c r="S13" t="str">
        <f t="shared" si="0"/>
        <v>DN400</v>
      </c>
      <c r="T13" s="98" t="s">
        <v>160</v>
      </c>
      <c r="U13" s="106">
        <v>7400</v>
      </c>
      <c r="V13">
        <v>19772</v>
      </c>
      <c r="W13">
        <v>808052</v>
      </c>
      <c r="X13">
        <v>250</v>
      </c>
      <c r="Y13">
        <f t="shared" si="1"/>
        <v>16710.389924492229</v>
      </c>
      <c r="Z13" s="115"/>
      <c r="AA13" s="111"/>
      <c r="AB13" s="111"/>
      <c r="AC13" s="111"/>
      <c r="AD13" s="111"/>
      <c r="AE13" s="111"/>
      <c r="AF13" s="111"/>
      <c r="AG13" s="111"/>
      <c r="AH13" s="116"/>
    </row>
    <row r="14" spans="1:35" ht="18.75" customHeight="1" thickBot="1">
      <c r="A14" s="147"/>
      <c r="B14" s="35" t="s">
        <v>24</v>
      </c>
      <c r="C14" s="36"/>
      <c r="D14" s="18" t="s">
        <v>25</v>
      </c>
      <c r="E14" s="18"/>
      <c r="F14" s="16" t="s">
        <v>26</v>
      </c>
      <c r="G14" s="44">
        <v>1</v>
      </c>
      <c r="H14" s="20"/>
      <c r="I14" s="1"/>
      <c r="J14" s="1">
        <f>J11*1000/60</f>
        <v>4898.3898950910898</v>
      </c>
      <c r="S14" t="str">
        <f t="shared" si="0"/>
        <v>DN450</v>
      </c>
      <c r="T14" s="98" t="s">
        <v>161</v>
      </c>
      <c r="U14" s="106">
        <v>9100</v>
      </c>
      <c r="V14">
        <v>24314</v>
      </c>
      <c r="W14">
        <v>993685</v>
      </c>
      <c r="X14">
        <v>250</v>
      </c>
      <c r="Y14">
        <f t="shared" si="1"/>
        <v>20549.080549469152</v>
      </c>
      <c r="Z14" s="115"/>
      <c r="AA14" s="111"/>
      <c r="AB14" s="111"/>
      <c r="AC14" s="111"/>
      <c r="AD14" s="111"/>
      <c r="AE14" s="111"/>
      <c r="AF14" s="111"/>
      <c r="AG14" s="111"/>
      <c r="AH14" s="116"/>
    </row>
    <row r="15" spans="1:35" ht="18.75" customHeight="1" thickBot="1">
      <c r="A15" s="148"/>
      <c r="B15" s="39"/>
      <c r="C15" s="40"/>
      <c r="D15" s="19"/>
      <c r="E15" s="19"/>
      <c r="F15" s="24"/>
      <c r="G15" s="19"/>
      <c r="H15" s="21"/>
      <c r="I15" s="1"/>
      <c r="J15" s="1"/>
      <c r="N15" s="68" t="s">
        <v>12</v>
      </c>
      <c r="O15" s="149" t="s">
        <v>83</v>
      </c>
      <c r="P15" s="150"/>
      <c r="S15" t="str">
        <f t="shared" si="0"/>
        <v>DN500</v>
      </c>
      <c r="T15" s="98" t="s">
        <v>162</v>
      </c>
      <c r="U15" s="106">
        <v>11500</v>
      </c>
      <c r="V15">
        <v>30726</v>
      </c>
      <c r="W15">
        <v>1255756</v>
      </c>
      <c r="X15">
        <v>250</v>
      </c>
      <c r="Y15">
        <f t="shared" si="1"/>
        <v>25968.209630788402</v>
      </c>
      <c r="Z15" s="115"/>
      <c r="AA15" s="111"/>
      <c r="AB15" s="111"/>
      <c r="AC15" s="111"/>
      <c r="AD15" s="111"/>
      <c r="AE15" s="111"/>
      <c r="AF15" s="111"/>
      <c r="AG15" s="111"/>
      <c r="AH15" s="116"/>
    </row>
    <row r="16" spans="1:35" ht="18.75" customHeight="1" thickBot="1">
      <c r="A16" s="30"/>
      <c r="B16" s="6"/>
      <c r="C16" s="6"/>
      <c r="D16" s="31"/>
      <c r="E16" s="31"/>
      <c r="F16" s="6"/>
      <c r="G16" s="31"/>
      <c r="H16" s="32"/>
      <c r="I16" s="1"/>
      <c r="J16" s="1"/>
      <c r="N16" s="69" t="s">
        <v>14</v>
      </c>
      <c r="O16" s="70" t="s">
        <v>51</v>
      </c>
      <c r="P16" s="127" t="s">
        <v>98</v>
      </c>
      <c r="S16" t="str">
        <f t="shared" si="0"/>
        <v>DN550</v>
      </c>
      <c r="T16" s="98" t="s">
        <v>163</v>
      </c>
      <c r="U16" s="106">
        <v>14000</v>
      </c>
      <c r="V16">
        <v>37406</v>
      </c>
      <c r="W16">
        <v>1528746</v>
      </c>
      <c r="X16">
        <v>250</v>
      </c>
      <c r="Y16">
        <f t="shared" si="1"/>
        <v>31613.840052374893</v>
      </c>
      <c r="Z16" s="115"/>
      <c r="AA16" s="111"/>
      <c r="AB16" s="111"/>
      <c r="AC16" s="111"/>
      <c r="AD16" s="111"/>
      <c r="AE16" s="111"/>
      <c r="AF16" s="111"/>
      <c r="AG16" s="111"/>
      <c r="AH16" s="116"/>
    </row>
    <row r="17" spans="1:34" ht="18.75" customHeight="1" thickBot="1">
      <c r="A17" s="8" t="s">
        <v>28</v>
      </c>
      <c r="B17" s="6"/>
      <c r="C17" s="6"/>
      <c r="D17" s="6"/>
      <c r="E17" s="6"/>
      <c r="F17" s="6"/>
      <c r="G17" s="6"/>
      <c r="H17" s="7"/>
      <c r="I17" s="1"/>
      <c r="J17" s="1"/>
      <c r="N17" s="71">
        <v>25</v>
      </c>
      <c r="O17" s="73">
        <v>0.15</v>
      </c>
      <c r="P17" s="73">
        <v>1</v>
      </c>
      <c r="S17" t="str">
        <f t="shared" si="0"/>
        <v>DN600</v>
      </c>
      <c r="T17" s="98" t="s">
        <v>164</v>
      </c>
      <c r="U17" s="106">
        <v>17000</v>
      </c>
      <c r="V17">
        <v>45421</v>
      </c>
      <c r="W17">
        <v>1856335</v>
      </c>
      <c r="X17">
        <v>250</v>
      </c>
      <c r="Y17">
        <f t="shared" si="1"/>
        <v>38387.751404023955</v>
      </c>
      <c r="Z17" s="115"/>
      <c r="AA17" s="111"/>
      <c r="AB17" s="111"/>
      <c r="AC17" s="111"/>
      <c r="AD17" s="111"/>
      <c r="AE17" s="111"/>
      <c r="AF17" s="111"/>
      <c r="AG17" s="111"/>
      <c r="AH17" s="116"/>
    </row>
    <row r="18" spans="1:34" ht="18.75" customHeight="1" thickBot="1">
      <c r="A18" s="12" t="s">
        <v>2</v>
      </c>
      <c r="B18" s="128" t="s">
        <v>3</v>
      </c>
      <c r="C18" s="129"/>
      <c r="D18" s="13" t="s">
        <v>4</v>
      </c>
      <c r="E18" s="13" t="s">
        <v>5</v>
      </c>
      <c r="F18" s="13" t="s">
        <v>30</v>
      </c>
      <c r="G18" s="13" t="s">
        <v>7</v>
      </c>
      <c r="H18" s="14" t="s">
        <v>53</v>
      </c>
      <c r="I18" s="1"/>
      <c r="J18" s="1"/>
      <c r="N18" s="71">
        <v>40</v>
      </c>
      <c r="O18" s="73">
        <v>0.3</v>
      </c>
      <c r="P18" s="73">
        <v>2</v>
      </c>
      <c r="S18" t="str">
        <f t="shared" si="0"/>
        <v>DN650</v>
      </c>
      <c r="T18" s="98" t="s">
        <v>165</v>
      </c>
      <c r="U18" s="106">
        <v>20500</v>
      </c>
      <c r="V18">
        <v>54773</v>
      </c>
      <c r="W18">
        <v>2238522</v>
      </c>
      <c r="X18">
        <v>250</v>
      </c>
      <c r="Y18">
        <f t="shared" si="1"/>
        <v>46291.633994245043</v>
      </c>
      <c r="Z18" s="115"/>
      <c r="AA18" s="111"/>
      <c r="AB18" s="111"/>
      <c r="AC18" s="111"/>
      <c r="AD18" s="111"/>
      <c r="AE18" s="111"/>
      <c r="AF18" s="111"/>
      <c r="AG18" s="111"/>
      <c r="AH18" s="116"/>
    </row>
    <row r="19" spans="1:34" ht="18.75" customHeight="1" thickBot="1">
      <c r="A19" s="130" t="s">
        <v>45</v>
      </c>
      <c r="B19" s="33" t="s">
        <v>10</v>
      </c>
      <c r="C19" s="34"/>
      <c r="D19" s="10" t="s">
        <v>29</v>
      </c>
      <c r="E19" s="10"/>
      <c r="F19" s="15" t="s">
        <v>31</v>
      </c>
      <c r="G19" s="43">
        <f>G6/1.167</f>
        <v>94.258783204798632</v>
      </c>
      <c r="H19" s="11"/>
      <c r="I19" s="1"/>
      <c r="J19" s="1"/>
      <c r="N19" s="71">
        <v>50</v>
      </c>
      <c r="O19" s="73">
        <v>0.45</v>
      </c>
      <c r="P19" s="73">
        <v>3</v>
      </c>
      <c r="S19" t="str">
        <f t="shared" si="0"/>
        <v>DN700</v>
      </c>
      <c r="T19" s="98" t="s">
        <v>166</v>
      </c>
      <c r="U19" s="106">
        <v>23900</v>
      </c>
      <c r="V19">
        <v>63857</v>
      </c>
      <c r="W19">
        <v>2609789</v>
      </c>
      <c r="X19">
        <v>250</v>
      </c>
      <c r="Y19">
        <f t="shared" si="1"/>
        <v>53969.015244198883</v>
      </c>
      <c r="Z19" s="115"/>
      <c r="AA19" s="111"/>
      <c r="AB19" s="111"/>
      <c r="AC19" s="111"/>
      <c r="AD19" s="111"/>
      <c r="AE19" s="111"/>
      <c r="AF19" s="111"/>
      <c r="AG19" s="111"/>
      <c r="AH19" s="116"/>
    </row>
    <row r="20" spans="1:34" ht="18.75" customHeight="1" thickBot="1">
      <c r="A20" s="131"/>
      <c r="B20" s="35" t="s">
        <v>35</v>
      </c>
      <c r="C20" s="36"/>
      <c r="D20" s="18" t="s">
        <v>32</v>
      </c>
      <c r="E20" s="18" t="s">
        <v>33</v>
      </c>
      <c r="F20" s="16" t="s">
        <v>97</v>
      </c>
      <c r="G20" s="44">
        <f>0.1*G19*SQRT(G9/G10)</f>
        <v>176.34203622327919</v>
      </c>
      <c r="H20" s="20"/>
      <c r="I20" s="1"/>
      <c r="J20" s="1"/>
      <c r="N20" s="71">
        <v>65</v>
      </c>
      <c r="O20" s="73">
        <v>0.6</v>
      </c>
      <c r="P20" s="73">
        <v>4</v>
      </c>
      <c r="S20" t="str">
        <f t="shared" si="0"/>
        <v>DN750</v>
      </c>
      <c r="T20" s="98" t="s">
        <v>167</v>
      </c>
      <c r="U20" s="106">
        <v>27800</v>
      </c>
      <c r="V20">
        <v>74277</v>
      </c>
      <c r="W20">
        <v>3035654</v>
      </c>
      <c r="X20">
        <v>250</v>
      </c>
      <c r="Y20">
        <f t="shared" si="1"/>
        <v>62775.522578470031</v>
      </c>
      <c r="Z20" s="115"/>
      <c r="AA20" s="111"/>
      <c r="AB20" s="111"/>
      <c r="AC20" s="111"/>
      <c r="AD20" s="111"/>
      <c r="AE20" s="111"/>
      <c r="AF20" s="111"/>
      <c r="AG20" s="111"/>
      <c r="AH20" s="116"/>
    </row>
    <row r="21" spans="1:34" ht="18.75" customHeight="1" thickBot="1">
      <c r="A21" s="131"/>
      <c r="B21" s="37" t="s">
        <v>40</v>
      </c>
      <c r="C21" s="38"/>
      <c r="D21" s="26" t="s">
        <v>41</v>
      </c>
      <c r="E21" s="26" t="s">
        <v>16</v>
      </c>
      <c r="F21" s="28" t="s">
        <v>96</v>
      </c>
      <c r="G21" s="46">
        <f>(G11+G12)/2</f>
        <v>276.3</v>
      </c>
      <c r="H21" s="27"/>
      <c r="I21" s="1"/>
      <c r="J21" s="1"/>
      <c r="N21" s="71">
        <v>80</v>
      </c>
      <c r="O21" s="73">
        <v>0.9</v>
      </c>
      <c r="P21" s="73">
        <v>6</v>
      </c>
      <c r="S21" t="str">
        <f t="shared" si="0"/>
        <v>DN800</v>
      </c>
      <c r="T21" s="98" t="s">
        <v>168</v>
      </c>
      <c r="U21" s="106">
        <v>31900</v>
      </c>
      <c r="V21">
        <v>85232</v>
      </c>
      <c r="W21">
        <v>3483358</v>
      </c>
      <c r="X21">
        <v>250</v>
      </c>
      <c r="Y21">
        <f t="shared" si="1"/>
        <v>72034.187439020927</v>
      </c>
      <c r="Z21" s="115"/>
      <c r="AA21" s="111"/>
      <c r="AB21" s="111"/>
      <c r="AC21" s="111"/>
      <c r="AD21" s="111"/>
      <c r="AE21" s="111"/>
      <c r="AF21" s="111"/>
      <c r="AG21" s="111"/>
      <c r="AH21" s="116"/>
    </row>
    <row r="22" spans="1:34" ht="18.75" customHeight="1" thickBot="1">
      <c r="A22" s="131"/>
      <c r="B22" s="35" t="s">
        <v>36</v>
      </c>
      <c r="C22" s="36"/>
      <c r="D22" s="18" t="s">
        <v>37</v>
      </c>
      <c r="E22" s="18" t="s">
        <v>33</v>
      </c>
      <c r="F22" s="45" t="s">
        <v>38</v>
      </c>
      <c r="G22" s="44">
        <f>IF(G9&lt;0.5*G11,4.73*G19*SQRT((G9*G21)/G14/(273+G13)),2.9*G11*G19/SQRT(G14*(273+G13)))</f>
        <v>7206.9473666092836</v>
      </c>
      <c r="H22" s="20"/>
      <c r="I22" s="1"/>
      <c r="J22" s="1"/>
      <c r="N22" s="71">
        <v>100</v>
      </c>
      <c r="O22" s="73">
        <v>1.7</v>
      </c>
      <c r="P22" s="73">
        <v>11</v>
      </c>
      <c r="S22" t="str">
        <f t="shared" si="0"/>
        <v>DN850</v>
      </c>
      <c r="T22" s="98" t="s">
        <v>169</v>
      </c>
      <c r="U22" s="106">
        <v>36000</v>
      </c>
      <c r="V22">
        <v>96187</v>
      </c>
      <c r="W22">
        <v>3931062</v>
      </c>
      <c r="X22">
        <v>250</v>
      </c>
      <c r="Y22">
        <f t="shared" si="1"/>
        <v>81292.852299571823</v>
      </c>
      <c r="Z22" s="115"/>
      <c r="AA22" s="111"/>
      <c r="AB22" s="111"/>
      <c r="AC22" s="111"/>
      <c r="AD22" s="111"/>
      <c r="AE22" s="111"/>
      <c r="AF22" s="111"/>
      <c r="AG22" s="111"/>
      <c r="AH22" s="116"/>
    </row>
    <row r="23" spans="1:34" ht="18.75" customHeight="1" thickBot="1">
      <c r="A23" s="131"/>
      <c r="B23" s="35"/>
      <c r="C23" s="36"/>
      <c r="D23" s="25"/>
      <c r="E23" s="18"/>
      <c r="F23" s="45" t="s">
        <v>39</v>
      </c>
      <c r="G23" s="18"/>
      <c r="H23" s="20"/>
      <c r="I23" s="1"/>
      <c r="J23" s="1"/>
      <c r="N23" s="71">
        <v>150</v>
      </c>
      <c r="O23" s="73">
        <v>4</v>
      </c>
      <c r="P23" s="73">
        <v>27</v>
      </c>
      <c r="S23" t="str">
        <f t="shared" si="0"/>
        <v>DN900</v>
      </c>
      <c r="T23" s="98" t="s">
        <v>170</v>
      </c>
      <c r="U23" s="106">
        <v>41000</v>
      </c>
      <c r="V23">
        <v>109546</v>
      </c>
      <c r="W23">
        <v>4477043</v>
      </c>
      <c r="X23">
        <v>250</v>
      </c>
      <c r="Y23">
        <f t="shared" si="1"/>
        <v>92583.267988490086</v>
      </c>
      <c r="Z23" s="117"/>
      <c r="AA23" s="118"/>
      <c r="AB23" s="118"/>
      <c r="AC23" s="118"/>
      <c r="AD23" s="118"/>
      <c r="AE23" s="118"/>
      <c r="AF23" s="118"/>
      <c r="AG23" s="118"/>
      <c r="AH23" s="119"/>
    </row>
    <row r="24" spans="1:34" ht="18.75" customHeight="1" thickBot="1">
      <c r="A24" s="134"/>
      <c r="B24" s="39"/>
      <c r="C24" s="40"/>
      <c r="D24" s="57"/>
      <c r="E24" s="19"/>
      <c r="F24" s="58"/>
      <c r="G24" s="19"/>
      <c r="H24" s="21"/>
      <c r="I24" s="1"/>
      <c r="J24" s="1"/>
      <c r="N24" s="71">
        <v>200</v>
      </c>
      <c r="O24" s="73">
        <v>6.75</v>
      </c>
      <c r="P24" s="73">
        <v>45</v>
      </c>
      <c r="S24" t="str">
        <f t="shared" si="0"/>
        <v>DN1000</v>
      </c>
      <c r="T24" s="98" t="s">
        <v>171</v>
      </c>
      <c r="U24" s="106">
        <v>49000</v>
      </c>
      <c r="V24">
        <v>130921</v>
      </c>
      <c r="W24">
        <v>5350612</v>
      </c>
      <c r="X24">
        <v>250</v>
      </c>
      <c r="Y24">
        <f t="shared" si="1"/>
        <v>110648.44018331212</v>
      </c>
      <c r="Z24" s="111"/>
      <c r="AA24" s="111"/>
      <c r="AB24" s="111"/>
      <c r="AC24" s="111"/>
      <c r="AD24" s="111"/>
      <c r="AE24" s="111"/>
      <c r="AF24" s="111"/>
      <c r="AG24" s="111"/>
      <c r="AH24" s="111"/>
    </row>
    <row r="25" spans="1:34" ht="18.75" customHeight="1" thickBot="1">
      <c r="A25" s="137" t="s">
        <v>85</v>
      </c>
      <c r="B25" s="33" t="s">
        <v>46</v>
      </c>
      <c r="C25" s="34"/>
      <c r="D25" s="56" t="s">
        <v>86</v>
      </c>
      <c r="E25" s="10" t="s">
        <v>49</v>
      </c>
      <c r="F25" s="15" t="s">
        <v>88</v>
      </c>
      <c r="G25" s="43">
        <f>5*10^-3*G20*1000</f>
        <v>881.71018111639603</v>
      </c>
      <c r="H25" s="11"/>
      <c r="I25" s="1"/>
      <c r="J25" s="1" t="s">
        <v>148</v>
      </c>
      <c r="K25" s="75" t="s">
        <v>149</v>
      </c>
      <c r="N25" s="71">
        <v>250</v>
      </c>
      <c r="O25" s="73">
        <v>11.1</v>
      </c>
      <c r="P25" s="72" t="s">
        <v>95</v>
      </c>
      <c r="S25" t="str">
        <f t="shared" si="0"/>
        <v>DN1100</v>
      </c>
      <c r="T25" s="98" t="s">
        <v>172</v>
      </c>
      <c r="U25" s="106">
        <v>61000</v>
      </c>
      <c r="V25">
        <v>162983</v>
      </c>
      <c r="W25">
        <v>6660967</v>
      </c>
      <c r="X25">
        <v>250</v>
      </c>
      <c r="Y25">
        <f t="shared" si="1"/>
        <v>137745.77589841781</v>
      </c>
    </row>
    <row r="26" spans="1:34" ht="18.75" customHeight="1" thickBot="1">
      <c r="A26" s="136"/>
      <c r="B26" s="35"/>
      <c r="C26" s="36"/>
      <c r="D26" s="25" t="s">
        <v>87</v>
      </c>
      <c r="E26" s="18" t="s">
        <v>51</v>
      </c>
      <c r="F26" s="16" t="s">
        <v>89</v>
      </c>
      <c r="G26" s="64">
        <f>G25*1000/60</f>
        <v>14695.169685273266</v>
      </c>
      <c r="H26" s="47" t="s">
        <v>54</v>
      </c>
      <c r="I26" s="1"/>
      <c r="J26" s="64">
        <f>G26/5</f>
        <v>2939.0339370546531</v>
      </c>
      <c r="K26" s="1" t="s">
        <v>150</v>
      </c>
      <c r="N26" s="71">
        <v>300</v>
      </c>
      <c r="O26" s="73">
        <v>16</v>
      </c>
      <c r="P26" s="72" t="s">
        <v>95</v>
      </c>
      <c r="S26" t="str">
        <f t="shared" si="0"/>
        <v>DN1200</v>
      </c>
      <c r="T26" s="98" t="s">
        <v>173</v>
      </c>
      <c r="U26" s="106">
        <v>73000</v>
      </c>
      <c r="V26">
        <v>195045</v>
      </c>
      <c r="W26">
        <v>7971321</v>
      </c>
      <c r="X26">
        <v>250</v>
      </c>
      <c r="Y26">
        <f t="shared" si="1"/>
        <v>164843.11161352351</v>
      </c>
    </row>
    <row r="27" spans="1:34" ht="18.75" customHeight="1" thickBot="1">
      <c r="A27" s="136"/>
      <c r="B27" s="35" t="s">
        <v>47</v>
      </c>
      <c r="C27" s="36"/>
      <c r="D27" s="18" t="s">
        <v>90</v>
      </c>
      <c r="E27" s="18" t="s">
        <v>50</v>
      </c>
      <c r="F27" s="16" t="s">
        <v>199</v>
      </c>
      <c r="G27" s="44">
        <f>5*10^-3*G22*1000</f>
        <v>36034.736833046416</v>
      </c>
      <c r="H27" s="20"/>
      <c r="I27" s="1"/>
      <c r="J27" s="1"/>
      <c r="N27" s="71">
        <v>350</v>
      </c>
      <c r="O27" s="73">
        <v>21.6</v>
      </c>
      <c r="P27" s="72" t="s">
        <v>95</v>
      </c>
      <c r="S27" t="str">
        <f t="shared" si="0"/>
        <v>DN1300</v>
      </c>
      <c r="T27" s="98" t="s">
        <v>174</v>
      </c>
      <c r="U27" s="106">
        <v>85600</v>
      </c>
      <c r="V27">
        <v>228710</v>
      </c>
      <c r="W27">
        <v>9347192</v>
      </c>
      <c r="X27">
        <v>250</v>
      </c>
      <c r="Y27">
        <f t="shared" si="1"/>
        <v>193295.22959895903</v>
      </c>
    </row>
    <row r="28" spans="1:34" ht="18.75" customHeight="1" thickBot="1">
      <c r="A28" s="138"/>
      <c r="B28" s="39"/>
      <c r="C28" s="40"/>
      <c r="D28" s="19" t="s">
        <v>91</v>
      </c>
      <c r="E28" s="19" t="s">
        <v>70</v>
      </c>
      <c r="F28" s="58" t="s">
        <v>92</v>
      </c>
      <c r="G28" s="63">
        <f>G27*1000/60</f>
        <v>600578.94721744023</v>
      </c>
      <c r="H28" s="59" t="s">
        <v>54</v>
      </c>
      <c r="I28" s="1"/>
      <c r="J28" s="64">
        <f>G28/5</f>
        <v>120115.78944348804</v>
      </c>
      <c r="K28" s="1" t="s">
        <v>151</v>
      </c>
      <c r="N28" s="71">
        <v>400</v>
      </c>
      <c r="O28" s="73">
        <v>28.4</v>
      </c>
      <c r="P28" s="72" t="s">
        <v>99</v>
      </c>
      <c r="S28" t="str">
        <f t="shared" si="0"/>
        <v>DN1350</v>
      </c>
      <c r="T28" s="98" t="s">
        <v>175</v>
      </c>
      <c r="U28" s="106">
        <v>92300</v>
      </c>
      <c r="V28">
        <v>246612</v>
      </c>
      <c r="W28">
        <v>10078807</v>
      </c>
      <c r="X28">
        <v>250</v>
      </c>
      <c r="Y28">
        <f t="shared" si="1"/>
        <v>208425.18106710893</v>
      </c>
    </row>
    <row r="29" spans="1:34" ht="18.75" customHeight="1">
      <c r="A29" s="135" t="s">
        <v>61</v>
      </c>
      <c r="B29" s="41" t="s">
        <v>46</v>
      </c>
      <c r="C29" s="42"/>
      <c r="D29" s="60" t="s">
        <v>52</v>
      </c>
      <c r="E29" s="22" t="s">
        <v>49</v>
      </c>
      <c r="F29" s="17" t="s">
        <v>57</v>
      </c>
      <c r="G29" s="61">
        <f>10^-4*G20*1000</f>
        <v>17.63420362232792</v>
      </c>
      <c r="H29" s="23"/>
      <c r="I29" s="1"/>
      <c r="J29" s="1"/>
      <c r="S29" t="str">
        <f t="shared" si="0"/>
        <v>DN1500</v>
      </c>
      <c r="T29" s="98" t="s">
        <v>176</v>
      </c>
      <c r="U29" s="106">
        <v>115000</v>
      </c>
      <c r="V29">
        <v>307263</v>
      </c>
      <c r="W29">
        <v>12557560</v>
      </c>
      <c r="X29">
        <v>250</v>
      </c>
      <c r="Y29">
        <f t="shared" si="1"/>
        <v>259684.63177064821</v>
      </c>
    </row>
    <row r="30" spans="1:34" ht="18.75" customHeight="1">
      <c r="A30" s="136"/>
      <c r="B30" s="35"/>
      <c r="C30" s="36"/>
      <c r="D30" s="25" t="s">
        <v>48</v>
      </c>
      <c r="E30" s="18" t="s">
        <v>51</v>
      </c>
      <c r="F30" s="16" t="s">
        <v>59</v>
      </c>
      <c r="G30" s="64">
        <f>G29*1000/60</f>
        <v>293.90339370546536</v>
      </c>
      <c r="H30" s="47" t="s">
        <v>54</v>
      </c>
      <c r="I30" s="1"/>
      <c r="J30" s="1"/>
    </row>
    <row r="31" spans="1:34" ht="18.75" customHeight="1">
      <c r="A31" s="136"/>
      <c r="B31" s="35" t="s">
        <v>47</v>
      </c>
      <c r="C31" s="36"/>
      <c r="D31" s="18" t="s">
        <v>55</v>
      </c>
      <c r="E31" s="18" t="s">
        <v>50</v>
      </c>
      <c r="F31" s="16" t="s">
        <v>58</v>
      </c>
      <c r="G31" s="44">
        <f>10^-4*G22*1000</f>
        <v>720.69473666092847</v>
      </c>
      <c r="H31" s="20"/>
      <c r="I31" s="1"/>
      <c r="J31" s="1"/>
    </row>
    <row r="32" spans="1:34" ht="18.75" customHeight="1">
      <c r="A32" s="136"/>
      <c r="B32" s="37"/>
      <c r="C32" s="38"/>
      <c r="D32" s="26" t="s">
        <v>56</v>
      </c>
      <c r="E32" s="26" t="s">
        <v>51</v>
      </c>
      <c r="F32" s="28" t="s">
        <v>60</v>
      </c>
      <c r="G32" s="55">
        <f>G31*1000/60</f>
        <v>12011.578944348808</v>
      </c>
      <c r="H32" s="54" t="s">
        <v>54</v>
      </c>
      <c r="I32" s="1"/>
      <c r="J32" s="1"/>
      <c r="M32">
        <f>0.2*1000/60</f>
        <v>3.3333333333333335</v>
      </c>
    </row>
    <row r="33" spans="1:10" ht="18.75" customHeight="1">
      <c r="A33" s="137" t="s">
        <v>62</v>
      </c>
      <c r="B33" s="33" t="s">
        <v>46</v>
      </c>
      <c r="C33" s="34"/>
      <c r="D33" s="56" t="s">
        <v>65</v>
      </c>
      <c r="E33" s="10" t="s">
        <v>49</v>
      </c>
      <c r="F33" s="15" t="s">
        <v>63</v>
      </c>
      <c r="G33" s="43" t="str">
        <f>IFERROR(1.8*10^-7*G9*G7,"/")</f>
        <v>/</v>
      </c>
      <c r="H33" s="11"/>
      <c r="I33" s="1"/>
      <c r="J33" s="1"/>
    </row>
    <row r="34" spans="1:10" ht="18.75" customHeight="1">
      <c r="A34" s="138"/>
      <c r="B34" s="39"/>
      <c r="C34" s="40"/>
      <c r="D34" s="57" t="s">
        <v>66</v>
      </c>
      <c r="E34" s="19" t="s">
        <v>51</v>
      </c>
      <c r="F34" s="58" t="s">
        <v>67</v>
      </c>
      <c r="G34" s="62" t="str">
        <f>IFERROR(G33*1000/60,"/")</f>
        <v>/</v>
      </c>
      <c r="H34" s="59" t="s">
        <v>54</v>
      </c>
      <c r="I34" s="1"/>
      <c r="J34" s="1"/>
    </row>
    <row r="35" spans="1:10" ht="18.75" customHeight="1">
      <c r="A35" s="130" t="s">
        <v>64</v>
      </c>
      <c r="B35" s="33" t="s">
        <v>73</v>
      </c>
      <c r="C35" s="34"/>
      <c r="D35" s="9" t="s">
        <v>77</v>
      </c>
      <c r="E35" s="10" t="s">
        <v>70</v>
      </c>
      <c r="F35" s="15" t="s">
        <v>81</v>
      </c>
      <c r="G35" s="66">
        <f>O12</f>
        <v>6.75</v>
      </c>
      <c r="H35" s="11"/>
      <c r="I35" s="1"/>
      <c r="J35" s="1"/>
    </row>
    <row r="36" spans="1:10" ht="18.75" customHeight="1">
      <c r="A36" s="131"/>
      <c r="B36" s="41" t="s">
        <v>74</v>
      </c>
      <c r="C36" s="42"/>
      <c r="D36" s="48" t="s">
        <v>68</v>
      </c>
      <c r="E36" s="22" t="s">
        <v>70</v>
      </c>
      <c r="F36" s="17" t="s">
        <v>79</v>
      </c>
      <c r="G36" s="53">
        <f>3*10^-3*G9*G35</f>
        <v>7.0875000000000004</v>
      </c>
      <c r="H36" s="23"/>
      <c r="I36" s="1"/>
    </row>
    <row r="37" spans="1:10" ht="18.75" customHeight="1">
      <c r="A37" s="132"/>
      <c r="B37" s="41" t="s">
        <v>75</v>
      </c>
      <c r="C37" s="42"/>
      <c r="D37" s="18" t="s">
        <v>78</v>
      </c>
      <c r="E37" s="22" t="s">
        <v>71</v>
      </c>
      <c r="F37" s="17" t="s">
        <v>81</v>
      </c>
      <c r="G37" s="67">
        <f>P12</f>
        <v>45</v>
      </c>
      <c r="H37" s="23"/>
      <c r="I37" s="1"/>
    </row>
    <row r="38" spans="1:10" ht="18.75" customHeight="1" thickBot="1">
      <c r="A38" s="133"/>
      <c r="B38" s="120" t="s">
        <v>76</v>
      </c>
      <c r="C38" s="121"/>
      <c r="D38" s="122" t="s">
        <v>69</v>
      </c>
      <c r="E38" s="123" t="s">
        <v>71</v>
      </c>
      <c r="F38" s="124" t="s">
        <v>80</v>
      </c>
      <c r="G38" s="125">
        <f>3*10^-3*G9*G37</f>
        <v>47.25</v>
      </c>
      <c r="H38" s="126"/>
      <c r="I38" s="1"/>
    </row>
    <row r="39" spans="1:10" ht="20.25" customHeight="1"/>
  </sheetData>
  <mergeCells count="15">
    <mergeCell ref="X4:Y4"/>
    <mergeCell ref="B1:F2"/>
    <mergeCell ref="A1:A2"/>
    <mergeCell ref="A6:A15"/>
    <mergeCell ref="B5:C5"/>
    <mergeCell ref="O15:P15"/>
    <mergeCell ref="B8:C8"/>
    <mergeCell ref="J12:K12"/>
    <mergeCell ref="V4:W4"/>
    <mergeCell ref="B18:C18"/>
    <mergeCell ref="A35:A38"/>
    <mergeCell ref="A19:A24"/>
    <mergeCell ref="A29:A32"/>
    <mergeCell ref="A33:A34"/>
    <mergeCell ref="A25:A28"/>
  </mergeCells>
  <phoneticPr fontId="1" type="noConversion"/>
  <conditionalFormatting sqref="H26 H28">
    <cfRule type="expression" dxfId="2" priority="3">
      <formula>$J$7&lt;&gt;"CLASS II"</formula>
    </cfRule>
  </conditionalFormatting>
  <conditionalFormatting sqref="H30 H32">
    <cfRule type="expression" dxfId="1" priority="2">
      <formula>$J$7&lt;&gt;"CLASS IV"</formula>
    </cfRule>
  </conditionalFormatting>
  <conditionalFormatting sqref="H34">
    <cfRule type="expression" dxfId="0" priority="1">
      <formula>$J$7&lt;&gt;"CLASS V"</formula>
    </cfRule>
  </conditionalFormatting>
  <dataValidations count="1">
    <dataValidation type="list" allowBlank="1" showInputMessage="1" sqref="J7" xr:uid="{00000000-0002-0000-0000-000000000000}">
      <formula1>"CLASS II,CLASS IV,CLASS V,CLASS VI"</formula1>
    </dataValidation>
  </dataValidations>
  <pageMargins left="0.94488188976377963" right="0.55118110236220474" top="0.78740157480314965" bottom="0.59055118110236227" header="0.51181102362204722" footer="0.51181102362204722"/>
  <pageSetup paperSize="9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5"/>
  <sheetViews>
    <sheetView workbookViewId="0">
      <selection activeCell="K24" sqref="K24"/>
    </sheetView>
  </sheetViews>
  <sheetFormatPr defaultRowHeight="18" customHeight="1"/>
  <cols>
    <col min="1" max="1" width="9.5" style="76" bestFit="1" customWidth="1"/>
    <col min="2" max="2" width="5.5" style="76" bestFit="1" customWidth="1"/>
    <col min="3" max="3" width="6" style="76" bestFit="1" customWidth="1"/>
    <col min="4" max="4" width="6.5" style="76" bestFit="1" customWidth="1"/>
    <col min="5" max="5" width="5.5" style="76" bestFit="1" customWidth="1"/>
    <col min="6" max="16384" width="9" style="6"/>
  </cols>
  <sheetData>
    <row r="1" spans="1:5" ht="18.75" customHeight="1">
      <c r="A1" s="155" t="s">
        <v>107</v>
      </c>
      <c r="B1" s="156" t="s">
        <v>137</v>
      </c>
      <c r="C1" s="157"/>
      <c r="D1" s="157"/>
      <c r="E1" s="158"/>
    </row>
    <row r="2" spans="1:5" ht="18" customHeight="1">
      <c r="A2" s="155"/>
      <c r="B2" s="155" t="s">
        <v>143</v>
      </c>
      <c r="C2" s="155"/>
      <c r="D2" s="155" t="s">
        <v>144</v>
      </c>
      <c r="E2" s="155"/>
    </row>
    <row r="3" spans="1:5" ht="18" customHeight="1">
      <c r="A3" s="155"/>
      <c r="B3" s="77" t="s">
        <v>108</v>
      </c>
      <c r="C3" s="77" t="s">
        <v>109</v>
      </c>
      <c r="D3" s="77" t="s">
        <v>108</v>
      </c>
      <c r="E3" s="77" t="s">
        <v>109</v>
      </c>
    </row>
    <row r="4" spans="1:5" ht="18" customHeight="1">
      <c r="A4" s="49" t="s">
        <v>111</v>
      </c>
      <c r="B4" s="49">
        <v>3.2</v>
      </c>
      <c r="C4" s="80" t="s">
        <v>112</v>
      </c>
      <c r="D4" s="49"/>
      <c r="E4" s="78"/>
    </row>
    <row r="5" spans="1:5" ht="18" customHeight="1">
      <c r="A5" s="49" t="s">
        <v>113</v>
      </c>
      <c r="B5" s="49">
        <v>3.2</v>
      </c>
      <c r="C5" s="80" t="s">
        <v>112</v>
      </c>
      <c r="D5" s="49"/>
      <c r="E5" s="78"/>
    </row>
    <row r="6" spans="1:5" ht="18" customHeight="1">
      <c r="A6" s="49" t="s">
        <v>114</v>
      </c>
      <c r="B6" s="49">
        <v>4.8</v>
      </c>
      <c r="C6" s="80" t="s">
        <v>112</v>
      </c>
      <c r="D6" s="49"/>
      <c r="E6" s="78"/>
    </row>
    <row r="7" spans="1:5" ht="18" customHeight="1">
      <c r="A7" s="49" t="s">
        <v>115</v>
      </c>
      <c r="B7" s="49">
        <v>6.5</v>
      </c>
      <c r="C7" s="80" t="s">
        <v>116</v>
      </c>
      <c r="D7" s="49"/>
      <c r="E7" s="78"/>
    </row>
    <row r="8" spans="1:5" ht="18" customHeight="1">
      <c r="A8" s="49" t="s">
        <v>117</v>
      </c>
      <c r="B8" s="49">
        <v>10</v>
      </c>
      <c r="C8" s="80" t="s">
        <v>116</v>
      </c>
      <c r="D8" s="49"/>
      <c r="E8" s="78"/>
    </row>
    <row r="9" spans="1:5" ht="18" customHeight="1">
      <c r="A9" s="49" t="s">
        <v>118</v>
      </c>
      <c r="B9" s="49">
        <v>10</v>
      </c>
      <c r="C9" s="80" t="s">
        <v>116</v>
      </c>
      <c r="D9" s="49"/>
      <c r="E9" s="78"/>
    </row>
    <row r="10" spans="1:5" ht="18" customHeight="1">
      <c r="A10" s="49" t="s">
        <v>119</v>
      </c>
      <c r="B10" s="49">
        <v>15</v>
      </c>
      <c r="C10" s="80" t="s">
        <v>120</v>
      </c>
      <c r="D10" s="49"/>
      <c r="E10" s="78"/>
    </row>
    <row r="11" spans="1:5" ht="18" customHeight="1">
      <c r="A11" s="49" t="s">
        <v>121</v>
      </c>
      <c r="B11" s="49">
        <v>18</v>
      </c>
      <c r="C11" s="80" t="s">
        <v>120</v>
      </c>
      <c r="D11" s="49"/>
      <c r="E11" s="78"/>
    </row>
    <row r="12" spans="1:5" ht="18" customHeight="1">
      <c r="A12" s="49" t="s">
        <v>110</v>
      </c>
      <c r="B12" s="49">
        <v>23</v>
      </c>
      <c r="C12" s="80" t="s">
        <v>122</v>
      </c>
      <c r="D12" s="49">
        <v>29.3</v>
      </c>
      <c r="E12" s="79" t="s">
        <v>125</v>
      </c>
    </row>
    <row r="13" spans="1:5" ht="18" customHeight="1">
      <c r="A13" s="49" t="s">
        <v>124</v>
      </c>
      <c r="B13" s="49">
        <v>28</v>
      </c>
      <c r="C13" s="80" t="s">
        <v>122</v>
      </c>
      <c r="D13" s="49">
        <v>38.299999999999997</v>
      </c>
      <c r="E13" s="79" t="s">
        <v>125</v>
      </c>
    </row>
    <row r="14" spans="1:5" ht="18" customHeight="1">
      <c r="A14" s="49" t="s">
        <v>123</v>
      </c>
      <c r="B14" s="49">
        <v>36</v>
      </c>
      <c r="C14" s="80" t="s">
        <v>126</v>
      </c>
      <c r="D14" s="49">
        <v>48.3</v>
      </c>
      <c r="E14" s="79" t="s">
        <v>125</v>
      </c>
    </row>
    <row r="15" spans="1:5" ht="18" customHeight="1">
      <c r="A15" s="49" t="s">
        <v>127</v>
      </c>
      <c r="B15" s="49">
        <v>46</v>
      </c>
      <c r="C15" s="80" t="s">
        <v>126</v>
      </c>
      <c r="D15" s="49">
        <v>60.3</v>
      </c>
      <c r="E15" s="79" t="s">
        <v>125</v>
      </c>
    </row>
    <row r="16" spans="1:5" ht="18" customHeight="1">
      <c r="A16" s="49" t="s">
        <v>128</v>
      </c>
      <c r="B16" s="49">
        <v>56</v>
      </c>
      <c r="C16" s="80" t="s">
        <v>129</v>
      </c>
      <c r="D16" s="49">
        <v>73.3</v>
      </c>
      <c r="E16" s="79" t="s">
        <v>125</v>
      </c>
    </row>
    <row r="17" spans="1:5" ht="18" customHeight="1">
      <c r="A17" s="49" t="s">
        <v>130</v>
      </c>
      <c r="B17" s="49">
        <v>68</v>
      </c>
      <c r="C17" s="80" t="s">
        <v>129</v>
      </c>
      <c r="D17" s="49">
        <v>88.3</v>
      </c>
      <c r="E17" s="79" t="s">
        <v>125</v>
      </c>
    </row>
    <row r="18" spans="1:5" ht="18" customHeight="1">
      <c r="A18" s="49" t="s">
        <v>131</v>
      </c>
      <c r="B18" s="49">
        <v>90</v>
      </c>
      <c r="C18" s="80" t="s">
        <v>132</v>
      </c>
      <c r="D18" s="49">
        <v>113.3</v>
      </c>
      <c r="E18" s="79" t="s">
        <v>125</v>
      </c>
    </row>
    <row r="19" spans="1:5" ht="18" customHeight="1">
      <c r="A19" s="49" t="s">
        <v>133</v>
      </c>
      <c r="B19" s="49">
        <v>115</v>
      </c>
      <c r="C19" s="80" t="s">
        <v>132</v>
      </c>
      <c r="D19" s="49">
        <v>128.30000000000001</v>
      </c>
      <c r="E19" s="79" t="s">
        <v>125</v>
      </c>
    </row>
    <row r="20" spans="1:5" ht="18" customHeight="1">
      <c r="A20" s="49" t="s">
        <v>134</v>
      </c>
      <c r="B20" s="49">
        <v>135</v>
      </c>
      <c r="C20" s="80" t="s">
        <v>135</v>
      </c>
      <c r="D20" s="49">
        <v>158.30000000000001</v>
      </c>
      <c r="E20" s="79" t="s">
        <v>125</v>
      </c>
    </row>
    <row r="21" spans="1:5" ht="18" customHeight="1">
      <c r="A21" s="49" t="s">
        <v>136</v>
      </c>
      <c r="B21" s="49">
        <v>180</v>
      </c>
      <c r="C21" s="80" t="s">
        <v>135</v>
      </c>
      <c r="D21" s="49">
        <v>203.3</v>
      </c>
      <c r="E21" s="79" t="s">
        <v>125</v>
      </c>
    </row>
    <row r="22" spans="1:5" ht="18" customHeight="1">
      <c r="A22" s="49" t="s">
        <v>138</v>
      </c>
      <c r="B22" s="49"/>
      <c r="C22" s="80"/>
      <c r="D22" s="49">
        <v>243.3</v>
      </c>
      <c r="E22" s="79" t="s">
        <v>125</v>
      </c>
    </row>
    <row r="23" spans="1:5" ht="18" customHeight="1">
      <c r="A23" s="49" t="s">
        <v>139</v>
      </c>
      <c r="B23" s="49"/>
      <c r="C23" s="80"/>
      <c r="D23" s="49">
        <v>298.3</v>
      </c>
      <c r="E23" s="79" t="s">
        <v>125</v>
      </c>
    </row>
    <row r="24" spans="1:5" ht="18" customHeight="1">
      <c r="A24" s="49" t="s">
        <v>140</v>
      </c>
      <c r="B24" s="49"/>
      <c r="C24" s="80"/>
      <c r="D24" s="49">
        <v>333.3</v>
      </c>
      <c r="E24" s="79" t="s">
        <v>125</v>
      </c>
    </row>
    <row r="25" spans="1:5" ht="18" customHeight="1">
      <c r="A25" s="49" t="s">
        <v>141</v>
      </c>
      <c r="B25" s="78"/>
      <c r="C25" s="78"/>
      <c r="D25" s="49">
        <v>358.3</v>
      </c>
      <c r="E25" s="79" t="s">
        <v>125</v>
      </c>
    </row>
  </sheetData>
  <mergeCells count="4">
    <mergeCell ref="A1:A3"/>
    <mergeCell ref="B2:C2"/>
    <mergeCell ref="D2:E2"/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6"/>
  <sheetViews>
    <sheetView workbookViewId="0">
      <selection activeCell="E2" sqref="E2"/>
    </sheetView>
  </sheetViews>
  <sheetFormatPr defaultRowHeight="14.25"/>
  <cols>
    <col min="1" max="1" width="6.5" bestFit="1" customWidth="1"/>
    <col min="2" max="2" width="27.25" bestFit="1" customWidth="1"/>
    <col min="4" max="4" width="5.5" bestFit="1" customWidth="1"/>
    <col min="5" max="6" width="8.5" bestFit="1" customWidth="1"/>
    <col min="7" max="12" width="10.5" bestFit="1" customWidth="1"/>
    <col min="13" max="26" width="11.625" bestFit="1" customWidth="1"/>
    <col min="27" max="27" width="12.75" bestFit="1" customWidth="1"/>
  </cols>
  <sheetData>
    <row r="1" spans="1:28" s="102" customFormat="1">
      <c r="A1" s="95" t="s">
        <v>152</v>
      </c>
      <c r="B1" s="107" t="s">
        <v>178</v>
      </c>
      <c r="C1" s="96"/>
      <c r="D1" s="97" t="s">
        <v>153</v>
      </c>
      <c r="E1" s="98" t="s">
        <v>154</v>
      </c>
      <c r="F1" s="99" t="s">
        <v>155</v>
      </c>
      <c r="G1" s="98" t="s">
        <v>156</v>
      </c>
      <c r="H1" s="98" t="s">
        <v>157</v>
      </c>
      <c r="I1" s="98" t="s">
        <v>158</v>
      </c>
      <c r="J1" s="98" t="s">
        <v>159</v>
      </c>
      <c r="K1" s="98" t="s">
        <v>160</v>
      </c>
      <c r="L1" s="98" t="s">
        <v>161</v>
      </c>
      <c r="M1" s="98" t="s">
        <v>162</v>
      </c>
      <c r="N1" s="100" t="s">
        <v>163</v>
      </c>
      <c r="O1" s="98" t="s">
        <v>164</v>
      </c>
      <c r="P1" s="98" t="s">
        <v>165</v>
      </c>
      <c r="Q1" s="98" t="s">
        <v>166</v>
      </c>
      <c r="R1" s="98" t="s">
        <v>167</v>
      </c>
      <c r="S1" s="98" t="s">
        <v>168</v>
      </c>
      <c r="T1" s="98" t="s">
        <v>169</v>
      </c>
      <c r="U1" s="98" t="s">
        <v>170</v>
      </c>
      <c r="V1" s="98" t="s">
        <v>171</v>
      </c>
      <c r="W1" s="98" t="s">
        <v>172</v>
      </c>
      <c r="X1" s="98" t="s">
        <v>173</v>
      </c>
      <c r="Y1" s="98" t="s">
        <v>174</v>
      </c>
      <c r="Z1" s="98" t="s">
        <v>175</v>
      </c>
      <c r="AA1" s="98" t="s">
        <v>176</v>
      </c>
      <c r="AB1" s="101"/>
    </row>
    <row r="2" spans="1:28">
      <c r="A2" s="103">
        <v>32</v>
      </c>
      <c r="B2" s="108" t="s">
        <v>179</v>
      </c>
      <c r="C2" s="104"/>
      <c r="D2" s="105" t="s">
        <v>177</v>
      </c>
      <c r="E2" s="106">
        <v>585</v>
      </c>
      <c r="F2" s="106">
        <v>845</v>
      </c>
      <c r="G2" s="106">
        <v>1500</v>
      </c>
      <c r="H2" s="106">
        <v>2550</v>
      </c>
      <c r="I2" s="106">
        <v>3900</v>
      </c>
      <c r="J2" s="106">
        <v>5500</v>
      </c>
      <c r="K2" s="106">
        <v>7400</v>
      </c>
      <c r="L2" s="106">
        <v>9100</v>
      </c>
      <c r="M2" s="106">
        <v>11500</v>
      </c>
      <c r="N2" s="106">
        <v>14000</v>
      </c>
      <c r="O2" s="106">
        <v>17000</v>
      </c>
      <c r="P2" s="106">
        <v>20500</v>
      </c>
      <c r="Q2" s="106">
        <v>23900</v>
      </c>
      <c r="R2" s="106">
        <v>27800</v>
      </c>
      <c r="S2" s="106">
        <v>31900</v>
      </c>
      <c r="T2" s="106">
        <v>36000</v>
      </c>
      <c r="U2" s="106">
        <v>41000</v>
      </c>
      <c r="V2" s="106">
        <v>49000</v>
      </c>
      <c r="W2" s="106">
        <v>61000</v>
      </c>
      <c r="X2" s="106">
        <v>73000</v>
      </c>
      <c r="Y2" s="106">
        <v>85600</v>
      </c>
      <c r="Z2" s="106">
        <v>92300</v>
      </c>
      <c r="AA2" s="106">
        <v>115000</v>
      </c>
    </row>
    <row r="13" spans="1:28" ht="15" thickBot="1">
      <c r="J13" s="109">
        <v>16</v>
      </c>
      <c r="K13" s="109">
        <v>14</v>
      </c>
      <c r="M13">
        <f>J13-K13</f>
        <v>2</v>
      </c>
    </row>
    <row r="14" spans="1:28" ht="15" thickBot="1">
      <c r="J14" s="109">
        <v>22</v>
      </c>
      <c r="K14" s="109">
        <v>20</v>
      </c>
      <c r="M14">
        <f t="shared" ref="M14:M26" si="0">J14-K14</f>
        <v>2</v>
      </c>
    </row>
    <row r="15" spans="1:28" ht="15" thickBot="1">
      <c r="J15" s="109">
        <v>400</v>
      </c>
      <c r="K15" s="109">
        <v>380</v>
      </c>
      <c r="M15">
        <f t="shared" si="0"/>
        <v>20</v>
      </c>
    </row>
    <row r="16" spans="1:28" ht="15" thickBot="1">
      <c r="J16" s="109">
        <v>800</v>
      </c>
      <c r="K16" s="109">
        <v>750</v>
      </c>
      <c r="M16">
        <f t="shared" si="0"/>
        <v>50</v>
      </c>
    </row>
    <row r="17" spans="10:13" ht="15" thickBot="1">
      <c r="J17" s="109">
        <v>16</v>
      </c>
      <c r="K17" s="109">
        <v>15</v>
      </c>
      <c r="M17">
        <f t="shared" si="0"/>
        <v>1</v>
      </c>
    </row>
    <row r="18" spans="10:13" ht="15" thickBot="1">
      <c r="J18" s="109">
        <v>15</v>
      </c>
      <c r="K18" s="109">
        <v>14</v>
      </c>
      <c r="M18">
        <f t="shared" si="0"/>
        <v>1</v>
      </c>
    </row>
    <row r="19" spans="10:13" ht="15" thickBot="1">
      <c r="J19" s="109">
        <v>22</v>
      </c>
      <c r="K19" s="109">
        <v>21</v>
      </c>
      <c r="M19">
        <f t="shared" si="0"/>
        <v>1</v>
      </c>
    </row>
    <row r="20" spans="10:13" ht="15" thickBot="1">
      <c r="J20" s="109">
        <v>21</v>
      </c>
      <c r="K20" s="109">
        <v>20</v>
      </c>
      <c r="M20">
        <f t="shared" si="0"/>
        <v>1</v>
      </c>
    </row>
    <row r="21" spans="10:13" ht="15" thickBot="1">
      <c r="J21" s="109">
        <v>12</v>
      </c>
      <c r="K21" s="109">
        <v>11.5</v>
      </c>
      <c r="M21">
        <f t="shared" si="0"/>
        <v>0.5</v>
      </c>
    </row>
    <row r="22" spans="10:13" ht="15" thickBot="1">
      <c r="J22" s="109">
        <v>11.5</v>
      </c>
      <c r="K22" s="109">
        <v>11</v>
      </c>
      <c r="M22">
        <f t="shared" si="0"/>
        <v>0.5</v>
      </c>
    </row>
    <row r="23" spans="10:13" ht="15" thickBot="1">
      <c r="J23" s="109">
        <v>22</v>
      </c>
      <c r="K23" s="109">
        <v>16</v>
      </c>
      <c r="M23">
        <f t="shared" si="0"/>
        <v>6</v>
      </c>
    </row>
    <row r="24" spans="10:13" ht="15" thickBot="1">
      <c r="J24" s="109">
        <v>16</v>
      </c>
      <c r="K24" s="109">
        <v>10</v>
      </c>
      <c r="M24">
        <f t="shared" si="0"/>
        <v>6</v>
      </c>
    </row>
    <row r="25" spans="10:13" ht="15" thickBot="1">
      <c r="J25" s="109">
        <v>1</v>
      </c>
      <c r="K25" s="109">
        <v>0.7</v>
      </c>
      <c r="M25">
        <f t="shared" si="0"/>
        <v>0.30000000000000004</v>
      </c>
    </row>
    <row r="26" spans="10:13" ht="15" thickBot="1">
      <c r="J26" s="109">
        <v>6</v>
      </c>
      <c r="K26" s="109">
        <v>5.7</v>
      </c>
      <c r="M26">
        <f t="shared" si="0"/>
        <v>0.29999999999999982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测试相关计算</vt:lpstr>
      <vt:lpstr>参考数据表</vt:lpstr>
      <vt:lpstr>Sheet2</vt:lpstr>
      <vt:lpstr>测试相关计算!Print_Area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2005-12-02T00:59:33Z</cp:lastPrinted>
  <dcterms:created xsi:type="dcterms:W3CDTF">1996-12-17T01:32:42Z</dcterms:created>
  <dcterms:modified xsi:type="dcterms:W3CDTF">2025-01-24T00:31:41Z</dcterms:modified>
</cp:coreProperties>
</file>