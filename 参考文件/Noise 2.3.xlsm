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KELK办公\信息化工作\207 自研系统\KELKCalCv\参考文件\"/>
    </mc:Choice>
  </mc:AlternateContent>
  <xr:revisionPtr revIDLastSave="0" documentId="13_ncr:1_{AB93AA2B-F14D-4311-B661-EADC4C55D008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Noise" sheetId="8" r:id="rId1"/>
    <sheet name="FluidData" sheetId="7" r:id="rId2"/>
    <sheet name="PipeData" sheetId="6" r:id="rId3"/>
    <sheet name="ValveData" sheetId="5" r:id="rId4"/>
    <sheet name="Revisions" sheetId="4" r:id="rId5"/>
  </sheets>
  <functionGroups builtInGroupCount="19"/>
  <definedNames>
    <definedName name="_Order1" localSheetId="3" hidden="1">0</definedName>
    <definedName name="_Order1" hidden="1">255</definedName>
    <definedName name="_Order2" localSheetId="3" hidden="1">0</definedName>
    <definedName name="_Order2" hidden="1">255</definedName>
    <definedName name="Application">Noise!$D$10</definedName>
    <definedName name="BodyType">Noise!$D$16</definedName>
    <definedName name="CompressibilityOption">Noise!$D$14</definedName>
    <definedName name="FlowDirection">Noise!$D$17</definedName>
    <definedName name="FlowDistributorDesign">Noise!$D$18</definedName>
    <definedName name="FlowRateType">Noise!$D$12</definedName>
    <definedName name="FluidList">FluidData!$A$10:$A$85</definedName>
    <definedName name="MethodOfSpecifyingDensity">Noise!$D$13</definedName>
    <definedName name="MOSPin">Noise!$E$21</definedName>
    <definedName name="MOSPout">Noise!$F$21</definedName>
    <definedName name="new_Order1" hidden="1">0</definedName>
    <definedName name="new_Order2" hidden="1">0</definedName>
    <definedName name="NomValveSizes">ValveData!$A$28:$A$51</definedName>
    <definedName name="PipeCorrectionFactorOption">Noise!$D$19</definedName>
    <definedName name="PipeTable" localSheetId="2">PipeData!$F$24:$F$255</definedName>
    <definedName name="_xlnm.Print_Area" localSheetId="0">Noise!$A$1:$K$79</definedName>
    <definedName name="TypeOfGas">Noise!$D$11</definedName>
    <definedName name="ValveType">Noise!$D$15</definedName>
    <definedName name="ValveTypes">ValveData!$A$4:$A$23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6" i="8" l="1"/>
  <c r="E87" i="8"/>
  <c r="F92" i="8"/>
  <c r="F51" i="5"/>
  <c r="E51" i="5"/>
  <c r="D51" i="5"/>
  <c r="E88" i="8"/>
  <c r="J51" i="5"/>
  <c r="I51" i="5"/>
  <c r="H51" i="5"/>
  <c r="G51" i="5"/>
  <c r="G145" i="8" l="1"/>
  <c r="L71" i="8"/>
  <c r="L69" i="8"/>
  <c r="L68" i="8"/>
  <c r="L67" i="8"/>
  <c r="L65" i="8"/>
  <c r="L64" i="8"/>
  <c r="L63" i="8"/>
  <c r="L66" i="8"/>
  <c r="E92" i="8"/>
  <c r="D64" i="8"/>
  <c r="D62" i="8"/>
  <c r="D59" i="8"/>
  <c r="D58" i="8"/>
  <c r="A72" i="8"/>
  <c r="A73" i="8"/>
  <c r="A187" i="8"/>
  <c r="E105" i="8"/>
  <c r="I105" i="8"/>
  <c r="F105" i="8"/>
  <c r="G105" i="8"/>
  <c r="E93" i="8" l="1"/>
  <c r="D48" i="8"/>
  <c r="D41" i="8"/>
  <c r="D37" i="8"/>
  <c r="D36" i="8"/>
  <c r="D25" i="8"/>
  <c r="L53" i="8"/>
  <c r="L54" i="8"/>
  <c r="L49" i="8"/>
  <c r="L48" i="8"/>
  <c r="L47" i="8"/>
  <c r="L46" i="8"/>
  <c r="L45" i="8"/>
  <c r="L44" i="8"/>
  <c r="L41" i="8"/>
  <c r="L40" i="8"/>
  <c r="L37" i="8"/>
  <c r="L36" i="8"/>
  <c r="L35" i="8"/>
  <c r="L26" i="8"/>
  <c r="L25" i="8"/>
  <c r="L24" i="8"/>
  <c r="L23" i="8"/>
  <c r="L22" i="8"/>
  <c r="L14" i="8"/>
  <c r="L13" i="8"/>
  <c r="A62" i="8"/>
  <c r="E165" i="8"/>
  <c r="E164" i="8"/>
  <c r="M77" i="8"/>
  <c r="O79" i="8"/>
  <c r="E33" i="8"/>
  <c r="F33" i="8" s="1"/>
  <c r="E32" i="8"/>
  <c r="F32" i="8" s="1"/>
  <c r="E31" i="8"/>
  <c r="F31" i="8" s="1"/>
  <c r="E30" i="8"/>
  <c r="F30" i="8" s="1"/>
  <c r="G229" i="8"/>
  <c r="G243" i="8" s="1"/>
  <c r="F229" i="8"/>
  <c r="F244" i="8" s="1"/>
  <c r="I146" i="8"/>
  <c r="H146" i="8"/>
  <c r="G146" i="8"/>
  <c r="F146" i="8"/>
  <c r="E146" i="8"/>
  <c r="E149" i="8" s="1"/>
  <c r="I145" i="8"/>
  <c r="H145" i="8"/>
  <c r="F145" i="8"/>
  <c r="E145" i="8"/>
  <c r="O141" i="8"/>
  <c r="O140" i="8"/>
  <c r="A126" i="8"/>
  <c r="A125" i="8"/>
  <c r="A124" i="8"/>
  <c r="A123" i="8"/>
  <c r="A122" i="8"/>
  <c r="O117" i="8"/>
  <c r="O111" i="8"/>
  <c r="N111" i="8"/>
  <c r="N110" i="8"/>
  <c r="N109" i="8"/>
  <c r="N107" i="8"/>
  <c r="O105" i="8"/>
  <c r="N105" i="8"/>
  <c r="O103" i="8"/>
  <c r="N103" i="8"/>
  <c r="N102" i="8"/>
  <c r="O98" i="8"/>
  <c r="N98" i="8"/>
  <c r="O96" i="8"/>
  <c r="N96" i="8"/>
  <c r="O94" i="8"/>
  <c r="N94" i="8"/>
  <c r="O93" i="8"/>
  <c r="N93" i="8"/>
  <c r="F87" i="8"/>
  <c r="E83" i="8"/>
  <c r="E82" i="8"/>
  <c r="D71" i="8"/>
  <c r="D69" i="8"/>
  <c r="A69" i="8"/>
  <c r="A67" i="8"/>
  <c r="N66" i="8"/>
  <c r="A64" i="8"/>
  <c r="D73" i="8"/>
  <c r="N53" i="8"/>
  <c r="O52" i="8"/>
  <c r="F58" i="8"/>
  <c r="D43" i="8"/>
  <c r="D26" i="8"/>
  <c r="G6" i="8"/>
  <c r="G5" i="8"/>
  <c r="I1" i="8"/>
  <c r="AO149" i="7"/>
  <c r="AO148" i="7"/>
  <c r="AR147" i="7"/>
  <c r="AO147" i="7"/>
  <c r="AR146" i="7"/>
  <c r="AR145" i="7"/>
  <c r="AQ145" i="7"/>
  <c r="AP145" i="7"/>
  <c r="AO145" i="7"/>
  <c r="AR144" i="7"/>
  <c r="AQ144" i="7"/>
  <c r="AP144" i="7"/>
  <c r="AO144" i="7"/>
  <c r="AR143" i="7"/>
  <c r="AR141" i="7"/>
  <c r="AQ141" i="7"/>
  <c r="AP141" i="7"/>
  <c r="AR140" i="7"/>
  <c r="AQ140" i="7"/>
  <c r="AP140" i="7"/>
  <c r="AO139" i="7"/>
  <c r="AO138" i="7"/>
  <c r="AO137" i="7"/>
  <c r="AQ135" i="7"/>
  <c r="AP135" i="7"/>
  <c r="AO135" i="7"/>
  <c r="AR134" i="7"/>
  <c r="AQ134" i="7"/>
  <c r="AP134" i="7"/>
  <c r="AO134" i="7"/>
  <c r="AQ133" i="7"/>
  <c r="AP133" i="7"/>
  <c r="AO133" i="7"/>
  <c r="AR132" i="7"/>
  <c r="AO132" i="7"/>
  <c r="AR130" i="7"/>
  <c r="AQ129" i="7"/>
  <c r="AP129" i="7"/>
  <c r="AO128" i="7"/>
  <c r="AR126" i="7"/>
  <c r="AR125" i="7"/>
  <c r="AQ125" i="7"/>
  <c r="AP125" i="7"/>
  <c r="AQ124" i="7"/>
  <c r="AP124" i="7"/>
  <c r="AR123" i="7"/>
  <c r="AO123" i="7"/>
  <c r="AR122" i="7"/>
  <c r="AQ122" i="7"/>
  <c r="AP122" i="7"/>
  <c r="AO122" i="7"/>
  <c r="AR121" i="7"/>
  <c r="AO121" i="7"/>
  <c r="AR120" i="7"/>
  <c r="AQ119" i="7"/>
  <c r="AP119" i="7"/>
  <c r="AO119" i="7"/>
  <c r="AR118" i="7"/>
  <c r="AQ118" i="7"/>
  <c r="AP118" i="7"/>
  <c r="AR117" i="7"/>
  <c r="AQ117" i="7"/>
  <c r="AP117" i="7"/>
  <c r="AO117" i="7"/>
  <c r="AR116" i="7"/>
  <c r="AQ116" i="7"/>
  <c r="AP116" i="7"/>
  <c r="AO116" i="7"/>
  <c r="AQ115" i="7"/>
  <c r="AP115" i="7"/>
  <c r="AO115" i="7"/>
  <c r="AR112" i="7"/>
  <c r="AQ112" i="7"/>
  <c r="AP112" i="7"/>
  <c r="AR111" i="7"/>
  <c r="AR110" i="7"/>
  <c r="AQ110" i="7"/>
  <c r="AP110" i="7"/>
  <c r="AO110" i="7"/>
  <c r="AR109" i="7"/>
  <c r="AO109" i="7"/>
  <c r="AQ108" i="7"/>
  <c r="AP108" i="7"/>
  <c r="AO107" i="7"/>
  <c r="AR106" i="7"/>
  <c r="AO106" i="7"/>
  <c r="AO105" i="7"/>
  <c r="AR104" i="7"/>
  <c r="AQ104" i="7"/>
  <c r="AP104" i="7"/>
  <c r="AO104" i="7"/>
  <c r="AR103" i="7"/>
  <c r="AQ103" i="7"/>
  <c r="AP103" i="7"/>
  <c r="AO103" i="7"/>
  <c r="D256" i="6"/>
  <c r="E255" i="6"/>
  <c r="D255" i="6"/>
  <c r="E254" i="6"/>
  <c r="D254" i="6"/>
  <c r="E253" i="6"/>
  <c r="D253" i="6"/>
  <c r="E252" i="6"/>
  <c r="D252" i="6"/>
  <c r="D251" i="6"/>
  <c r="E250" i="6"/>
  <c r="D250" i="6"/>
  <c r="E249" i="6"/>
  <c r="D249" i="6"/>
  <c r="E248" i="6"/>
  <c r="D248" i="6"/>
  <c r="E247" i="6"/>
  <c r="D247" i="6"/>
  <c r="E246" i="6"/>
  <c r="D246" i="6"/>
  <c r="D245" i="6"/>
  <c r="E244" i="6"/>
  <c r="D244" i="6"/>
  <c r="E243" i="6"/>
  <c r="D243" i="6"/>
  <c r="E242" i="6"/>
  <c r="D242" i="6"/>
  <c r="E241" i="6"/>
  <c r="D241" i="6"/>
  <c r="E240" i="6"/>
  <c r="D240" i="6"/>
  <c r="D239" i="6"/>
  <c r="E238" i="6"/>
  <c r="D238" i="6"/>
  <c r="D237" i="6"/>
  <c r="E236" i="6"/>
  <c r="D236" i="6"/>
  <c r="E235" i="6"/>
  <c r="D235" i="6"/>
  <c r="D234" i="6"/>
  <c r="E233" i="6"/>
  <c r="D233" i="6"/>
  <c r="E232" i="6"/>
  <c r="D232" i="6"/>
  <c r="D231" i="6"/>
  <c r="E230" i="6"/>
  <c r="D230" i="6"/>
  <c r="E229" i="6"/>
  <c r="D229" i="6"/>
  <c r="D228" i="6"/>
  <c r="E227" i="6"/>
  <c r="D227" i="6"/>
  <c r="E226" i="6"/>
  <c r="D226" i="6"/>
  <c r="E225" i="6"/>
  <c r="D225" i="6"/>
  <c r="D224" i="6"/>
  <c r="E223" i="6"/>
  <c r="D223" i="6"/>
  <c r="E222" i="6"/>
  <c r="D222" i="6"/>
  <c r="E221" i="6"/>
  <c r="D221" i="6"/>
  <c r="E220" i="6"/>
  <c r="D220" i="6"/>
  <c r="E219" i="6"/>
  <c r="D219" i="6"/>
  <c r="E218" i="6"/>
  <c r="D218" i="6"/>
  <c r="E217" i="6"/>
  <c r="D217" i="6"/>
  <c r="E216" i="6"/>
  <c r="D216" i="6"/>
  <c r="E215" i="6"/>
  <c r="D215" i="6"/>
  <c r="E214" i="6"/>
  <c r="D214" i="6"/>
  <c r="E213" i="6"/>
  <c r="D213" i="6"/>
  <c r="E212" i="6"/>
  <c r="D212" i="6"/>
  <c r="D211" i="6"/>
  <c r="E210" i="6"/>
  <c r="D210" i="6"/>
  <c r="D209" i="6"/>
  <c r="E208" i="6"/>
  <c r="D208" i="6"/>
  <c r="E207" i="6"/>
  <c r="D207" i="6"/>
  <c r="E206" i="6"/>
  <c r="D206" i="6"/>
  <c r="E205" i="6"/>
  <c r="D205" i="6"/>
  <c r="E204" i="6"/>
  <c r="D204" i="6"/>
  <c r="E203" i="6"/>
  <c r="D203" i="6"/>
  <c r="E202" i="6"/>
  <c r="D202" i="6"/>
  <c r="D201" i="6"/>
  <c r="E200" i="6"/>
  <c r="D200" i="6"/>
  <c r="D199" i="6"/>
  <c r="E198" i="6"/>
  <c r="D198" i="6"/>
  <c r="E197" i="6"/>
  <c r="D197" i="6"/>
  <c r="E196" i="6"/>
  <c r="D196" i="6"/>
  <c r="E195" i="6"/>
  <c r="D195" i="6"/>
  <c r="E194" i="6"/>
  <c r="D194" i="6"/>
  <c r="E193" i="6"/>
  <c r="D193" i="6"/>
  <c r="E192" i="6"/>
  <c r="D192" i="6"/>
  <c r="E191" i="6"/>
  <c r="D191" i="6"/>
  <c r="E190" i="6"/>
  <c r="D190" i="6"/>
  <c r="E189" i="6"/>
  <c r="D189" i="6"/>
  <c r="D188" i="6"/>
  <c r="E187" i="6"/>
  <c r="D187" i="6"/>
  <c r="D186" i="6"/>
  <c r="E185" i="6"/>
  <c r="D185" i="6"/>
  <c r="E184" i="6"/>
  <c r="D184" i="6"/>
  <c r="E183" i="6"/>
  <c r="D183" i="6"/>
  <c r="E182" i="6"/>
  <c r="D182" i="6"/>
  <c r="E181" i="6"/>
  <c r="D181" i="6"/>
  <c r="E180" i="6"/>
  <c r="D180" i="6"/>
  <c r="E179" i="6"/>
  <c r="D179" i="6"/>
  <c r="E178" i="6"/>
  <c r="D178" i="6"/>
  <c r="E177" i="6"/>
  <c r="D177" i="6"/>
  <c r="E176" i="6"/>
  <c r="D176" i="6"/>
  <c r="E175" i="6"/>
  <c r="D175" i="6"/>
  <c r="E174" i="6"/>
  <c r="D174" i="6"/>
  <c r="E173" i="6"/>
  <c r="D173" i="6"/>
  <c r="E172" i="6"/>
  <c r="D172" i="6"/>
  <c r="E171" i="6"/>
  <c r="D171" i="6"/>
  <c r="E170" i="6"/>
  <c r="D170" i="6"/>
  <c r="E169" i="6"/>
  <c r="D169" i="6"/>
  <c r="E168" i="6"/>
  <c r="D168" i="6"/>
  <c r="E167" i="6"/>
  <c r="D167" i="6"/>
  <c r="E166" i="6"/>
  <c r="D166" i="6"/>
  <c r="E165" i="6"/>
  <c r="D165" i="6"/>
  <c r="E164" i="6"/>
  <c r="D164" i="6"/>
  <c r="D163" i="6"/>
  <c r="E162" i="6"/>
  <c r="D162" i="6"/>
  <c r="D161" i="6"/>
  <c r="E160" i="6"/>
  <c r="D160" i="6"/>
  <c r="E159" i="6"/>
  <c r="D159" i="6"/>
  <c r="E158" i="6"/>
  <c r="D158" i="6"/>
  <c r="E157" i="6"/>
  <c r="D157" i="6"/>
  <c r="E156" i="6"/>
  <c r="D156" i="6"/>
  <c r="E155" i="6"/>
  <c r="D155" i="6"/>
  <c r="E154" i="6"/>
  <c r="D154" i="6"/>
  <c r="E153" i="6"/>
  <c r="D153" i="6"/>
  <c r="E152" i="6"/>
  <c r="D152" i="6"/>
  <c r="E151" i="6"/>
  <c r="D151" i="6"/>
  <c r="E150" i="6"/>
  <c r="D150" i="6"/>
  <c r="E149" i="6"/>
  <c r="D149" i="6"/>
  <c r="D148" i="6"/>
  <c r="E147" i="6"/>
  <c r="D147" i="6"/>
  <c r="E146" i="6"/>
  <c r="D146" i="6"/>
  <c r="E145" i="6"/>
  <c r="D145" i="6"/>
  <c r="E144" i="6"/>
  <c r="D144" i="6"/>
  <c r="E143" i="6"/>
  <c r="D143" i="6"/>
  <c r="E142" i="6"/>
  <c r="D142" i="6"/>
  <c r="D141" i="6"/>
  <c r="E140" i="6"/>
  <c r="D140" i="6"/>
  <c r="E139" i="6"/>
  <c r="D139" i="6"/>
  <c r="E138" i="6"/>
  <c r="D138" i="6"/>
  <c r="E137" i="6"/>
  <c r="D137" i="6"/>
  <c r="D136" i="6"/>
  <c r="E135" i="6"/>
  <c r="D135" i="6"/>
  <c r="E134" i="6"/>
  <c r="D134" i="6"/>
  <c r="D133" i="6"/>
  <c r="E132" i="6"/>
  <c r="D132" i="6"/>
  <c r="E131" i="6"/>
  <c r="D131" i="6"/>
  <c r="E130" i="6"/>
  <c r="D130" i="6"/>
  <c r="E129" i="6"/>
  <c r="D129" i="6"/>
  <c r="E128" i="6"/>
  <c r="D128" i="6"/>
  <c r="D127" i="6"/>
  <c r="E126" i="6"/>
  <c r="D126" i="6"/>
  <c r="E125" i="6"/>
  <c r="D125" i="6"/>
  <c r="E124" i="6"/>
  <c r="D124" i="6"/>
  <c r="E123" i="6"/>
  <c r="D123" i="6"/>
  <c r="D122" i="6"/>
  <c r="D121" i="6"/>
  <c r="E120" i="6"/>
  <c r="D120" i="6"/>
  <c r="D119" i="6"/>
  <c r="D118" i="6"/>
  <c r="E117" i="6"/>
  <c r="D117" i="6"/>
  <c r="E116" i="6"/>
  <c r="D116" i="6"/>
  <c r="E115" i="6"/>
  <c r="D115" i="6"/>
  <c r="E114" i="6"/>
  <c r="D114" i="6"/>
  <c r="E113" i="6"/>
  <c r="D113" i="6"/>
  <c r="E112" i="6"/>
  <c r="D112" i="6"/>
  <c r="E111" i="6"/>
  <c r="D111" i="6"/>
  <c r="E110" i="6"/>
  <c r="D110" i="6"/>
  <c r="E109" i="6"/>
  <c r="D109" i="6"/>
  <c r="D108" i="6"/>
  <c r="D107" i="6"/>
  <c r="E106" i="6"/>
  <c r="D106" i="6"/>
  <c r="E105" i="6"/>
  <c r="D105" i="6"/>
  <c r="D104" i="6"/>
  <c r="D103" i="6"/>
  <c r="E102" i="6"/>
  <c r="D102" i="6"/>
  <c r="E101" i="6"/>
  <c r="D101" i="6"/>
  <c r="E100" i="6"/>
  <c r="D100" i="6"/>
  <c r="E99" i="6"/>
  <c r="D99" i="6"/>
  <c r="E98" i="6"/>
  <c r="D98" i="6"/>
  <c r="E97" i="6"/>
  <c r="D97" i="6"/>
  <c r="E96" i="6"/>
  <c r="D96" i="6"/>
  <c r="D95" i="6"/>
  <c r="D94" i="6"/>
  <c r="E93" i="6"/>
  <c r="D93" i="6"/>
  <c r="D92" i="6"/>
  <c r="D91" i="6"/>
  <c r="E90" i="6"/>
  <c r="D90" i="6"/>
  <c r="E89" i="6"/>
  <c r="D89" i="6"/>
  <c r="E88" i="6"/>
  <c r="D88" i="6"/>
  <c r="E87" i="6"/>
  <c r="D87" i="6"/>
  <c r="E86" i="6"/>
  <c r="D86" i="6"/>
  <c r="D85" i="6"/>
  <c r="D84" i="6"/>
  <c r="E83" i="6"/>
  <c r="D83" i="6"/>
  <c r="D82" i="6"/>
  <c r="D81" i="6"/>
  <c r="E80" i="6"/>
  <c r="D80" i="6"/>
  <c r="E79" i="6"/>
  <c r="D79" i="6"/>
  <c r="E78" i="6"/>
  <c r="D78" i="6"/>
  <c r="E77" i="6"/>
  <c r="D77" i="6"/>
  <c r="E76" i="6"/>
  <c r="D76" i="6"/>
  <c r="D75" i="6"/>
  <c r="D74" i="6"/>
  <c r="E73" i="6"/>
  <c r="D73" i="6"/>
  <c r="D72" i="6"/>
  <c r="D71" i="6"/>
  <c r="E70" i="6"/>
  <c r="D70" i="6"/>
  <c r="E69" i="6"/>
  <c r="D69" i="6"/>
  <c r="E68" i="6"/>
  <c r="D68" i="6"/>
  <c r="E67" i="6"/>
  <c r="D67" i="6"/>
  <c r="D66" i="6"/>
  <c r="D65" i="6"/>
  <c r="E64" i="6"/>
  <c r="D64" i="6"/>
  <c r="D63" i="6"/>
  <c r="D62" i="6"/>
  <c r="E61" i="6"/>
  <c r="D61" i="6"/>
  <c r="E60" i="6"/>
  <c r="D60" i="6"/>
  <c r="E59" i="6"/>
  <c r="D59" i="6"/>
  <c r="E58" i="6"/>
  <c r="D58" i="6"/>
  <c r="D57" i="6"/>
  <c r="D56" i="6"/>
  <c r="E55" i="6"/>
  <c r="D55" i="6"/>
  <c r="D54" i="6"/>
  <c r="D53" i="6"/>
  <c r="E52" i="6"/>
  <c r="D52" i="6"/>
  <c r="E51" i="6"/>
  <c r="D51" i="6"/>
  <c r="E50" i="6"/>
  <c r="D50" i="6"/>
  <c r="E49" i="6"/>
  <c r="D49" i="6"/>
  <c r="D48" i="6"/>
  <c r="D47" i="6"/>
  <c r="E46" i="6"/>
  <c r="D46" i="6"/>
  <c r="D45" i="6"/>
  <c r="D44" i="6"/>
  <c r="E43" i="6"/>
  <c r="D43" i="6"/>
  <c r="E42" i="6"/>
  <c r="D42" i="6"/>
  <c r="E41" i="6"/>
  <c r="D41" i="6"/>
  <c r="E40" i="6"/>
  <c r="D40" i="6"/>
  <c r="D39" i="6"/>
  <c r="D38" i="6"/>
  <c r="E37" i="6"/>
  <c r="D37" i="6"/>
  <c r="D36" i="6"/>
  <c r="D35" i="6"/>
  <c r="E34" i="6"/>
  <c r="D34" i="6"/>
  <c r="E33" i="6"/>
  <c r="D33" i="6"/>
  <c r="E32" i="6"/>
  <c r="D32" i="6"/>
  <c r="E31" i="6"/>
  <c r="D31" i="6"/>
  <c r="D30" i="6"/>
  <c r="D29" i="6"/>
  <c r="E28" i="6"/>
  <c r="D28" i="6"/>
  <c r="D27" i="6"/>
  <c r="D26" i="6"/>
  <c r="E25" i="6"/>
  <c r="D25" i="6"/>
  <c r="E24" i="6"/>
  <c r="D24" i="6"/>
  <c r="E23" i="6"/>
  <c r="D23" i="6"/>
  <c r="E22" i="6"/>
  <c r="D22" i="6"/>
  <c r="D21" i="6"/>
  <c r="D20" i="6"/>
  <c r="E19" i="6"/>
  <c r="D19" i="6"/>
  <c r="D18" i="6"/>
  <c r="D17" i="6"/>
  <c r="E16" i="6"/>
  <c r="D16" i="6"/>
  <c r="E15" i="6"/>
  <c r="D15" i="6"/>
  <c r="E14" i="6"/>
  <c r="D14" i="6"/>
  <c r="E13" i="6"/>
  <c r="D13" i="6"/>
  <c r="D12" i="6"/>
  <c r="D11" i="6"/>
  <c r="E10" i="6"/>
  <c r="D10" i="6"/>
  <c r="D9" i="6"/>
  <c r="D8" i="6"/>
  <c r="E7" i="6"/>
  <c r="D7" i="6"/>
  <c r="E6" i="6"/>
  <c r="D6" i="6"/>
  <c r="E21" i="5"/>
  <c r="E18" i="5"/>
  <c r="N85" i="8"/>
  <c r="O106" i="8"/>
  <c r="I149" i="8"/>
  <c r="N84" i="8"/>
  <c r="N106" i="8"/>
  <c r="O84" i="8"/>
  <c r="O85" i="8"/>
  <c r="O107" i="8"/>
  <c r="O110" i="8"/>
  <c r="E110" i="8"/>
  <c r="I110" i="8"/>
  <c r="H110" i="8"/>
  <c r="H105" i="8"/>
  <c r="E85" i="8"/>
  <c r="E84" i="8"/>
  <c r="I106" i="8"/>
  <c r="E106" i="8"/>
  <c r="G110" i="8"/>
  <c r="G106" i="8"/>
  <c r="F110" i="8"/>
  <c r="F106" i="8"/>
  <c r="AO5" i="7"/>
  <c r="O58" i="8"/>
  <c r="E101" i="8"/>
  <c r="I102" i="8"/>
  <c r="F83" i="8"/>
  <c r="E122" i="8"/>
  <c r="F102" i="8"/>
  <c r="E170" i="8"/>
  <c r="AO3" i="7"/>
  <c r="O57" i="8"/>
  <c r="F101" i="8"/>
  <c r="G109" i="8"/>
  <c r="H109" i="8"/>
  <c r="G102" i="8"/>
  <c r="F82" i="8"/>
  <c r="H170" i="8"/>
  <c r="F88" i="8"/>
  <c r="I109" i="8"/>
  <c r="H102" i="8"/>
  <c r="AO4" i="7"/>
  <c r="O126" i="8"/>
  <c r="F170" i="8"/>
  <c r="O50" i="8"/>
  <c r="G101" i="8"/>
  <c r="O122" i="8"/>
  <c r="G170" i="8"/>
  <c r="F89" i="8"/>
  <c r="E102" i="8"/>
  <c r="O101" i="8"/>
  <c r="H101" i="8"/>
  <c r="O102" i="8"/>
  <c r="F109" i="8"/>
  <c r="E109" i="8"/>
  <c r="I170" i="8"/>
  <c r="O170" i="8"/>
  <c r="O54" i="8"/>
  <c r="O109" i="8"/>
  <c r="E118" i="8"/>
  <c r="O71" i="8"/>
  <c r="I101" i="8"/>
  <c r="AQ150" i="7" l="1"/>
  <c r="AQ126" i="7"/>
  <c r="AQ121" i="7"/>
  <c r="AQ149" i="7"/>
  <c r="AQ131" i="7"/>
  <c r="AQ128" i="7"/>
  <c r="AQ114" i="7"/>
  <c r="AO108" i="7"/>
  <c r="AO126" i="7"/>
  <c r="AP113" i="7"/>
  <c r="AR107" i="7"/>
  <c r="AP106" i="7"/>
  <c r="AP114" i="7"/>
  <c r="AO129" i="7"/>
  <c r="AO111" i="7"/>
  <c r="AP120" i="7"/>
  <c r="AR115" i="7"/>
  <c r="AR150" i="7"/>
  <c r="AP109" i="7"/>
  <c r="AO113" i="7"/>
  <c r="AO118" i="7"/>
  <c r="AO124" i="7"/>
  <c r="AR137" i="7"/>
  <c r="AR138" i="7"/>
  <c r="AR142" i="7"/>
  <c r="AP146" i="7"/>
  <c r="AO131" i="7"/>
  <c r="AP132" i="7"/>
  <c r="AR135" i="7"/>
  <c r="AR136" i="7"/>
  <c r="AR139" i="7"/>
  <c r="AP105" i="7"/>
  <c r="AQ111" i="7"/>
  <c r="G234" i="8"/>
  <c r="AP107" i="7"/>
  <c r="AR131" i="7"/>
  <c r="AR108" i="7"/>
  <c r="AO114" i="7"/>
  <c r="AQ109" i="7"/>
  <c r="F234" i="8"/>
  <c r="AQ142" i="7"/>
  <c r="AP136" i="7"/>
  <c r="AR113" i="7"/>
  <c r="AO125" i="7"/>
  <c r="AQ120" i="7"/>
  <c r="AQ136" i="7"/>
  <c r="AQ113" i="7"/>
  <c r="AR114" i="7"/>
  <c r="AR119" i="7"/>
  <c r="AO136" i="7"/>
  <c r="AP111" i="7"/>
  <c r="AP137" i="7"/>
  <c r="AO130" i="7"/>
  <c r="AR124" i="7"/>
  <c r="AQ106" i="7"/>
  <c r="AR133" i="7"/>
  <c r="AO127" i="7"/>
  <c r="AQ127" i="7"/>
  <c r="AQ132" i="7"/>
  <c r="AP143" i="7"/>
  <c r="AO143" i="7"/>
  <c r="AQ137" i="7"/>
  <c r="AP123" i="7"/>
  <c r="AO120" i="7"/>
  <c r="AQ130" i="7"/>
  <c r="AO141" i="7"/>
  <c r="AP147" i="7"/>
  <c r="AQ139" i="7"/>
  <c r="G233" i="8"/>
  <c r="AP130" i="7"/>
  <c r="AP138" i="7"/>
  <c r="AP121" i="7"/>
  <c r="AP142" i="7"/>
  <c r="AP127" i="7"/>
  <c r="AO150" i="7"/>
  <c r="AR148" i="7"/>
  <c r="AR129" i="7"/>
  <c r="AQ105" i="7"/>
  <c r="AQ143" i="7"/>
  <c r="F237" i="8"/>
  <c r="F242" i="8"/>
  <c r="AP148" i="7"/>
  <c r="AO112" i="7"/>
  <c r="AQ123" i="7"/>
  <c r="AP139" i="7"/>
  <c r="AP128" i="7"/>
  <c r="AR149" i="7"/>
  <c r="AP131" i="7"/>
  <c r="AQ107" i="7"/>
  <c r="AQ147" i="7"/>
  <c r="G231" i="8"/>
  <c r="AQ138" i="7"/>
  <c r="AO140" i="7"/>
  <c r="AP126" i="7"/>
  <c r="AO142" i="7"/>
  <c r="AP149" i="7"/>
  <c r="AQ146" i="7"/>
  <c r="AR127" i="7"/>
  <c r="AO146" i="7"/>
  <c r="AP150" i="7"/>
  <c r="AQ148" i="7"/>
  <c r="AR128" i="7"/>
  <c r="AR105" i="7"/>
  <c r="G242" i="8"/>
  <c r="H106" i="8"/>
  <c r="H107" i="8" s="1"/>
  <c r="H172" i="8" s="1"/>
  <c r="H173" i="8" s="1"/>
  <c r="F238" i="8"/>
  <c r="G230" i="8"/>
  <c r="G238" i="8"/>
  <c r="G235" i="8"/>
  <c r="E185" i="8"/>
  <c r="G232" i="8"/>
  <c r="G236" i="8"/>
  <c r="G240" i="8"/>
  <c r="G244" i="8"/>
  <c r="M76" i="8"/>
  <c r="G241" i="8"/>
  <c r="G239" i="8"/>
  <c r="G149" i="8"/>
  <c r="F236" i="8"/>
  <c r="F240" i="8"/>
  <c r="F149" i="8"/>
  <c r="F241" i="8"/>
  <c r="F233" i="8"/>
  <c r="F232" i="8"/>
  <c r="H149" i="8"/>
  <c r="G237" i="8"/>
  <c r="F243" i="8"/>
  <c r="F239" i="8"/>
  <c r="F235" i="8"/>
  <c r="F231" i="8"/>
  <c r="F230" i="8"/>
  <c r="E184" i="8"/>
  <c r="E111" i="8"/>
  <c r="F111" i="8"/>
  <c r="G22" i="8"/>
  <c r="E94" i="8"/>
  <c r="F94" i="8"/>
  <c r="F93" i="8"/>
  <c r="O55" i="8"/>
  <c r="I111" i="8"/>
  <c r="I71" i="8" s="1"/>
  <c r="H111" i="8"/>
  <c r="G111" i="8"/>
  <c r="F90" i="8"/>
  <c r="I103" i="8"/>
  <c r="E171" i="8"/>
  <c r="E107" i="8"/>
  <c r="E172" i="8" s="1"/>
  <c r="E103" i="8"/>
  <c r="I171" i="8"/>
  <c r="G103" i="8"/>
  <c r="F171" i="8"/>
  <c r="G171" i="8"/>
  <c r="H171" i="8"/>
  <c r="H103" i="8"/>
  <c r="I107" i="8"/>
  <c r="F103" i="8"/>
  <c r="G107" i="8"/>
  <c r="F107" i="8"/>
  <c r="F172" i="8" s="1"/>
  <c r="F173" i="8" s="1"/>
  <c r="I172" i="8"/>
  <c r="I173" i="8" s="1"/>
  <c r="G172" i="8"/>
  <c r="G173" i="8" s="1"/>
  <c r="E108" i="8"/>
  <c r="M64" i="8"/>
  <c r="G100" i="8"/>
  <c r="E173" i="8" l="1"/>
  <c r="E64" i="8"/>
  <c r="E104" i="8"/>
  <c r="F104" i="8"/>
  <c r="G104" i="8"/>
  <c r="E162" i="8"/>
  <c r="H162" i="8"/>
  <c r="G162" i="8"/>
  <c r="F162" i="8"/>
  <c r="I162" i="8"/>
  <c r="G99" i="8"/>
  <c r="G166" i="8"/>
  <c r="G204" i="8" s="1"/>
  <c r="I166" i="8"/>
  <c r="I204" i="8" s="1"/>
  <c r="H166" i="8"/>
  <c r="H204" i="8" s="1"/>
  <c r="H104" i="8"/>
  <c r="F166" i="8"/>
  <c r="F204" i="8" s="1"/>
  <c r="I104" i="8"/>
  <c r="E166" i="8"/>
  <c r="E204" i="8" s="1"/>
  <c r="E95" i="8"/>
  <c r="E96" i="8"/>
  <c r="E98" i="8" s="1"/>
  <c r="E181" i="8"/>
  <c r="E182" i="8"/>
  <c r="O128" i="8"/>
  <c r="M65" i="8"/>
  <c r="I108" i="8"/>
  <c r="E123" i="8"/>
  <c r="H108" i="8"/>
  <c r="F108" i="8"/>
  <c r="G108" i="8"/>
  <c r="E65" i="8" l="1"/>
  <c r="F65" i="8"/>
  <c r="E126" i="8"/>
  <c r="G174" i="8"/>
  <c r="E174" i="8"/>
  <c r="I174" i="8"/>
  <c r="F174" i="8"/>
  <c r="H174" i="8"/>
  <c r="E97" i="8"/>
  <c r="I119" i="8"/>
  <c r="I189" i="8"/>
  <c r="I73" i="8" s="1"/>
  <c r="I188" i="8"/>
  <c r="I52" i="8"/>
  <c r="I50" i="8"/>
  <c r="I141" i="8"/>
  <c r="H71" i="8"/>
  <c r="I54" i="8" l="1"/>
  <c r="I72" i="8"/>
  <c r="I115" i="8"/>
  <c r="E124" i="8"/>
  <c r="E68" i="8" s="1"/>
  <c r="I211" i="8"/>
  <c r="H211" i="8"/>
  <c r="F211" i="8"/>
  <c r="E211" i="8"/>
  <c r="G211" i="8"/>
  <c r="F175" i="8"/>
  <c r="F176" i="8" s="1"/>
  <c r="E175" i="8"/>
  <c r="E176" i="8" s="1"/>
  <c r="H175" i="8"/>
  <c r="H176" i="8" s="1"/>
  <c r="I175" i="8"/>
  <c r="I176" i="8" s="1"/>
  <c r="G175" i="8"/>
  <c r="G176" i="8" s="1"/>
  <c r="I143" i="8"/>
  <c r="I153" i="8" s="1"/>
  <c r="I154" i="8" s="1"/>
  <c r="I60" i="8"/>
  <c r="H188" i="8"/>
  <c r="H189" i="8"/>
  <c r="H73" i="8"/>
  <c r="H50" i="8"/>
  <c r="G189" i="8"/>
  <c r="F189" i="8"/>
  <c r="G188" i="8"/>
  <c r="F188" i="8"/>
  <c r="F71" i="8"/>
  <c r="G71" i="8"/>
  <c r="I128" i="8"/>
  <c r="F128" i="8"/>
  <c r="G128" i="8"/>
  <c r="E128" i="8"/>
  <c r="H128" i="8"/>
  <c r="E125" i="8"/>
  <c r="E67" i="8"/>
  <c r="E71" i="8"/>
  <c r="E188" i="8"/>
  <c r="E189" i="8"/>
  <c r="I137" i="8" l="1"/>
  <c r="I138" i="8" s="1"/>
  <c r="I139" i="8" s="1"/>
  <c r="I134" i="8"/>
  <c r="I135" i="8" s="1"/>
  <c r="I136" i="8" s="1"/>
  <c r="E137" i="8"/>
  <c r="E138" i="8" s="1"/>
  <c r="E139" i="8" s="1"/>
  <c r="E134" i="8"/>
  <c r="E135" i="8" s="1"/>
  <c r="E136" i="8" s="1"/>
  <c r="H137" i="8"/>
  <c r="H138" i="8" s="1"/>
  <c r="H139" i="8" s="1"/>
  <c r="H134" i="8"/>
  <c r="H135" i="8" s="1"/>
  <c r="H136" i="8" s="1"/>
  <c r="H74" i="8" s="1"/>
  <c r="G137" i="8"/>
  <c r="G138" i="8" s="1"/>
  <c r="G139" i="8" s="1"/>
  <c r="G134" i="8"/>
  <c r="G135" i="8" s="1"/>
  <c r="G136" i="8" s="1"/>
  <c r="F137" i="8"/>
  <c r="F138" i="8" s="1"/>
  <c r="F139" i="8" s="1"/>
  <c r="F134" i="8"/>
  <c r="F135" i="8" s="1"/>
  <c r="F136" i="8" s="1"/>
  <c r="I152" i="8"/>
  <c r="I161" i="8" s="1"/>
  <c r="F72" i="8"/>
  <c r="G72" i="8"/>
  <c r="H72" i="8"/>
  <c r="E72" i="8"/>
  <c r="J73" i="8"/>
  <c r="I144" i="8"/>
  <c r="I167" i="8" s="1"/>
  <c r="I168" i="8" s="1"/>
  <c r="I155" i="8"/>
  <c r="I169" i="8" s="1"/>
  <c r="H52" i="8"/>
  <c r="H119" i="8"/>
  <c r="H141" i="8"/>
  <c r="G50" i="8"/>
  <c r="F50" i="8"/>
  <c r="F73" i="8"/>
  <c r="G73" i="8"/>
  <c r="G52" i="8"/>
  <c r="F52" i="8"/>
  <c r="H129" i="8"/>
  <c r="G129" i="8"/>
  <c r="I130" i="8"/>
  <c r="I131" i="8" s="1"/>
  <c r="G130" i="8"/>
  <c r="H130" i="8"/>
  <c r="H131" i="8" s="1"/>
  <c r="F129" i="8"/>
  <c r="I129" i="8"/>
  <c r="F130" i="8"/>
  <c r="F131" i="8" s="1"/>
  <c r="G131" i="8"/>
  <c r="E129" i="8"/>
  <c r="E130" i="8"/>
  <c r="E131" i="8" s="1"/>
  <c r="E127" i="8"/>
  <c r="G190" i="8"/>
  <c r="I190" i="8"/>
  <c r="F190" i="8"/>
  <c r="H190" i="8"/>
  <c r="E190" i="8"/>
  <c r="I140" i="8"/>
  <c r="G98" i="8"/>
  <c r="E52" i="8"/>
  <c r="E73" i="8"/>
  <c r="H140" i="8"/>
  <c r="F140" i="8"/>
  <c r="E117" i="8"/>
  <c r="E69" i="8"/>
  <c r="E50" i="8"/>
  <c r="G140" i="8"/>
  <c r="H114" i="8" l="1"/>
  <c r="E114" i="8"/>
  <c r="E115" i="8" s="1"/>
  <c r="F114" i="8"/>
  <c r="G114" i="8"/>
  <c r="I183" i="8"/>
  <c r="I114" i="8"/>
  <c r="F191" i="8"/>
  <c r="F205" i="8" s="1"/>
  <c r="F206" i="8" s="1"/>
  <c r="F193" i="8"/>
  <c r="F194" i="8" s="1"/>
  <c r="F192" i="8"/>
  <c r="H193" i="8"/>
  <c r="H192" i="8"/>
  <c r="H201" i="8" s="1"/>
  <c r="H202" i="8" s="1"/>
  <c r="H191" i="8"/>
  <c r="H205" i="8" s="1"/>
  <c r="H206" i="8" s="1"/>
  <c r="G193" i="8"/>
  <c r="G194" i="8" s="1"/>
  <c r="G198" i="8" s="1"/>
  <c r="G192" i="8"/>
  <c r="G201" i="8" s="1"/>
  <c r="G202" i="8" s="1"/>
  <c r="G191" i="8"/>
  <c r="G205" i="8" s="1"/>
  <c r="G206" i="8" s="1"/>
  <c r="E191" i="8"/>
  <c r="E205" i="8" s="1"/>
  <c r="E206" i="8" s="1"/>
  <c r="E193" i="8"/>
  <c r="E192" i="8"/>
  <c r="E199" i="8" s="1"/>
  <c r="E200" i="8" s="1"/>
  <c r="I193" i="8"/>
  <c r="I194" i="8" s="1"/>
  <c r="I198" i="8" s="1"/>
  <c r="I191" i="8"/>
  <c r="I205" i="8" s="1"/>
  <c r="I206" i="8" s="1"/>
  <c r="I192" i="8"/>
  <c r="I201" i="8" s="1"/>
  <c r="I202" i="8" s="1"/>
  <c r="F148" i="8"/>
  <c r="F150" i="8" s="1"/>
  <c r="F147" i="8"/>
  <c r="I147" i="8"/>
  <c r="I148" i="8"/>
  <c r="I150" i="8" s="1"/>
  <c r="G148" i="8"/>
  <c r="G150" i="8" s="1"/>
  <c r="G147" i="8"/>
  <c r="H148" i="8"/>
  <c r="H150" i="8" s="1"/>
  <c r="H147" i="8"/>
  <c r="I74" i="8"/>
  <c r="F115" i="8"/>
  <c r="G115" i="8"/>
  <c r="H115" i="8"/>
  <c r="E183" i="8"/>
  <c r="H183" i="8"/>
  <c r="F183" i="8"/>
  <c r="G183" i="8"/>
  <c r="I159" i="8"/>
  <c r="I160" i="8" s="1"/>
  <c r="G195" i="8"/>
  <c r="G207" i="8" s="1"/>
  <c r="I157" i="8"/>
  <c r="I156" i="8"/>
  <c r="I158" i="8" s="1"/>
  <c r="H60" i="8"/>
  <c r="H54" i="8"/>
  <c r="F143" i="8"/>
  <c r="G143" i="8"/>
  <c r="G54" i="8"/>
  <c r="F54" i="8"/>
  <c r="H143" i="8"/>
  <c r="G119" i="8"/>
  <c r="F119" i="8"/>
  <c r="G74" i="8"/>
  <c r="F141" i="8"/>
  <c r="G141" i="8"/>
  <c r="F74" i="8"/>
  <c r="G60" i="8"/>
  <c r="F60" i="8"/>
  <c r="E74" i="8"/>
  <c r="F142" i="8"/>
  <c r="H142" i="8"/>
  <c r="G142" i="8"/>
  <c r="I142" i="8"/>
  <c r="E58" i="8"/>
  <c r="E140" i="8"/>
  <c r="E119" i="8"/>
  <c r="E201" i="8" l="1"/>
  <c r="E202" i="8" s="1"/>
  <c r="E203" i="8" s="1"/>
  <c r="F195" i="8"/>
  <c r="F207" i="8" s="1"/>
  <c r="H199" i="8"/>
  <c r="H200" i="8" s="1"/>
  <c r="I199" i="8"/>
  <c r="I203" i="8" s="1"/>
  <c r="I209" i="8" s="1"/>
  <c r="H151" i="8"/>
  <c r="F151" i="8"/>
  <c r="I151" i="8"/>
  <c r="G151" i="8"/>
  <c r="G199" i="8"/>
  <c r="G200" i="8" s="1"/>
  <c r="F59" i="8"/>
  <c r="E148" i="8"/>
  <c r="E150" i="8" s="1"/>
  <c r="E147" i="8"/>
  <c r="E194" i="8"/>
  <c r="E195" i="8" s="1"/>
  <c r="F201" i="8"/>
  <c r="F202" i="8" s="1"/>
  <c r="F199" i="8"/>
  <c r="H194" i="8"/>
  <c r="H198" i="8" s="1"/>
  <c r="H209" i="8" s="1"/>
  <c r="H203" i="8"/>
  <c r="H208" i="8" s="1"/>
  <c r="H210" i="8" s="1"/>
  <c r="F197" i="8"/>
  <c r="I195" i="8"/>
  <c r="I207" i="8" s="1"/>
  <c r="E116" i="8"/>
  <c r="G196" i="8"/>
  <c r="G197" i="8"/>
  <c r="I163" i="8"/>
  <c r="I177" i="8" s="1"/>
  <c r="I180" i="8" s="1"/>
  <c r="H152" i="8"/>
  <c r="H161" i="8" s="1"/>
  <c r="G152" i="8"/>
  <c r="G161" i="8" s="1"/>
  <c r="F152" i="8"/>
  <c r="F161" i="8" s="1"/>
  <c r="E152" i="8"/>
  <c r="F144" i="8"/>
  <c r="F167" i="8" s="1"/>
  <c r="F168" i="8" s="1"/>
  <c r="F153" i="8"/>
  <c r="F154" i="8" s="1"/>
  <c r="F155" i="8" s="1"/>
  <c r="F156" i="8" s="1"/>
  <c r="G144" i="8"/>
  <c r="G167" i="8" s="1"/>
  <c r="G168" i="8" s="1"/>
  <c r="G153" i="8"/>
  <c r="G154" i="8" s="1"/>
  <c r="H153" i="8"/>
  <c r="H144" i="8"/>
  <c r="H167" i="8" s="1"/>
  <c r="H168" i="8" s="1"/>
  <c r="E57" i="8"/>
  <c r="E60" i="8"/>
  <c r="E141" i="8"/>
  <c r="E142" i="8"/>
  <c r="G203" i="8" l="1"/>
  <c r="I200" i="8"/>
  <c r="I208" i="8" s="1"/>
  <c r="I210" i="8" s="1"/>
  <c r="F196" i="8"/>
  <c r="F198" i="8" s="1"/>
  <c r="E151" i="8"/>
  <c r="J53" i="8"/>
  <c r="J179" i="8" s="1"/>
  <c r="E207" i="8"/>
  <c r="E197" i="8"/>
  <c r="E196" i="8"/>
  <c r="F200" i="8"/>
  <c r="F203" i="8"/>
  <c r="H195" i="8"/>
  <c r="I197" i="8"/>
  <c r="I178" i="8"/>
  <c r="I196" i="8"/>
  <c r="G155" i="8"/>
  <c r="G169" i="8" s="1"/>
  <c r="F157" i="8"/>
  <c r="F158" i="8" s="1"/>
  <c r="F169" i="8"/>
  <c r="F159" i="8"/>
  <c r="F160" i="8" s="1"/>
  <c r="G159" i="8"/>
  <c r="G160" i="8" s="1"/>
  <c r="H154" i="8"/>
  <c r="H155" i="8" s="1"/>
  <c r="H159" i="8"/>
  <c r="H160" i="8" s="1"/>
  <c r="E143" i="8"/>
  <c r="F212" i="8"/>
  <c r="I186" i="8"/>
  <c r="I212" i="8"/>
  <c r="E54" i="8"/>
  <c r="G208" i="8" l="1"/>
  <c r="G210" i="8" s="1"/>
  <c r="G209" i="8"/>
  <c r="F209" i="8"/>
  <c r="E153" i="8"/>
  <c r="E154" i="8" s="1"/>
  <c r="E155" i="8" s="1"/>
  <c r="E169" i="8" s="1"/>
  <c r="E144" i="8"/>
  <c r="E159" i="8" s="1"/>
  <c r="E160" i="8" s="1"/>
  <c r="E161" i="8"/>
  <c r="F208" i="8"/>
  <c r="F210" i="8" s="1"/>
  <c r="E198" i="8"/>
  <c r="H207" i="8"/>
  <c r="H196" i="8"/>
  <c r="H197" i="8"/>
  <c r="I79" i="8"/>
  <c r="I55" i="8"/>
  <c r="G157" i="8"/>
  <c r="G156" i="8"/>
  <c r="F163" i="8"/>
  <c r="G163" i="8"/>
  <c r="H163" i="8"/>
  <c r="H169" i="8"/>
  <c r="H156" i="8"/>
  <c r="H157" i="8"/>
  <c r="E157" i="8" l="1"/>
  <c r="E163" i="8"/>
  <c r="E167" i="8"/>
  <c r="E168" i="8" s="1"/>
  <c r="E156" i="8"/>
  <c r="E158" i="8" s="1"/>
  <c r="E208" i="8"/>
  <c r="E210" i="8" s="1"/>
  <c r="E209" i="8"/>
  <c r="H158" i="8"/>
  <c r="G158" i="8"/>
  <c r="G177" i="8" s="1"/>
  <c r="G180" i="8" s="1"/>
  <c r="F177" i="8"/>
  <c r="F180" i="8" s="1"/>
  <c r="F178" i="8"/>
  <c r="E212" i="8"/>
  <c r="H212" i="8"/>
  <c r="F186" i="8"/>
  <c r="H177" i="8" l="1"/>
  <c r="H180" i="8" s="1"/>
  <c r="H178" i="8"/>
  <c r="G178" i="8"/>
  <c r="E178" i="8"/>
  <c r="E177" i="8"/>
  <c r="E180" i="8" s="1"/>
  <c r="F79" i="8"/>
  <c r="F55" i="8"/>
  <c r="G186" i="8"/>
  <c r="G212" i="8"/>
  <c r="E186" i="8"/>
  <c r="H186" i="8"/>
  <c r="H55" i="8" l="1"/>
  <c r="H79" i="8"/>
  <c r="G79" i="8"/>
  <c r="G55" i="8"/>
  <c r="E79" i="8"/>
  <c r="E55" i="8"/>
</calcChain>
</file>

<file path=xl/sharedStrings.xml><?xml version="1.0" encoding="utf-8"?>
<sst xmlns="http://schemas.openxmlformats.org/spreadsheetml/2006/main" count="1633" uniqueCount="893">
  <si>
    <t>Developer notes and revision information:</t>
  </si>
  <si>
    <t>Date</t>
  </si>
  <si>
    <t>Author</t>
  </si>
  <si>
    <t>Rev</t>
  </si>
  <si>
    <t>Chg Num</t>
  </si>
  <si>
    <t>Description</t>
  </si>
  <si>
    <t>-</t>
  </si>
  <si>
    <t>Release</t>
  </si>
  <si>
    <t>Table 1.  Valve Sizing Indices</t>
  </si>
  <si>
    <t>Valve Type</t>
  </si>
  <si>
    <t>Cv/d^2</t>
  </si>
  <si>
    <t>FL</t>
  </si>
  <si>
    <t>XT</t>
  </si>
  <si>
    <t>Fd</t>
  </si>
  <si>
    <t>Kc</t>
  </si>
  <si>
    <t>OptPn</t>
  </si>
  <si>
    <t>No</t>
  </si>
  <si>
    <t>Aeta</t>
  </si>
  <si>
    <t>Stp</t>
  </si>
  <si>
    <t>dSPLsw</t>
  </si>
  <si>
    <t>FD?</t>
  </si>
  <si>
    <t>Custom Vector, 530/540</t>
  </si>
  <si>
    <t>Calc'd</t>
  </si>
  <si>
    <t>Custom Vector Choke</t>
  </si>
  <si>
    <t>Standard Vector Choke</t>
  </si>
  <si>
    <t>Std Vector, 510/520</t>
  </si>
  <si>
    <t>Cage Guided, Drilled Hole, =%, Full</t>
  </si>
  <si>
    <t>Cage Guided, Drilled Hole, =%, Reduced</t>
  </si>
  <si>
    <t>Cage Guided, Drilled Hole, Linear, Full</t>
  </si>
  <si>
    <t>Cage Guided, Drilled Hole, Linear, Reduced</t>
  </si>
  <si>
    <t>High Performance Butterfly</t>
  </si>
  <si>
    <t>Segmented Ball</t>
  </si>
  <si>
    <t>Eccentric Spherical Ball</t>
  </si>
  <si>
    <t>Single Seat Globe, P Port, Flow to Open</t>
  </si>
  <si>
    <t>Single Seat Globe, P Port, Flow to Close</t>
  </si>
  <si>
    <t>Single Seat Globe, V Port</t>
  </si>
  <si>
    <t>Single Seat Globe, On/Off</t>
  </si>
  <si>
    <t>Double Seat Globe, P Port</t>
  </si>
  <si>
    <t>Double Seat Globe, V Port</t>
  </si>
  <si>
    <t>Top Guided Globe</t>
  </si>
  <si>
    <t>Cage Guided Globe, Flow to Open</t>
  </si>
  <si>
    <t>Cage Guided Globe, Flow to Close</t>
  </si>
  <si>
    <t>PipeData, Revision -</t>
  </si>
  <si>
    <t>NPS and Schdedule</t>
  </si>
  <si>
    <t>OD</t>
  </si>
  <si>
    <t>Thk</t>
  </si>
  <si>
    <t>ID</t>
  </si>
  <si>
    <t>Pipe</t>
  </si>
  <si>
    <t>in.</t>
  </si>
  <si>
    <t>TL</t>
  </si>
  <si>
    <t>0.5in (12mm), Schd 10S</t>
  </si>
  <si>
    <t>0.5in (12mm), Schd 40</t>
  </si>
  <si>
    <t>0.5in (12mm), Schd 40S</t>
  </si>
  <si>
    <t>0.5in (12mm), Schd STD</t>
  </si>
  <si>
    <t>0.5in (12mm), Schd 80</t>
  </si>
  <si>
    <t>0.5in (12mm), Schd 80S</t>
  </si>
  <si>
    <t>0.5in (12mm), Schd XS</t>
  </si>
  <si>
    <t>0.5in (12mm), Schd 160</t>
  </si>
  <si>
    <t>0.5in (12mm), Schd XXS</t>
  </si>
  <si>
    <t>0.75in (19mm), Schd 10S</t>
  </si>
  <si>
    <t>0.75in (19mm), Schd 40</t>
  </si>
  <si>
    <t>0.75in (19mm), Schd 40S</t>
  </si>
  <si>
    <t>0.75in (19mm), Schd STD</t>
  </si>
  <si>
    <t>0.75in (19mm), Schd 80</t>
  </si>
  <si>
    <t>0.75in (19mm), Schd 80S</t>
  </si>
  <si>
    <t>0.75in (19mm), Schd XS</t>
  </si>
  <si>
    <t>0.75in (19mm), Schd 160</t>
  </si>
  <si>
    <t>0.75in (19mm), Schd XXS</t>
  </si>
  <si>
    <t>1in (25mm), Schd 10S</t>
  </si>
  <si>
    <t>1in (25mm), Schd 40</t>
  </si>
  <si>
    <t>1in (25mm), Schd 40S</t>
  </si>
  <si>
    <t>1in (25mm), Schd STD</t>
  </si>
  <si>
    <t>1in (25mm), Schd 80</t>
  </si>
  <si>
    <t>1in (25mm), Schd 80S</t>
  </si>
  <si>
    <t>1in (25mm), Schd XS</t>
  </si>
  <si>
    <t>1in (25mm), Schd 160</t>
  </si>
  <si>
    <t>1in (25mm), Schd XXS</t>
  </si>
  <si>
    <t>1.5in (38mm), Schd 10S</t>
  </si>
  <si>
    <t>1.5in (38mm), Schd 40</t>
  </si>
  <si>
    <t>1.5in (38mm), Schd 40S</t>
  </si>
  <si>
    <t>1.5in (38mm), Schd STD</t>
  </si>
  <si>
    <t>1.5in (38mm), Schd 80</t>
  </si>
  <si>
    <t>1.5in (38mm), Schd 80S</t>
  </si>
  <si>
    <t>1.5in (38mm), Schd XS</t>
  </si>
  <si>
    <t>1.5in (38mm), Schd 160</t>
  </si>
  <si>
    <t>1.5in (38mm), Schd XXS</t>
  </si>
  <si>
    <t>2in (50mm), Schd 10S</t>
  </si>
  <si>
    <t>2in (50mm), Schd 40</t>
  </si>
  <si>
    <t>2in (50mm), Schd 40S</t>
  </si>
  <si>
    <t>2in (50mm), Schd STD</t>
  </si>
  <si>
    <t>2in (50mm), Schd 80</t>
  </si>
  <si>
    <t>2in (50mm), Schd 80S</t>
  </si>
  <si>
    <t>2in (50mm), Schd XS</t>
  </si>
  <si>
    <t>2in (50mm), Schd 160</t>
  </si>
  <si>
    <t>2in (50mm), Schd XXS</t>
  </si>
  <si>
    <t>2.5in (63mm), Schd 10S</t>
  </si>
  <si>
    <t>2.5in (63mm), Schd 40</t>
  </si>
  <si>
    <t>2.5in (63mm), Schd 40S</t>
  </si>
  <si>
    <t>2.5in (63mm), Schd STD</t>
  </si>
  <si>
    <t>2.5in (63mm), Schd 80</t>
  </si>
  <si>
    <t>2.5in (63mm), Schd 80S</t>
  </si>
  <si>
    <t>2.5in (63mm), Schd XS</t>
  </si>
  <si>
    <t>2.5in (63mm), Schd 160</t>
  </si>
  <si>
    <t>2.5in (63mm), Schd XXS</t>
  </si>
  <si>
    <t>3in (80mm), Schd 10S</t>
  </si>
  <si>
    <t>3in (80mm), Schd 40</t>
  </si>
  <si>
    <t>3in (80mm), Schd 40S</t>
  </si>
  <si>
    <t>3in (80mm), Schd STD</t>
  </si>
  <si>
    <t>3in (80mm), Schd 80</t>
  </si>
  <si>
    <t>3in (80mm), Schd 80S</t>
  </si>
  <si>
    <t>3in (80mm), Schd XS</t>
  </si>
  <si>
    <t>3in (80mm), Schd 160</t>
  </si>
  <si>
    <t>3in (80mm), Schd XXS</t>
  </si>
  <si>
    <t>4in (100mm), Schd 10S</t>
  </si>
  <si>
    <t>4in (100mm), Schd 40</t>
  </si>
  <si>
    <t>4in (100mm), Schd 40S</t>
  </si>
  <si>
    <t>4in (100mm), Schd STD</t>
  </si>
  <si>
    <t>4in (100mm), Schd 80</t>
  </si>
  <si>
    <t>4in (100mm), Schd 80S</t>
  </si>
  <si>
    <t>4in (100mm), Schd XS</t>
  </si>
  <si>
    <t>4in (100mm), Schd 120</t>
  </si>
  <si>
    <t>4in (100mm), Schd 160</t>
  </si>
  <si>
    <t>4in (100mm), Schd XXS</t>
  </si>
  <si>
    <t>5in (125mm), Schd 10S</t>
  </si>
  <si>
    <t>5in (125mm), Schd 40</t>
  </si>
  <si>
    <t>5in (125mm), Schd 40S</t>
  </si>
  <si>
    <t>5in (125mm), Schd STD</t>
  </si>
  <si>
    <t>5in (125mm), Schd 80</t>
  </si>
  <si>
    <t>5in (125mm), Schd 80S</t>
  </si>
  <si>
    <t>5in (125mm), Schd XS</t>
  </si>
  <si>
    <t>5in (125mm), Schd 120</t>
  </si>
  <si>
    <t>5in (125mm), Schd 160</t>
  </si>
  <si>
    <t>5in (125mm), Schd XXS</t>
  </si>
  <si>
    <t>6in (150mm), Schd 10S</t>
  </si>
  <si>
    <t>6in (150mm), Schd 40</t>
  </si>
  <si>
    <t>6in (150mm), Schd 40S</t>
  </si>
  <si>
    <t>6in (150mm), Schd STD</t>
  </si>
  <si>
    <t>6in (150mm), Schd 80</t>
  </si>
  <si>
    <t>6in (150mm), Schd 80S</t>
  </si>
  <si>
    <t>6in (150mm), Schd XS</t>
  </si>
  <si>
    <t>6in (150mm), Schd 120</t>
  </si>
  <si>
    <t>6in (150mm), Schd 160</t>
  </si>
  <si>
    <t>6in (150mm), Schd XXS</t>
  </si>
  <si>
    <t>8in (200mm), Schd 10S</t>
  </si>
  <si>
    <t>8in (200mm), Schd 20</t>
  </si>
  <si>
    <t>8in (200mm), Schd 30</t>
  </si>
  <si>
    <t>8in (200mm), Schd 40</t>
  </si>
  <si>
    <t>8in (200mm), Schd 40S</t>
  </si>
  <si>
    <t>8in (200mm), Schd STD</t>
  </si>
  <si>
    <t>8in (200mm), Schd 60</t>
  </si>
  <si>
    <t>8in (200mm), Schd 80</t>
  </si>
  <si>
    <t>8in (200mm), Schd 80S</t>
  </si>
  <si>
    <t>8in (200mm), Schd XS</t>
  </si>
  <si>
    <t>8in (200mm), Schd 100</t>
  </si>
  <si>
    <t>8in (200mm), Schd 120</t>
  </si>
  <si>
    <t>8in (200mm), Schd 140</t>
  </si>
  <si>
    <t>8in (200mm), Schd XXS</t>
  </si>
  <si>
    <t>8in (200mm), Schd 160</t>
  </si>
  <si>
    <t>10in (250mm), Schd 10S</t>
  </si>
  <si>
    <t>10in (250mm), Schd 20</t>
  </si>
  <si>
    <t>10in (250mm), Schd 30</t>
  </si>
  <si>
    <t>10in (250mm), Schd 40</t>
  </si>
  <si>
    <t>10in (250mm), Schd 40S</t>
  </si>
  <si>
    <t>10in (250mm), Schd STD</t>
  </si>
  <si>
    <t>10in (250mm), Schd 60</t>
  </si>
  <si>
    <t>10in (250mm), Schd 80S</t>
  </si>
  <si>
    <t>10in (250mm), Schd XS</t>
  </si>
  <si>
    <t>10in (250mm), Schd 80</t>
  </si>
  <si>
    <t>10in (250mm), Schd 100</t>
  </si>
  <si>
    <t>10in (250mm), Schd 120</t>
  </si>
  <si>
    <t>10in (250mm), Schd 140</t>
  </si>
  <si>
    <t>10in (250mm), Schd XXS</t>
  </si>
  <si>
    <t>10in (250mm), Schd 160</t>
  </si>
  <si>
    <t>12in (300mm), Schd 10S</t>
  </si>
  <si>
    <t>12in (300mm), Schd 20</t>
  </si>
  <si>
    <t>12in (300mm), Schd 30</t>
  </si>
  <si>
    <t>12in (300mm), Schd 40S</t>
  </si>
  <si>
    <t>12in (300mm), Schd STD</t>
  </si>
  <si>
    <t>12in (300mm), Schd 40</t>
  </si>
  <si>
    <t>12in (300mm), Schd 80S</t>
  </si>
  <si>
    <t>12in (300mm), Schd XS</t>
  </si>
  <si>
    <t>12in (300mm), Schd 60</t>
  </si>
  <si>
    <t>12in (300mm), Schd 80</t>
  </si>
  <si>
    <t>12in (300mm), Schd 100</t>
  </si>
  <si>
    <t>12in (300mm), Schd 120</t>
  </si>
  <si>
    <t>12in (300mm), Schd XXS</t>
  </si>
  <si>
    <t>12in (300mm), Schd 140</t>
  </si>
  <si>
    <t>12in (300mm), Schd 160</t>
  </si>
  <si>
    <t>14in (350mm), Schd 10S</t>
  </si>
  <si>
    <t>14in (350mm), Schd 10</t>
  </si>
  <si>
    <t>14in (350mm), Schd 20</t>
  </si>
  <si>
    <t>14in (350mm), Schd 30</t>
  </si>
  <si>
    <t>14in (350mm), Schd STD</t>
  </si>
  <si>
    <t>14in (350mm), Schd 40</t>
  </si>
  <si>
    <t>14in (350mm), Schd XS</t>
  </si>
  <si>
    <t>14in (350mm), Schd 60</t>
  </si>
  <si>
    <t>14in (350mm), Schd 80</t>
  </si>
  <si>
    <t>14in (350mm), Schd 100</t>
  </si>
  <si>
    <t>14in (350mm), Schd 120</t>
  </si>
  <si>
    <t>14in (350mm), Schd 140</t>
  </si>
  <si>
    <t>14in (350mm), Schd 160</t>
  </si>
  <si>
    <t>16in (400mm), Schd 10S</t>
  </si>
  <si>
    <t>16in (400mm), Schd 10</t>
  </si>
  <si>
    <t>16in (400mm), Schd 20</t>
  </si>
  <si>
    <t>16in (400mm), Schd 30</t>
  </si>
  <si>
    <t>16in (400mm), Schd STD</t>
  </si>
  <si>
    <t>16in (400mm), Schd 40</t>
  </si>
  <si>
    <t>16in (400mm), Schd XS</t>
  </si>
  <si>
    <t>16in (400mm), Schd 60</t>
  </si>
  <si>
    <t>16in (400mm), Schd 80</t>
  </si>
  <si>
    <t>16in (400mm), Schd 100</t>
  </si>
  <si>
    <t>16in (400mm), Schd 120</t>
  </si>
  <si>
    <t>16in (400mm), Schd 140</t>
  </si>
  <si>
    <t>16in (400mm), Schd 160</t>
  </si>
  <si>
    <t>18in (450mm), Schd 10S</t>
  </si>
  <si>
    <t>18in (450mm), Schd 10</t>
  </si>
  <si>
    <t>18in (450mm), Schd 20</t>
  </si>
  <si>
    <t>18in (450mm), Schd STD</t>
  </si>
  <si>
    <t>18in (450mm), Schd 30</t>
  </si>
  <si>
    <t>18in (450mm), Schd XS</t>
  </si>
  <si>
    <t>18in (450mm), Schd 40</t>
  </si>
  <si>
    <t>18in (450mm), Schd 60</t>
  </si>
  <si>
    <t>18in (450mm), Schd 80</t>
  </si>
  <si>
    <t>18in (450mm), Schd 100</t>
  </si>
  <si>
    <t>18in (450mm), Schd 120</t>
  </si>
  <si>
    <t>18in (450mm), Schd 140</t>
  </si>
  <si>
    <t>18in (450mm), Schd 160</t>
  </si>
  <si>
    <t>20in (500mm), Schd 10S</t>
  </si>
  <si>
    <t>20in (500mm), Schd 10</t>
  </si>
  <si>
    <t>20in (500mm), Schd 20</t>
  </si>
  <si>
    <t>20in (500mm), Schd STD</t>
  </si>
  <si>
    <t>20in (500mm), Schd 30</t>
  </si>
  <si>
    <t>20in (500mm), Schd XS</t>
  </si>
  <si>
    <t>20in (500mm), Schd 40</t>
  </si>
  <si>
    <t>20in (500mm), Schd 60</t>
  </si>
  <si>
    <t>20in (500mm), Schd 80</t>
  </si>
  <si>
    <t>20in (500mm), Schd 100</t>
  </si>
  <si>
    <t>20in (500mm), Schd 120</t>
  </si>
  <si>
    <t>20in (500mm), Schd 140</t>
  </si>
  <si>
    <t>20in (500mm), Schd 160</t>
  </si>
  <si>
    <t>22in (550mm), Schd 10S</t>
  </si>
  <si>
    <t>22in (550mm), Schd 10</t>
  </si>
  <si>
    <t>22in (550mm), Schd 20</t>
  </si>
  <si>
    <t>22in (550mm), Schd STD</t>
  </si>
  <si>
    <t>22in (550mm), Schd 30</t>
  </si>
  <si>
    <t>22in (550mm), Schd XS</t>
  </si>
  <si>
    <t>22in (550mm), Schd 60</t>
  </si>
  <si>
    <t>22in (550mm), Schd 80</t>
  </si>
  <si>
    <t>22in (550mm), Schd 100</t>
  </si>
  <si>
    <t>22in (550mm), Schd 120</t>
  </si>
  <si>
    <t>22in (550mm), Schd 140</t>
  </si>
  <si>
    <t>22in (550mm), Schd 160</t>
  </si>
  <si>
    <t>24in (600mm), Schd 10</t>
  </si>
  <si>
    <t>24in (600mm), Schd 10S</t>
  </si>
  <si>
    <t>24in (600mm), Schd 20</t>
  </si>
  <si>
    <t>24in (600mm), Schd STD</t>
  </si>
  <si>
    <t>24in (600mm), Schd XS</t>
  </si>
  <si>
    <t>24in (600mm), Schd 30</t>
  </si>
  <si>
    <t>24in (600mm), Schd 40</t>
  </si>
  <si>
    <t>24in (600mm), Schd 60</t>
  </si>
  <si>
    <t>24in (600mm), Schd 80</t>
  </si>
  <si>
    <t>24in (600mm), Schd 100</t>
  </si>
  <si>
    <t>24in (600mm), Schd 120</t>
  </si>
  <si>
    <t>24in (600mm), Schd 140</t>
  </si>
  <si>
    <t>24in (600mm), Schd 160</t>
  </si>
  <si>
    <t>26in (650mm), Schd 10</t>
  </si>
  <si>
    <t>26in (650mm), Schd STD</t>
  </si>
  <si>
    <t>26in (650mm), Schd 20</t>
  </si>
  <si>
    <t>26in (650mm), Schd XS</t>
  </si>
  <si>
    <t>28in (700mm), Schd 10</t>
  </si>
  <si>
    <t>28in (700mm), Schd STD</t>
  </si>
  <si>
    <t>28in (700mm), Schd 20</t>
  </si>
  <si>
    <t>28in (700mm), Schd XS</t>
  </si>
  <si>
    <t>28in (700mm), Schd 30</t>
  </si>
  <si>
    <t>30in (750mm), Schd 10</t>
  </si>
  <si>
    <t>30in (750mm), Schd 10S</t>
  </si>
  <si>
    <t>30in (750mm), Schd STD</t>
  </si>
  <si>
    <t>30in (750mm), Schd 20</t>
  </si>
  <si>
    <t>30in (750mm), Schd XS</t>
  </si>
  <si>
    <t>30in (750mm), Schd 30</t>
  </si>
  <si>
    <t>32in (800mm), Schd 10</t>
  </si>
  <si>
    <t>32in (800mm), Schd STD</t>
  </si>
  <si>
    <t>32in (800mm), Schd 20</t>
  </si>
  <si>
    <t>32in (800mm), Schd XS</t>
  </si>
  <si>
    <t>32in (800mm), Schd 30</t>
  </si>
  <si>
    <t>32in (800mm), Schd 40</t>
  </si>
  <si>
    <t>34in (850mm), Schd 10</t>
  </si>
  <si>
    <t>34in (850mm), Schd STD</t>
  </si>
  <si>
    <t>34in (850mm), Schd 20</t>
  </si>
  <si>
    <t>34in (850mm), Schd XS</t>
  </si>
  <si>
    <t>34in (850mm), Schd 30</t>
  </si>
  <si>
    <t>34in (850mm), Schd 40</t>
  </si>
  <si>
    <t>36in (900mm), Schd 10</t>
  </si>
  <si>
    <t>36in (900mm), Schd STD</t>
  </si>
  <si>
    <t>36in (900mm), Schd 20</t>
  </si>
  <si>
    <t>36in (900mm), Schd XS</t>
  </si>
  <si>
    <t>36in (900mm), Schd 30</t>
  </si>
  <si>
    <t>36in (900mm), Schd 40</t>
  </si>
  <si>
    <t>42in (1050mm), Schd STD</t>
  </si>
  <si>
    <t>42in (1050mm), Schd 20</t>
  </si>
  <si>
    <t>42in (1050mm), Schd XS</t>
  </si>
  <si>
    <t>Rev -, 8-May-07, lrs</t>
  </si>
  <si>
    <t>Released</t>
  </si>
  <si>
    <t>Rev 1, 9Oct07, lrs</t>
  </si>
  <si>
    <t>Added .05", 0.75", 1.5", 2.5" and 5" pipe sizes</t>
  </si>
  <si>
    <t>Added Liquid Pipe TL column</t>
  </si>
  <si>
    <t>Fluid Data</t>
  </si>
  <si>
    <t>Revision Date: 11-Jan-08</t>
  </si>
  <si>
    <t>deg F</t>
  </si>
  <si>
    <t>Sources:</t>
  </si>
  <si>
    <t>deg R</t>
  </si>
  <si>
    <t>VALTEK Engineering DATA 10</t>
  </si>
  <si>
    <t>deg C</t>
  </si>
  <si>
    <t>http://webbook.nist.gov/chemistry/name-ser.html</t>
  </si>
  <si>
    <t>K</t>
  </si>
  <si>
    <t>Fluid Synonyms</t>
  </si>
  <si>
    <t>Fluid Name</t>
  </si>
  <si>
    <t>Specific Name</t>
  </si>
  <si>
    <t>Water/Steam</t>
  </si>
  <si>
    <t>Water</t>
  </si>
  <si>
    <t>Custom</t>
  </si>
  <si>
    <t>1-Propene, 2-methyl-</t>
  </si>
  <si>
    <t>1,3-Butadiene, 2-methyl-</t>
  </si>
  <si>
    <t>2-Methyl-1-propene</t>
  </si>
  <si>
    <t xml:space="preserve">2-Methylbutadiene </t>
  </si>
  <si>
    <t>2-Methylbutane</t>
  </si>
  <si>
    <t>Butane, 2-methyl-</t>
  </si>
  <si>
    <t>2-Methylpentane</t>
  </si>
  <si>
    <t>Pentane, 2-methyl-</t>
  </si>
  <si>
    <t>2-Methylpropene</t>
  </si>
  <si>
    <t>3-Methylpentane</t>
  </si>
  <si>
    <t>Pentane, 3-methyl-</t>
  </si>
  <si>
    <t>Acetene</t>
  </si>
  <si>
    <t>Ethylene</t>
  </si>
  <si>
    <t>Acetylene</t>
  </si>
  <si>
    <t>Air</t>
  </si>
  <si>
    <t>Alcohol</t>
  </si>
  <si>
    <t>Ethanol</t>
  </si>
  <si>
    <t>Ammonia</t>
  </si>
  <si>
    <t>Argon</t>
  </si>
  <si>
    <t>Benzene</t>
  </si>
  <si>
    <t>Benzene, (1-methylethyl)-</t>
  </si>
  <si>
    <t>Butane</t>
  </si>
  <si>
    <t>Carbon dioxide</t>
  </si>
  <si>
    <t>Carbon monoxide</t>
  </si>
  <si>
    <t>Chlorine</t>
  </si>
  <si>
    <t>Cyclohexane</t>
  </si>
  <si>
    <t>Cyclopentane</t>
  </si>
  <si>
    <t>Decane</t>
  </si>
  <si>
    <t>Dichlorodifluoromethane</t>
  </si>
  <si>
    <t>Ethane</t>
  </si>
  <si>
    <t>Ethene</t>
  </si>
  <si>
    <t>Ethyl alcohol</t>
  </si>
  <si>
    <t>Ethylbenzene</t>
  </si>
  <si>
    <t>Freon (F-12)</t>
  </si>
  <si>
    <t>Helium</t>
  </si>
  <si>
    <t>Heptane</t>
  </si>
  <si>
    <t>Hexane</t>
  </si>
  <si>
    <t>Hydrogen</t>
  </si>
  <si>
    <t>Hydrogen chloride</t>
  </si>
  <si>
    <t>Hydrogen sulfide</t>
  </si>
  <si>
    <t>Isobutane</t>
  </si>
  <si>
    <t>Isobutene</t>
  </si>
  <si>
    <t>Isobutylene</t>
  </si>
  <si>
    <t>Isohexane</t>
  </si>
  <si>
    <t>Isoprene</t>
  </si>
  <si>
    <t>Isopropilbenzene</t>
  </si>
  <si>
    <t>iso-Pentane</t>
  </si>
  <si>
    <t>Methane</t>
  </si>
  <si>
    <t>Methanol</t>
  </si>
  <si>
    <t>Methyl alcohol</t>
  </si>
  <si>
    <t>Methyl chloride</t>
  </si>
  <si>
    <t>Natural gas</t>
  </si>
  <si>
    <t>Neon</t>
  </si>
  <si>
    <t>Nitrogen</t>
  </si>
  <si>
    <t>Nitrous oxide</t>
  </si>
  <si>
    <t>Nonane</t>
  </si>
  <si>
    <t>n-Butane</t>
  </si>
  <si>
    <t>n-Decane</t>
  </si>
  <si>
    <t>n-Heptane</t>
  </si>
  <si>
    <t>n-Hexane</t>
  </si>
  <si>
    <t>n-Nonane</t>
  </si>
  <si>
    <t>n-Octane</t>
  </si>
  <si>
    <t>Octane</t>
  </si>
  <si>
    <t>n-Pentane</t>
  </si>
  <si>
    <t>Pentane</t>
  </si>
  <si>
    <t>n-Propane</t>
  </si>
  <si>
    <t>Propane</t>
  </si>
  <si>
    <t>Oxygen</t>
  </si>
  <si>
    <t>Propene</t>
  </si>
  <si>
    <t>Propene, 2-methyl-</t>
  </si>
  <si>
    <t>Propylene</t>
  </si>
  <si>
    <t>Sulfur dioxide</t>
  </si>
  <si>
    <t>Sulfur trioxide</t>
  </si>
  <si>
    <t>Fluid Properties</t>
  </si>
  <si>
    <t>Valtek Number</t>
  </si>
  <si>
    <t>Lower Limit</t>
  </si>
  <si>
    <t>Antoine's Coefficients
Pv(bar A) = exp(A - B/(T(K) + C)</t>
  </si>
  <si>
    <t>Acentric Factor</t>
  </si>
  <si>
    <t>Savage Specific Heat Formulation, 5th Int'l Sympos of Fluid Flow Measurement, 2002
Table A2 Data, Savage, 2002</t>
  </si>
  <si>
    <t>Constant Pressure Ideal Gas Heat Capacity, Cpo (kJ/kg-K)</t>
  </si>
  <si>
    <t>Common Name</t>
  </si>
  <si>
    <t>Formula</t>
  </si>
  <si>
    <t>MW</t>
  </si>
  <si>
    <t>Tc</t>
  </si>
  <si>
    <t>Pc</t>
  </si>
  <si>
    <t>A</t>
  </si>
  <si>
    <t>B</t>
  </si>
  <si>
    <t>C</t>
  </si>
  <si>
    <t>GFB</t>
  </si>
  <si>
    <t>TB</t>
  </si>
  <si>
    <t>k</t>
  </si>
  <si>
    <t>omega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</si>
  <si>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</si>
  <si>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</si>
  <si>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</si>
  <si>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</si>
  <si>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</si>
  <si>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</si>
  <si>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</si>
  <si>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</si>
  <si>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</si>
  <si>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a</t>
  </si>
  <si>
    <t>b</t>
  </si>
  <si>
    <t>c</t>
  </si>
  <si>
    <t>d</t>
  </si>
  <si>
    <t>D</t>
  </si>
  <si>
    <t>E</t>
  </si>
  <si>
    <t>F</t>
  </si>
  <si>
    <t>G</t>
  </si>
  <si>
    <t>H</t>
  </si>
  <si>
    <t>Savage</t>
  </si>
  <si>
    <t>Kyle(m)</t>
  </si>
  <si>
    <t>Kyle(e)</t>
  </si>
  <si>
    <t>Shomate</t>
  </si>
  <si>
    <t>bar A</t>
  </si>
  <si>
    <t>Ar</t>
  </si>
  <si>
    <t>CO</t>
  </si>
  <si>
    <t>He</t>
  </si>
  <si>
    <t>HCl</t>
  </si>
  <si>
    <t>Ne</t>
  </si>
  <si>
    <t>Nitric oxide</t>
  </si>
  <si>
    <t>NO</t>
  </si>
  <si>
    <t>Nitrogen dioxide</t>
  </si>
  <si>
    <t>KOSO Aerodynamic Noise Prediction</t>
  </si>
  <si>
    <t>Defaults</t>
  </si>
  <si>
    <t xml:space="preserve">           ^- Click "+" to see assumptions and formulas</t>
  </si>
  <si>
    <t/>
  </si>
  <si>
    <t>PROJECT</t>
  </si>
  <si>
    <t xml:space="preserve">UNIT </t>
  </si>
  <si>
    <t>DATASHEET</t>
  </si>
  <si>
    <t>OF</t>
  </si>
  <si>
    <t>SPEC</t>
  </si>
  <si>
    <t>P.O.</t>
  </si>
  <si>
    <t>TAG #</t>
  </si>
  <si>
    <t>INQ / REV</t>
  </si>
  <si>
    <t xml:space="preserve">DATE </t>
  </si>
  <si>
    <t>ITEM #</t>
  </si>
  <si>
    <t>PROP / REV</t>
  </si>
  <si>
    <t>QTY</t>
  </si>
  <si>
    <t>SERVICE</t>
  </si>
  <si>
    <t>DRAWING</t>
  </si>
  <si>
    <t>OPTION DESCRIPTION</t>
  </si>
  <si>
    <t>OPTIONS</t>
  </si>
  <si>
    <t>Application</t>
  </si>
  <si>
    <t>Type of Gas</t>
  </si>
  <si>
    <t>Flow Rate Type</t>
  </si>
  <si>
    <t>Mass Flow Rate</t>
  </si>
  <si>
    <t>Method of Specifing Density</t>
  </si>
  <si>
    <t>Direct Input</t>
  </si>
  <si>
    <t>Compressibility Option</t>
  </si>
  <si>
    <t>Assume 1</t>
  </si>
  <si>
    <t>Flow Direction</t>
  </si>
  <si>
    <t>Flow Distributor Design</t>
  </si>
  <si>
    <t>Given</t>
  </si>
  <si>
    <t>Pipe Correction Factor Option</t>
  </si>
  <si>
    <t>Calculate Correction</t>
  </si>
  <si>
    <t>PIPE SIZE, SCHD &amp; DIMS</t>
  </si>
  <si>
    <t>UNITS</t>
  </si>
  <si>
    <t>INLET</t>
  </si>
  <si>
    <t>OUTLET</t>
  </si>
  <si>
    <t>Method of Specifying Pipe</t>
  </si>
  <si>
    <t>Nominal Pipe Sizes</t>
  </si>
  <si>
    <t>16in (400mm)</t>
  </si>
  <si>
    <t>Pipe Schedules</t>
  </si>
  <si>
    <t>100</t>
  </si>
  <si>
    <t>60</t>
  </si>
  <si>
    <t>Pipe Outside Diameters</t>
  </si>
  <si>
    <t>Pipe Wall Thicknesses</t>
  </si>
  <si>
    <t>Pipe Inside Diameters</t>
  </si>
  <si>
    <t>Nominal Valve Sizes</t>
  </si>
  <si>
    <t>ACTUAL</t>
  </si>
  <si>
    <t>Cd</t>
  </si>
  <si>
    <t>Lookup</t>
  </si>
  <si>
    <t>Valve Type Table</t>
  </si>
  <si>
    <t>Xt</t>
  </si>
  <si>
    <t>Np</t>
  </si>
  <si>
    <t>Over Capacity Margin</t>
  </si>
  <si>
    <t>OCM</t>
  </si>
  <si>
    <t>CRITICAL CONDITIONS</t>
  </si>
  <si>
    <t>Critical Pressure</t>
  </si>
  <si>
    <t>psiA</t>
  </si>
  <si>
    <t>Critical Temperature</t>
  </si>
  <si>
    <t>OPERATING CONDITIONS</t>
  </si>
  <si>
    <t>CONDITION VALUES</t>
  </si>
  <si>
    <t>Condition Label</t>
  </si>
  <si>
    <t>Gas Mass Flow Rate</t>
  </si>
  <si>
    <t>Gas Volume Flow Rate</t>
  </si>
  <si>
    <t>Inlet Pressure</t>
  </si>
  <si>
    <t>Outlet Pressure</t>
  </si>
  <si>
    <t>Inlet Temperature</t>
  </si>
  <si>
    <t>Specific Gravity</t>
  </si>
  <si>
    <t>Molecular Weight</t>
  </si>
  <si>
    <t>Compressibility Factor</t>
  </si>
  <si>
    <t>Inlet Density</t>
  </si>
  <si>
    <t>kg/m3</t>
  </si>
  <si>
    <t>Ratio of Specific Heats</t>
  </si>
  <si>
    <t>Req'd Valve Flow Coefficient</t>
  </si>
  <si>
    <t>Cv</t>
  </si>
  <si>
    <t>Unit Conv</t>
  </si>
  <si>
    <t>PLUG SIZE</t>
  </si>
  <si>
    <t>Minimum Plug Size, Energy</t>
  </si>
  <si>
    <t>Minimum Plug Size, Cv</t>
  </si>
  <si>
    <t>Actual Plug Size</t>
  </si>
  <si>
    <t>Fluid Kinetic Energy at Plug</t>
  </si>
  <si>
    <t>VALVE TRIM</t>
  </si>
  <si>
    <t>Number of Stages, Needed</t>
  </si>
  <si>
    <t>To meet KE, not noise</t>
  </si>
  <si>
    <t>Number of Stages, Used</t>
  </si>
  <si>
    <t>Fluid KE Exiting Stack</t>
  </si>
  <si>
    <t>Trim Sound Pressure Level</t>
  </si>
  <si>
    <t>dBA</t>
  </si>
  <si>
    <t>DIAMETER INTO OUTLET PIPE</t>
  </si>
  <si>
    <t>Just Upstream of Final Piping</t>
  </si>
  <si>
    <t>No. of Holes into Outlet Pipe</t>
  </si>
  <si>
    <t>Area Expansion per Stage</t>
  </si>
  <si>
    <t>in2</t>
  </si>
  <si>
    <t>Hole to Inlet Area Ratio</t>
  </si>
  <si>
    <t>Ra = Aie/(PI/4*Dvr2^2)</t>
  </si>
  <si>
    <t>Press. Between Valve and FD</t>
  </si>
  <si>
    <t>Outlet Pipe Mach Number</t>
  </si>
  <si>
    <t>NOISE ASSUMPTIONS</t>
  </si>
  <si>
    <t>Lagging Credit</t>
  </si>
  <si>
    <t>Credit for Spraywater Injection</t>
  </si>
  <si>
    <t>NOISE RESULTS</t>
  </si>
  <si>
    <t>Overall System Noise</t>
  </si>
  <si>
    <t>PIPE AND VALVE DATA</t>
  </si>
  <si>
    <t>Allowable KE Trim Exit/Plug</t>
  </si>
  <si>
    <t>KEaplg</t>
  </si>
  <si>
    <t>barA</t>
  </si>
  <si>
    <t>IF "Turbine Bypass" THEN KEaplg = 10.3 ELSE KEaplg = 4.87</t>
  </si>
  <si>
    <t>Allow. KE Valve Run/FD Outlet</t>
  </si>
  <si>
    <t>Keavr</t>
  </si>
  <si>
    <t>Dimension Look-up String</t>
  </si>
  <si>
    <t>D1, D2</t>
  </si>
  <si>
    <t>mm</t>
  </si>
  <si>
    <t>t1, t2</t>
  </si>
  <si>
    <t>ID1, ID2</t>
  </si>
  <si>
    <t>Nominal Valve Size</t>
  </si>
  <si>
    <t>NVS1 / NVS2</t>
  </si>
  <si>
    <t>Unit Conversion</t>
  </si>
  <si>
    <t>Resistance Coefficient</t>
  </si>
  <si>
    <t>K1 &amp; K2</t>
  </si>
  <si>
    <t>Bernoulli Coefficient</t>
  </si>
  <si>
    <t>KB1 &amp; KB2</t>
  </si>
  <si>
    <t>Valve/Pipe Recovery Factor</t>
  </si>
  <si>
    <t>Flp</t>
  </si>
  <si>
    <t>Pipe Correction Factor</t>
  </si>
  <si>
    <t>Fp</t>
  </si>
  <si>
    <t>Recovery/Correction Factor</t>
  </si>
  <si>
    <t>Flp/Fp</t>
  </si>
  <si>
    <t>Valve/Pipe dP Ratio Factor</t>
  </si>
  <si>
    <t>Xtp</t>
  </si>
  <si>
    <t>INLET CONDITIONS</t>
  </si>
  <si>
    <t>P1</t>
  </si>
  <si>
    <t>T1</t>
  </si>
  <si>
    <t>Ratio of Sp Heats Factor</t>
  </si>
  <si>
    <t>Fk</t>
  </si>
  <si>
    <t>Eq. 23</t>
  </si>
  <si>
    <t>Fk = k/1.4</t>
  </si>
  <si>
    <t>Mw</t>
  </si>
  <si>
    <t>Z</t>
  </si>
  <si>
    <t>rho1</t>
  </si>
  <si>
    <t>Inlet Speed of Sound</t>
  </si>
  <si>
    <t>c1</t>
  </si>
  <si>
    <t>m/s</t>
  </si>
  <si>
    <t>c1 = (100000*k*P1/rho1)^0.5</t>
  </si>
  <si>
    <t>W</t>
  </si>
  <si>
    <t>kg/h</t>
  </si>
  <si>
    <t>Qg</t>
  </si>
  <si>
    <t>Nm3/h</t>
  </si>
  <si>
    <t>PLUG CONDITIONS AND SIZING</t>
  </si>
  <si>
    <t>Density at Plug</t>
  </si>
  <si>
    <t>rhoplg</t>
  </si>
  <si>
    <t>IF "Flow to Close (OTP)" THEN rhoplg = rho2 ELSE rhoplg = rho1</t>
  </si>
  <si>
    <t>Energy Based Plug Size</t>
  </si>
  <si>
    <t>Dplgke</t>
  </si>
  <si>
    <t>IF (200000*KEaplg/rhoplg)^0.5 &lt; c1 THEN Dplgke = 1000*(4*W/(3600*PI()*(200000*KEaplg*rhopg)^0.5))^0.5 ELSE Dplgke = 1000*(4*W*C1/(3600*PI()*200000*KEaplg))^0.5</t>
  </si>
  <si>
    <t>Dplgke = MAX(Dplgke)</t>
  </si>
  <si>
    <t>Dplgcv</t>
  </si>
  <si>
    <t>Actual Plug Diameter</t>
  </si>
  <si>
    <t>Dplg</t>
  </si>
  <si>
    <t>KEplg</t>
  </si>
  <si>
    <t>bar</t>
  </si>
  <si>
    <t>EXPANDER/FLOW DISTRIBUTOR GEOMETRY</t>
  </si>
  <si>
    <t>Dvr2</t>
  </si>
  <si>
    <t>Dje</t>
  </si>
  <si>
    <t>Aie</t>
  </si>
  <si>
    <t>mm2</t>
  </si>
  <si>
    <t>Aie = Npe*PI/4*Dje^2</t>
  </si>
  <si>
    <t>Ce</t>
  </si>
  <si>
    <t>Kv</t>
  </si>
  <si>
    <t>Cve = 37.99/(25.4^2*(IF(FDD = "None", (1 - ((Dvr2/25.4)/NPS2)^2)^2, 1.5*IF(FDD = "1 Stage", 1, IF(FDD = "2 Stage", 1 + Ece^2, 1 + Ece^2 + Ece^4))))^0.5)*Npe*PI/4*Dje^2</t>
  </si>
  <si>
    <t>m</t>
  </si>
  <si>
    <t>Capacity of Last Stage of FD</t>
  </si>
  <si>
    <t>Cte</t>
  </si>
  <si>
    <t>Press. Between Valve &amp; FD</t>
  </si>
  <si>
    <t>P2i</t>
  </si>
  <si>
    <t>Temp. Between Valve &amp; FD</t>
  </si>
  <si>
    <t>T2i</t>
  </si>
  <si>
    <t>Den. Between Valve &amp; FD</t>
  </si>
  <si>
    <t>rho2i</t>
  </si>
  <si>
    <t>rhoi = rho1*Pi/P1</t>
  </si>
  <si>
    <t>Speed of Sound, Valve &amp; FD</t>
  </si>
  <si>
    <t>c2i</t>
  </si>
  <si>
    <t>VALVE CAPACITY AND TRIM CALCULATIONS</t>
  </si>
  <si>
    <t>Pressure Drop Ratio</t>
  </si>
  <si>
    <t>x</t>
  </si>
  <si>
    <t>Sec. 6.4</t>
  </si>
  <si>
    <t>x = MIN(Fk*xTP, (P1 - P2)/P1)</t>
  </si>
  <si>
    <t>Expansion Factor</t>
  </si>
  <si>
    <t>Y</t>
  </si>
  <si>
    <t>Eq. 21</t>
  </si>
  <si>
    <t>Y = 1 - x/(3*Fk*xTP)</t>
  </si>
  <si>
    <t>Eq. 17</t>
  </si>
  <si>
    <t>Kv = W/(31.6*Fp*Y*(x*P1*rho1)^0.5)</t>
  </si>
  <si>
    <t>Vector Pressure Drop Ratio</t>
  </si>
  <si>
    <t>x_Vctr</t>
  </si>
  <si>
    <t>x_Vctr = MIN(Fk*1, (P1 - P1)/P1)</t>
  </si>
  <si>
    <t>Vector Expansion Factor</t>
  </si>
  <si>
    <t>Y_Vctr</t>
  </si>
  <si>
    <t>Y_Vctr = 1 - x_Vctr/(3*Fk*1)</t>
  </si>
  <si>
    <t>Vector Valve Flow Coefficient</t>
  </si>
  <si>
    <t>C_Vctr</t>
  </si>
  <si>
    <t>C_Vctr = W/(31.6*1*Y_Vctr*(x_Vctr*P1*rho1)^0.5)</t>
  </si>
  <si>
    <t>Stack Outlet Area</t>
  </si>
  <si>
    <t>Ao</t>
  </si>
  <si>
    <t>Kinetic Energy Exiting Stack</t>
  </si>
  <si>
    <t>KEo</t>
  </si>
  <si>
    <t>Effective Flow Coefficient</t>
  </si>
  <si>
    <t>Cn</t>
  </si>
  <si>
    <t>Effective Inlet Pressure</t>
  </si>
  <si>
    <t>Pn</t>
  </si>
  <si>
    <t>Effective Inlet Density</t>
  </si>
  <si>
    <t>rhon</t>
  </si>
  <si>
    <t>Vena Contracta Pressure</t>
  </si>
  <si>
    <t>Pvc</t>
  </si>
  <si>
    <t>Vena Contracta Press @ Crit</t>
  </si>
  <si>
    <t>Pvcc</t>
  </si>
  <si>
    <t>Outlet Pressure, Crit</t>
  </si>
  <si>
    <t>P2C</t>
  </si>
  <si>
    <t>Recovery Correction Factor</t>
  </si>
  <si>
    <t>alpha</t>
  </si>
  <si>
    <t>P2B</t>
  </si>
  <si>
    <t>P2 for Const Acoustic Eff</t>
  </si>
  <si>
    <t>P2CE</t>
  </si>
  <si>
    <t>Regime</t>
  </si>
  <si>
    <t>Wetted Perimeter</t>
  </si>
  <si>
    <t>Iw</t>
  </si>
  <si>
    <t>Flow Passage Area</t>
  </si>
  <si>
    <t>Number of Flow Passages</t>
  </si>
  <si>
    <t>Equivalent Circular Diameter</t>
  </si>
  <si>
    <t>do</t>
  </si>
  <si>
    <t>Hydraulic Diameter</t>
  </si>
  <si>
    <t>dh</t>
  </si>
  <si>
    <t>Valve Style Modifier</t>
  </si>
  <si>
    <t>Jet Diameter</t>
  </si>
  <si>
    <t>Dj</t>
  </si>
  <si>
    <t>Vena Contracta Velocity</t>
  </si>
  <si>
    <t>Uvc</t>
  </si>
  <si>
    <t>Stream Power</t>
  </si>
  <si>
    <t>Wm</t>
  </si>
  <si>
    <t>Tvc</t>
  </si>
  <si>
    <t>Speed of Sound, @ V.C.</t>
  </si>
  <si>
    <t>cvc</t>
  </si>
  <si>
    <t>Mvc</t>
  </si>
  <si>
    <t>Acoustic Efficiency Exponent</t>
  </si>
  <si>
    <t>Trim Strouhal Number</t>
  </si>
  <si>
    <t>Wa</t>
  </si>
  <si>
    <t>Hz</t>
  </si>
  <si>
    <t>Sonic V.C. Temperature</t>
  </si>
  <si>
    <t>Tvcc</t>
  </si>
  <si>
    <t>Speed of Sound @ V.C.</t>
  </si>
  <si>
    <t>cvcc</t>
  </si>
  <si>
    <t>Wms</t>
  </si>
  <si>
    <t>Mj</t>
  </si>
  <si>
    <t>P2</t>
  </si>
  <si>
    <t>Unit Convsion</t>
  </si>
  <si>
    <t>Outlet Temperature</t>
  </si>
  <si>
    <t>T2</t>
  </si>
  <si>
    <t>Outlet Density</t>
  </si>
  <si>
    <t>rho2</t>
  </si>
  <si>
    <t>rho2 = rho1*P2/P1</t>
  </si>
  <si>
    <t>Outlet Speed of Sound</t>
  </si>
  <si>
    <t>c2</t>
  </si>
  <si>
    <t>Outlet Pipe Velocity</t>
  </si>
  <si>
    <t>Up</t>
  </si>
  <si>
    <t>Mach Number in Outlet Pipe</t>
  </si>
  <si>
    <t>M2</t>
  </si>
  <si>
    <t>Mach Number Correction</t>
  </si>
  <si>
    <t>Lg</t>
  </si>
  <si>
    <t>dB</t>
  </si>
  <si>
    <t>fp</t>
  </si>
  <si>
    <t>Early Stage Adder</t>
  </si>
  <si>
    <t>Lpi</t>
  </si>
  <si>
    <t>dTL</t>
  </si>
  <si>
    <t>fr</t>
  </si>
  <si>
    <t>fo</t>
  </si>
  <si>
    <t>fg</t>
  </si>
  <si>
    <t>LpAe1m</t>
  </si>
  <si>
    <t>KEe</t>
  </si>
  <si>
    <t>KEe = rhoe*Ve^2/200000</t>
  </si>
  <si>
    <t>Wme</t>
  </si>
  <si>
    <t>Lpie</t>
  </si>
  <si>
    <t>&lt;- Click "+" to see intermediate calculations</t>
  </si>
  <si>
    <t>PIPE</t>
  </si>
  <si>
    <t>0.5in (12mm)</t>
  </si>
  <si>
    <t>0.75in (19mm)</t>
  </si>
  <si>
    <t>1in (25mm)</t>
  </si>
  <si>
    <t>1.5in (38mm)</t>
  </si>
  <si>
    <t>2in (50mm)</t>
  </si>
  <si>
    <t>2.5in (63mm)</t>
  </si>
  <si>
    <t>3in (80mm)</t>
  </si>
  <si>
    <t>4in (100mm)</t>
  </si>
  <si>
    <t>5in (125mm)</t>
  </si>
  <si>
    <t>6in (150mm)</t>
  </si>
  <si>
    <t>8in (200mm)</t>
  </si>
  <si>
    <t>10in (250mm)</t>
  </si>
  <si>
    <t>12in (300mm)</t>
  </si>
  <si>
    <t>14in (350mm)</t>
  </si>
  <si>
    <t>18in (450mm)</t>
  </si>
  <si>
    <t>20in (500mm)</t>
  </si>
  <si>
    <t>22in (550mm)</t>
  </si>
  <si>
    <t>24in (600mm)</t>
  </si>
  <si>
    <t>26in (650mm)</t>
  </si>
  <si>
    <t>28in (700mm)</t>
  </si>
  <si>
    <t>30in (750mm)</t>
  </si>
  <si>
    <t>32in (800mm)</t>
  </si>
  <si>
    <t>34in (850mm)</t>
  </si>
  <si>
    <t>36in (900mm)</t>
  </si>
  <si>
    <t>42in (1050mm)</t>
  </si>
  <si>
    <t>10S</t>
  </si>
  <si>
    <t>10</t>
  </si>
  <si>
    <t>STD</t>
  </si>
  <si>
    <t>40</t>
  </si>
  <si>
    <t>20</t>
  </si>
  <si>
    <t>40S</t>
  </si>
  <si>
    <t>30</t>
  </si>
  <si>
    <t>XS</t>
  </si>
  <si>
    <t>80</t>
  </si>
  <si>
    <t>80S</t>
  </si>
  <si>
    <t>160</t>
  </si>
  <si>
    <t>120</t>
  </si>
  <si>
    <t>XXS</t>
  </si>
  <si>
    <t>140</t>
  </si>
  <si>
    <r>
      <t>B G Kyle Specific Heat Formulation, 1984
Cpo (kJ/kg-K) = a + b*t + c*t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+ d*t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,  t (K)</t>
    </r>
  </si>
  <si>
    <r>
      <t>B G Kyle Specific Heat Formulation, 1984
Cpo (Btu/lb-deg R) = a + b*t + c*t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+ d*t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,  t (deg R)</t>
    </r>
  </si>
  <si>
    <r>
      <t>NIST Internet (Shomate Equation)
Cpo(J/mol-K) = A + B*t + C*t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+ D*t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 xml:space="preserve"> + E/t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, t = K/1000</t>
    </r>
  </si>
  <si>
    <r>
      <t>C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8</t>
    </r>
  </si>
  <si>
    <r>
      <t>C</t>
    </r>
    <r>
      <rPr>
        <b/>
        <vertAlign val="subscript"/>
        <sz val="10"/>
        <rFont val="Arial"/>
        <family val="2"/>
      </rPr>
      <t>5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8</t>
    </r>
  </si>
  <si>
    <r>
      <t>C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2</t>
    </r>
  </si>
  <si>
    <r>
      <t>H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>N</t>
    </r>
  </si>
  <si>
    <r>
      <t>C</t>
    </r>
    <r>
      <rPr>
        <b/>
        <vertAlign val="subscript"/>
        <sz val="10"/>
        <rFont val="Arial"/>
        <family val="2"/>
      </rPr>
      <t>6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6</t>
    </r>
  </si>
  <si>
    <r>
      <t>C</t>
    </r>
    <r>
      <rPr>
        <b/>
        <vertAlign val="subscript"/>
        <sz val="10"/>
        <rFont val="Arial"/>
        <family val="2"/>
      </rPr>
      <t>9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12</t>
    </r>
  </si>
  <si>
    <r>
      <t>C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10</t>
    </r>
  </si>
  <si>
    <r>
      <t>C</t>
    </r>
    <r>
      <rPr>
        <b/>
        <vertAlign val="subscript"/>
        <sz val="10"/>
        <rFont val="Arial"/>
        <family val="2"/>
      </rPr>
      <t>5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12</t>
    </r>
  </si>
  <si>
    <r>
      <t>CO</t>
    </r>
    <r>
      <rPr>
        <b/>
        <vertAlign val="subscript"/>
        <sz val="10"/>
        <rFont val="Arial"/>
        <family val="2"/>
      </rPr>
      <t>2</t>
    </r>
  </si>
  <si>
    <r>
      <t>Cl</t>
    </r>
    <r>
      <rPr>
        <b/>
        <vertAlign val="subscript"/>
        <sz val="10"/>
        <rFont val="Arial"/>
        <family val="2"/>
      </rPr>
      <t>2</t>
    </r>
  </si>
  <si>
    <r>
      <t>C</t>
    </r>
    <r>
      <rPr>
        <b/>
        <vertAlign val="subscript"/>
        <sz val="10"/>
        <rFont val="Arial"/>
        <family val="2"/>
      </rPr>
      <t>6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12</t>
    </r>
  </si>
  <si>
    <r>
      <t>C</t>
    </r>
    <r>
      <rPr>
        <b/>
        <vertAlign val="subscript"/>
        <sz val="10"/>
        <rFont val="Arial"/>
        <family val="2"/>
      </rPr>
      <t>5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10</t>
    </r>
  </si>
  <si>
    <r>
      <t>C</t>
    </r>
    <r>
      <rPr>
        <b/>
        <vertAlign val="subscript"/>
        <sz val="10"/>
        <rFont val="Arial"/>
        <family val="2"/>
      </rPr>
      <t>10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22</t>
    </r>
  </si>
  <si>
    <r>
      <t>CCl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F</t>
    </r>
    <r>
      <rPr>
        <b/>
        <vertAlign val="subscript"/>
        <sz val="10"/>
        <rFont val="Arial"/>
        <family val="2"/>
      </rPr>
      <t>2</t>
    </r>
  </si>
  <si>
    <r>
      <t>C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6</t>
    </r>
  </si>
  <si>
    <r>
      <t>C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6</t>
    </r>
    <r>
      <rPr>
        <b/>
        <sz val="10"/>
        <rFont val="Arial"/>
        <family val="2"/>
      </rPr>
      <t>O</t>
    </r>
  </si>
  <si>
    <r>
      <t>C</t>
    </r>
    <r>
      <rPr>
        <b/>
        <vertAlign val="subscript"/>
        <sz val="10"/>
        <rFont val="Arial"/>
        <family val="2"/>
      </rPr>
      <t>8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10</t>
    </r>
  </si>
  <si>
    <r>
      <t>C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4</t>
    </r>
  </si>
  <si>
    <r>
      <t>C</t>
    </r>
    <r>
      <rPr>
        <b/>
        <vertAlign val="subscript"/>
        <sz val="10"/>
        <rFont val="Arial"/>
        <family val="2"/>
      </rPr>
      <t>7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16</t>
    </r>
  </si>
  <si>
    <r>
      <t>C</t>
    </r>
    <r>
      <rPr>
        <b/>
        <vertAlign val="subscript"/>
        <sz val="10"/>
        <rFont val="Arial"/>
        <family val="2"/>
      </rPr>
      <t>6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14</t>
    </r>
  </si>
  <si>
    <r>
      <t>H</t>
    </r>
    <r>
      <rPr>
        <b/>
        <vertAlign val="subscript"/>
        <sz val="10"/>
        <rFont val="Arial"/>
        <family val="2"/>
      </rPr>
      <t>2</t>
    </r>
  </si>
  <si>
    <r>
      <t>H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S</t>
    </r>
  </si>
  <si>
    <r>
      <t>CH</t>
    </r>
    <r>
      <rPr>
        <b/>
        <vertAlign val="subscript"/>
        <sz val="10"/>
        <rFont val="Arial"/>
        <family val="2"/>
      </rPr>
      <t>4</t>
    </r>
  </si>
  <si>
    <r>
      <t>CH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O</t>
    </r>
  </si>
  <si>
    <r>
      <t>CH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>CL</t>
    </r>
  </si>
  <si>
    <r>
      <t>N</t>
    </r>
    <r>
      <rPr>
        <b/>
        <vertAlign val="subscript"/>
        <sz val="10"/>
        <rFont val="Arial"/>
        <family val="2"/>
      </rPr>
      <t>2</t>
    </r>
  </si>
  <si>
    <r>
      <t>N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O</t>
    </r>
  </si>
  <si>
    <r>
      <t>NO</t>
    </r>
    <r>
      <rPr>
        <b/>
        <vertAlign val="subscript"/>
        <sz val="10"/>
        <rFont val="Arial"/>
        <family val="2"/>
      </rPr>
      <t>2</t>
    </r>
  </si>
  <si>
    <r>
      <t>C</t>
    </r>
    <r>
      <rPr>
        <b/>
        <vertAlign val="subscript"/>
        <sz val="10"/>
        <rFont val="Arial"/>
        <family val="2"/>
      </rPr>
      <t>9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20</t>
    </r>
  </si>
  <si>
    <r>
      <t>C</t>
    </r>
    <r>
      <rPr>
        <b/>
        <vertAlign val="subscript"/>
        <sz val="10"/>
        <rFont val="Arial"/>
        <family val="2"/>
      </rPr>
      <t>8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18</t>
    </r>
  </si>
  <si>
    <r>
      <t>O</t>
    </r>
    <r>
      <rPr>
        <b/>
        <vertAlign val="subscript"/>
        <sz val="10"/>
        <rFont val="Arial"/>
        <family val="2"/>
      </rPr>
      <t>2</t>
    </r>
  </si>
  <si>
    <r>
      <t>C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8</t>
    </r>
  </si>
  <si>
    <r>
      <t>C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6</t>
    </r>
  </si>
  <si>
    <r>
      <t>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S</t>
    </r>
  </si>
  <si>
    <r>
      <t>O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>S</t>
    </r>
  </si>
  <si>
    <r>
      <t>H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O</t>
    </r>
  </si>
  <si>
    <r>
      <t>G</t>
    </r>
    <r>
      <rPr>
        <b/>
        <vertAlign val="subscript"/>
        <sz val="10"/>
        <rFont val="Arial"/>
        <family val="2"/>
      </rPr>
      <t>f</t>
    </r>
    <r>
      <rPr>
        <b/>
        <sz val="10"/>
        <rFont val="Arial"/>
        <family val="2"/>
      </rPr>
      <t xml:space="preserve"> Constants
Gf = GFB(2Tc - T)/
(2Tc - TB)</t>
    </r>
  </si>
  <si>
    <t>Input?</t>
  </si>
  <si>
    <t>Reference</t>
  </si>
  <si>
    <t>Equation</t>
  </si>
  <si>
    <t>Body Type</t>
  </si>
  <si>
    <t>VALVE OUTLET/FLOW DISTRIB. DETAILS</t>
  </si>
  <si>
    <t>Worksheet</t>
  </si>
  <si>
    <t>LRS</t>
  </si>
  <si>
    <t>Corrected conditional formatting</t>
  </si>
  <si>
    <t>Corrected to match IEC 2008 equations</t>
  </si>
  <si>
    <t>Noise</t>
  </si>
  <si>
    <t>Pvce</t>
  </si>
  <si>
    <t>Pvcce</t>
  </si>
  <si>
    <t>Pne</t>
  </si>
  <si>
    <t>P2Ce</t>
  </si>
  <si>
    <t>alphae</t>
  </si>
  <si>
    <t>P2Be</t>
  </si>
  <si>
    <t>P2CEe</t>
  </si>
  <si>
    <t>Rhone</t>
  </si>
  <si>
    <t>Uvce</t>
  </si>
  <si>
    <t>Ue</t>
  </si>
  <si>
    <t>Tvce</t>
  </si>
  <si>
    <t>cvce</t>
  </si>
  <si>
    <t>Mvce</t>
  </si>
  <si>
    <t>foe</t>
  </si>
  <si>
    <t>LpAe1me</t>
  </si>
  <si>
    <t>Tvcce</t>
  </si>
  <si>
    <t>cvcce</t>
  </si>
  <si>
    <t>Wmse</t>
  </si>
  <si>
    <t>Mje</t>
  </si>
  <si>
    <t>fpe</t>
  </si>
  <si>
    <t>Rege</t>
  </si>
  <si>
    <t>Reg</t>
  </si>
  <si>
    <t>Ring Frequency</t>
  </si>
  <si>
    <t>Int'l Coincidence Pipe Freq</t>
  </si>
  <si>
    <t>Ext'l Coincidence Frequency</t>
  </si>
  <si>
    <t>Pipe Dampening Factor</t>
  </si>
  <si>
    <t>Internal Sound Press Level</t>
  </si>
  <si>
    <t>Peak Frequency</t>
  </si>
  <si>
    <t>Sound Power</t>
  </si>
  <si>
    <t>Ext'l Trim Noise</t>
  </si>
  <si>
    <t>Ext'l Expansion Noise</t>
  </si>
  <si>
    <t>Vena Contracta Mach No.</t>
  </si>
  <si>
    <t>Vena Contracta Temp.</t>
  </si>
  <si>
    <t>Outlet Press @ Breakpoint</t>
  </si>
  <si>
    <t>Freely Exp Jet Mach No.</t>
  </si>
  <si>
    <t>Outlet Press. @ Breakpoint</t>
  </si>
  <si>
    <t>Wae</t>
  </si>
  <si>
    <t>Outlet Fluid Velocity</t>
  </si>
  <si>
    <t>Outlet Fluid Kinetic Energy</t>
  </si>
  <si>
    <t>Eff Upstream Pressure</t>
  </si>
  <si>
    <t>Eff Upstream Density</t>
  </si>
  <si>
    <t>Angle</t>
  </si>
  <si>
    <t>dLpAe</t>
  </si>
  <si>
    <t>Small Valve Correction</t>
  </si>
  <si>
    <t>ValveData</t>
  </si>
  <si>
    <t>Chgd Cd from 0.0078 to 0.0124 for 510D/520D valve type</t>
  </si>
  <si>
    <t>Nominal</t>
  </si>
  <si>
    <t>Valve Size</t>
  </si>
  <si>
    <t>NPS</t>
  </si>
  <si>
    <t>DN</t>
  </si>
  <si>
    <t>0.5in (15mm)</t>
  </si>
  <si>
    <t>0.75in (20mm)</t>
  </si>
  <si>
    <t>1.25in (32mm)</t>
  </si>
  <si>
    <t>1.5in (40mm)</t>
  </si>
  <si>
    <t>2.5in (65mm)</t>
  </si>
  <si>
    <t>Valve Inside Diameter, mm</t>
  </si>
  <si>
    <t>Valve ASME Pressure Rating</t>
  </si>
  <si>
    <t>CUSTOMER</t>
  </si>
  <si>
    <t>Relative Capacity</t>
  </si>
  <si>
    <t>Kv/mm2</t>
  </si>
  <si>
    <t>Terminal Press Drop Ratio</t>
  </si>
  <si>
    <t>Liq Press Recovery Factor</t>
  </si>
  <si>
    <t>VALVE SIZING TERMS</t>
  </si>
  <si>
    <t>SUGGESTED</t>
  </si>
  <si>
    <t>VALVE OUTLET TO OUTLET PIPE DETAILS</t>
  </si>
  <si>
    <t>kg/cm2A</t>
  </si>
  <si>
    <t>Revised speed of sound calcs to use P and Rho instead of T and Mw</t>
  </si>
  <si>
    <t>Calculate from MW</t>
  </si>
  <si>
    <t>Fixed Ao to use zero stages for drilled-hole cages.</t>
  </si>
  <si>
    <t>Other</t>
  </si>
  <si>
    <t>NPS &amp; Schd</t>
  </si>
  <si>
    <t>Flow to Open (UTP)</t>
  </si>
  <si>
    <t>OD &amp; t</t>
  </si>
  <si>
    <t>lb/h</t>
  </si>
  <si>
    <t>D171 was "K", is "deg C"</t>
  </si>
  <si>
    <t>Lpi, LpAe1m, Wae, Lpie and LpAe1me (rows 180, 186, 208, 210 &amp; 212) used rhoi &amp; ci, now use rho2 &amp; c2</t>
  </si>
  <si>
    <t>Rev 2.3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</si>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</sst>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General_)"/>
    <numFmt numFmtId="177" formatCode="[$-409]d\-mmm\-yy;@"/>
    <numFmt numFmtId="178" formatCode="0.0000_)"/>
    <numFmt numFmtId="179" formatCode="0.00_)"/>
    <numFmt numFmtId="180" formatCode="0.0"/>
    <numFmt numFmtId="181" formatCode="0.00000"/>
    <numFmt numFmtId="182" formatCode="0.000"/>
    <numFmt numFmtId="183" formatCode="0.0000"/>
    <numFmt numFmtId="184" formatCode="0.0000E+00"/>
    <numFmt numFmtId="185" formatCode="0.000000"/>
    <numFmt numFmtId="186" formatCode="0.0000000"/>
    <numFmt numFmtId="187" formatCode="[$-F800]dddd\,\ mmmm\ dd\,\ yyyy"/>
    <numFmt numFmtId="188" formatCode="0.000_)"/>
    <numFmt numFmtId="189" formatCode="0.0_)"/>
    <numFmt numFmtId="190" formatCode="0.0%"/>
  </numFmts>
  <fonts count="23" x14ac:knownFonts="1">
    <font>
      <sz val="10"/>
      <color theme="1"/>
      <name val="Arial"/>
      <family val="2"/>
    </font>
    <font>
      <sz val="12"/>
      <name val="Helv"/>
    </font>
    <font>
      <b/>
      <sz val="12"/>
      <name val="Arial"/>
      <family val="2"/>
    </font>
    <font>
      <sz val="12"/>
      <name val="Arial"/>
      <family val="2"/>
    </font>
    <font>
      <u/>
      <sz val="12"/>
      <color indexed="12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name val="Helv"/>
    </font>
    <font>
      <sz val="10"/>
      <color indexed="22"/>
      <name val="Arial"/>
      <family val="2"/>
    </font>
    <font>
      <sz val="10"/>
      <color indexed="22"/>
      <name val="Helv"/>
    </font>
    <font>
      <b/>
      <sz val="11"/>
      <name val="Arial"/>
      <family val="2"/>
    </font>
    <font>
      <u/>
      <sz val="10"/>
      <color indexed="12"/>
      <name val="Arial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b/>
      <sz val="10"/>
      <color indexed="8"/>
      <name val="Arial"/>
      <family val="2"/>
    </font>
    <font>
      <b/>
      <sz val="10"/>
      <name val="Helv"/>
    </font>
    <font>
      <sz val="9"/>
      <name val="Arial"/>
      <family val="2"/>
    </font>
    <font>
      <sz val="9"/>
      <color indexed="22"/>
      <name val="Arial"/>
      <family val="2"/>
    </font>
    <font>
      <b/>
      <sz val="10"/>
      <color theme="1"/>
      <name val="Arial"/>
      <family val="2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6DCF0"/>
        <bgColor indexed="64"/>
      </patternFill>
    </fill>
    <fill>
      <patternFill patternType="solid">
        <fgColor rgb="FFE1F5F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1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176" fontId="1" fillId="0" borderId="0"/>
    <xf numFmtId="0" fontId="3" fillId="0" borderId="0"/>
    <xf numFmtId="0" fontId="3" fillId="0" borderId="0"/>
    <xf numFmtId="176" fontId="1" fillId="0" borderId="0"/>
    <xf numFmtId="0" fontId="3" fillId="0" borderId="0"/>
    <xf numFmtId="0" fontId="5" fillId="0" borderId="0"/>
    <xf numFmtId="0" fontId="5" fillId="0" borderId="0"/>
    <xf numFmtId="0" fontId="6" fillId="0" borderId="0"/>
    <xf numFmtId="9" fontId="5" fillId="0" borderId="0" applyFont="0" applyFill="0" applyBorder="0" applyAlignment="0" applyProtection="0"/>
  </cellStyleXfs>
  <cellXfs count="226">
    <xf numFmtId="0" fontId="0" fillId="0" borderId="0" xfId="0"/>
    <xf numFmtId="176" fontId="2" fillId="0" borderId="0" xfId="2" applyFont="1"/>
    <xf numFmtId="0" fontId="2" fillId="0" borderId="0" xfId="4" applyFont="1"/>
    <xf numFmtId="0" fontId="2" fillId="0" borderId="0" xfId="6" applyFont="1"/>
    <xf numFmtId="176" fontId="5" fillId="0" borderId="0" xfId="2" applyFont="1"/>
    <xf numFmtId="176" fontId="5" fillId="0" borderId="0" xfId="2" applyFont="1" applyAlignment="1">
      <alignment horizontal="center"/>
    </xf>
    <xf numFmtId="176" fontId="7" fillId="0" borderId="6" xfId="3" applyNumberFormat="1" applyFont="1" applyBorder="1" applyAlignment="1">
      <alignment horizontal="right"/>
    </xf>
    <xf numFmtId="15" fontId="5" fillId="0" borderId="6" xfId="3" applyNumberFormat="1" applyFont="1" applyBorder="1" applyAlignment="1" applyProtection="1">
      <alignment horizontal="center"/>
      <protection locked="0"/>
    </xf>
    <xf numFmtId="176" fontId="7" fillId="0" borderId="0" xfId="2" applyFont="1"/>
    <xf numFmtId="176" fontId="7" fillId="6" borderId="0" xfId="2" applyFont="1" applyFill="1" applyAlignment="1" applyProtection="1">
      <alignment horizontal="center"/>
      <protection locked="0"/>
    </xf>
    <xf numFmtId="189" fontId="5" fillId="0" borderId="0" xfId="2" applyNumberFormat="1" applyFont="1" applyAlignment="1">
      <alignment horizontal="center"/>
    </xf>
    <xf numFmtId="176" fontId="5" fillId="0" borderId="0" xfId="2" applyFont="1" applyAlignment="1">
      <alignment wrapText="1"/>
    </xf>
    <xf numFmtId="2" fontId="5" fillId="0" borderId="0" xfId="2" applyNumberFormat="1" applyFont="1" applyAlignment="1">
      <alignment horizontal="center"/>
    </xf>
    <xf numFmtId="176" fontId="10" fillId="0" borderId="0" xfId="2" applyFont="1" applyAlignment="1">
      <alignment horizontal="center"/>
    </xf>
    <xf numFmtId="179" fontId="5" fillId="0" borderId="0" xfId="2" applyNumberFormat="1" applyFont="1" applyAlignment="1">
      <alignment horizontal="center"/>
    </xf>
    <xf numFmtId="179" fontId="8" fillId="0" borderId="0" xfId="2" applyNumberFormat="1" applyFont="1" applyAlignment="1">
      <alignment horizontal="left"/>
    </xf>
    <xf numFmtId="176" fontId="5" fillId="2" borderId="0" xfId="2" applyFont="1" applyFill="1" applyAlignment="1">
      <alignment horizontal="left"/>
    </xf>
    <xf numFmtId="176" fontId="5" fillId="2" borderId="0" xfId="2" applyFont="1" applyFill="1" applyAlignment="1" applyProtection="1">
      <alignment horizontal="center"/>
      <protection hidden="1"/>
    </xf>
    <xf numFmtId="2" fontId="5" fillId="2" borderId="0" xfId="2" applyNumberFormat="1" applyFont="1" applyFill="1" applyAlignment="1">
      <alignment horizontal="center"/>
    </xf>
    <xf numFmtId="2" fontId="5" fillId="2" borderId="0" xfId="2" applyNumberFormat="1" applyFont="1" applyFill="1"/>
    <xf numFmtId="1" fontId="5" fillId="2" borderId="0" xfId="2" applyNumberFormat="1" applyFont="1" applyFill="1" applyProtection="1">
      <protection hidden="1"/>
    </xf>
    <xf numFmtId="176" fontId="5" fillId="2" borderId="0" xfId="2" applyFont="1" applyFill="1" applyProtection="1">
      <protection hidden="1"/>
    </xf>
    <xf numFmtId="176" fontId="5" fillId="2" borderId="0" xfId="2" applyFont="1" applyFill="1" applyAlignment="1">
      <alignment horizontal="center"/>
    </xf>
    <xf numFmtId="0" fontId="5" fillId="2" borderId="0" xfId="2" applyNumberFormat="1" applyFont="1" applyFill="1" applyAlignment="1">
      <alignment horizontal="center"/>
    </xf>
    <xf numFmtId="183" fontId="5" fillId="2" borderId="0" xfId="2" applyNumberFormat="1" applyFont="1" applyFill="1" applyAlignment="1">
      <alignment horizontal="center"/>
    </xf>
    <xf numFmtId="176" fontId="7" fillId="2" borderId="0" xfId="2" applyFont="1" applyFill="1" applyAlignment="1">
      <alignment horizontal="left"/>
    </xf>
    <xf numFmtId="0" fontId="5" fillId="2" borderId="0" xfId="2" applyNumberFormat="1" applyFont="1" applyFill="1" applyAlignment="1" applyProtection="1">
      <alignment horizontal="center"/>
      <protection hidden="1"/>
    </xf>
    <xf numFmtId="179" fontId="5" fillId="2" borderId="0" xfId="2" applyNumberFormat="1" applyFont="1" applyFill="1" applyAlignment="1" applyProtection="1">
      <alignment horizontal="center"/>
      <protection hidden="1"/>
    </xf>
    <xf numFmtId="188" fontId="5" fillId="2" borderId="0" xfId="2" applyNumberFormat="1" applyFont="1" applyFill="1" applyAlignment="1" applyProtection="1">
      <alignment horizontal="center"/>
      <protection hidden="1"/>
    </xf>
    <xf numFmtId="181" fontId="5" fillId="2" borderId="0" xfId="2" applyNumberFormat="1" applyFont="1" applyFill="1" applyAlignment="1" applyProtection="1">
      <alignment horizontal="center"/>
      <protection hidden="1"/>
    </xf>
    <xf numFmtId="1" fontId="5" fillId="2" borderId="0" xfId="2" applyNumberFormat="1" applyFont="1" applyFill="1"/>
    <xf numFmtId="0" fontId="5" fillId="0" borderId="0" xfId="6" applyFont="1"/>
    <xf numFmtId="176" fontId="12" fillId="0" borderId="0" xfId="5" applyFont="1" applyAlignment="1">
      <alignment horizontal="center"/>
    </xf>
    <xf numFmtId="176" fontId="7" fillId="0" borderId="0" xfId="2" applyFont="1" applyAlignment="1">
      <alignment horizontal="center"/>
    </xf>
    <xf numFmtId="0" fontId="7" fillId="0" borderId="0" xfId="6" applyFont="1"/>
    <xf numFmtId="0" fontId="7" fillId="0" borderId="0" xfId="6" applyFont="1" applyAlignment="1">
      <alignment horizontal="center"/>
    </xf>
    <xf numFmtId="0" fontId="14" fillId="0" borderId="0" xfId="1" applyFont="1" applyAlignment="1" applyProtection="1"/>
    <xf numFmtId="0" fontId="7" fillId="0" borderId="0" xfId="1" applyFont="1" applyFill="1" applyAlignment="1" applyProtection="1"/>
    <xf numFmtId="0" fontId="11" fillId="0" borderId="0" xfId="6" applyFont="1" applyAlignment="1">
      <alignment horizontal="center"/>
    </xf>
    <xf numFmtId="0" fontId="5" fillId="0" borderId="0" xfId="6" applyFont="1" applyAlignment="1">
      <alignment wrapText="1"/>
    </xf>
    <xf numFmtId="0" fontId="7" fillId="0" borderId="0" xfId="6" applyFont="1" applyAlignment="1">
      <alignment horizontal="center" wrapText="1"/>
    </xf>
    <xf numFmtId="2" fontId="7" fillId="0" borderId="0" xfId="6" applyNumberFormat="1" applyFont="1" applyAlignment="1">
      <alignment horizontal="center"/>
    </xf>
    <xf numFmtId="0" fontId="5" fillId="0" borderId="0" xfId="6" applyFont="1" applyAlignment="1">
      <alignment horizontal="center"/>
    </xf>
    <xf numFmtId="2" fontId="5" fillId="0" borderId="0" xfId="6" applyNumberFormat="1" applyFont="1" applyAlignment="1">
      <alignment horizontal="center"/>
    </xf>
    <xf numFmtId="183" fontId="7" fillId="0" borderId="0" xfId="6" applyNumberFormat="1" applyFont="1" applyAlignment="1">
      <alignment horizontal="center"/>
    </xf>
    <xf numFmtId="182" fontId="5" fillId="0" borderId="0" xfId="6" applyNumberFormat="1" applyFont="1" applyAlignment="1">
      <alignment horizontal="center"/>
    </xf>
    <xf numFmtId="184" fontId="7" fillId="0" borderId="0" xfId="6" applyNumberFormat="1" applyFont="1" applyAlignment="1">
      <alignment horizontal="center"/>
    </xf>
    <xf numFmtId="11" fontId="7" fillId="0" borderId="0" xfId="6" applyNumberFormat="1" applyFont="1" applyAlignment="1">
      <alignment horizontal="center"/>
    </xf>
    <xf numFmtId="185" fontId="5" fillId="0" borderId="0" xfId="6" applyNumberFormat="1" applyFont="1" applyAlignment="1">
      <alignment horizontal="center"/>
    </xf>
    <xf numFmtId="186" fontId="5" fillId="0" borderId="0" xfId="6" applyNumberFormat="1" applyFont="1" applyAlignment="1">
      <alignment horizontal="center"/>
    </xf>
    <xf numFmtId="0" fontId="7" fillId="0" borderId="0" xfId="6" quotePrefix="1" applyFont="1" applyAlignment="1">
      <alignment horizontal="center"/>
    </xf>
    <xf numFmtId="0" fontId="7" fillId="3" borderId="0" xfId="6" applyFont="1" applyFill="1" applyAlignment="1">
      <alignment horizontal="center"/>
    </xf>
    <xf numFmtId="176" fontId="13" fillId="0" borderId="0" xfId="5" applyFont="1" applyAlignment="1">
      <alignment horizontal="left"/>
    </xf>
    <xf numFmtId="176" fontId="7" fillId="0" borderId="0" xfId="5" applyFont="1" applyAlignment="1">
      <alignment horizontal="left"/>
    </xf>
    <xf numFmtId="176" fontId="5" fillId="0" borderId="0" xfId="5" applyFont="1" applyAlignment="1">
      <alignment horizontal="center"/>
    </xf>
    <xf numFmtId="176" fontId="7" fillId="0" borderId="0" xfId="5" applyFont="1" applyAlignment="1">
      <alignment horizontal="center"/>
    </xf>
    <xf numFmtId="176" fontId="10" fillId="0" borderId="0" xfId="5" applyFont="1"/>
    <xf numFmtId="0" fontId="5" fillId="0" borderId="0" xfId="8"/>
    <xf numFmtId="176" fontId="11" fillId="0" borderId="0" xfId="5" applyFont="1" applyAlignment="1">
      <alignment horizontal="center"/>
    </xf>
    <xf numFmtId="0" fontId="11" fillId="0" borderId="0" xfId="5" applyNumberFormat="1" applyFont="1" applyAlignment="1">
      <alignment horizontal="center"/>
    </xf>
    <xf numFmtId="0" fontId="7" fillId="0" borderId="0" xfId="8" applyFont="1" applyAlignment="1">
      <alignment horizontal="center"/>
    </xf>
    <xf numFmtId="176" fontId="7" fillId="0" borderId="10" xfId="5" applyFont="1" applyBorder="1" applyAlignment="1">
      <alignment horizontal="left"/>
    </xf>
    <xf numFmtId="176" fontId="7" fillId="0" borderId="10" xfId="5" applyFont="1" applyBorder="1" applyAlignment="1">
      <alignment horizontal="center"/>
    </xf>
    <xf numFmtId="182" fontId="7" fillId="0" borderId="11" xfId="5" applyNumberFormat="1" applyFont="1" applyBorder="1" applyAlignment="1">
      <alignment horizontal="center"/>
    </xf>
    <xf numFmtId="0" fontId="7" fillId="0" borderId="12" xfId="8" applyFont="1" applyBorder="1" applyAlignment="1">
      <alignment horizontal="center"/>
    </xf>
    <xf numFmtId="182" fontId="7" fillId="0" borderId="13" xfId="5" applyNumberFormat="1" applyFont="1" applyBorder="1" applyAlignment="1">
      <alignment horizontal="center"/>
    </xf>
    <xf numFmtId="0" fontId="5" fillId="0" borderId="14" xfId="8" applyBorder="1"/>
    <xf numFmtId="176" fontId="7" fillId="0" borderId="7" xfId="5" applyFont="1" applyBorder="1" applyAlignment="1">
      <alignment horizontal="center"/>
    </xf>
    <xf numFmtId="0" fontId="7" fillId="0" borderId="8" xfId="8" applyFont="1" applyBorder="1" applyAlignment="1">
      <alignment horizontal="center"/>
    </xf>
    <xf numFmtId="0" fontId="7" fillId="0" borderId="9" xfId="8" applyFont="1" applyBorder="1" applyAlignment="1">
      <alignment horizontal="center"/>
    </xf>
    <xf numFmtId="0" fontId="17" fillId="0" borderId="15" xfId="9" applyFont="1" applyBorder="1" applyAlignment="1">
      <alignment horizontal="center"/>
    </xf>
    <xf numFmtId="176" fontId="7" fillId="0" borderId="13" xfId="5" applyFont="1" applyBorder="1"/>
    <xf numFmtId="182" fontId="7" fillId="0" borderId="16" xfId="5" applyNumberFormat="1" applyFont="1" applyBorder="1" applyAlignment="1">
      <alignment horizontal="center"/>
    </xf>
    <xf numFmtId="182" fontId="7" fillId="0" borderId="0" xfId="5" applyNumberFormat="1" applyFont="1" applyAlignment="1">
      <alignment horizontal="center"/>
    </xf>
    <xf numFmtId="0" fontId="5" fillId="0" borderId="17" xfId="8" applyBorder="1" applyAlignment="1">
      <alignment horizontal="center"/>
    </xf>
    <xf numFmtId="176" fontId="7" fillId="0" borderId="17" xfId="5" applyFont="1" applyBorder="1"/>
    <xf numFmtId="0" fontId="6" fillId="0" borderId="17" xfId="9" applyBorder="1" applyAlignment="1">
      <alignment horizontal="center" wrapText="1"/>
    </xf>
    <xf numFmtId="176" fontId="7" fillId="0" borderId="11" xfId="5" applyFont="1" applyBorder="1" applyAlignment="1">
      <alignment horizontal="center"/>
    </xf>
    <xf numFmtId="0" fontId="7" fillId="0" borderId="11" xfId="8" applyFont="1" applyBorder="1" applyAlignment="1">
      <alignment horizontal="center"/>
    </xf>
    <xf numFmtId="182" fontId="7" fillId="0" borderId="12" xfId="5" applyNumberFormat="1" applyFont="1" applyBorder="1" applyAlignment="1">
      <alignment horizontal="center"/>
    </xf>
    <xf numFmtId="0" fontId="5" fillId="0" borderId="13" xfId="8" applyBorder="1" applyAlignment="1">
      <alignment horizontal="center"/>
    </xf>
    <xf numFmtId="176" fontId="7" fillId="0" borderId="15" xfId="5" applyFont="1" applyBorder="1"/>
    <xf numFmtId="176" fontId="7" fillId="0" borderId="8" xfId="5" applyFont="1" applyBorder="1" applyAlignment="1">
      <alignment horizontal="center"/>
    </xf>
    <xf numFmtId="182" fontId="7" fillId="0" borderId="9" xfId="5" applyNumberFormat="1" applyFont="1" applyBorder="1" applyAlignment="1">
      <alignment horizontal="center"/>
    </xf>
    <xf numFmtId="0" fontId="5" fillId="0" borderId="15" xfId="8" applyBorder="1" applyAlignment="1">
      <alignment horizontal="center"/>
    </xf>
    <xf numFmtId="0" fontId="7" fillId="0" borderId="0" xfId="5" applyNumberFormat="1" applyFont="1" applyAlignment="1">
      <alignment horizontal="center"/>
    </xf>
    <xf numFmtId="0" fontId="17" fillId="4" borderId="17" xfId="9" applyFont="1" applyFill="1" applyBorder="1" applyAlignment="1">
      <alignment horizontal="center" wrapText="1"/>
    </xf>
    <xf numFmtId="0" fontId="17" fillId="0" borderId="17" xfId="9" applyFont="1" applyBorder="1" applyAlignment="1">
      <alignment horizontal="center" wrapText="1"/>
    </xf>
    <xf numFmtId="0" fontId="7" fillId="0" borderId="17" xfId="8" applyFont="1" applyBorder="1" applyAlignment="1">
      <alignment horizontal="center"/>
    </xf>
    <xf numFmtId="0" fontId="7" fillId="0" borderId="11" xfId="5" applyNumberFormat="1" applyFont="1" applyBorder="1" applyAlignment="1">
      <alignment horizontal="center"/>
    </xf>
    <xf numFmtId="0" fontId="7" fillId="0" borderId="8" xfId="5" applyNumberFormat="1" applyFont="1" applyBorder="1" applyAlignment="1">
      <alignment horizontal="center"/>
    </xf>
    <xf numFmtId="182" fontId="7" fillId="0" borderId="8" xfId="5" applyNumberFormat="1" applyFont="1" applyBorder="1" applyAlignment="1">
      <alignment horizontal="center"/>
    </xf>
    <xf numFmtId="0" fontId="7" fillId="0" borderId="15" xfId="8" applyFont="1" applyBorder="1" applyAlignment="1">
      <alignment horizontal="center"/>
    </xf>
    <xf numFmtId="0" fontId="6" fillId="4" borderId="17" xfId="9" applyFill="1" applyBorder="1" applyAlignment="1">
      <alignment horizontal="center" wrapText="1"/>
    </xf>
    <xf numFmtId="0" fontId="6" fillId="4" borderId="13" xfId="9" applyFill="1" applyBorder="1" applyAlignment="1">
      <alignment horizontal="center" wrapText="1"/>
    </xf>
    <xf numFmtId="0" fontId="17" fillId="0" borderId="15" xfId="9" applyFont="1" applyBorder="1" applyAlignment="1">
      <alignment horizontal="center" wrapText="1"/>
    </xf>
    <xf numFmtId="0" fontId="7" fillId="4" borderId="17" xfId="9" applyFont="1" applyFill="1" applyBorder="1" applyAlignment="1">
      <alignment horizontal="center" wrapText="1"/>
    </xf>
    <xf numFmtId="0" fontId="17" fillId="4" borderId="13" xfId="9" applyFont="1" applyFill="1" applyBorder="1" applyAlignment="1">
      <alignment horizontal="center" wrapText="1"/>
    </xf>
    <xf numFmtId="0" fontId="6" fillId="0" borderId="13" xfId="9" applyBorder="1" applyAlignment="1">
      <alignment horizontal="center" wrapText="1"/>
    </xf>
    <xf numFmtId="0" fontId="6" fillId="0" borderId="15" xfId="9" applyBorder="1" applyAlignment="1">
      <alignment horizontal="center" wrapText="1"/>
    </xf>
    <xf numFmtId="0" fontId="17" fillId="0" borderId="13" xfId="9" applyFont="1" applyBorder="1" applyAlignment="1">
      <alignment horizontal="center" wrapText="1"/>
    </xf>
    <xf numFmtId="176" fontId="10" fillId="0" borderId="0" xfId="5" applyFont="1" applyAlignment="1">
      <alignment horizontal="center"/>
    </xf>
    <xf numFmtId="176" fontId="18" fillId="0" borderId="0" xfId="5" applyFont="1"/>
    <xf numFmtId="0" fontId="7" fillId="0" borderId="0" xfId="8" applyFont="1"/>
    <xf numFmtId="0" fontId="19" fillId="0" borderId="0" xfId="4" applyFont="1" applyAlignment="1">
      <alignment horizontal="center"/>
    </xf>
    <xf numFmtId="0" fontId="19" fillId="0" borderId="0" xfId="4" applyFont="1"/>
    <xf numFmtId="0" fontId="20" fillId="0" borderId="0" xfId="4" applyFont="1" applyAlignment="1">
      <alignment horizontal="center"/>
    </xf>
    <xf numFmtId="1" fontId="19" fillId="0" borderId="0" xfId="2" applyNumberFormat="1" applyFont="1" applyAlignment="1">
      <alignment horizontal="center"/>
    </xf>
    <xf numFmtId="2" fontId="19" fillId="0" borderId="0" xfId="2" applyNumberFormat="1" applyFont="1" applyAlignment="1">
      <alignment horizontal="center"/>
    </xf>
    <xf numFmtId="181" fontId="19" fillId="0" borderId="0" xfId="2" applyNumberFormat="1" applyFont="1" applyAlignment="1">
      <alignment horizontal="center"/>
    </xf>
    <xf numFmtId="177" fontId="5" fillId="0" borderId="0" xfId="2" applyNumberFormat="1" applyFont="1" applyAlignment="1">
      <alignment horizontal="center" vertical="top"/>
    </xf>
    <xf numFmtId="176" fontId="5" fillId="0" borderId="0" xfId="2" applyFont="1" applyAlignment="1">
      <alignment horizontal="center" vertical="top"/>
    </xf>
    <xf numFmtId="176" fontId="10" fillId="0" borderId="0" xfId="2" applyFont="1" applyAlignment="1">
      <alignment horizontal="center" vertical="top"/>
    </xf>
    <xf numFmtId="176" fontId="5" fillId="0" borderId="0" xfId="2" applyFont="1" applyAlignment="1">
      <alignment vertical="top" wrapText="1"/>
    </xf>
    <xf numFmtId="176" fontId="5" fillId="0" borderId="0" xfId="2" applyFont="1" applyAlignment="1">
      <alignment vertical="top"/>
    </xf>
    <xf numFmtId="176" fontId="7" fillId="5" borderId="0" xfId="2" applyFont="1" applyFill="1" applyAlignment="1">
      <alignment horizontal="center"/>
    </xf>
    <xf numFmtId="176" fontId="7" fillId="7" borderId="0" xfId="2" applyFont="1" applyFill="1"/>
    <xf numFmtId="176" fontId="5" fillId="7" borderId="0" xfId="2" applyFont="1" applyFill="1" applyAlignment="1">
      <alignment horizontal="center"/>
    </xf>
    <xf numFmtId="182" fontId="5" fillId="7" borderId="0" xfId="2" applyNumberFormat="1" applyFont="1" applyFill="1" applyAlignment="1">
      <alignment horizontal="center"/>
    </xf>
    <xf numFmtId="176" fontId="5" fillId="7" borderId="0" xfId="2" applyFont="1" applyFill="1"/>
    <xf numFmtId="176" fontId="5" fillId="7" borderId="0" xfId="2" applyFont="1" applyFill="1" applyProtection="1">
      <protection hidden="1"/>
    </xf>
    <xf numFmtId="183" fontId="5" fillId="0" borderId="0" xfId="2" applyNumberFormat="1" applyFont="1" applyAlignment="1">
      <alignment horizontal="center"/>
    </xf>
    <xf numFmtId="176" fontId="7" fillId="0" borderId="20" xfId="2" applyFont="1" applyBorder="1" applyAlignment="1" applyProtection="1">
      <alignment horizontal="center"/>
      <protection locked="0"/>
    </xf>
    <xf numFmtId="176" fontId="7" fillId="0" borderId="20" xfId="2" applyFont="1" applyBorder="1" applyAlignment="1">
      <alignment horizontal="center"/>
    </xf>
    <xf numFmtId="176" fontId="7" fillId="0" borderId="0" xfId="2" applyFont="1" applyAlignment="1">
      <alignment wrapText="1"/>
    </xf>
    <xf numFmtId="176" fontId="5" fillId="2" borderId="21" xfId="2" applyFont="1" applyFill="1" applyBorder="1" applyAlignment="1">
      <alignment horizontal="left"/>
    </xf>
    <xf numFmtId="176" fontId="5" fillId="2" borderId="21" xfId="2" applyFont="1" applyFill="1" applyBorder="1" applyAlignment="1">
      <alignment horizontal="center"/>
    </xf>
    <xf numFmtId="176" fontId="5" fillId="2" borderId="21" xfId="2" applyFont="1" applyFill="1" applyBorder="1" applyProtection="1">
      <protection hidden="1"/>
    </xf>
    <xf numFmtId="176" fontId="5" fillId="2" borderId="21" xfId="2" applyFont="1" applyFill="1" applyBorder="1" applyAlignment="1" applyProtection="1">
      <alignment horizontal="center"/>
      <protection hidden="1"/>
    </xf>
    <xf numFmtId="176" fontId="5" fillId="7" borderId="21" xfId="2" applyFont="1" applyFill="1" applyBorder="1" applyProtection="1">
      <protection hidden="1"/>
    </xf>
    <xf numFmtId="0" fontId="5" fillId="2" borderId="21" xfId="2" applyNumberFormat="1" applyFont="1" applyFill="1" applyBorder="1" applyAlignment="1">
      <alignment horizontal="center"/>
    </xf>
    <xf numFmtId="176" fontId="7" fillId="5" borderId="1" xfId="2" applyFont="1" applyFill="1" applyBorder="1"/>
    <xf numFmtId="176" fontId="7" fillId="7" borderId="0" xfId="2" applyFont="1" applyFill="1" applyAlignment="1">
      <alignment horizontal="center"/>
    </xf>
    <xf numFmtId="176" fontId="7" fillId="0" borderId="2" xfId="3" applyNumberFormat="1" applyFont="1" applyBorder="1"/>
    <xf numFmtId="176" fontId="7" fillId="0" borderId="3" xfId="3" applyNumberFormat="1" applyFont="1" applyBorder="1" applyAlignment="1">
      <alignment horizontal="right"/>
    </xf>
    <xf numFmtId="176" fontId="7" fillId="0" borderId="3" xfId="3" applyNumberFormat="1" applyFont="1" applyBorder="1" applyAlignment="1">
      <alignment horizontal="center"/>
    </xf>
    <xf numFmtId="176" fontId="7" fillId="0" borderId="5" xfId="3" applyNumberFormat="1" applyFont="1" applyBorder="1"/>
    <xf numFmtId="176" fontId="7" fillId="0" borderId="7" xfId="3" applyNumberFormat="1" applyFont="1" applyBorder="1"/>
    <xf numFmtId="176" fontId="7" fillId="0" borderId="7" xfId="3" applyNumberFormat="1" applyFont="1" applyBorder="1" applyAlignment="1">
      <alignment horizontal="left"/>
    </xf>
    <xf numFmtId="176" fontId="5" fillId="0" borderId="8" xfId="3" applyNumberFormat="1" applyFont="1" applyBorder="1" applyAlignment="1">
      <alignment horizontal="left"/>
    </xf>
    <xf numFmtId="176" fontId="5" fillId="0" borderId="9" xfId="3" applyNumberFormat="1" applyFont="1" applyBorder="1" applyAlignment="1">
      <alignment horizontal="left"/>
    </xf>
    <xf numFmtId="176" fontId="5" fillId="0" borderId="0" xfId="2" applyFont="1" applyAlignment="1">
      <alignment horizontal="left"/>
    </xf>
    <xf numFmtId="176" fontId="7" fillId="6" borderId="0" xfId="2" applyFont="1" applyFill="1" applyAlignment="1">
      <alignment horizontal="center"/>
    </xf>
    <xf numFmtId="188" fontId="7" fillId="0" borderId="0" xfId="2" applyNumberFormat="1" applyFont="1" applyAlignment="1">
      <alignment horizontal="center"/>
    </xf>
    <xf numFmtId="179" fontId="7" fillId="0" borderId="0" xfId="2" applyNumberFormat="1" applyFont="1" applyAlignment="1">
      <alignment horizontal="center"/>
    </xf>
    <xf numFmtId="180" fontId="5" fillId="0" borderId="0" xfId="2" applyNumberFormat="1" applyFont="1" applyAlignment="1">
      <alignment horizontal="center"/>
    </xf>
    <xf numFmtId="176" fontId="5" fillId="7" borderId="0" xfId="2" applyFont="1" applyFill="1" applyAlignment="1">
      <alignment wrapText="1"/>
    </xf>
    <xf numFmtId="176" fontId="5" fillId="0" borderId="0" xfId="2" applyFont="1" applyAlignment="1">
      <alignment horizontal="center" wrapText="1"/>
    </xf>
    <xf numFmtId="176" fontId="10" fillId="7" borderId="0" xfId="2" applyFont="1" applyFill="1"/>
    <xf numFmtId="176" fontId="10" fillId="0" borderId="0" xfId="2" applyFont="1"/>
    <xf numFmtId="176" fontId="8" fillId="0" borderId="0" xfId="2" applyFont="1"/>
    <xf numFmtId="176" fontId="7" fillId="2" borderId="0" xfId="2" applyFont="1" applyFill="1"/>
    <xf numFmtId="176" fontId="5" fillId="2" borderId="0" xfId="2" applyFont="1" applyFill="1"/>
    <xf numFmtId="0" fontId="5" fillId="2" borderId="0" xfId="2" applyNumberFormat="1" applyFont="1" applyFill="1" applyAlignment="1">
      <alignment horizontal="center" wrapText="1"/>
    </xf>
    <xf numFmtId="176" fontId="8" fillId="2" borderId="0" xfId="2" applyFont="1" applyFill="1"/>
    <xf numFmtId="0" fontId="5" fillId="2" borderId="0" xfId="2" applyNumberFormat="1" applyFont="1" applyFill="1"/>
    <xf numFmtId="183" fontId="5" fillId="2" borderId="0" xfId="2" applyNumberFormat="1" applyFont="1" applyFill="1"/>
    <xf numFmtId="176" fontId="11" fillId="2" borderId="0" xfId="2" applyFont="1" applyFill="1"/>
    <xf numFmtId="176" fontId="11" fillId="7" borderId="0" xfId="2" applyFont="1" applyFill="1" applyAlignment="1">
      <alignment horizontal="center"/>
    </xf>
    <xf numFmtId="176" fontId="5" fillId="2" borderId="21" xfId="2" applyFont="1" applyFill="1" applyBorder="1"/>
    <xf numFmtId="176" fontId="5" fillId="7" borderId="21" xfId="2" applyFont="1" applyFill="1" applyBorder="1" applyAlignment="1">
      <alignment horizontal="center"/>
    </xf>
    <xf numFmtId="176" fontId="5" fillId="7" borderId="21" xfId="2" applyFont="1" applyFill="1" applyBorder="1"/>
    <xf numFmtId="0" fontId="5" fillId="7" borderId="0" xfId="7" applyFill="1" applyAlignment="1">
      <alignment horizontal="center"/>
    </xf>
    <xf numFmtId="49" fontId="5" fillId="0" borderId="0" xfId="2" applyNumberFormat="1" applyFont="1" applyAlignment="1">
      <alignment horizontal="center"/>
    </xf>
    <xf numFmtId="0" fontId="5" fillId="7" borderId="0" xfId="6" applyFont="1" applyFill="1" applyAlignment="1">
      <alignment horizontal="center"/>
    </xf>
    <xf numFmtId="49" fontId="5" fillId="0" borderId="0" xfId="2" quotePrefix="1" applyNumberFormat="1" applyFont="1" applyAlignment="1">
      <alignment horizontal="center"/>
    </xf>
    <xf numFmtId="49" fontId="5" fillId="0" borderId="0" xfId="2" applyNumberFormat="1" applyFont="1"/>
    <xf numFmtId="2" fontId="5" fillId="7" borderId="0" xfId="2" applyNumberFormat="1" applyFont="1" applyFill="1" applyAlignment="1">
      <alignment horizontal="center"/>
    </xf>
    <xf numFmtId="190" fontId="5" fillId="0" borderId="0" xfId="10" applyNumberFormat="1" applyFont="1" applyAlignment="1" applyProtection="1">
      <alignment horizontal="center"/>
    </xf>
    <xf numFmtId="176" fontId="5" fillId="0" borderId="0" xfId="2" applyFont="1" applyAlignment="1">
      <alignment horizontal="right"/>
    </xf>
    <xf numFmtId="176" fontId="5" fillId="0" borderId="4" xfId="3" applyNumberFormat="1" applyFont="1" applyBorder="1" applyAlignment="1" applyProtection="1">
      <alignment horizontal="left"/>
      <protection locked="0"/>
    </xf>
    <xf numFmtId="176" fontId="5" fillId="0" borderId="3" xfId="3" applyNumberFormat="1" applyFont="1" applyBorder="1" applyAlignment="1" applyProtection="1">
      <alignment horizontal="left"/>
      <protection locked="0"/>
    </xf>
    <xf numFmtId="176" fontId="5" fillId="0" borderId="8" xfId="3" applyNumberFormat="1" applyFont="1" applyBorder="1" applyAlignment="1" applyProtection="1">
      <alignment horizontal="left"/>
      <protection locked="0"/>
    </xf>
    <xf numFmtId="183" fontId="7" fillId="0" borderId="0" xfId="2" applyNumberFormat="1" applyFont="1" applyAlignment="1" applyProtection="1">
      <alignment horizontal="center"/>
      <protection locked="0"/>
    </xf>
    <xf numFmtId="176" fontId="7" fillId="0" borderId="0" xfId="2" applyFont="1" applyAlignment="1" applyProtection="1">
      <alignment horizontal="center"/>
      <protection locked="0"/>
    </xf>
    <xf numFmtId="9" fontId="7" fillId="0" borderId="0" xfId="10" applyFont="1" applyBorder="1" applyAlignment="1" applyProtection="1">
      <alignment horizontal="center"/>
      <protection locked="0"/>
    </xf>
    <xf numFmtId="176" fontId="5" fillId="0" borderId="20" xfId="2" applyFont="1" applyBorder="1" applyAlignment="1" applyProtection="1">
      <alignment horizontal="center"/>
      <protection locked="0"/>
    </xf>
    <xf numFmtId="2" fontId="5" fillId="0" borderId="0" xfId="2" applyNumberFormat="1" applyFont="1"/>
    <xf numFmtId="176" fontId="8" fillId="0" borderId="0" xfId="2" applyFont="1" applyAlignment="1">
      <alignment horizontal="left"/>
    </xf>
    <xf numFmtId="176" fontId="7" fillId="0" borderId="0" xfId="2" applyFont="1" applyAlignment="1">
      <alignment horizontal="left"/>
    </xf>
    <xf numFmtId="176" fontId="5" fillId="8" borderId="0" xfId="2" applyFont="1" applyFill="1" applyAlignment="1">
      <alignment horizontal="left"/>
    </xf>
    <xf numFmtId="176" fontId="5" fillId="8" borderId="0" xfId="2" applyFont="1" applyFill="1"/>
    <xf numFmtId="176" fontId="5" fillId="8" borderId="0" xfId="2" applyFont="1" applyFill="1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0" borderId="0" xfId="4" applyFont="1"/>
    <xf numFmtId="0" fontId="7" fillId="0" borderId="0" xfId="4" applyFont="1" applyAlignment="1">
      <alignment horizontal="center"/>
    </xf>
    <xf numFmtId="0" fontId="5" fillId="0" borderId="0" xfId="4" applyFont="1"/>
    <xf numFmtId="178" fontId="5" fillId="0" borderId="0" xfId="4" applyNumberFormat="1" applyFont="1" applyAlignment="1">
      <alignment horizontal="center"/>
    </xf>
    <xf numFmtId="179" fontId="5" fillId="0" borderId="0" xfId="4" applyNumberFormat="1" applyFont="1" applyAlignment="1">
      <alignment horizontal="center"/>
    </xf>
    <xf numFmtId="0" fontId="5" fillId="0" borderId="0" xfId="4" applyFont="1" applyAlignment="1">
      <alignment horizontal="center"/>
    </xf>
    <xf numFmtId="1" fontId="5" fillId="0" borderId="0" xfId="2" applyNumberFormat="1" applyFont="1" applyAlignment="1">
      <alignment horizontal="center"/>
    </xf>
    <xf numFmtId="0" fontId="7" fillId="0" borderId="0" xfId="2" applyNumberFormat="1" applyFont="1"/>
    <xf numFmtId="0" fontId="21" fillId="0" borderId="0" xfId="0" applyFont="1"/>
    <xf numFmtId="176" fontId="7" fillId="6" borderId="20" xfId="2" applyFont="1" applyFill="1" applyBorder="1" applyAlignment="1" applyProtection="1">
      <alignment horizontal="center"/>
      <protection locked="0"/>
    </xf>
    <xf numFmtId="176" fontId="7" fillId="6" borderId="0" xfId="3" applyNumberFormat="1" applyFont="1" applyFill="1" applyAlignment="1" applyProtection="1">
      <alignment horizontal="center"/>
      <protection locked="0"/>
    </xf>
    <xf numFmtId="180" fontId="21" fillId="0" borderId="0" xfId="0" applyNumberFormat="1" applyFont="1" applyAlignment="1">
      <alignment horizontal="center"/>
    </xf>
    <xf numFmtId="180" fontId="0" fillId="0" borderId="0" xfId="0" applyNumberFormat="1" applyAlignment="1">
      <alignment horizontal="center"/>
    </xf>
    <xf numFmtId="176" fontId="7" fillId="5" borderId="0" xfId="2" applyFont="1" applyFill="1" applyAlignment="1">
      <alignment horizontal="left"/>
    </xf>
    <xf numFmtId="176" fontId="9" fillId="0" borderId="0" xfId="2" applyFont="1" applyAlignment="1">
      <alignment horizontal="left"/>
    </xf>
    <xf numFmtId="176" fontId="5" fillId="0" borderId="0" xfId="2" applyFont="1"/>
    <xf numFmtId="176" fontId="5" fillId="0" borderId="0" xfId="2" applyFont="1" applyAlignment="1">
      <alignment horizontal="left"/>
    </xf>
    <xf numFmtId="176" fontId="7" fillId="0" borderId="0" xfId="2" applyFont="1"/>
    <xf numFmtId="176" fontId="7" fillId="0" borderId="0" xfId="2" applyFont="1" applyAlignment="1">
      <alignment horizontal="left"/>
    </xf>
    <xf numFmtId="176" fontId="7" fillId="5" borderId="0" xfId="2" applyFont="1" applyFill="1"/>
    <xf numFmtId="176" fontId="8" fillId="0" borderId="0" xfId="2" applyFont="1" applyAlignment="1">
      <alignment horizontal="left"/>
    </xf>
    <xf numFmtId="176" fontId="7" fillId="5" borderId="0" xfId="2" applyFont="1" applyFill="1" applyAlignment="1">
      <alignment horizontal="center"/>
    </xf>
    <xf numFmtId="176" fontId="9" fillId="0" borderId="0" xfId="2" applyFont="1"/>
    <xf numFmtId="176" fontId="7" fillId="0" borderId="20" xfId="2" applyFont="1" applyBorder="1" applyAlignment="1" applyProtection="1">
      <alignment horizontal="center"/>
      <protection locked="0"/>
    </xf>
    <xf numFmtId="176" fontId="5" fillId="0" borderId="6" xfId="3" applyNumberFormat="1" applyFont="1" applyBorder="1" applyAlignment="1" applyProtection="1">
      <alignment horizontal="left"/>
      <protection locked="0"/>
    </xf>
    <xf numFmtId="176" fontId="5" fillId="0" borderId="18" xfId="3" applyNumberFormat="1" applyFont="1" applyBorder="1" applyAlignment="1" applyProtection="1">
      <alignment horizontal="left"/>
      <protection locked="0"/>
    </xf>
    <xf numFmtId="176" fontId="5" fillId="0" borderId="8" xfId="3" applyNumberFormat="1" applyFont="1" applyBorder="1" applyAlignment="1" applyProtection="1">
      <alignment horizontal="left"/>
      <protection locked="0"/>
    </xf>
    <xf numFmtId="176" fontId="2" fillId="5" borderId="19" xfId="2" applyFont="1" applyFill="1" applyBorder="1"/>
    <xf numFmtId="176" fontId="2" fillId="5" borderId="1" xfId="2" applyFont="1" applyFill="1" applyBorder="1"/>
    <xf numFmtId="176" fontId="7" fillId="5" borderId="11" xfId="3" applyNumberFormat="1" applyFont="1" applyFill="1" applyBorder="1" applyAlignment="1">
      <alignment horizontal="left"/>
    </xf>
    <xf numFmtId="187" fontId="7" fillId="5" borderId="11" xfId="3" applyNumberFormat="1" applyFont="1" applyFill="1" applyBorder="1"/>
    <xf numFmtId="187" fontId="7" fillId="5" borderId="12" xfId="3" applyNumberFormat="1" applyFont="1" applyFill="1" applyBorder="1"/>
    <xf numFmtId="176" fontId="5" fillId="0" borderId="10" xfId="3" quotePrefix="1" applyNumberFormat="1" applyFont="1" applyBorder="1" applyAlignment="1">
      <alignment horizontal="center"/>
    </xf>
    <xf numFmtId="176" fontId="5" fillId="0" borderId="12" xfId="3" quotePrefix="1" applyNumberFormat="1" applyFont="1" applyBorder="1" applyAlignment="1">
      <alignment horizontal="center"/>
    </xf>
    <xf numFmtId="176" fontId="5" fillId="0" borderId="14" xfId="3" quotePrefix="1" applyNumberFormat="1" applyFont="1" applyBorder="1" applyAlignment="1">
      <alignment horizontal="center"/>
    </xf>
    <xf numFmtId="176" fontId="5" fillId="0" borderId="16" xfId="3" quotePrefix="1" applyNumberFormat="1" applyFont="1" applyBorder="1" applyAlignment="1">
      <alignment horizontal="center"/>
    </xf>
    <xf numFmtId="176" fontId="5" fillId="0" borderId="7" xfId="3" quotePrefix="1" applyNumberFormat="1" applyFont="1" applyBorder="1" applyAlignment="1">
      <alignment horizontal="center"/>
    </xf>
    <xf numFmtId="176" fontId="5" fillId="0" borderId="9" xfId="3" quotePrefix="1" applyNumberFormat="1" applyFont="1" applyBorder="1" applyAlignment="1">
      <alignment horizontal="center"/>
    </xf>
    <xf numFmtId="176" fontId="5" fillId="0" borderId="3" xfId="3" applyNumberFormat="1" applyFont="1" applyBorder="1" applyAlignment="1" applyProtection="1">
      <alignment horizontal="left"/>
      <protection locked="0"/>
    </xf>
    <xf numFmtId="0" fontId="7" fillId="0" borderId="0" xfId="6" applyFont="1" applyAlignment="1">
      <alignment horizontal="center" wrapText="1"/>
    </xf>
    <xf numFmtId="0" fontId="7" fillId="0" borderId="0" xfId="4" applyFont="1" applyAlignment="1">
      <alignment horizontal="center"/>
    </xf>
  </cellXfs>
  <cellStyles count="11">
    <cellStyle name="Hyperlink_Fluids" xfId="1" xr:uid="{00000000-0005-0000-0000-000000000000}"/>
    <cellStyle name="Normal 2" xfId="2" xr:uid="{00000000-0005-0000-0000-000002000000}"/>
    <cellStyle name="Normal 2 2" xfId="3" xr:uid="{00000000-0005-0000-0000-000003000000}"/>
    <cellStyle name="Normal_DS200H12" xfId="4" xr:uid="{00000000-0005-0000-0000-000004000000}"/>
    <cellStyle name="Normal_DS221D9a" xfId="5" xr:uid="{00000000-0005-0000-0000-000005000000}"/>
    <cellStyle name="Normal_Fluids" xfId="6" xr:uid="{00000000-0005-0000-0000-000006000000}"/>
    <cellStyle name="Normal_Functions5.1" xfId="7" xr:uid="{00000000-0005-0000-0000-000007000000}"/>
    <cellStyle name="Normal_Functions6.8" xfId="8" xr:uid="{00000000-0005-0000-0000-000008000000}"/>
    <cellStyle name="Normal_PipeData" xfId="9" xr:uid="{00000000-0005-0000-0000-000009000000}"/>
    <cellStyle name="Percent 2" xfId="10" xr:uid="{00000000-0005-0000-0000-00000A000000}"/>
    <cellStyle name="常规" xfId="0" builtinId="0"/>
  </cellStyles>
  <dxfs count="10"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</font>
      <fill>
        <patternFill patternType="none">
          <bgColor indexed="65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</font>
      <fill>
        <patternFill patternType="none">
          <bgColor indexed="65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 patternType="none"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2</xdr:row>
      <xdr:rowOff>66675</xdr:rowOff>
    </xdr:from>
    <xdr:to>
      <xdr:col>1</xdr:col>
      <xdr:colOff>828675</xdr:colOff>
      <xdr:row>5</xdr:row>
      <xdr:rowOff>57150</xdr:rowOff>
    </xdr:to>
    <xdr:pic>
      <xdr:nvPicPr>
        <xdr:cNvPr id="1049" name="Picture 1" descr="koso_logo - blue.jpg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438150"/>
          <a:ext cx="1657350" cy="476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ebbook.nist.gov/chemistry/name-ser.html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Sheet1">
    <pageSetUpPr fitToPage="1"/>
  </sheetPr>
  <dimension ref="A1:AW309"/>
  <sheetViews>
    <sheetView showGridLines="0" tabSelected="1" topLeftCell="A12" zoomScaleNormal="100" workbookViewId="0">
      <selection activeCell="K31" sqref="K31"/>
    </sheetView>
  </sheetViews>
  <sheetFormatPr defaultColWidth="12.54296875" defaultRowHeight="12.5" outlineLevelRow="1" outlineLevelCol="1" x14ac:dyDescent="0.25"/>
  <cols>
    <col min="1" max="11" width="12.7265625" style="4" customWidth="1"/>
    <col min="12" max="12" width="12.7265625" style="117" hidden="1" customWidth="1" outlineLevel="1"/>
    <col min="13" max="13" width="15.7265625" style="117" hidden="1" customWidth="1" outlineLevel="1"/>
    <col min="14" max="14" width="15.26953125" style="119" hidden="1" customWidth="1" outlineLevel="1"/>
    <col min="15" max="15" width="81.54296875" style="119" hidden="1" customWidth="1" outlineLevel="1"/>
    <col min="16" max="16" width="16.453125" style="5" customWidth="1" collapsed="1"/>
    <col min="17" max="17" width="16.453125" style="5" customWidth="1"/>
    <col min="18" max="41" width="16.453125" style="4" customWidth="1"/>
    <col min="42" max="118" width="13.81640625" style="4" customWidth="1"/>
    <col min="119" max="204" width="12.54296875" style="4"/>
    <col min="205" max="205" width="2.26953125" style="4" customWidth="1"/>
    <col min="206" max="16384" width="12.54296875" style="4"/>
  </cols>
  <sheetData>
    <row r="1" spans="1:18" ht="16" thickBot="1" x14ac:dyDescent="0.4">
      <c r="A1" s="212" t="s">
        <v>444</v>
      </c>
      <c r="B1" s="213"/>
      <c r="C1" s="213"/>
      <c r="D1" s="213"/>
      <c r="E1" s="131" t="s">
        <v>891</v>
      </c>
      <c r="F1" s="214"/>
      <c r="G1" s="214"/>
      <c r="H1" s="214"/>
      <c r="I1" s="215">
        <f ca="1">NOW()</f>
        <v>46267.389980208332</v>
      </c>
      <c r="J1" s="215"/>
      <c r="K1" s="216"/>
      <c r="L1" s="132" t="s">
        <v>805</v>
      </c>
      <c r="M1" s="132" t="s">
        <v>445</v>
      </c>
      <c r="N1" s="116" t="s">
        <v>806</v>
      </c>
      <c r="O1" s="116" t="s">
        <v>807</v>
      </c>
      <c r="P1" s="4" t="s">
        <v>446</v>
      </c>
      <c r="R1" s="5"/>
    </row>
    <row r="2" spans="1:18" ht="13" x14ac:dyDescent="0.3">
      <c r="A2" s="217" t="s">
        <v>447</v>
      </c>
      <c r="B2" s="218"/>
      <c r="C2" s="133" t="s">
        <v>448</v>
      </c>
      <c r="D2" s="223"/>
      <c r="E2" s="223"/>
      <c r="F2" s="134" t="s">
        <v>449</v>
      </c>
      <c r="G2" s="170"/>
      <c r="H2" s="133" t="s">
        <v>450</v>
      </c>
      <c r="I2" s="171"/>
      <c r="J2" s="135" t="s">
        <v>451</v>
      </c>
      <c r="K2" s="170"/>
      <c r="P2" s="4"/>
      <c r="Q2" s="4"/>
      <c r="R2" s="5"/>
    </row>
    <row r="3" spans="1:18" ht="13" x14ac:dyDescent="0.3">
      <c r="A3" s="219"/>
      <c r="B3" s="220"/>
      <c r="C3" s="136" t="s">
        <v>872</v>
      </c>
      <c r="D3" s="209"/>
      <c r="E3" s="209"/>
      <c r="F3" s="209"/>
      <c r="G3" s="210"/>
      <c r="H3" s="136" t="s">
        <v>452</v>
      </c>
      <c r="I3" s="209"/>
      <c r="J3" s="209"/>
      <c r="K3" s="210"/>
      <c r="N3" s="116"/>
      <c r="P3" s="4"/>
      <c r="Q3" s="4"/>
      <c r="R3" s="5"/>
    </row>
    <row r="4" spans="1:18" ht="13" x14ac:dyDescent="0.3">
      <c r="A4" s="219"/>
      <c r="B4" s="220"/>
      <c r="C4" s="136" t="s">
        <v>453</v>
      </c>
      <c r="D4" s="209"/>
      <c r="E4" s="209"/>
      <c r="F4" s="209"/>
      <c r="G4" s="209"/>
      <c r="H4" s="136" t="s">
        <v>454</v>
      </c>
      <c r="I4" s="209"/>
      <c r="J4" s="209"/>
      <c r="K4" s="210"/>
      <c r="N4" s="116"/>
      <c r="P4" s="4"/>
      <c r="Q4" s="4"/>
      <c r="R4" s="5"/>
    </row>
    <row r="5" spans="1:18" ht="13" x14ac:dyDescent="0.3">
      <c r="A5" s="219"/>
      <c r="B5" s="220"/>
      <c r="C5" s="136" t="s">
        <v>455</v>
      </c>
      <c r="D5" s="209"/>
      <c r="E5" s="209"/>
      <c r="F5" s="6" t="s">
        <v>456</v>
      </c>
      <c r="G5" s="7">
        <f ca="1">NOW()</f>
        <v>46267.389980208332</v>
      </c>
      <c r="H5" s="136" t="s">
        <v>457</v>
      </c>
      <c r="I5" s="209"/>
      <c r="J5" s="209"/>
      <c r="K5" s="210"/>
      <c r="P5" s="4"/>
      <c r="R5" s="5"/>
    </row>
    <row r="6" spans="1:18" ht="13" x14ac:dyDescent="0.3">
      <c r="A6" s="219"/>
      <c r="B6" s="220"/>
      <c r="C6" s="136" t="s">
        <v>458</v>
      </c>
      <c r="D6" s="209"/>
      <c r="E6" s="209"/>
      <c r="F6" s="6" t="s">
        <v>456</v>
      </c>
      <c r="G6" s="7">
        <f ca="1">NOW()</f>
        <v>46267.389980208332</v>
      </c>
      <c r="H6" s="136" t="s">
        <v>459</v>
      </c>
      <c r="I6" s="209"/>
      <c r="J6" s="209"/>
      <c r="K6" s="210"/>
      <c r="P6" s="4"/>
      <c r="R6" s="5"/>
    </row>
    <row r="7" spans="1:18" ht="13.5" thickBot="1" x14ac:dyDescent="0.35">
      <c r="A7" s="221"/>
      <c r="B7" s="222"/>
      <c r="C7" s="137" t="s">
        <v>460</v>
      </c>
      <c r="D7" s="211"/>
      <c r="E7" s="211"/>
      <c r="F7" s="211"/>
      <c r="G7" s="211"/>
      <c r="H7" s="138" t="s">
        <v>461</v>
      </c>
      <c r="I7" s="172"/>
      <c r="J7" s="139"/>
      <c r="K7" s="140"/>
      <c r="P7" s="4"/>
      <c r="R7" s="5"/>
    </row>
    <row r="8" spans="1:18" ht="13" x14ac:dyDescent="0.3">
      <c r="A8" s="8"/>
      <c r="B8" s="8"/>
      <c r="C8" s="8"/>
      <c r="F8" s="8"/>
      <c r="G8" s="141"/>
      <c r="H8" s="141"/>
      <c r="I8" s="141"/>
      <c r="J8" s="141"/>
      <c r="K8" s="141"/>
      <c r="P8" s="4"/>
      <c r="R8" s="5"/>
    </row>
    <row r="9" spans="1:18" ht="13" x14ac:dyDescent="0.3">
      <c r="A9" s="204" t="s">
        <v>462</v>
      </c>
      <c r="B9" s="204"/>
      <c r="C9" s="204"/>
      <c r="D9" s="206" t="s">
        <v>463</v>
      </c>
      <c r="E9" s="206"/>
      <c r="F9" s="206"/>
      <c r="G9" s="8"/>
      <c r="H9" s="8"/>
      <c r="I9" s="8"/>
      <c r="J9" s="8"/>
      <c r="K9" s="8"/>
      <c r="N9" s="116"/>
      <c r="P9" s="4"/>
      <c r="R9" s="5"/>
    </row>
    <row r="10" spans="1:18" ht="13" x14ac:dyDescent="0.3">
      <c r="A10" s="202" t="s">
        <v>464</v>
      </c>
      <c r="B10" s="202"/>
      <c r="C10" s="202"/>
      <c r="D10" s="208" t="s">
        <v>884</v>
      </c>
      <c r="E10" s="208"/>
      <c r="F10" s="208"/>
      <c r="P10" s="4"/>
      <c r="R10" s="5"/>
    </row>
    <row r="11" spans="1:18" ht="13" x14ac:dyDescent="0.3">
      <c r="A11" s="202" t="s">
        <v>465</v>
      </c>
      <c r="B11" s="202"/>
      <c r="C11" s="202"/>
      <c r="D11" s="208" t="s">
        <v>320</v>
      </c>
      <c r="E11" s="208"/>
      <c r="F11" s="208"/>
      <c r="P11" s="4"/>
      <c r="R11" s="5"/>
    </row>
    <row r="12" spans="1:18" ht="13" x14ac:dyDescent="0.3">
      <c r="A12" s="202" t="s">
        <v>466</v>
      </c>
      <c r="B12" s="202"/>
      <c r="C12" s="202"/>
      <c r="D12" s="208" t="s">
        <v>467</v>
      </c>
      <c r="E12" s="208"/>
      <c r="F12" s="208"/>
      <c r="P12" s="4"/>
      <c r="R12" s="5"/>
    </row>
    <row r="13" spans="1:18" ht="13" x14ac:dyDescent="0.3">
      <c r="A13" s="202" t="s">
        <v>468</v>
      </c>
      <c r="B13" s="202"/>
      <c r="C13" s="202"/>
      <c r="D13" s="208" t="s">
        <v>882</v>
      </c>
      <c r="E13" s="208"/>
      <c r="F13" s="208"/>
      <c r="L13" s="117" t="str">
        <f>IF($D$11="Custom","Required","Not Req'd")</f>
        <v>Required</v>
      </c>
      <c r="M13" s="117" t="s">
        <v>469</v>
      </c>
      <c r="P13" s="4"/>
      <c r="R13" s="5"/>
    </row>
    <row r="14" spans="1:18" ht="13" x14ac:dyDescent="0.3">
      <c r="A14" s="202" t="s">
        <v>470</v>
      </c>
      <c r="B14" s="202"/>
      <c r="C14" s="202"/>
      <c r="D14" s="208" t="s">
        <v>469</v>
      </c>
      <c r="E14" s="208"/>
      <c r="F14" s="208"/>
      <c r="K14" s="5"/>
      <c r="L14" s="117" t="str">
        <f>IF(AND(TypeOfGas="Custom",MethodOfSpecifyingDensity&lt;&gt;"Direct Input"),"Required","Not Req'd")</f>
        <v>Required</v>
      </c>
      <c r="M14" s="117" t="s">
        <v>471</v>
      </c>
      <c r="P14" s="4"/>
      <c r="R14" s="5"/>
    </row>
    <row r="15" spans="1:18" ht="13" x14ac:dyDescent="0.3">
      <c r="A15" s="202" t="s">
        <v>9</v>
      </c>
      <c r="B15" s="202"/>
      <c r="C15" s="202"/>
      <c r="D15" s="208" t="s">
        <v>21</v>
      </c>
      <c r="E15" s="208"/>
      <c r="F15" s="208"/>
      <c r="P15" s="4"/>
      <c r="R15" s="5"/>
    </row>
    <row r="16" spans="1:18" ht="13" x14ac:dyDescent="0.3">
      <c r="A16" s="202" t="s">
        <v>808</v>
      </c>
      <c r="B16" s="202"/>
      <c r="C16" s="202"/>
      <c r="D16" s="208" t="s">
        <v>856</v>
      </c>
      <c r="E16" s="208"/>
      <c r="F16" s="208"/>
      <c r="P16" s="4"/>
      <c r="R16" s="5"/>
    </row>
    <row r="17" spans="1:18" ht="13" x14ac:dyDescent="0.3">
      <c r="A17" s="202" t="s">
        <v>472</v>
      </c>
      <c r="B17" s="202"/>
      <c r="C17" s="202"/>
      <c r="D17" s="208" t="s">
        <v>886</v>
      </c>
      <c r="E17" s="208"/>
      <c r="F17" s="208"/>
      <c r="P17" s="4"/>
      <c r="R17" s="5"/>
    </row>
    <row r="18" spans="1:18" ht="13" x14ac:dyDescent="0.3">
      <c r="A18" s="202" t="s">
        <v>473</v>
      </c>
      <c r="B18" s="202"/>
      <c r="C18" s="202"/>
      <c r="D18" s="208" t="s">
        <v>892</v>
      </c>
      <c r="E18" s="208"/>
      <c r="F18" s="208"/>
      <c r="N18" s="119" t="s">
        <v>474</v>
      </c>
      <c r="R18" s="5"/>
    </row>
    <row r="19" spans="1:18" ht="13" x14ac:dyDescent="0.3">
      <c r="A19" s="202" t="s">
        <v>475</v>
      </c>
      <c r="B19" s="202"/>
      <c r="C19" s="202"/>
      <c r="D19" s="208" t="s">
        <v>476</v>
      </c>
      <c r="E19" s="208"/>
      <c r="F19" s="208"/>
      <c r="P19" s="4"/>
      <c r="R19" s="5"/>
    </row>
    <row r="20" spans="1:18" ht="13" x14ac:dyDescent="0.3">
      <c r="A20" s="204" t="s">
        <v>477</v>
      </c>
      <c r="B20" s="204"/>
      <c r="C20" s="204"/>
      <c r="D20" s="115" t="s">
        <v>478</v>
      </c>
      <c r="E20" s="115" t="s">
        <v>479</v>
      </c>
      <c r="F20" s="115" t="s">
        <v>480</v>
      </c>
      <c r="R20" s="5"/>
    </row>
    <row r="21" spans="1:18" ht="13" x14ac:dyDescent="0.3">
      <c r="A21" s="202" t="s">
        <v>481</v>
      </c>
      <c r="B21" s="202"/>
      <c r="C21" s="202"/>
      <c r="D21" s="33"/>
      <c r="E21" s="122" t="s">
        <v>885</v>
      </c>
      <c r="F21" s="122" t="s">
        <v>887</v>
      </c>
      <c r="P21" s="4"/>
      <c r="R21" s="5"/>
    </row>
    <row r="22" spans="1:18" ht="13" x14ac:dyDescent="0.3">
      <c r="A22" s="202" t="s">
        <v>482</v>
      </c>
      <c r="B22" s="202"/>
      <c r="C22" s="202"/>
      <c r="D22" s="5"/>
      <c r="E22" s="122" t="s">
        <v>737</v>
      </c>
      <c r="F22" s="122" t="s">
        <v>750</v>
      </c>
      <c r="G22" s="150" t="str">
        <f>IF(ISNUMBER(F88),
    IF(F88&gt;1066.8,"Noise calcs are limited to max pipe OD of 1066.8 mm (42 in.)",""),
    "Outlet Pipe size needed for noise prediction")</f>
        <v>Noise calcs are limited to max pipe OD of 1066.8 mm (42 in.)</v>
      </c>
      <c r="H22" s="150"/>
      <c r="I22" s="150"/>
      <c r="J22" s="150"/>
      <c r="K22" s="150"/>
      <c r="L22" s="117" t="str">
        <f>IF(OR($E$21="NPS &amp; Schd",$F$21="NPS &amp; Schd"),"Required","Not Req'd")</f>
        <v>Required</v>
      </c>
      <c r="R22" s="5"/>
    </row>
    <row r="23" spans="1:18" ht="13" x14ac:dyDescent="0.3">
      <c r="A23" s="202" t="s">
        <v>484</v>
      </c>
      <c r="B23" s="202"/>
      <c r="C23" s="202"/>
      <c r="D23" s="5"/>
      <c r="E23" s="122" t="s">
        <v>762</v>
      </c>
      <c r="F23" s="122" t="s">
        <v>754</v>
      </c>
      <c r="L23" s="117" t="str">
        <f>IF(OR($E$21="NPS &amp; Schd",$F$21="NPS &amp; Schd"),"Required","Not Req'd")</f>
        <v>Required</v>
      </c>
      <c r="R23" s="5"/>
    </row>
    <row r="24" spans="1:18" ht="13" x14ac:dyDescent="0.3">
      <c r="A24" s="202" t="s">
        <v>487</v>
      </c>
      <c r="B24" s="202"/>
      <c r="C24" s="202"/>
      <c r="D24" s="122" t="s">
        <v>48</v>
      </c>
      <c r="E24" s="9"/>
      <c r="F24" s="9">
        <v>246</v>
      </c>
      <c r="L24" s="117" t="str">
        <f>IF(OR($E$21&lt;&gt;"NPS &amp; Schd",$F$21&lt;&gt;"NPS &amp; Schd"),"Required","Not Req'd")</f>
        <v>Required</v>
      </c>
      <c r="M24" s="117" t="s">
        <v>555</v>
      </c>
      <c r="R24" s="5"/>
    </row>
    <row r="25" spans="1:18" ht="13" x14ac:dyDescent="0.3">
      <c r="A25" s="202" t="s">
        <v>488</v>
      </c>
      <c r="B25" s="202"/>
      <c r="C25" s="202"/>
      <c r="D25" s="5" t="str">
        <f>$D$24</f>
        <v>in.</v>
      </c>
      <c r="E25" s="9"/>
      <c r="F25" s="9">
        <v>0.5</v>
      </c>
      <c r="L25" s="117" t="str">
        <f>IF(OR($E$21="OD &amp; t",$F$21="OD &amp; t"),"Required","Not Req'd")</f>
        <v>Required</v>
      </c>
      <c r="R25" s="5"/>
    </row>
    <row r="26" spans="1:18" ht="13" x14ac:dyDescent="0.3">
      <c r="A26" s="202" t="s">
        <v>489</v>
      </c>
      <c r="B26" s="202"/>
      <c r="C26" s="202"/>
      <c r="D26" s="5" t="str">
        <f>$D$24</f>
        <v>in.</v>
      </c>
      <c r="E26" s="9"/>
      <c r="F26" s="9"/>
      <c r="L26" s="117" t="str">
        <f>IF(OR($E$21="OD &amp; ID",$F$21="OD &amp; ID"),"Required","Not Req'd")</f>
        <v>Not Req'd</v>
      </c>
      <c r="R26" s="5"/>
    </row>
    <row r="27" spans="1:18" ht="13" x14ac:dyDescent="0.3">
      <c r="A27" s="202" t="s">
        <v>490</v>
      </c>
      <c r="B27" s="202"/>
      <c r="C27" s="202"/>
      <c r="E27" s="194" t="s">
        <v>738</v>
      </c>
      <c r="F27" s="194" t="s">
        <v>740</v>
      </c>
      <c r="P27" s="4"/>
      <c r="R27" s="5"/>
    </row>
    <row r="28" spans="1:18" ht="13" x14ac:dyDescent="0.3">
      <c r="A28" s="202" t="s">
        <v>871</v>
      </c>
      <c r="B28" s="202"/>
      <c r="C28" s="202"/>
      <c r="E28" s="9">
        <v>600</v>
      </c>
      <c r="F28" s="9">
        <v>600</v>
      </c>
      <c r="P28" s="4"/>
      <c r="R28" s="5"/>
    </row>
    <row r="29" spans="1:18" ht="13" x14ac:dyDescent="0.3">
      <c r="A29" s="204" t="s">
        <v>877</v>
      </c>
      <c r="B29" s="204"/>
      <c r="C29" s="204"/>
      <c r="D29" s="115" t="s">
        <v>478</v>
      </c>
      <c r="E29" s="115" t="s">
        <v>878</v>
      </c>
      <c r="F29" s="115" t="s">
        <v>491</v>
      </c>
      <c r="H29" s="173"/>
      <c r="I29" s="174"/>
      <c r="J29" s="174"/>
      <c r="K29" s="174"/>
      <c r="N29" s="119" t="s">
        <v>493</v>
      </c>
      <c r="O29" s="119" t="s">
        <v>494</v>
      </c>
      <c r="P29" s="4"/>
      <c r="R29" s="5"/>
    </row>
    <row r="30" spans="1:18" ht="13" x14ac:dyDescent="0.3">
      <c r="A30" s="8" t="s">
        <v>873</v>
      </c>
      <c r="C30" s="4" t="s">
        <v>492</v>
      </c>
      <c r="D30" s="174" t="s">
        <v>874</v>
      </c>
      <c r="E30" s="121">
        <f>VLOOKUP(D15,ValveData!$A$4:$L$23,2)</f>
        <v>1.24000248000496E-2</v>
      </c>
      <c r="F30" s="173">
        <f>E30</f>
        <v>1.24000248000496E-2</v>
      </c>
      <c r="H30" s="173"/>
      <c r="I30" s="174"/>
      <c r="J30" s="174"/>
      <c r="K30" s="174"/>
      <c r="P30" s="4"/>
      <c r="R30" s="5"/>
    </row>
    <row r="31" spans="1:18" ht="13" x14ac:dyDescent="0.3">
      <c r="A31" s="8" t="s">
        <v>875</v>
      </c>
      <c r="C31" s="4" t="s">
        <v>495</v>
      </c>
      <c r="D31" s="174"/>
      <c r="E31" s="5">
        <f>VLOOKUP(D15,ValveData!$A$4:$L$23,4)</f>
        <v>1</v>
      </c>
      <c r="F31" s="174">
        <f>E31</f>
        <v>1</v>
      </c>
      <c r="H31" s="173"/>
      <c r="I31" s="174"/>
      <c r="J31" s="174"/>
      <c r="K31" s="174"/>
      <c r="P31" s="4"/>
      <c r="R31" s="5"/>
    </row>
    <row r="32" spans="1:18" ht="13" x14ac:dyDescent="0.3">
      <c r="A32" s="8" t="s">
        <v>876</v>
      </c>
      <c r="C32" s="4" t="s">
        <v>11</v>
      </c>
      <c r="D32" s="174"/>
      <c r="E32" s="5">
        <f>VLOOKUP(D15,ValveData!$A$4:$L$23,3)</f>
        <v>1</v>
      </c>
      <c r="F32" s="174">
        <f>E32</f>
        <v>1</v>
      </c>
      <c r="H32" s="173"/>
      <c r="I32" s="174"/>
      <c r="J32" s="174"/>
      <c r="K32" s="174"/>
      <c r="P32" s="4"/>
      <c r="R32" s="5"/>
    </row>
    <row r="33" spans="1:18" ht="13" x14ac:dyDescent="0.3">
      <c r="A33" s="8" t="s">
        <v>670</v>
      </c>
      <c r="C33" s="4" t="s">
        <v>496</v>
      </c>
      <c r="D33" s="174"/>
      <c r="E33" s="5" t="str">
        <f>VLOOKUP(D15,ValveData!$A$4:$L$23,8)</f>
        <v>Calc'd</v>
      </c>
      <c r="F33" s="174" t="str">
        <f>E33</f>
        <v>Calc'd</v>
      </c>
      <c r="H33" s="173"/>
      <c r="I33" s="174"/>
      <c r="J33" s="174"/>
      <c r="K33" s="174"/>
      <c r="P33" s="4"/>
      <c r="R33" s="5"/>
    </row>
    <row r="34" spans="1:18" ht="13" x14ac:dyDescent="0.3">
      <c r="A34" s="203" t="s">
        <v>497</v>
      </c>
      <c r="B34" s="203"/>
      <c r="C34" s="4" t="s">
        <v>498</v>
      </c>
      <c r="F34" s="175">
        <v>0</v>
      </c>
      <c r="N34" s="119" t="s">
        <v>474</v>
      </c>
      <c r="R34" s="5"/>
    </row>
    <row r="35" spans="1:18" ht="13" x14ac:dyDescent="0.3">
      <c r="A35" s="204" t="s">
        <v>499</v>
      </c>
      <c r="B35" s="204"/>
      <c r="C35" s="204"/>
      <c r="D35" s="115"/>
      <c r="E35" s="115"/>
      <c r="L35" s="117" t="str">
        <f>IF(AND(TypeOfGas="Custom",MethodOfSpecifyingDensity&lt;&gt;"Direct Input",CompressibilityOption="Calculate from Pc &amp; Tc"),"Required","Not Req'd")</f>
        <v>Not Req'd</v>
      </c>
      <c r="R35" s="5"/>
    </row>
    <row r="36" spans="1:18" ht="13" x14ac:dyDescent="0.3">
      <c r="A36" s="202" t="s">
        <v>500</v>
      </c>
      <c r="B36" s="202"/>
      <c r="C36" s="202"/>
      <c r="D36" s="122" t="str">
        <f>M36</f>
        <v>barA</v>
      </c>
      <c r="E36" s="9"/>
      <c r="L36" s="117" t="str">
        <f>IF(AND(TypeOfGas="Custom",MethodOfSpecifyingDensity&lt;&gt;"Direct Input",CompressibilityOption="Calculate from Pc &amp; Tc"),"Required","Not Req'd")</f>
        <v>Not Req'd</v>
      </c>
      <c r="M36" s="117" t="s">
        <v>549</v>
      </c>
      <c r="N36" s="119" t="s">
        <v>474</v>
      </c>
      <c r="R36" s="5"/>
    </row>
    <row r="37" spans="1:18" ht="13" x14ac:dyDescent="0.3">
      <c r="A37" s="202" t="s">
        <v>502</v>
      </c>
      <c r="B37" s="202"/>
      <c r="C37" s="202"/>
      <c r="D37" s="122" t="str">
        <f>M37</f>
        <v>deg C</v>
      </c>
      <c r="E37" s="9"/>
      <c r="L37" s="117" t="str">
        <f>IF(AND(TypeOfGas="Custom",MethodOfSpecifyingDensity&lt;&gt;"Direct Input",CompressibilityOption="Calculate from Pc &amp; Tc"),"Required","Not Req'd")</f>
        <v>Not Req'd</v>
      </c>
      <c r="M37" s="117" t="s">
        <v>312</v>
      </c>
      <c r="N37" s="119" t="s">
        <v>474</v>
      </c>
      <c r="R37" s="5"/>
    </row>
    <row r="38" spans="1:18" ht="13" x14ac:dyDescent="0.3">
      <c r="A38" s="204" t="s">
        <v>503</v>
      </c>
      <c r="B38" s="204"/>
      <c r="C38" s="204"/>
      <c r="D38" s="115"/>
      <c r="E38" s="206" t="s">
        <v>504</v>
      </c>
      <c r="F38" s="206"/>
      <c r="G38" s="206"/>
      <c r="H38" s="206"/>
      <c r="I38" s="206"/>
      <c r="J38" s="207"/>
      <c r="K38" s="207"/>
      <c r="R38" s="5"/>
    </row>
    <row r="39" spans="1:18" ht="13" x14ac:dyDescent="0.3">
      <c r="A39" s="202" t="s">
        <v>505</v>
      </c>
      <c r="B39" s="202"/>
      <c r="C39" s="202"/>
      <c r="D39" s="5"/>
      <c r="E39" s="195"/>
      <c r="F39" s="195"/>
      <c r="G39" s="195"/>
      <c r="H39" s="195"/>
      <c r="I39" s="195"/>
      <c r="J39" s="200"/>
      <c r="K39" s="200"/>
      <c r="N39" s="119" t="s">
        <v>474</v>
      </c>
      <c r="R39" s="5"/>
    </row>
    <row r="40" spans="1:18" ht="13" x14ac:dyDescent="0.3">
      <c r="A40" s="202" t="s">
        <v>506</v>
      </c>
      <c r="B40" s="202"/>
      <c r="C40" s="202"/>
      <c r="D40" s="122" t="s">
        <v>888</v>
      </c>
      <c r="E40" s="195">
        <v>533000</v>
      </c>
      <c r="F40" s="195"/>
      <c r="G40" s="195"/>
      <c r="H40" s="195"/>
      <c r="I40" s="195"/>
      <c r="J40" s="200"/>
      <c r="K40" s="200"/>
      <c r="L40" s="117" t="str">
        <f>IF(FlowRateType="Mass Flow Rate","Required","Not Req'd")</f>
        <v>Required</v>
      </c>
      <c r="M40" s="117" t="s">
        <v>588</v>
      </c>
      <c r="N40" s="119" t="s">
        <v>474</v>
      </c>
      <c r="R40" s="5"/>
    </row>
    <row r="41" spans="1:18" ht="13" x14ac:dyDescent="0.3">
      <c r="A41" s="202" t="s">
        <v>507</v>
      </c>
      <c r="B41" s="202"/>
      <c r="C41" s="202"/>
      <c r="D41" s="122" t="str">
        <f>M41</f>
        <v>Nm3/h</v>
      </c>
      <c r="E41" s="195"/>
      <c r="F41" s="195"/>
      <c r="G41" s="195"/>
      <c r="H41" s="195"/>
      <c r="I41" s="195"/>
      <c r="J41" s="200"/>
      <c r="K41" s="200"/>
      <c r="L41" s="117" t="str">
        <f>IF(FlowRateType="Volume Flow Rate","Required","Not Req'd")</f>
        <v>Not Req'd</v>
      </c>
      <c r="M41" s="117" t="s">
        <v>590</v>
      </c>
      <c r="N41" s="119" t="s">
        <v>474</v>
      </c>
      <c r="R41" s="5"/>
    </row>
    <row r="42" spans="1:18" ht="13" x14ac:dyDescent="0.3">
      <c r="A42" s="202" t="s">
        <v>508</v>
      </c>
      <c r="B42" s="202"/>
      <c r="C42" s="202"/>
      <c r="D42" s="122" t="s">
        <v>501</v>
      </c>
      <c r="E42" s="195">
        <v>1417.5</v>
      </c>
      <c r="F42" s="195"/>
      <c r="G42" s="195"/>
      <c r="H42" s="195"/>
      <c r="I42" s="195"/>
      <c r="J42" s="200"/>
      <c r="K42" s="200"/>
      <c r="M42" s="117" t="s">
        <v>549</v>
      </c>
      <c r="N42" s="119" t="s">
        <v>474</v>
      </c>
      <c r="R42" s="5"/>
    </row>
    <row r="43" spans="1:18" ht="13" x14ac:dyDescent="0.3">
      <c r="A43" s="202" t="s">
        <v>509</v>
      </c>
      <c r="B43" s="202"/>
      <c r="C43" s="202"/>
      <c r="D43" s="5" t="str">
        <f>D42</f>
        <v>psiA</v>
      </c>
      <c r="E43" s="195">
        <v>1.5</v>
      </c>
      <c r="F43" s="195"/>
      <c r="G43" s="195"/>
      <c r="H43" s="195"/>
      <c r="I43" s="195"/>
      <c r="J43" s="200"/>
      <c r="K43" s="200"/>
      <c r="N43" s="119" t="s">
        <v>474</v>
      </c>
      <c r="R43" s="5"/>
    </row>
    <row r="44" spans="1:18" ht="13" x14ac:dyDescent="0.3">
      <c r="A44" s="202" t="s">
        <v>510</v>
      </c>
      <c r="B44" s="202"/>
      <c r="C44" s="202"/>
      <c r="D44" s="122" t="s">
        <v>308</v>
      </c>
      <c r="E44" s="195">
        <v>1046</v>
      </c>
      <c r="F44" s="195"/>
      <c r="G44" s="195"/>
      <c r="H44" s="195"/>
      <c r="I44" s="195"/>
      <c r="J44" s="200"/>
      <c r="K44" s="200"/>
      <c r="L44" s="117" t="str">
        <f>IF(OR(TypeOfGas&lt;&gt;"Custom",MethodOfSpecifyingDensity&lt;&gt;"Direct Input"),"Required","Not Req'd")</f>
        <v>Required</v>
      </c>
      <c r="M44" s="117" t="s">
        <v>312</v>
      </c>
      <c r="N44" s="119" t="s">
        <v>474</v>
      </c>
      <c r="R44" s="5"/>
    </row>
    <row r="45" spans="1:18" ht="13" x14ac:dyDescent="0.3">
      <c r="A45" s="202" t="s">
        <v>511</v>
      </c>
      <c r="B45" s="202"/>
      <c r="C45" s="202"/>
      <c r="D45" s="143"/>
      <c r="E45" s="195"/>
      <c r="F45" s="195"/>
      <c r="G45" s="195"/>
      <c r="H45" s="195"/>
      <c r="I45" s="195"/>
      <c r="J45" s="200"/>
      <c r="K45" s="200"/>
      <c r="L45" s="117" t="str">
        <f>IF(AND(TypeOfGas="Custom",MethodOfSpecifyingDensity="Calculate from Spec Grav"),"Required","Not Req'd")</f>
        <v>Not Req'd</v>
      </c>
      <c r="N45" s="119" t="s">
        <v>474</v>
      </c>
      <c r="P45" s="4"/>
      <c r="R45" s="5"/>
    </row>
    <row r="46" spans="1:18" ht="13" x14ac:dyDescent="0.3">
      <c r="A46" s="202" t="s">
        <v>512</v>
      </c>
      <c r="B46" s="202"/>
      <c r="C46" s="202"/>
      <c r="D46" s="144"/>
      <c r="E46" s="195"/>
      <c r="F46" s="195"/>
      <c r="G46" s="195"/>
      <c r="H46" s="195"/>
      <c r="I46" s="195"/>
      <c r="J46" s="200"/>
      <c r="K46" s="200"/>
      <c r="L46" s="117" t="str">
        <f>IF(AND(TypeOfGas="Custom",OR(MethodOfSpecifyingDensity="Calculate from Mw",AND(FlowRateType="Volume Flow Rate",MethodOfSpecifyingDensity="Direct Input"))),"Required","Not Req'd")</f>
        <v>Required</v>
      </c>
      <c r="N46" s="119" t="s">
        <v>474</v>
      </c>
      <c r="P46" s="4"/>
      <c r="R46" s="5"/>
    </row>
    <row r="47" spans="1:18" ht="13" x14ac:dyDescent="0.3">
      <c r="A47" s="202" t="s">
        <v>513</v>
      </c>
      <c r="B47" s="202"/>
      <c r="C47" s="202"/>
      <c r="D47" s="143"/>
      <c r="E47" s="195"/>
      <c r="F47" s="195"/>
      <c r="G47" s="195"/>
      <c r="H47" s="195"/>
      <c r="I47" s="195"/>
      <c r="J47" s="200"/>
      <c r="K47" s="200"/>
      <c r="L47" s="117" t="str">
        <f>IF(AND(TypeOfGas="Custom",MethodOfSpecifyingDensity&lt;&gt;"Direct Input",CompressibilityOption="Direct Input"),"Required","Not Req'd")</f>
        <v>Required</v>
      </c>
      <c r="N47" s="119" t="s">
        <v>474</v>
      </c>
      <c r="P47" s="4"/>
      <c r="R47" s="5"/>
    </row>
    <row r="48" spans="1:18" ht="13" x14ac:dyDescent="0.3">
      <c r="A48" s="202" t="s">
        <v>514</v>
      </c>
      <c r="B48" s="202"/>
      <c r="C48" s="202"/>
      <c r="D48" s="123" t="str">
        <f>M48</f>
        <v>kg/m3</v>
      </c>
      <c r="E48" s="195"/>
      <c r="F48" s="195"/>
      <c r="G48" s="195"/>
      <c r="H48" s="195"/>
      <c r="I48" s="195"/>
      <c r="J48" s="200"/>
      <c r="K48" s="200"/>
      <c r="L48" s="117" t="str">
        <f>IF(AND(TypeOfGas="Custom",MethodOfSpecifyingDensity="Direct Input"),"Required","Not Req'd")</f>
        <v>Not Req'd</v>
      </c>
      <c r="M48" s="117" t="s">
        <v>515</v>
      </c>
      <c r="N48" s="119" t="s">
        <v>474</v>
      </c>
      <c r="P48" s="4"/>
      <c r="R48" s="5"/>
    </row>
    <row r="49" spans="1:49" ht="13" x14ac:dyDescent="0.3">
      <c r="A49" s="202" t="s">
        <v>516</v>
      </c>
      <c r="B49" s="202"/>
      <c r="C49" s="202"/>
      <c r="D49" s="5"/>
      <c r="E49" s="195"/>
      <c r="F49" s="195"/>
      <c r="G49" s="195"/>
      <c r="H49" s="195"/>
      <c r="I49" s="195"/>
      <c r="J49" s="200"/>
      <c r="K49" s="200"/>
      <c r="L49" s="117" t="str">
        <f>IF(TypeOfGas="Custom","Required","Not Req'd")</f>
        <v>Required</v>
      </c>
      <c r="N49" s="119" t="s">
        <v>474</v>
      </c>
      <c r="R49" s="5"/>
    </row>
    <row r="50" spans="1:49" ht="13" x14ac:dyDescent="0.3">
      <c r="A50" s="202" t="s">
        <v>517</v>
      </c>
      <c r="B50" s="202"/>
      <c r="C50" s="202"/>
      <c r="D50" s="176" t="s">
        <v>518</v>
      </c>
      <c r="E50" s="10" t="e">
        <f>IF(E111=0,"",Conv("C",E136,$D$136,$D$50))</f>
        <v>#VALUE!</v>
      </c>
      <c r="F50" s="10" t="str">
        <f>IF(F111=0,"",Conv("C",F136,$D$136,$D$50))</f>
        <v/>
      </c>
      <c r="G50" s="10" t="str">
        <f>IF(G111=0,"",Conv("C",G136,$D$136,$D$50))</f>
        <v/>
      </c>
      <c r="H50" s="10" t="str">
        <f>IF(H111=0,"",Conv("C",H136,$D$136,$D$50))</f>
        <v/>
      </c>
      <c r="I50" s="10" t="str">
        <f>IF(I111=0,"",Conv("C",I136,$D$136,$D$50))</f>
        <v/>
      </c>
      <c r="J50" s="200"/>
      <c r="K50" s="200"/>
      <c r="N50" s="119" t="s">
        <v>519</v>
      </c>
      <c r="O50" s="119" t="e">
        <f>"C("&amp;$D$50&amp;") = "&amp;TEXT(Conv("C",1,$D$136,$D$50),"General")&amp;"*C("&amp;$D$136&amp;")"</f>
        <v>#VALUE!</v>
      </c>
      <c r="P50" s="4"/>
      <c r="R50" s="5"/>
    </row>
    <row r="51" spans="1:49" ht="13" x14ac:dyDescent="0.3">
      <c r="A51" s="204" t="s">
        <v>525</v>
      </c>
      <c r="B51" s="204"/>
      <c r="C51" s="204"/>
      <c r="D51" s="33"/>
      <c r="E51" s="33"/>
      <c r="F51" s="33"/>
      <c r="G51" s="33"/>
      <c r="H51" s="33"/>
      <c r="I51" s="33"/>
      <c r="J51" s="199"/>
      <c r="K51" s="199"/>
      <c r="R51" s="5"/>
    </row>
    <row r="52" spans="1:49" ht="13" x14ac:dyDescent="0.3">
      <c r="A52" s="202" t="s">
        <v>526</v>
      </c>
      <c r="B52" s="202"/>
      <c r="C52" s="202"/>
      <c r="D52" s="5"/>
      <c r="E52" s="5" t="e">
        <f>IF(E111=0,"",
    StgNeeded(E111/3600,E130,E108,E139,IF($D$10="Turbine Bypass",10.35,4.85),2^0.1,1))</f>
        <v>#VALUE!</v>
      </c>
      <c r="F52" s="5" t="str">
        <f>IF(F111=0,"",
    StgNeeded(F111/3600,F130,F108,F139,IF($D$10="Turbine Bypass",10.35,4.85),2^0.1,1))</f>
        <v/>
      </c>
      <c r="G52" s="5" t="str">
        <f>IF(G111=0,"",
    StgNeeded(G111/3600,G130,G108,G139,IF($D$10="Turbine Bypass",10.35,4.85),2^0.1,1))</f>
        <v/>
      </c>
      <c r="H52" s="5" t="str">
        <f>IF(H111=0,"",
    StgNeeded(H111/3600,H130,H108,H139,IF($D$10="Turbine Bypass",10.35,4.85),2^0.1,1))</f>
        <v/>
      </c>
      <c r="I52" s="5" t="str">
        <f>IF(I111=0,"",
    StgNeeded(I111/3600,I130,I108,I139,IF($D$10="Turbine Bypass",10.35,4.85),2^0.1,1))</f>
        <v/>
      </c>
      <c r="J52" s="205" t="s">
        <v>527</v>
      </c>
      <c r="K52" s="205"/>
      <c r="O52" s="146" t="str">
        <f>IF($D$10="Turbine Bypass","Nn = StgNeeded(W, rho2, c1, Cv_Vctr, 10.35,1)","Nn = StgNeeded(W, rho2, c1, Cv_Vctr, 4.85,1)")</f>
        <v>Nn = StgNeeded(W, rho2, c1, Cv_Vctr, 4.85,1)</v>
      </c>
      <c r="Q52" s="147"/>
      <c r="R52" s="147"/>
    </row>
    <row r="53" spans="1:49" ht="13" x14ac:dyDescent="0.3">
      <c r="A53" s="202" t="s">
        <v>528</v>
      </c>
      <c r="B53" s="202"/>
      <c r="C53" s="202"/>
      <c r="D53" s="5"/>
      <c r="E53" s="142">
        <v>10</v>
      </c>
      <c r="F53" s="142"/>
      <c r="G53" s="142"/>
      <c r="H53" s="142"/>
      <c r="I53" s="142"/>
      <c r="J53" s="205" t="e">
        <f>IF(MAX(E141:I141)&gt;E82,"More stages recommended","")</f>
        <v>#VALUE!</v>
      </c>
      <c r="K53" s="205"/>
      <c r="L53" s="117" t="str">
        <f>IF(OR(
    ValveType="Custom Vector, 530/540",
    ValveType="Custom Vector Choke",
    ValveType="Standard Vector Choke",
    ValveType="Std Vector, 510/520"),"Required","Not Req'd")</f>
        <v>Required</v>
      </c>
      <c r="N53" s="119" t="str">
        <f>IF(OR(ValveType="Custom Vector, 530/540",ValveType="Custom Vector Choke",ValveType="Standard Vector Choke",ValveType="Std Vector, 510/520"),"Given","")</f>
        <v>Given</v>
      </c>
      <c r="R53" s="5"/>
    </row>
    <row r="54" spans="1:49" ht="13" x14ac:dyDescent="0.3">
      <c r="A54" s="202" t="s">
        <v>529</v>
      </c>
      <c r="B54" s="202"/>
      <c r="C54" s="202"/>
      <c r="D54" s="122" t="s">
        <v>603</v>
      </c>
      <c r="E54" s="12" t="e">
        <f>IF(OR(E53="",E111=0),"",Conv("dp",E141,$D$141,$D$54))</f>
        <v>#VALUE!</v>
      </c>
      <c r="F54" s="12" t="str">
        <f>IF(OR(F53="",F111=0),"",Conv("dp",F141,$D$141,$D$54))</f>
        <v/>
      </c>
      <c r="G54" s="12" t="str">
        <f>IF(OR(G53="",G111=0),"",Conv("dp",G141,$D$141,$D$54))</f>
        <v/>
      </c>
      <c r="H54" s="12" t="str">
        <f>IF(OR(H53="",H111=0),"",Conv("dp",H141,$D$141,$D$54))</f>
        <v/>
      </c>
      <c r="I54" s="12" t="str">
        <f>IF(OR(I53="",I111=0),"",Conv("dp",I141,$D$141,$D$54))</f>
        <v/>
      </c>
      <c r="J54" s="200"/>
      <c r="K54" s="200"/>
      <c r="L54" s="117" t="str">
        <f>IF(OR(ValveType="Custom Vector, 530/540",ValveType="Custom Vector Choke",ValveType="Standard Vector Choke",ValveType="Std Vector, 510/520"),"Required","Not Req'd")</f>
        <v>Required</v>
      </c>
      <c r="N54" s="119" t="s">
        <v>519</v>
      </c>
      <c r="O54" s="119" t="e">
        <f>"KEo("&amp;$D$54&amp;") = "&amp;TEXT((Conv("dP",1,$D$141,$D$54)-Conv("dP",0,$D$141,$D$54))/1,"General")&amp;"*KEo(bar)"</f>
        <v>#VALUE!</v>
      </c>
      <c r="P54" s="4"/>
      <c r="R54" s="5"/>
    </row>
    <row r="55" spans="1:49" ht="13" x14ac:dyDescent="0.3">
      <c r="A55" s="202" t="s">
        <v>530</v>
      </c>
      <c r="B55" s="202"/>
      <c r="D55" s="5" t="s">
        <v>531</v>
      </c>
      <c r="E55" s="10" t="e">
        <f>IF(E111=0,"",MAX(75,E186))</f>
        <v>#VALUE!</v>
      </c>
      <c r="F55" s="10" t="str">
        <f>IF(F111=0,"",MAX(75,F186))</f>
        <v/>
      </c>
      <c r="G55" s="10" t="str">
        <f>IF(G111=0,"",MAX(75,G186))</f>
        <v/>
      </c>
      <c r="H55" s="10" t="str">
        <f>IF(H111=0,"",MAX(75,H186))</f>
        <v/>
      </c>
      <c r="I55" s="10" t="str">
        <f>IF(I111=0,"",MAX(75,I186))</f>
        <v/>
      </c>
      <c r="J55" s="200"/>
      <c r="K55" s="200"/>
      <c r="O55" s="119" t="e">
        <f>IF(AND(#REF!=0.00127,$F$92&lt;127),"SPLt = Lp + Qmm + 0.0709*(NVS2 - 254)","SPLt = Lp + Qmm")</f>
        <v>#REF!</v>
      </c>
      <c r="R55" s="5"/>
    </row>
    <row r="56" spans="1:49" ht="13" x14ac:dyDescent="0.3">
      <c r="A56" s="204" t="s">
        <v>520</v>
      </c>
      <c r="B56" s="204"/>
      <c r="C56" s="204"/>
      <c r="D56" s="33"/>
      <c r="E56" s="33"/>
      <c r="F56" s="8"/>
      <c r="G56" s="8"/>
      <c r="H56" s="8"/>
      <c r="I56" s="8"/>
      <c r="J56" s="8"/>
      <c r="K56" s="8"/>
      <c r="P56" s="4"/>
      <c r="R56" s="5"/>
    </row>
    <row r="57" spans="1:49" ht="13" x14ac:dyDescent="0.3">
      <c r="A57" s="203" t="s">
        <v>521</v>
      </c>
      <c r="B57" s="203"/>
      <c r="C57" s="203"/>
      <c r="D57" s="122" t="s">
        <v>48</v>
      </c>
      <c r="E57" s="145" t="e">
        <f>Conv("L",E116,$D$116,$D$57)</f>
        <v>#VALUE!</v>
      </c>
      <c r="F57" s="150"/>
      <c r="G57" s="150"/>
      <c r="H57" s="150"/>
      <c r="I57" s="150"/>
      <c r="J57" s="150"/>
      <c r="K57" s="150"/>
      <c r="N57" s="119" t="s">
        <v>519</v>
      </c>
      <c r="O57" s="119" t="e">
        <f>"Dplgke("&amp;$D$57&amp;") = "&amp;TEXT(Conv("L",1,$D$117,$D$57),"General")&amp;"*Dplgke("&amp;$D$117&amp;")"</f>
        <v>#VALUE!</v>
      </c>
      <c r="R57" s="5"/>
    </row>
    <row r="58" spans="1:49" ht="13" x14ac:dyDescent="0.3">
      <c r="A58" s="202" t="s">
        <v>522</v>
      </c>
      <c r="B58" s="202"/>
      <c r="C58" s="202"/>
      <c r="D58" s="5" t="str">
        <f>$D$57</f>
        <v>in.</v>
      </c>
      <c r="E58" s="145" t="e">
        <f>Conv("L",E117,$D$117,$D$58)</f>
        <v>#VALUE!</v>
      </c>
      <c r="F58" s="150" t="str">
        <f>IF($D$16="Angle","Assumes BF = 30","Assumes BF = 21")</f>
        <v>Assumes BF = 30</v>
      </c>
      <c r="G58" s="150"/>
      <c r="H58" s="150"/>
      <c r="I58" s="150"/>
      <c r="J58" s="150"/>
      <c r="K58" s="150"/>
      <c r="N58" s="119" t="s">
        <v>519</v>
      </c>
      <c r="O58" s="119" t="e">
        <f>"Dplgcv("&amp;$D$58&amp;") = "&amp;TEXT(Conv("L",1,$D$117,$D$58),"General")&amp;"*Dplgcv("&amp;$D$117&amp;")"</f>
        <v>#VALUE!</v>
      </c>
      <c r="R58" s="5"/>
    </row>
    <row r="59" spans="1:49" ht="13" x14ac:dyDescent="0.3">
      <c r="A59" s="202" t="s">
        <v>523</v>
      </c>
      <c r="B59" s="202"/>
      <c r="C59" s="202"/>
      <c r="D59" s="5" t="str">
        <f>$D$57</f>
        <v>in.</v>
      </c>
      <c r="E59" s="9">
        <v>6</v>
      </c>
      <c r="F59" s="150" t="e">
        <f>IF(MAX(E119:I119)&gt;E82,"Larger plug recommended","")</f>
        <v>#VALUE!</v>
      </c>
      <c r="G59" s="150"/>
      <c r="H59" s="150"/>
      <c r="I59" s="150"/>
      <c r="J59" s="150"/>
      <c r="K59" s="150"/>
      <c r="R59" s="5"/>
    </row>
    <row r="60" spans="1:49" ht="13" x14ac:dyDescent="0.3">
      <c r="A60" s="202" t="s">
        <v>524</v>
      </c>
      <c r="B60" s="202"/>
      <c r="C60" s="202"/>
      <c r="D60" s="122" t="s">
        <v>603</v>
      </c>
      <c r="E60" s="12" t="e">
        <f>IF(E111=0,"",Conv("dP",E119,$D$119,$D$60))</f>
        <v>#VALUE!</v>
      </c>
      <c r="F60" s="12" t="str">
        <f>IF(F111=0,"",Conv("dP",F119,$D$119,$D$60))</f>
        <v/>
      </c>
      <c r="G60" s="12" t="str">
        <f>IF(G111=0,"",Conv("dP",G119,$D$119,$D$60))</f>
        <v/>
      </c>
      <c r="H60" s="12" t="str">
        <f>IF(H111=0,"",Conv("dP",H119,$D$119,$D$60))</f>
        <v/>
      </c>
      <c r="I60" s="12" t="str">
        <f>IF(I111=0,"",Conv("dP",I119,$D$119,$D$60))</f>
        <v/>
      </c>
      <c r="J60" s="177"/>
      <c r="K60" s="177"/>
      <c r="R60" s="5"/>
    </row>
    <row r="61" spans="1:49" ht="13" x14ac:dyDescent="0.3">
      <c r="A61" s="204" t="s">
        <v>532</v>
      </c>
      <c r="B61" s="204"/>
      <c r="C61" s="204"/>
      <c r="D61" s="33"/>
      <c r="E61" s="33"/>
      <c r="F61" s="8"/>
      <c r="G61" s="8"/>
      <c r="H61" s="8"/>
      <c r="I61" s="8"/>
      <c r="J61" s="8"/>
      <c r="K61" s="8"/>
      <c r="R61" s="5"/>
    </row>
    <row r="62" spans="1:49" ht="13" x14ac:dyDescent="0.3">
      <c r="A62" s="202" t="str">
        <f>IF(FlowDirection="Flow to Open (UTP)","Minimum Valve Outlet Run ID","Plug Diameter")</f>
        <v>Minimum Valve Outlet Run ID</v>
      </c>
      <c r="B62" s="202"/>
      <c r="C62" s="202"/>
      <c r="D62" s="5" t="str">
        <f>$D$57</f>
        <v>in.</v>
      </c>
      <c r="E62" s="142">
        <v>10</v>
      </c>
      <c r="R62" s="5"/>
    </row>
    <row r="63" spans="1:49" s="149" customFormat="1" ht="13" x14ac:dyDescent="0.3">
      <c r="A63" s="198" t="s">
        <v>809</v>
      </c>
      <c r="B63" s="198"/>
      <c r="C63" s="198"/>
      <c r="D63" s="4"/>
      <c r="E63" s="4"/>
      <c r="F63" s="4"/>
      <c r="G63" s="4"/>
      <c r="H63" s="4"/>
      <c r="I63" s="4"/>
      <c r="J63" s="4"/>
      <c r="K63" s="4"/>
      <c r="L63" s="117" t="str">
        <f>IF(FlowDistributorDesign="None","Not Req'd","Required")</f>
        <v>Not Req'd</v>
      </c>
      <c r="M63" s="117"/>
      <c r="N63" s="148"/>
      <c r="O63" s="148"/>
      <c r="P63" s="5"/>
      <c r="Q63" s="13"/>
      <c r="R63" s="13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</row>
    <row r="64" spans="1:49" ht="13" x14ac:dyDescent="0.3">
      <c r="A64" s="203" t="str">
        <f>IF(FlowDistributorDesign="None","Entrance Dia to Outlet Pipe","Flow Distributor Hole Size")</f>
        <v>Entrance Dia to Outlet Pipe</v>
      </c>
      <c r="B64" s="203"/>
      <c r="C64" s="203"/>
      <c r="D64" s="5" t="str">
        <f>$D$57</f>
        <v>in.</v>
      </c>
      <c r="E64" s="142">
        <f>M64</f>
        <v>10</v>
      </c>
      <c r="F64" s="150" t="s">
        <v>533</v>
      </c>
      <c r="G64" s="150"/>
      <c r="H64" s="150"/>
      <c r="I64" s="150"/>
      <c r="J64" s="150"/>
      <c r="K64" s="150"/>
      <c r="L64" s="117" t="str">
        <f>IF(FlowDistributorDesign="None","Not Req'd","Required")</f>
        <v>Not Req'd</v>
      </c>
      <c r="M64" s="117">
        <f>IF(FlowDistributorDesign="None",Conv("L",E122,$D$122,$D$64),
    IF(D64="in.",0.25,6.35))</f>
        <v>10</v>
      </c>
      <c r="N64" s="119" t="s">
        <v>474</v>
      </c>
      <c r="R64" s="5"/>
    </row>
    <row r="65" spans="1:18" ht="13" x14ac:dyDescent="0.3">
      <c r="A65" s="203" t="s">
        <v>534</v>
      </c>
      <c r="B65" s="203"/>
      <c r="C65" s="203"/>
      <c r="D65" s="5"/>
      <c r="E65" s="142">
        <f t="shared" ref="E65:E66" si="0">M65</f>
        <v>1</v>
      </c>
      <c r="F65" s="178" t="str">
        <f>IF($D$18="None","",
    IF(M65=E65,
      IF($D$17="Flow to Close (OTP)","Default outlet hole area is 1.5 times the plug area","Default outlet hole area is 1.5 times the valve run area"),""))</f>
        <v/>
      </c>
      <c r="G65" s="178"/>
      <c r="H65" s="178"/>
      <c r="I65" s="178"/>
      <c r="J65" s="178"/>
      <c r="K65" s="178"/>
      <c r="L65" s="117" t="str">
        <f>IF(FlowDistributorDesign="None","Not Req'd","Required")</f>
        <v>Not Req'd</v>
      </c>
      <c r="M65" s="117">
        <f>IF(FlowDistributorDesign="None",
    1,
    INT(1.5*E122^2/Conv("L",E64,$D64,"mm")^2))</f>
        <v>1</v>
      </c>
      <c r="N65" s="119" t="s">
        <v>474</v>
      </c>
      <c r="R65" s="5"/>
    </row>
    <row r="66" spans="1:18" ht="13" x14ac:dyDescent="0.3">
      <c r="A66" s="202" t="s">
        <v>535</v>
      </c>
      <c r="B66" s="202"/>
      <c r="C66" s="202"/>
      <c r="D66" s="5"/>
      <c r="E66" s="142">
        <f t="shared" si="0"/>
        <v>1.5</v>
      </c>
      <c r="F66" s="141"/>
      <c r="G66" s="141"/>
      <c r="H66" s="141"/>
      <c r="I66" s="141"/>
      <c r="J66" s="141"/>
      <c r="K66" s="141"/>
      <c r="L66" s="117" t="str">
        <f>IF(OR(FlowDistributorDesign="None",FlowDistributorDesign="1 Stage"),"Not Req'd","Required")</f>
        <v>Not Req'd</v>
      </c>
      <c r="M66" s="118">
        <v>1.5</v>
      </c>
      <c r="N66" s="119" t="str">
        <f>IF(OR(D18="None",D18="1 Stage"),"","Given")</f>
        <v/>
      </c>
      <c r="P66" s="4"/>
      <c r="R66" s="5"/>
    </row>
    <row r="67" spans="1:18" ht="13" x14ac:dyDescent="0.3">
      <c r="A67" s="202" t="str">
        <f>IF(FlowDistributorDesign="None","Expander Hole Area","Flow Distrib. Outlet Hole Area")</f>
        <v>Expander Hole Area</v>
      </c>
      <c r="B67" s="202"/>
      <c r="C67" s="202"/>
      <c r="D67" s="5" t="s">
        <v>536</v>
      </c>
      <c r="E67" s="145">
        <f>IF(E111=0,"",
    Conv("A",E124,$D$124,$D$67))</f>
        <v>78.539816339744831</v>
      </c>
      <c r="F67" s="141"/>
      <c r="G67" s="141"/>
      <c r="H67" s="141"/>
      <c r="I67" s="141"/>
      <c r="J67" s="141"/>
      <c r="K67" s="141"/>
      <c r="L67" s="117" t="str">
        <f>IF(FlowDistributorDesign="None","Not Req'd","Required")</f>
        <v>Not Req'd</v>
      </c>
      <c r="P67" s="4"/>
      <c r="R67" s="5"/>
    </row>
    <row r="68" spans="1:18" ht="13" x14ac:dyDescent="0.3">
      <c r="A68" s="202" t="s">
        <v>537</v>
      </c>
      <c r="B68" s="202"/>
      <c r="C68" s="202"/>
      <c r="D68" s="5"/>
      <c r="E68" s="14">
        <f>E124/(PI()/4*E122^2)</f>
        <v>1</v>
      </c>
      <c r="F68" s="141"/>
      <c r="G68" s="141"/>
      <c r="H68" s="141"/>
      <c r="I68" s="141"/>
      <c r="J68" s="141"/>
      <c r="K68" s="141"/>
      <c r="L68" s="117" t="str">
        <f>IF(FlowDistributorDesign="None","Not Req'd","Required")</f>
        <v>Not Req'd</v>
      </c>
      <c r="O68" s="119" t="s">
        <v>538</v>
      </c>
      <c r="P68" s="4"/>
      <c r="R68" s="5"/>
    </row>
    <row r="69" spans="1:18" ht="13" x14ac:dyDescent="0.3">
      <c r="A69" s="202" t="str">
        <f>IF(FlowDistributorDesign="None","Expander Flow Coefficient","Flow Distrib. Flow Coefficient")</f>
        <v>Expander Flow Coefficient</v>
      </c>
      <c r="B69" s="202"/>
      <c r="C69" s="202"/>
      <c r="D69" s="5" t="str">
        <f>$D$50</f>
        <v>Cv</v>
      </c>
      <c r="E69" s="10">
        <f>Conv("C",E125,$D$125,$D$69)</f>
        <v>2989.4934347958442</v>
      </c>
      <c r="F69" s="141"/>
      <c r="G69" s="141"/>
      <c r="H69" s="141"/>
      <c r="I69" s="141"/>
      <c r="J69" s="141"/>
      <c r="K69" s="141"/>
      <c r="L69" s="117" t="str">
        <f>IF(FlowDistributorDesign="None","Not Req'd","Required")</f>
        <v>Not Req'd</v>
      </c>
      <c r="P69" s="4"/>
      <c r="R69" s="5"/>
    </row>
    <row r="70" spans="1:18" ht="13" x14ac:dyDescent="0.3">
      <c r="A70" s="198" t="s">
        <v>879</v>
      </c>
      <c r="B70" s="198"/>
      <c r="C70" s="198"/>
      <c r="D70" s="33"/>
      <c r="E70" s="33"/>
      <c r="F70" s="33"/>
      <c r="G70" s="33"/>
      <c r="H70" s="33"/>
      <c r="I70" s="33"/>
      <c r="J70" s="199"/>
      <c r="K70" s="199"/>
      <c r="P70" s="4"/>
      <c r="R70" s="5"/>
    </row>
    <row r="71" spans="1:18" x14ac:dyDescent="0.25">
      <c r="A71" s="201" t="s">
        <v>539</v>
      </c>
      <c r="B71" s="201"/>
      <c r="C71" s="201"/>
      <c r="D71" s="5" t="str">
        <f>$D$42</f>
        <v>psiA</v>
      </c>
      <c r="E71" s="12">
        <f>IF(E111=0,"",Conv("p",E128,$D$128,$D$71))</f>
        <v>1.5000000000000002</v>
      </c>
      <c r="F71" s="12" t="str">
        <f>IF(F111=0,"",Conv("p",F128,$D$128,$D$71))</f>
        <v/>
      </c>
      <c r="G71" s="12" t="str">
        <f>IF(G111=0,"",Conv("p",G128,$D$128,$D$71))</f>
        <v/>
      </c>
      <c r="H71" s="12" t="str">
        <f>IF(H111=0,"",Conv("p",H128,$D$128,$D$71))</f>
        <v/>
      </c>
      <c r="I71" s="12" t="str">
        <f>IF(I111=0,"",Conv("p",I128,$D$128,$D$71))</f>
        <v/>
      </c>
      <c r="L71" s="117" t="str">
        <f>IF(FlowDistributorDesign="None","Not Req'd","Required")</f>
        <v>Not Req'd</v>
      </c>
      <c r="N71" s="119" t="s">
        <v>519</v>
      </c>
      <c r="O71" s="119" t="e">
        <f>"Pi'("&amp;$D$71&amp;") = "&amp;TEXT((Conv("P",1,$D$128,$D$71)-Conv("P",0,$D$128,$D$71))/1,"General")&amp;"*Pi(barA) + "&amp;TEXT(Conv("P",0,$D$128,$D$71),"General")</f>
        <v>#VALUE!</v>
      </c>
      <c r="P71" s="4"/>
      <c r="R71" s="5"/>
    </row>
    <row r="72" spans="1:18" x14ac:dyDescent="0.25">
      <c r="A72" s="141" t="str">
        <f>IF(FlowDistributorDesign="None","Mach Number Out of Expander","Mach Number Out of Flow Distrib.")</f>
        <v>Mach Number Out of Expander</v>
      </c>
      <c r="B72" s="141"/>
      <c r="C72" s="141"/>
      <c r="D72" s="5"/>
      <c r="E72" s="12" t="e">
        <f>IF(E111=0,"",E188/E173)</f>
        <v>#VALUE!</v>
      </c>
      <c r="F72" s="12" t="str">
        <f t="shared" ref="F72:I72" si="1">IF(F111=0,"",F188/F173)</f>
        <v/>
      </c>
      <c r="G72" s="12" t="str">
        <f t="shared" si="1"/>
        <v/>
      </c>
      <c r="H72" s="12" t="str">
        <f t="shared" si="1"/>
        <v/>
      </c>
      <c r="I72" s="12" t="str">
        <f t="shared" si="1"/>
        <v/>
      </c>
      <c r="P72" s="4"/>
      <c r="R72" s="5"/>
    </row>
    <row r="73" spans="1:18" ht="13" x14ac:dyDescent="0.3">
      <c r="A73" s="201" t="str">
        <f>IF(FlowDistributorDesign="None","Fluid KE Out of Expander","Fluid KE Out of Flow Distrib.")</f>
        <v>Fluid KE Out of Expander</v>
      </c>
      <c r="B73" s="201"/>
      <c r="C73" s="201"/>
      <c r="D73" s="5" t="str">
        <f>$D$54</f>
        <v>bar</v>
      </c>
      <c r="E73" s="12" t="e">
        <f>IF(E111=0,"",Conv("dP",E189,$D$189,$D$73))</f>
        <v>#VALUE!</v>
      </c>
      <c r="F73" s="12" t="str">
        <f>IF(F111=0,"",Conv("dP",F189,$D$189,$D$73))</f>
        <v/>
      </c>
      <c r="G73" s="12" t="str">
        <f>IF(G111=0,"",Conv("dP",G189,$D$189,$D$73))</f>
        <v/>
      </c>
      <c r="H73" s="12" t="str">
        <f>IF(H111=0,"",Conv("dP",H189,$D$189,$D$73))</f>
        <v/>
      </c>
      <c r="I73" s="12" t="str">
        <f>IF(I111=0,"",Conv("dP",I189,$D$189,$D$73))</f>
        <v/>
      </c>
      <c r="J73" s="15" t="e">
        <f>IF(D17="Flow to Close (OTP)",
    IF(D18="None",
      IF(MAX(E189:I189)&gt;E82,"Need larger plug",""),
      IF(MAX(E189:I189)&gt;E83,"Need more holes","")),
    IF(MAX(E189:I189)&gt;E83,
      IF(D18="None","Need larger valve outlet","Need more holes"),""))</f>
        <v>#VALUE!</v>
      </c>
      <c r="P73" s="4"/>
      <c r="R73" s="5"/>
    </row>
    <row r="74" spans="1:18" x14ac:dyDescent="0.25">
      <c r="A74" s="201" t="s">
        <v>540</v>
      </c>
      <c r="B74" s="201"/>
      <c r="C74" s="201"/>
      <c r="D74" s="5"/>
      <c r="E74" s="12" t="e">
        <f>IF(E136="","",GasWRhoAcV(E111/3600,E172,PI()/4*($F$90/10^3)^2,E108,1)/E108)</f>
        <v>#DIV/0!</v>
      </c>
      <c r="F74" s="12" t="str">
        <f>IF(F136="","",GasWRhoAcV(F111/3600,F172,PI()/4*($F$90/10^3)^2,F108,1)/F108)</f>
        <v/>
      </c>
      <c r="G74" s="12" t="str">
        <f>IF(G136="","",GasWRhoAcV(G111/3600,G172,PI()/4*($F$90/10^3)^2,G108,1)/G108)</f>
        <v/>
      </c>
      <c r="H74" s="12" t="str">
        <f>IF(H136="","",GasWRhoAcV(H111/3600,H172,PI()/4*($F$90/10^3)^2,H108,1)/H108)</f>
        <v/>
      </c>
      <c r="I74" s="12" t="str">
        <f>IF(I136="","",GasWRhoAcV(I111/3600,I172,PI()/4*($F$90/10^3)^2,I108,1)/I108)</f>
        <v/>
      </c>
      <c r="P74" s="4"/>
      <c r="R74" s="5"/>
    </row>
    <row r="75" spans="1:18" ht="13" x14ac:dyDescent="0.3">
      <c r="A75" s="198" t="s">
        <v>541</v>
      </c>
      <c r="B75" s="198"/>
      <c r="C75" s="198"/>
      <c r="D75" s="33"/>
      <c r="E75" s="33"/>
      <c r="F75" s="179"/>
      <c r="G75" s="179"/>
      <c r="H75" s="179"/>
      <c r="I75" s="179"/>
      <c r="J75" s="179"/>
      <c r="K75" s="179"/>
      <c r="P75" s="4"/>
      <c r="R75" s="5"/>
    </row>
    <row r="76" spans="1:18" ht="13" x14ac:dyDescent="0.3">
      <c r="A76" s="200" t="s">
        <v>542</v>
      </c>
      <c r="B76" s="200"/>
      <c r="C76" s="200"/>
      <c r="D76" s="5" t="s">
        <v>531</v>
      </c>
      <c r="E76" s="142">
        <v>0</v>
      </c>
      <c r="M76" s="117">
        <f>IF(OR(Application="Turbine Bypass",Application="Steam Conditioning"),-10,IF(MAX(E102:I102)&gt;370,-5,0))</f>
        <v>-5</v>
      </c>
      <c r="N76" s="119" t="s">
        <v>474</v>
      </c>
      <c r="P76" s="4"/>
      <c r="R76" s="5"/>
    </row>
    <row r="77" spans="1:18" ht="13" x14ac:dyDescent="0.3">
      <c r="A77" s="201" t="s">
        <v>543</v>
      </c>
      <c r="B77" s="201"/>
      <c r="C77" s="201"/>
      <c r="D77" s="5" t="s">
        <v>531</v>
      </c>
      <c r="E77" s="142">
        <v>0</v>
      </c>
      <c r="J77" s="150"/>
      <c r="M77" s="117">
        <f>IF(Application="Steam Conditioning",-5,VLOOKUP(D15,ValveData!$A$4:$L$23,11))</f>
        <v>0</v>
      </c>
      <c r="N77" s="119" t="s">
        <v>474</v>
      </c>
      <c r="P77" s="4"/>
      <c r="R77" s="5"/>
    </row>
    <row r="78" spans="1:18" ht="13" x14ac:dyDescent="0.3">
      <c r="A78" s="198" t="s">
        <v>544</v>
      </c>
      <c r="B78" s="198"/>
      <c r="C78" s="198"/>
      <c r="D78" s="33"/>
      <c r="E78" s="33"/>
      <c r="F78" s="33"/>
      <c r="G78" s="33"/>
      <c r="H78" s="33"/>
      <c r="I78" s="33"/>
      <c r="J78" s="199"/>
      <c r="K78" s="199"/>
      <c r="P78" s="4"/>
      <c r="R78" s="5"/>
    </row>
    <row r="79" spans="1:18" x14ac:dyDescent="0.25">
      <c r="A79" s="200" t="s">
        <v>545</v>
      </c>
      <c r="B79" s="200"/>
      <c r="C79" s="200"/>
      <c r="D79" s="5" t="s">
        <v>531</v>
      </c>
      <c r="E79" s="10" t="e">
        <f>IF(E136="","",
    MAXA(75,
      IF(PI()/4*$F$90^2/$E$124&gt;IF($E$124&lt;18000,4,2),
        10*LOG(10^(E186/10)+10^(E212/10)),
        E186)+$E$76+$E$77))</f>
        <v>#DIV/0!</v>
      </c>
      <c r="F79" s="10" t="str">
        <f t="shared" ref="F79:I79" si="2">IF(F136="","",
    MAXA(75,
      IF(PI()/4*$F$90^2/$E$124&gt;IF($E$124&lt;18000,4,2),
        10*LOG(10^(F186/10)+10^(F212/10)),
        F186)+$E$76+$E$77))</f>
        <v/>
      </c>
      <c r="G79" s="10" t="str">
        <f t="shared" si="2"/>
        <v/>
      </c>
      <c r="H79" s="10" t="str">
        <f t="shared" si="2"/>
        <v/>
      </c>
      <c r="I79" s="10" t="str">
        <f t="shared" si="2"/>
        <v/>
      </c>
      <c r="O79" s="119" t="str">
        <f>CHOOSE(VLOOKUP(D15,ValveData!$A$4:$L$23,12),
    "SPL = MAX(75, 10*LOG(10^(SPLt/10) + 10^(SPLe/10))+ SPLlag + SPLsw)",
    "SPL = MAX(75, SPLt + SPLlag + SPLsw - 7)")</f>
        <v>SPL = MAX(75, 10*LOG(10^(SPLt/10) + 10^(SPLe/10))+ SPLlag + SPLsw)</v>
      </c>
      <c r="P79" s="4"/>
      <c r="R79" s="5"/>
    </row>
    <row r="80" spans="1:18" x14ac:dyDescent="0.25">
      <c r="D80" s="5"/>
      <c r="G80" s="10"/>
      <c r="P80" s="4"/>
      <c r="R80" s="5"/>
    </row>
    <row r="81" spans="1:18" s="152" customFormat="1" ht="13" outlineLevel="1" x14ac:dyDescent="0.3">
      <c r="A81" s="151" t="s">
        <v>546</v>
      </c>
      <c r="D81" s="22"/>
      <c r="L81" s="117"/>
      <c r="M81" s="117"/>
      <c r="N81" s="119"/>
      <c r="O81" s="119"/>
      <c r="Q81" s="22"/>
      <c r="R81" s="22"/>
    </row>
    <row r="82" spans="1:18" s="152" customFormat="1" outlineLevel="1" x14ac:dyDescent="0.25">
      <c r="A82" s="16" t="s">
        <v>547</v>
      </c>
      <c r="C82" s="152" t="s">
        <v>548</v>
      </c>
      <c r="D82" s="17" t="s">
        <v>549</v>
      </c>
      <c r="E82" s="18">
        <f>IF(Application="Turbine Bypass",10.35,4.85)</f>
        <v>4.8499999999999996</v>
      </c>
      <c r="F82" s="19">
        <f>Conv("dP",E82,"bar","psi")</f>
        <v>70.343302799151459</v>
      </c>
      <c r="G82" s="152" t="s">
        <v>501</v>
      </c>
      <c r="I82" s="18"/>
      <c r="L82" s="117"/>
      <c r="M82" s="117"/>
      <c r="N82" s="119"/>
      <c r="O82" s="119" t="s">
        <v>550</v>
      </c>
      <c r="Q82" s="22"/>
      <c r="R82" s="22"/>
    </row>
    <row r="83" spans="1:18" s="152" customFormat="1" outlineLevel="1" x14ac:dyDescent="0.25">
      <c r="A83" s="16" t="s">
        <v>551</v>
      </c>
      <c r="C83" s="152" t="s">
        <v>552</v>
      </c>
      <c r="D83" s="17" t="s">
        <v>549</v>
      </c>
      <c r="E83" s="18">
        <f>IF(Application="Turbine Bypass",6.9,3.45)</f>
        <v>3.45</v>
      </c>
      <c r="F83" s="19">
        <f>Conv("dP",E83,"bar","psi")</f>
        <v>50.038019516922184</v>
      </c>
      <c r="G83" s="152" t="s">
        <v>501</v>
      </c>
      <c r="I83" s="18"/>
      <c r="L83" s="117"/>
      <c r="M83" s="117"/>
      <c r="N83" s="119"/>
      <c r="O83" s="119"/>
      <c r="Q83" s="22"/>
      <c r="R83" s="22"/>
    </row>
    <row r="84" spans="1:18" s="152" customFormat="1" outlineLevel="1" x14ac:dyDescent="0.25">
      <c r="A84" s="20" t="s">
        <v>500</v>
      </c>
      <c r="B84" s="21"/>
      <c r="C84" s="21" t="s">
        <v>405</v>
      </c>
      <c r="D84" s="17" t="s">
        <v>549</v>
      </c>
      <c r="E84" s="17" t="str">
        <f>IF(TypeOfGas="Water/Steam",220.64,
    IF(TypeOfGas&lt;&gt;"Custom",FluidNamePc(TypeOfGas,1),
      IF(AND(MethodOfSpecifyingDensity&lt;&gt;"Direct Input",CompressibilityOption="Calculate from Pc &amp; Tc"),Conv("P",E36,$D$36,$D$84),"")))</f>
        <v/>
      </c>
      <c r="L84" s="117"/>
      <c r="M84" s="117"/>
      <c r="N84" s="119" t="str">
        <f>IF(TypeOfGas="Water/Steam","Wtr Functions",
    IF(TypeOfGas&lt;&gt;"Custom","Fluid Data",
      IF(AND(MethodOfSpecifyingDensity&lt;&gt;"Direct Input",CompressibilityOption="Calculate from Pc &amp; Tc"),"Unit Conversion","")))</f>
        <v/>
      </c>
      <c r="O84" s="119" t="str">
        <f>IF(TypeOfGas="Water/Steam","From Water Functions",
    IF(TypeOfGas&lt;&gt;"Custom","From FluidData",
      IF(AND(MethodOfSpecifyingDensity&lt;&gt;"Direct Input",CompressibilityOption="Calculate from Pc &amp; Tc"),
        "Pc(barA) = "&amp;TEXT((Conv("P",1,$D$36,$D$84)-Conv("P",0,$D$36,$D$84))/1,"General")&amp;"*Pc("&amp;$D$36&amp;") + "&amp;TEXT(Conv("P",0,$D$36,$D$84),"General"),
        "")))</f>
        <v/>
      </c>
      <c r="Q84" s="22"/>
      <c r="R84" s="22"/>
    </row>
    <row r="85" spans="1:18" s="152" customFormat="1" outlineLevel="1" x14ac:dyDescent="0.25">
      <c r="A85" s="20" t="s">
        <v>502</v>
      </c>
      <c r="B85" s="21"/>
      <c r="C85" s="21" t="s">
        <v>404</v>
      </c>
      <c r="D85" s="17" t="s">
        <v>312</v>
      </c>
      <c r="E85" s="17" t="str">
        <f>IF(TypeOfGas="Water/Steam",647.096-273.15,
    IF(TypeOfGas&lt;&gt;"Custom",FluidNameTc(TypeOfGas,1),
      IF(AND(MethodOfSpecifyingDensity&lt;&gt;"Direct Input",CompressibilityOption="Calculate from Pc &amp; Tc"),Conv("T",E37,$D$37,$D$85),"")))</f>
        <v/>
      </c>
      <c r="L85" s="117"/>
      <c r="M85" s="117"/>
      <c r="N85" s="119" t="str">
        <f>IF(TypeOfGas="Water/Steam","Wtr Functions",
    IF(TypeOfGas&lt;&gt;"Custom","Fluid Data",
      IF(AND(MethodOfSpecifyingDensity&lt;&gt;"Direct Input",CompressibilityOption="Calculate from Pc &amp; Tc"),"Unit Conversion","")))</f>
        <v/>
      </c>
      <c r="O85" s="119" t="str">
        <f>IF(TypeOfGas="Water/Steam","From Water Functions",
    IF(TypeOfGas&lt;&gt;"Custom","From FluidData",
      IF(AND(MethodOfSpecifyingDensity&lt;&gt;"Direct Input",CompressibilityOption="Calculate from Pc &amp; Tc"),
        "Tc(deg C) = "&amp;TEXT((Conv("T",1,$D$37,$D$85)-Conv("T",0,$D$37,$D$85))/1,"General")&amp;"*Tc("&amp;D37&amp;") + "&amp;TEXT(Conv("T",0,$D$37,$D$85),"General"),
        "")))</f>
        <v/>
      </c>
      <c r="Q85" s="22"/>
      <c r="R85" s="22"/>
    </row>
    <row r="86" spans="1:18" s="152" customFormat="1" outlineLevel="1" x14ac:dyDescent="0.25">
      <c r="D86" s="22"/>
      <c r="L86" s="117"/>
      <c r="M86" s="117"/>
      <c r="N86" s="119"/>
      <c r="O86" s="119"/>
      <c r="Q86" s="22"/>
      <c r="R86" s="22"/>
    </row>
    <row r="87" spans="1:18" s="152" customFormat="1" ht="25" outlineLevel="1" x14ac:dyDescent="0.25">
      <c r="A87" s="152" t="s">
        <v>553</v>
      </c>
      <c r="D87" s="22"/>
      <c r="E87" s="153" t="str">
        <f>IF(MOSPin="NPS &amp; Schd",E22&amp;", Schd "&amp;E23,"")</f>
        <v>10in (250mm), Schd 120</v>
      </c>
      <c r="F87" s="153" t="str">
        <f>IF(MOSPout="NPS &amp; Schd",F22&amp;", Schd "&amp;F23,"")</f>
        <v/>
      </c>
      <c r="L87" s="117"/>
      <c r="M87" s="117"/>
      <c r="N87" s="119"/>
      <c r="O87" s="119"/>
      <c r="Q87" s="22"/>
      <c r="R87" s="22"/>
    </row>
    <row r="88" spans="1:18" s="152" customFormat="1" outlineLevel="1" x14ac:dyDescent="0.25">
      <c r="A88" s="152" t="s">
        <v>487</v>
      </c>
      <c r="C88" s="152" t="s">
        <v>554</v>
      </c>
      <c r="D88" s="22" t="s">
        <v>555</v>
      </c>
      <c r="E88" s="22">
        <f>IF(MOSPin="NPS &amp; Schd",
    Conv("L",VLOOKUP(E87,PipeData!$A$6:$D$256,2,FALSE),"in.",$D$88),
    Conv("L",E24,$D$24,$D$88))</f>
        <v>273.05</v>
      </c>
      <c r="F88" s="22">
        <f>IF(MOSPout="NPS &amp; Schd",
    Conv("L",VLOOKUP(F87,PipeData!$A$6:$D$256,2,FALSE),"in.",$D$88),
    Conv("L",F24,$D$24,$D$88))</f>
        <v>6248.4</v>
      </c>
      <c r="L88" s="117"/>
      <c r="M88" s="117"/>
      <c r="N88" s="119"/>
      <c r="O88" s="119"/>
      <c r="Q88" s="22"/>
      <c r="R88" s="22"/>
    </row>
    <row r="89" spans="1:18" s="152" customFormat="1" outlineLevel="1" x14ac:dyDescent="0.25">
      <c r="A89" s="152" t="s">
        <v>488</v>
      </c>
      <c r="C89" s="152" t="s">
        <v>556</v>
      </c>
      <c r="D89" s="22" t="s">
        <v>555</v>
      </c>
      <c r="F89" s="22">
        <f>IF(MOSPout="NPS &amp; Schd",
    Conv("L",VLOOKUP(F87,PipeData!$A$6:$D$256,3,FALSE),"in.","mm"),
    IF(MOSPout="OD &amp; t",
      Conv("L",F25,$D$25,$D$89),
      (F88-F90)/2))</f>
        <v>12.7</v>
      </c>
      <c r="L89" s="117"/>
      <c r="M89" s="117"/>
      <c r="N89" s="119"/>
      <c r="O89" s="119"/>
      <c r="Q89" s="22"/>
      <c r="R89" s="22"/>
    </row>
    <row r="90" spans="1:18" s="152" customFormat="1" outlineLevel="1" x14ac:dyDescent="0.25">
      <c r="A90" s="152" t="s">
        <v>489</v>
      </c>
      <c r="C90" s="152" t="s">
        <v>557</v>
      </c>
      <c r="D90" s="22" t="s">
        <v>555</v>
      </c>
      <c r="F90" s="22">
        <f>IF(MOSPout="NPS &amp; Schd",
    Conv("L",VLOOKUP(F87,PipeData!$A$6:$D$256,4,FALSE),"in.","mm"),
    IF(MOSPout="OD &amp; ID",
      Conv("L",F26,$D$26,$D$90),
      F88-2*F89))</f>
        <v>6223</v>
      </c>
      <c r="L90" s="117"/>
      <c r="M90" s="117"/>
      <c r="N90" s="119"/>
      <c r="O90" s="119"/>
      <c r="Q90" s="22"/>
      <c r="R90" s="22"/>
    </row>
    <row r="91" spans="1:18" s="152" customFormat="1" outlineLevel="1" x14ac:dyDescent="0.25">
      <c r="D91" s="22"/>
      <c r="F91" s="22"/>
      <c r="L91" s="117"/>
      <c r="M91" s="117"/>
      <c r="N91" s="119"/>
      <c r="O91" s="119"/>
      <c r="Q91" s="22"/>
      <c r="R91" s="22"/>
    </row>
    <row r="92" spans="1:18" s="152" customFormat="1" ht="13" outlineLevel="1" x14ac:dyDescent="0.3">
      <c r="A92" s="152" t="s">
        <v>558</v>
      </c>
      <c r="C92" s="152" t="s">
        <v>559</v>
      </c>
      <c r="D92" s="22" t="s">
        <v>555</v>
      </c>
      <c r="E92" s="23">
        <f>VLOOKUP(E27,ValveData!$A$28:$C$50,3,FALSE)</f>
        <v>300</v>
      </c>
      <c r="F92" s="23">
        <f>VLOOKUP(F27,ValveData!$A$28:$C$51,3,FALSE)</f>
        <v>450</v>
      </c>
      <c r="G92" s="154"/>
      <c r="L92" s="117"/>
      <c r="M92" s="117"/>
      <c r="N92" s="119"/>
      <c r="O92" s="119"/>
      <c r="Q92" s="22"/>
      <c r="R92" s="22"/>
    </row>
    <row r="93" spans="1:18" s="152" customFormat="1" outlineLevel="1" x14ac:dyDescent="0.25">
      <c r="A93" s="152" t="s">
        <v>561</v>
      </c>
      <c r="C93" s="152" t="s">
        <v>562</v>
      </c>
      <c r="D93" s="22"/>
      <c r="E93" s="23">
        <f>IF(PipeCorrectionFactorOption="Calculate Correction",0.5*(1-($E92/$E88)^2)^2,0)</f>
        <v>2.1453781523224979E-2</v>
      </c>
      <c r="F93" s="23">
        <f>IF(AND(PipeCorrectionFactorOption="Calculate Correction",OR(FlowDistributorDesign="None",FlowDistributorDesign="1 Stage")),(1-($F92/$F88)^2)^2,0)</f>
        <v>0.98965359093732186</v>
      </c>
      <c r="L93" s="117"/>
      <c r="M93" s="117"/>
      <c r="N93" s="120" t="str">
        <f>IF(PipeCorrectionFactorOption="Calculate Correction","Eqs. 6 &amp; 7","")</f>
        <v>Eqs. 6 &amp; 7</v>
      </c>
      <c r="O93" s="120" t="str">
        <f>IF($D$19="Ignore Correction","","K1 = 0.5*(1 - (dv1/D1)^2)^2,      K2 = 1*(1 - (dv2/D2)^2)^2")</f>
        <v>K1 = 0.5*(1 - (dv1/D1)^2)^2,      K2 = 1*(1 - (dv2/D2)^2)^2</v>
      </c>
      <c r="Q93" s="17"/>
      <c r="R93" s="17"/>
    </row>
    <row r="94" spans="1:18" s="152" customFormat="1" outlineLevel="1" x14ac:dyDescent="0.25">
      <c r="A94" s="152" t="s">
        <v>563</v>
      </c>
      <c r="C94" s="152" t="s">
        <v>564</v>
      </c>
      <c r="D94" s="22"/>
      <c r="E94" s="23">
        <f>IF(PipeCorrectionFactorOption="Calculate Correction",1-($E92/$E88)^4,0)</f>
        <v>-0.45719037971375975</v>
      </c>
      <c r="F94" s="23">
        <f>IF(AND(PipeCorrectionFactorOption="Calculate Correction",OR(FlowDistributorDesign="None",FlowDistributorDesign="1 Stage")),1-($F92/$F88)^4,0)</f>
        <v>0.99997309860755035</v>
      </c>
      <c r="L94" s="117"/>
      <c r="M94" s="117"/>
      <c r="N94" s="120" t="str">
        <f>IF(PipeCorrectionFactorOption="Calculate Correction","Eq. 5","")</f>
        <v>Eq. 5</v>
      </c>
      <c r="O94" s="120" t="str">
        <f>IF($D$19="Ignore Correction","","KB1 = 1 - (dv1/D1)^4,                 KB2 = 1 - (dv2/D2)^4")</f>
        <v>KB1 = 1 - (dv1/D1)^4,                 KB2 = 1 - (dv2/D2)^4</v>
      </c>
      <c r="Q94" s="17"/>
      <c r="R94" s="17"/>
    </row>
    <row r="95" spans="1:18" s="152" customFormat="1" outlineLevel="1" x14ac:dyDescent="0.25">
      <c r="A95" s="152" t="s">
        <v>565</v>
      </c>
      <c r="C95" s="152" t="s">
        <v>566</v>
      </c>
      <c r="D95" s="22"/>
      <c r="E95" s="22">
        <f>F32*((E93+E94)*F32^2*F30^2/0.00214+1)^-0.5</f>
        <v>1.0160314336466241</v>
      </c>
      <c r="F95" s="23"/>
      <c r="L95" s="117"/>
      <c r="M95" s="117"/>
      <c r="N95" s="120"/>
      <c r="O95" s="120"/>
      <c r="Q95" s="17"/>
      <c r="R95" s="17"/>
    </row>
    <row r="96" spans="1:18" s="152" customFormat="1" outlineLevel="1" x14ac:dyDescent="0.25">
      <c r="A96" s="16" t="s">
        <v>567</v>
      </c>
      <c r="C96" s="152" t="s">
        <v>568</v>
      </c>
      <c r="D96" s="22"/>
      <c r="E96" s="23">
        <f>((E93+E94+F93-F94)*F30^2/0.00214+1)^(-0.5)</f>
        <v>1.0164205066996335</v>
      </c>
      <c r="F96" s="155"/>
      <c r="L96" s="117"/>
      <c r="M96" s="117"/>
      <c r="N96" s="120" t="str">
        <f>IF(PipeCorrectionFactorOption="Calculate Correction","Eq. 3","")</f>
        <v>Eq. 3</v>
      </c>
      <c r="O96" s="119" t="str">
        <f>IF($D$19="Ignore Correction","Fp = 1","Fp = ((K1 + K2 + KB1 - KB2)*Cd^2/0.00214 + 1)^-0.5")</f>
        <v>Fp = ((K1 + K2 + KB1 - KB2)*Cd^2/0.00214 + 1)^-0.5</v>
      </c>
      <c r="Q96" s="22"/>
      <c r="R96" s="22"/>
    </row>
    <row r="97" spans="1:18" s="152" customFormat="1" outlineLevel="1" x14ac:dyDescent="0.25">
      <c r="A97" s="16" t="s">
        <v>569</v>
      </c>
      <c r="C97" s="152" t="s">
        <v>570</v>
      </c>
      <c r="D97" s="22"/>
      <c r="E97" s="22">
        <f>E95/E96</f>
        <v>0.99961721251150992</v>
      </c>
      <c r="F97" s="155"/>
      <c r="L97" s="117"/>
      <c r="M97" s="117"/>
      <c r="N97" s="120"/>
      <c r="O97" s="119"/>
      <c r="Q97" s="22"/>
      <c r="R97" s="22"/>
    </row>
    <row r="98" spans="1:18" s="152" customFormat="1" outlineLevel="1" x14ac:dyDescent="0.25">
      <c r="A98" s="16" t="s">
        <v>571</v>
      </c>
      <c r="C98" s="152" t="s">
        <v>572</v>
      </c>
      <c r="D98" s="22"/>
      <c r="E98" s="23">
        <f>F31/E96^2*(F31*(E93+E94)*F30^2/0.00241+1)^(-1)</f>
        <v>0.99562949793023536</v>
      </c>
      <c r="F98" s="155"/>
      <c r="G98" s="152">
        <f>Conv("P",G101-G128,D101,D100)</f>
        <v>0</v>
      </c>
      <c r="L98" s="117"/>
      <c r="M98" s="117"/>
      <c r="N98" s="119" t="str">
        <f>IF(PipeCorrectionFactorOption="Calculate Correction","Eq. 22","")</f>
        <v>Eq. 22</v>
      </c>
      <c r="O98" s="119" t="str">
        <f>IF($D$19="Ignore Correction","Xtp = Xt","Xtp = Xt/Fp^2*(Xt*(K1 + KB1)*Cd^2/0.00241 + 1)^-1")</f>
        <v>Xtp = Xt/Fp^2*(Xt*(K1 + KB1)*Cd^2/0.00241 + 1)^-1</v>
      </c>
      <c r="Q98" s="22"/>
      <c r="R98" s="22"/>
    </row>
    <row r="99" spans="1:18" s="152" customFormat="1" outlineLevel="1" x14ac:dyDescent="0.25">
      <c r="A99" s="16"/>
      <c r="D99" s="22"/>
      <c r="E99" s="24"/>
      <c r="F99" s="156"/>
      <c r="G99" s="152">
        <f>G105/28.97</f>
        <v>0</v>
      </c>
      <c r="L99" s="117"/>
      <c r="M99" s="117"/>
      <c r="N99" s="119"/>
      <c r="O99" s="119"/>
      <c r="Q99" s="22"/>
      <c r="R99" s="22"/>
    </row>
    <row r="100" spans="1:18" s="152" customFormat="1" ht="13" outlineLevel="1" x14ac:dyDescent="0.3">
      <c r="A100" s="25" t="s">
        <v>573</v>
      </c>
      <c r="D100" s="22" t="s">
        <v>880</v>
      </c>
      <c r="E100" s="24"/>
      <c r="F100" s="156"/>
      <c r="G100" s="152">
        <f>Conv("P",G101,D101,D100)</f>
        <v>0</v>
      </c>
      <c r="L100" s="117"/>
      <c r="M100" s="117"/>
      <c r="N100" s="119"/>
      <c r="O100" s="119"/>
      <c r="Q100" s="22"/>
      <c r="R100" s="22"/>
    </row>
    <row r="101" spans="1:18" s="152" customFormat="1" outlineLevel="1" x14ac:dyDescent="0.25">
      <c r="A101" s="152" t="s">
        <v>508</v>
      </c>
      <c r="C101" s="152" t="s">
        <v>574</v>
      </c>
      <c r="D101" s="22" t="s">
        <v>549</v>
      </c>
      <c r="E101" s="17">
        <f>Conv("P",E42,$D42,$D101)</f>
        <v>97.733184630661526</v>
      </c>
      <c r="F101" s="17">
        <f>Conv("P",F42,$D42,$D101)</f>
        <v>0</v>
      </c>
      <c r="G101" s="17">
        <f>Conv("P",G42,$D42,$D101)</f>
        <v>0</v>
      </c>
      <c r="H101" s="17">
        <f>Conv("P",H42,$D42,$D101)</f>
        <v>0</v>
      </c>
      <c r="I101" s="17">
        <f>Conv("P",I42,$D42,$D101)</f>
        <v>0</v>
      </c>
      <c r="L101" s="117"/>
      <c r="M101" s="117"/>
      <c r="N101" s="120" t="s">
        <v>560</v>
      </c>
      <c r="O101" s="119" t="e">
        <f>"P1(barA) = "&amp;TEXT((Conv("P",1,$D$42,$D$101)-Conv("P",0,$D$42,$D$101))/1,"General")&amp;"*P1("&amp;$D$42&amp;") + "&amp;TEXT(Conv("P",0,$D$42,$D$101),"General")</f>
        <v>#VALUE!</v>
      </c>
      <c r="Q101" s="22"/>
      <c r="R101" s="22"/>
    </row>
    <row r="102" spans="1:18" s="152" customFormat="1" outlineLevel="1" x14ac:dyDescent="0.25">
      <c r="A102" s="20" t="s">
        <v>510</v>
      </c>
      <c r="B102" s="21"/>
      <c r="C102" s="21" t="s">
        <v>575</v>
      </c>
      <c r="D102" s="17" t="s">
        <v>312</v>
      </c>
      <c r="E102" s="26">
        <f>IF(OR(TypeOfGas&lt;&gt;"Custom",MethodOfSpecifyingDensity&lt;&gt;"Direct Input"),Conv("T",E44,$D44,$D102),"")</f>
        <v>563.33333333333337</v>
      </c>
      <c r="F102" s="26">
        <f>IF(OR(TypeOfGas&lt;&gt;"Custom",MethodOfSpecifyingDensity&lt;&gt;"Direct Input"),Conv("T",F44,$D44,$D102),"")</f>
        <v>-17.777777777777771</v>
      </c>
      <c r="G102" s="26">
        <f>IF(OR(TypeOfGas&lt;&gt;"Custom",MethodOfSpecifyingDensity&lt;&gt;"Direct Input"),Conv("T",G44,$D44,$D102),"")</f>
        <v>-17.777777777777771</v>
      </c>
      <c r="H102" s="26">
        <f>IF(OR(TypeOfGas&lt;&gt;"Custom",MethodOfSpecifyingDensity&lt;&gt;"Direct Input"),Conv("T",H44,$D44,$D102),"")</f>
        <v>-17.777777777777771</v>
      </c>
      <c r="I102" s="26">
        <f>IF(OR(TypeOfGas&lt;&gt;"Custom",MethodOfSpecifyingDensity&lt;&gt;"Direct Input"),Conv("T",I44,$D44,$D102),"")</f>
        <v>-17.777777777777771</v>
      </c>
      <c r="L102" s="117"/>
      <c r="M102" s="117"/>
      <c r="N102" s="120" t="str">
        <f>IF(OR(TypeOfGas&lt;&gt;"Custom",MethodOfSpecifyingDensity&lt;&gt;"Direct Input"),"Unit Conversion","")</f>
        <v>Unit Conversion</v>
      </c>
      <c r="O102" s="119" t="e">
        <f>IF(OR(TypeOfGas&lt;&gt;"Custom",MethodOfSpecifyingDensity&lt;&gt;"Direct Input"),
    "T1(deg C) = "&amp;TEXT((Conv("T",1,$D$44,$D$102)-Conv("T",0,$D$44,$D$102))/1,"General")&amp;"*T1("&amp;$D$44&amp;") + "&amp;TEXT(Conv("T",0,$D$44,$D$102),"General"),"")</f>
        <v>#VALUE!</v>
      </c>
      <c r="Q102" s="22"/>
      <c r="R102" s="22"/>
    </row>
    <row r="103" spans="1:18" s="157" customFormat="1" outlineLevel="1" x14ac:dyDescent="0.25">
      <c r="A103" s="21" t="s">
        <v>516</v>
      </c>
      <c r="B103" s="21"/>
      <c r="C103" s="21" t="s">
        <v>411</v>
      </c>
      <c r="D103" s="17"/>
      <c r="E103" s="26">
        <f>IF(TypeOfGas="Water/Steam",wtrptg(E101,E102,1),
    IF(TypeOfGas&lt;&gt;"Custom",FluidNamek(TypeOfGas),E49))</f>
        <v>0</v>
      </c>
      <c r="F103" s="26">
        <f>IF(TypeOfGas="Water/Steam",wtrptg(F101,F102,1),
    IF(TypeOfGas&lt;&gt;"Custom",FluidNamek(TypeOfGas),F49))</f>
        <v>0</v>
      </c>
      <c r="G103" s="26">
        <f>IF(TypeOfGas="Water/Steam",wtrptg(G101,G102,1),
    IF(TypeOfGas&lt;&gt;"Custom",FluidNamek(TypeOfGas),G49))</f>
        <v>0</v>
      </c>
      <c r="H103" s="26">
        <f>IF(TypeOfGas="Water/Steam",wtrptg(H101,H102,1),
    IF(TypeOfGas&lt;&gt;"Custom",FluidNamek(TypeOfGas),H49))</f>
        <v>0</v>
      </c>
      <c r="I103" s="26">
        <f>IF(TypeOfGas="Water/Steam",wtrptg(I101,I102,1),
    IF(TypeOfGas&lt;&gt;"Custom",FluidNamek(TypeOfGas),I49))</f>
        <v>0</v>
      </c>
      <c r="L103" s="158"/>
      <c r="M103" s="117"/>
      <c r="N103" s="120" t="str">
        <f>IF(TypeOfGas="Water/Steam","Wtr Function",
    IF(TypeOfGas&lt;&gt;"Custom","Fluid Data","Given"))</f>
        <v>Given</v>
      </c>
      <c r="O103" s="120" t="str">
        <f>IF(TypeOfGas="Water/Steam","From Water Functions",
    IF(TypeOfGas&lt;&gt;"Custom","From FluidData",""))</f>
        <v/>
      </c>
      <c r="Q103" s="17"/>
      <c r="R103" s="17"/>
    </row>
    <row r="104" spans="1:18" s="152" customFormat="1" outlineLevel="1" x14ac:dyDescent="0.25">
      <c r="A104" s="152" t="s">
        <v>576</v>
      </c>
      <c r="C104" s="152" t="s">
        <v>577</v>
      </c>
      <c r="D104" s="22"/>
      <c r="E104" s="22">
        <f t="shared" ref="E104:G104" si="3">E103/1.4</f>
        <v>0</v>
      </c>
      <c r="F104" s="22">
        <f t="shared" si="3"/>
        <v>0</v>
      </c>
      <c r="G104" s="22">
        <f t="shared" si="3"/>
        <v>0</v>
      </c>
      <c r="H104" s="22">
        <f>H103/1.4</f>
        <v>0</v>
      </c>
      <c r="I104" s="22">
        <f>I103/1.4</f>
        <v>0</v>
      </c>
      <c r="L104" s="117"/>
      <c r="M104" s="117"/>
      <c r="N104" s="119" t="s">
        <v>578</v>
      </c>
      <c r="O104" s="119" t="s">
        <v>579</v>
      </c>
      <c r="Q104" s="22"/>
      <c r="R104" s="22"/>
    </row>
    <row r="105" spans="1:18" s="152" customFormat="1" outlineLevel="1" x14ac:dyDescent="0.25">
      <c r="A105" s="21" t="s">
        <v>512</v>
      </c>
      <c r="B105" s="21"/>
      <c r="C105" s="21" t="s">
        <v>580</v>
      </c>
      <c r="D105" s="27"/>
      <c r="E105" s="17">
        <f>IF(TypeOfGas="Water/Steam",18,
    IF(TypeOfGas&lt;&gt;"Custom",FluidNameMw(TypeOfGas),
      IF(MethodOfSpecifyingDensity="Calculate from Spec Grav",28.97*E45,
        IF(OR(MethodOfSpecifyingDensity="Calculate from MW",FlowRateType="Volume Flow Rate"),E46,""))))</f>
        <v>0</v>
      </c>
      <c r="F105" s="17">
        <f>IF(TypeOfGas="Water/Steam",18,
    IF(TypeOfGas&lt;&gt;"Custom",FluidNameMw(TypeOfGas),
      IF(MethodOfSpecifyingDensity="Calculate from Spec Grav",28.97*F45,
        IF(OR(MethodOfSpecifyingDensity="Calculate from MW",FlowRateType="Volume Flow Rate"),F46,""))))</f>
        <v>0</v>
      </c>
      <c r="G105" s="17">
        <f>IF(TypeOfGas="Water/Steam",18,
    IF(TypeOfGas&lt;&gt;"Custom",FluidNameMw(TypeOfGas),
      IF(MethodOfSpecifyingDensity="Calculate from Spec Grav",28.97*G45,
        IF(OR(MethodOfSpecifyingDensity="Calculate from MW",FlowRateType="Volume Flow Rate"),G46,""))))</f>
        <v>0</v>
      </c>
      <c r="H105" s="17">
        <f>IF(TypeOfGas="Water/Steam",18,
    IF(TypeOfGas&lt;&gt;"Custom",FluidNameMw(TypeOfGas),
      IF(MethodOfSpecifyingDensity="Calculate from Spec Grav",28.97*H45,
        IF(OR(MethodOfSpecifyingDensity="Calculate from MW",FlowRateType="Volume Flow Rate"),H46,""))))</f>
        <v>0</v>
      </c>
      <c r="I105" s="17">
        <f>IF(TypeOfGas="Water/Steam",18,
    IF(TypeOfGas&lt;&gt;"Custom",FluidNameMw(TypeOfGas),
      IF(MethodOfSpecifyingDensity="Calculate from Spec Grav",28.97*I45,
        IF(OR(MethodOfSpecifyingDensity="Calculate from MW",FlowRateType="Volume Flow Rate"),I46,""))))</f>
        <v>0</v>
      </c>
      <c r="L105" s="117"/>
      <c r="M105" s="117"/>
      <c r="N105" s="120" t="str">
        <f>IF(TypeOfGas="Water/Steam","Wtr Functions",
    IF(TypeOfGas&lt;&gt;"Custom","Fluid Data",
      IF(OR(MethodOfSpecifyingDensity="Calculate from MW",AND(FlowRateType="Volume Flow Rate",MethodOfSpecifyingDensity="Direct Input")),"Given",
        IF(MethodOfSpecifyingDensity="Calculate from Spec Grav","Def of Gg",""))))</f>
        <v>Given</v>
      </c>
      <c r="O105" s="120" t="str">
        <f>IF(TypeOfGas="Water/Steam","From Water Functions",
    IF(TypeOfGas&lt;&gt;"Custom","From FluidData",
      IF(MethodOfSpecifyingDensity="Calculate from Spec Grav","Mw = 28.97*Gg",
        IF(OR(MethodOfSpecifyingDensity="Calculate from MW",FlowRateType="Volume Flow Rate"),"Given",""))))</f>
        <v>Given</v>
      </c>
      <c r="Q105" s="17"/>
      <c r="R105" s="17"/>
    </row>
    <row r="106" spans="1:18" s="152" customFormat="1" outlineLevel="1" x14ac:dyDescent="0.25">
      <c r="A106" s="21" t="s">
        <v>513</v>
      </c>
      <c r="B106" s="21"/>
      <c r="C106" s="21" t="s">
        <v>581</v>
      </c>
      <c r="D106" s="28"/>
      <c r="E106" s="28">
        <f>IF(OR(TypeOfGas="Water/Steam",AND(TypeOfGas="Custom",MethodOfSpecifyingDensity="Direct Input")),"",
    IF(AND(TypeOfGas="Custom",CompressibilityOption="Assume 1"),1,
      IF(AND(TypeOfGas="Custom",CompressibilityOption="Direct Input"),E47,
        GasPTPcTcZ(E101,E102,$E84,$E85,1))))</f>
        <v>0</v>
      </c>
      <c r="F106" s="28">
        <f>IF(OR(TypeOfGas="Water/Steam",AND(TypeOfGas="Custom",MethodOfSpecifyingDensity="Direct Input")),"",
    IF(AND(TypeOfGas="Custom",CompressibilityOption="Assume 1"),1,
      IF(AND(TypeOfGas="Custom",CompressibilityOption="Direct Input"),F47,
        GasPTPcTcZ(F101,F102,$E84,$E85,1))))</f>
        <v>0</v>
      </c>
      <c r="G106" s="28">
        <f>IF(OR(TypeOfGas="Water/Steam",AND(TypeOfGas="Custom",MethodOfSpecifyingDensity="Direct Input")),"",
    IF(AND(TypeOfGas="Custom",CompressibilityOption="Assume 1"),1,
      IF(AND(TypeOfGas="Custom",CompressibilityOption="Direct Input"),G47,
        GasPTPcTcZ(G101,G102,$E84,$E85,1))))</f>
        <v>0</v>
      </c>
      <c r="H106" s="28">
        <f>IF(OR(TypeOfGas="Water/Steam",AND(TypeOfGas="Custom",MethodOfSpecifyingDensity="Direct Input")),"",
    IF(AND(TypeOfGas="Custom",CompressibilityOption="Assume 1"),1,
      IF(AND(TypeOfGas="Custom",CompressibilityOption="Direct Input"),H47,
        GasPTPcTcZ(H101,H102,$E84,$E85,1))))</f>
        <v>0</v>
      </c>
      <c r="I106" s="28">
        <f>IF(OR(TypeOfGas="Water/Steam",AND(TypeOfGas="Custom",MethodOfSpecifyingDensity="Direct Input")),"",
    IF(AND(TypeOfGas="Custom",CompressibilityOption="Assume 1"),1,
      IF(AND(TypeOfGas="Custom",CompressibilityOption="Direct Input"),I47,
        GasPTPcTcZ(I101,I102,$E84,$E85,1))))</f>
        <v>0</v>
      </c>
      <c r="L106" s="117"/>
      <c r="M106" s="117"/>
      <c r="N106" s="120" t="str">
        <f>IF(OR(TypeOfGas="Water/Steam",MethodOfSpecifyingDensity="Direct Input"),"",
    IF(OR(TypeOfGas&lt;&gt;"Custom",CompressibilityOption="Calculate from Pc &amp; Tc"),
      "Relich-Kwon",
      IF(CompressibilityOption="Assume 1","Assumed 1","Given")))</f>
        <v>Given</v>
      </c>
      <c r="O106" s="120" t="str">
        <f>IF(OR(TypeOfGas="Water/Steam",MethodOfSpecifyingDensity="Direct Input"),"",
    IF(OR(TypeOfGas&lt;&gt;"Custom",CompressibilityOption="Calculate from Pc &amp; Tc"),
      "Z = GasPTPcTcZ(P1, T1, Pc, Tc)",
      IF(CompressibilityOption="Assume 1","Z = 1","")))</f>
        <v/>
      </c>
      <c r="Q106" s="17"/>
      <c r="R106" s="17"/>
    </row>
    <row r="107" spans="1:18" s="152" customFormat="1" outlineLevel="1" x14ac:dyDescent="0.25">
      <c r="A107" s="20" t="s">
        <v>514</v>
      </c>
      <c r="B107" s="21"/>
      <c r="C107" s="21" t="s">
        <v>582</v>
      </c>
      <c r="D107" s="17" t="s">
        <v>515</v>
      </c>
      <c r="E107" s="29" t="e">
        <f>IF(TypeOfGas="Water/Steam",wtrPTD(E101,E102,1),
    IF(TypeOfGas&lt;&gt;"Custom",FluidNamePTRho(TypeOfGas,E101,E102,1),
      IF(MethodOfSpecifyingDensity="Direct Input",Conv("rho",E48,$D$48,$D$107),
        E105*E101/(0.083143*E106*(E102+273.15)))))</f>
        <v>#DIV/0!</v>
      </c>
      <c r="F107" s="29" t="e">
        <f>IF(TypeOfGas="Water/Steam",wtrPTD(F101,F102,1),
    IF(TypeOfGas&lt;&gt;"Custom",FluidNamePTRho(TypeOfGas,F101,F102,1),
      IF(MethodOfSpecifyingDensity="Direct Input",Conv("rho",F48,$D$48,$D$107),
        F105*F101/(0.083143*F106*(F102+273.15)))))</f>
        <v>#DIV/0!</v>
      </c>
      <c r="G107" s="29" t="e">
        <f>IF(TypeOfGas="Water/Steam",wtrPTD(G101,G102,1),
    IF(TypeOfGas&lt;&gt;"Custom",FluidNamePTRho(TypeOfGas,G101,G102,1),
      IF(MethodOfSpecifyingDensity="Direct Input",Conv("rho",G48,$D$48,$D$107),
        G105*G101/(0.083143*G106*(G102+273.15)))))</f>
        <v>#DIV/0!</v>
      </c>
      <c r="H107" s="29" t="e">
        <f>IF(TypeOfGas="Water/Steam",wtrPTD(H101,H102,1),
    IF(TypeOfGas&lt;&gt;"Custom",FluidNamePTRho(TypeOfGas,H101,H102,1),
      IF(MethodOfSpecifyingDensity="Direct Input",Conv("rho",H48,$D$48,$D$107),
        H105*H101/(0.083143*H106*(H102+273.15)))))</f>
        <v>#DIV/0!</v>
      </c>
      <c r="I107" s="29" t="e">
        <f>IF(TypeOfGas="Water/Steam",wtrPTD(I101,I102,1),
    IF(TypeOfGas&lt;&gt;"Custom",FluidNamePTRho(TypeOfGas,I101,I102,1),
      IF(MethodOfSpecifyingDensity="Direct Input",Conv("rho",I48,$D$48,$D$107),
        I105*I101/(0.083143*I106*(I102+273.15)))))</f>
        <v>#DIV/0!</v>
      </c>
      <c r="L107" s="117"/>
      <c r="M107" s="117"/>
      <c r="N107" s="120" t="str">
        <f>IF(TypeOfGas="Water/Steam","Wtr Functions",
    IF(TypeOfGas&lt;&gt;"Custom","Fluid Functions",
      IF(MethodOfSpecifyingDensity="Direct Input","Unit Conversion",
        "Ideal Gas")))</f>
        <v>Ideal Gas</v>
      </c>
      <c r="O107" s="120" t="str">
        <f>IF(TypeOfGas="Water/Steam","rho1 = wtrPTD(P1, T1)",
    IF(MethodOfSpecifyingDensity="Direct Input","Rho1(kg/m3) = "&amp;TEXT(Conv("rho",1,$D$48,$D$107),"General")&amp;"*Rho1("&amp;$D$48&amp;")",
      "Rho1 = MW*P1/(0.083143*Z*(T1 + 273.15))"))</f>
        <v>Rho1 = MW*P1/(0.083143*Z*(T1 + 273.15))</v>
      </c>
      <c r="Q107" s="17"/>
      <c r="R107" s="17"/>
    </row>
    <row r="108" spans="1:18" s="152" customFormat="1" outlineLevel="1" x14ac:dyDescent="0.25">
      <c r="A108" s="152" t="s">
        <v>583</v>
      </c>
      <c r="B108" s="21"/>
      <c r="C108" s="152" t="s">
        <v>584</v>
      </c>
      <c r="D108" s="22" t="s">
        <v>585</v>
      </c>
      <c r="E108" s="29" t="e">
        <f>GasPRhokc(E101,E107,E103,1)</f>
        <v>#VALUE!</v>
      </c>
      <c r="F108" s="29" t="e">
        <f>GasPRhokc(F101,F107,F103,1)</f>
        <v>#VALUE!</v>
      </c>
      <c r="G108" s="29" t="e">
        <f>GasPRhokc(G101,G107,G103,1)</f>
        <v>#VALUE!</v>
      </c>
      <c r="H108" s="29" t="e">
        <f>GasPRhokc(H101,H107,H103,1)</f>
        <v>#VALUE!</v>
      </c>
      <c r="I108" s="29" t="e">
        <f>GasPRhokc(I101,I107,I103,1)</f>
        <v>#VALUE!</v>
      </c>
      <c r="L108" s="117"/>
      <c r="M108" s="117"/>
      <c r="N108" s="120"/>
      <c r="O108" s="120" t="s">
        <v>586</v>
      </c>
      <c r="Q108" s="17"/>
      <c r="R108" s="17"/>
    </row>
    <row r="109" spans="1:18" s="152" customFormat="1" outlineLevel="1" x14ac:dyDescent="0.25">
      <c r="A109" s="30" t="s">
        <v>467</v>
      </c>
      <c r="C109" s="152" t="s">
        <v>587</v>
      </c>
      <c r="D109" s="22" t="s">
        <v>588</v>
      </c>
      <c r="E109" s="17">
        <f>IF(FlowRateType="Mass Flow Rate",Conv("m",E40,$D$40,$D$109),"")</f>
        <v>241764.73321000001</v>
      </c>
      <c r="F109" s="17">
        <f>IF(FlowRateType="Mass Flow Rate",Conv("m",F40,$D$40,$D$109),"")</f>
        <v>0</v>
      </c>
      <c r="G109" s="17">
        <f>IF(FlowRateType="Mass Flow Rate",Conv("m",G40,$D$40,$D$109),"")</f>
        <v>0</v>
      </c>
      <c r="H109" s="17">
        <f>IF(FlowRateType="Mass Flow Rate",Conv("m",H40,$D$40,$D$109),"")</f>
        <v>0</v>
      </c>
      <c r="I109" s="17">
        <f>IF(FlowRateType="Mass Flow Rate",Conv("m",I40,$D$40,$D$109),"")</f>
        <v>0</v>
      </c>
      <c r="L109" s="117"/>
      <c r="M109" s="117"/>
      <c r="N109" s="120" t="str">
        <f>IF(FlowRateType="Mass Flow Rate","Unit Conversion","")</f>
        <v>Unit Conversion</v>
      </c>
      <c r="O109" s="120" t="e">
        <f>IF(FlowRateType="Mass Flow Rate","W(kg/h) = "&amp;TEXT(Conv("m",1,$D$40,$D$109),"General")&amp;"*W("&amp;$D$40&amp;")","")</f>
        <v>#VALUE!</v>
      </c>
      <c r="Q109" s="17"/>
      <c r="R109" s="17"/>
    </row>
    <row r="110" spans="1:18" s="152" customFormat="1" outlineLevel="1" x14ac:dyDescent="0.25">
      <c r="A110" s="20" t="s">
        <v>507</v>
      </c>
      <c r="B110" s="21"/>
      <c r="C110" s="21" t="s">
        <v>589</v>
      </c>
      <c r="D110" s="17" t="s">
        <v>590</v>
      </c>
      <c r="E110" s="17" t="str">
        <f>IF(FlowRateType="Volume Flow Rate",Conv("Qg",E41,$D$41,$D$110),"")</f>
        <v/>
      </c>
      <c r="F110" s="17" t="str">
        <f>IF(FlowRateType="Volume Flow Rate",Conv("Qg",F41,$D$41,$D$110),"")</f>
        <v/>
      </c>
      <c r="G110" s="17" t="str">
        <f>IF(FlowRateType="Volume Flow Rate",Conv("Qg",G41,$D$41,$D$110),"")</f>
        <v/>
      </c>
      <c r="H110" s="17" t="str">
        <f>IF(FlowRateType="Volume Flow Rate",Conv("Qg",H41,$D$41,$D$110),"")</f>
        <v/>
      </c>
      <c r="I110" s="17" t="str">
        <f>IF(FlowRateType="Volume Flow Rate",Conv("Qg",I41,$D$41,$D$110),"")</f>
        <v/>
      </c>
      <c r="L110" s="117"/>
      <c r="M110" s="117"/>
      <c r="N110" s="120" t="str">
        <f>IF(FlowRateType="Volume Flow Rate","Unit Conversion","")</f>
        <v/>
      </c>
      <c r="O110" s="120" t="str">
        <f>IF(FlowRateType="Volume Flow Rate","Qg(Nm3/h) = "&amp;TEXT(Conv("Qg",1,$D$41,$D$110),"General")&amp;"*Qg("&amp;$D$41&amp;")","")</f>
        <v/>
      </c>
      <c r="Q110" s="17"/>
      <c r="R110" s="17"/>
    </row>
    <row r="111" spans="1:18" s="152" customFormat="1" outlineLevel="1" x14ac:dyDescent="0.25">
      <c r="A111" s="152" t="s">
        <v>467</v>
      </c>
      <c r="C111" s="152" t="s">
        <v>587</v>
      </c>
      <c r="D111" s="22" t="s">
        <v>588</v>
      </c>
      <c r="E111" s="22">
        <f>IF(FlowRateType="Mass Flow Rate",E109,
    E110*1.01325*E105/(0.083143*(273.15)))</f>
        <v>241764.73321000001</v>
      </c>
      <c r="F111" s="22">
        <f>IF(FlowRateType="Mass Flow Rate",F109,
    F110*1.01325*F105/(0.083143*(273.15)))</f>
        <v>0</v>
      </c>
      <c r="G111" s="22">
        <f>IF(FlowRateType="Mass Flow Rate",G109,
    G110*1.01325*G105/(0.083143*(273.15)))</f>
        <v>0</v>
      </c>
      <c r="H111" s="22">
        <f>IF(FlowRateType="Mass Flow Rate",H109,
    H110*1.01325*H105/(0.083143*(273.15)))</f>
        <v>0</v>
      </c>
      <c r="I111" s="22">
        <f>IF(FlowRateType="Mass Flow Rate",I109,
    I110*1.01325*I105/(0.083143*(273.15)))</f>
        <v>0</v>
      </c>
      <c r="L111" s="117"/>
      <c r="M111" s="117"/>
      <c r="N111" s="119" t="str">
        <f>IF(FlowRateType="Mass Flow Rate",
    "Given",
    "Conversion")</f>
        <v>Given</v>
      </c>
      <c r="O111" s="119" t="str">
        <f>IF(FlowRateType="Mass Flow Rate",
    "",
    "W = Qg*1.01325*MW/(0.083143*273.15)")</f>
        <v/>
      </c>
      <c r="Q111" s="22"/>
      <c r="R111" s="22"/>
    </row>
    <row r="112" spans="1:18" s="152" customFormat="1" outlineLevel="1" x14ac:dyDescent="0.25">
      <c r="D112" s="22"/>
      <c r="E112" s="22"/>
      <c r="F112" s="22"/>
      <c r="G112" s="22"/>
      <c r="H112" s="22"/>
      <c r="I112" s="22"/>
      <c r="L112" s="117"/>
      <c r="M112" s="117"/>
      <c r="N112" s="119"/>
      <c r="O112" s="119"/>
      <c r="Q112" s="22"/>
      <c r="R112" s="22"/>
    </row>
    <row r="113" spans="1:18" s="152" customFormat="1" ht="13" outlineLevel="1" x14ac:dyDescent="0.3">
      <c r="A113" s="151" t="s">
        <v>591</v>
      </c>
      <c r="D113" s="22"/>
      <c r="E113" s="22"/>
      <c r="F113" s="22"/>
      <c r="G113" s="22"/>
      <c r="H113" s="22"/>
      <c r="I113" s="22"/>
      <c r="L113" s="117"/>
      <c r="M113" s="117"/>
      <c r="N113" s="119"/>
      <c r="O113" s="119"/>
      <c r="Q113" s="22"/>
      <c r="R113" s="22"/>
    </row>
    <row r="114" spans="1:18" s="152" customFormat="1" outlineLevel="1" x14ac:dyDescent="0.25">
      <c r="A114" s="16" t="s">
        <v>592</v>
      </c>
      <c r="C114" s="152" t="s">
        <v>593</v>
      </c>
      <c r="D114" s="17" t="s">
        <v>515</v>
      </c>
      <c r="E114" s="23" t="e">
        <f>IF($D$17="Flow to Open (UTP)",E107,E130)</f>
        <v>#DIV/0!</v>
      </c>
      <c r="F114" s="23" t="e">
        <f>IF($D$17="Flow to Open (UTP)",F107,F130)</f>
        <v>#DIV/0!</v>
      </c>
      <c r="G114" s="23" t="e">
        <f>IF($D$17="Flow to Open (UTP)",G107,G130)</f>
        <v>#DIV/0!</v>
      </c>
      <c r="H114" s="23" t="e">
        <f>IF($D$17="Flow to Open (UTP)",H107,H130)</f>
        <v>#DIV/0!</v>
      </c>
      <c r="I114" s="23" t="e">
        <f>IF($D$17="Flow to Open (UTP)",I107,I130)</f>
        <v>#DIV/0!</v>
      </c>
      <c r="L114" s="117"/>
      <c r="M114" s="117"/>
      <c r="N114" s="119"/>
      <c r="O114" s="119" t="s">
        <v>594</v>
      </c>
      <c r="Q114" s="22"/>
      <c r="R114" s="22"/>
    </row>
    <row r="115" spans="1:18" s="152" customFormat="1" outlineLevel="1" x14ac:dyDescent="0.25">
      <c r="A115" s="152" t="s">
        <v>595</v>
      </c>
      <c r="C115" s="152" t="s">
        <v>596</v>
      </c>
      <c r="D115" s="22" t="s">
        <v>555</v>
      </c>
      <c r="E115" s="23" t="e">
        <f>IF(E111=0,"",
    IF((200000*$E$82/E114)^0.5&lt;E108,
      1000*(4*E111/(3600*PI()*(200000*$E$82*E114)^0.5))^0.5,
      1000*(4*E111*E108/(3600*PI()*200000*$E$82))^0.5))</f>
        <v>#DIV/0!</v>
      </c>
      <c r="F115" s="23" t="str">
        <f>IF(F111=0,"",
    IF((200000*$E$82/F114)^0.5&lt;F108,
      1000*(4*F111/(3600*PI()*(200000*$E$82*F114)^0.5))^0.5,
      1000*(4*F111*F108/(3600*PI()*200000*$E$82))^0.5))</f>
        <v/>
      </c>
      <c r="G115" s="23" t="str">
        <f>IF(G111=0,"",
    IF((200000*$E$82/G114)^0.5&lt;G108,
      1000*(4*G111/(3600*PI()*(200000*$E$82*G114)^0.5))^0.5,
      1000*(4*G111*G108/(3600*PI()*200000*$E$82))^0.5))</f>
        <v/>
      </c>
      <c r="H115" s="23" t="str">
        <f>IF(H111=0,"",
    IF((200000*$E$82/H114)^0.5&lt;H108,
      1000*(4*H111/(3600*PI()*(200000*$E$82*H114)^0.5))^0.5,
      1000*(4*H111*H108/(3600*PI()*200000*$E$82))^0.5))</f>
        <v/>
      </c>
      <c r="I115" s="23" t="str">
        <f>IF(I111=0,"",
    IF((200000*$E$82/I114)^0.5&lt;I108,
      1000*(4*I111/(3600*PI()*(200000*$E$82*I114)^0.5))^0.5,
      1000*(4*I111*I108/(3600*PI()*200000*$E$82))^0.5))</f>
        <v/>
      </c>
      <c r="L115" s="117"/>
      <c r="M115" s="117"/>
      <c r="N115" s="119"/>
      <c r="O115" s="119" t="s">
        <v>597</v>
      </c>
      <c r="Q115" s="22"/>
      <c r="R115" s="22"/>
    </row>
    <row r="116" spans="1:18" s="152" customFormat="1" outlineLevel="1" x14ac:dyDescent="0.25">
      <c r="A116" s="152" t="s">
        <v>521</v>
      </c>
      <c r="C116" s="152" t="s">
        <v>596</v>
      </c>
      <c r="D116" s="22" t="s">
        <v>555</v>
      </c>
      <c r="E116" s="23" t="e">
        <f>MAX(E115:I115)</f>
        <v>#DIV/0!</v>
      </c>
      <c r="F116" s="23"/>
      <c r="G116" s="23"/>
      <c r="H116" s="23"/>
      <c r="I116" s="23"/>
      <c r="L116" s="117"/>
      <c r="M116" s="117"/>
      <c r="N116" s="119"/>
      <c r="O116" s="119" t="s">
        <v>598</v>
      </c>
      <c r="Q116" s="22"/>
      <c r="R116" s="22"/>
    </row>
    <row r="117" spans="1:18" s="152" customFormat="1" outlineLevel="1" x14ac:dyDescent="0.25">
      <c r="A117" s="152" t="s">
        <v>522</v>
      </c>
      <c r="C117" s="152" t="s">
        <v>599</v>
      </c>
      <c r="D117" s="22" t="s">
        <v>555</v>
      </c>
      <c r="E117" s="23" t="e">
        <f>(4*Conv("C",MAX(E136:I136),$D$136,"Cv")*(1+F34)/(IF($D$16="Angle",30/2^0.5,21/2^0.5)/25.4^2*PI()))^0.5</f>
        <v>#VALUE!</v>
      </c>
      <c r="F117" s="23"/>
      <c r="G117" s="23"/>
      <c r="H117" s="23"/>
      <c r="I117" s="23"/>
      <c r="L117" s="117"/>
      <c r="M117" s="117"/>
      <c r="N117" s="119"/>
      <c r="O117" s="119" t="str">
        <f>IF($D$16="Angle","Dplgcv = (4*Cvmax*(1 + OCM)/(21/25.4^2*PI))^0.5","Dplgcv = (4*Cvmax*(1 + OCM)/(15/25.4^2*PI))^0.5")</f>
        <v>Dplgcv = (4*Cvmax*(1 + OCM)/(21/25.4^2*PI))^0.5</v>
      </c>
      <c r="Q117" s="22"/>
      <c r="R117" s="22"/>
    </row>
    <row r="118" spans="1:18" s="152" customFormat="1" outlineLevel="1" x14ac:dyDescent="0.25">
      <c r="A118" s="152" t="s">
        <v>600</v>
      </c>
      <c r="C118" s="152" t="s">
        <v>601</v>
      </c>
      <c r="D118" s="22" t="s">
        <v>555</v>
      </c>
      <c r="E118" s="23">
        <f>Conv("L",E59,$D59,$D118)</f>
        <v>152.4</v>
      </c>
      <c r="F118" s="155"/>
      <c r="G118" s="155"/>
      <c r="H118" s="155"/>
      <c r="I118" s="155"/>
      <c r="L118" s="117"/>
      <c r="M118" s="117"/>
      <c r="N118" s="119"/>
      <c r="O118" s="119"/>
      <c r="Q118" s="22"/>
      <c r="R118" s="22"/>
    </row>
    <row r="119" spans="1:18" s="152" customFormat="1" outlineLevel="1" x14ac:dyDescent="0.25">
      <c r="A119" s="152" t="s">
        <v>524</v>
      </c>
      <c r="C119" s="152" t="s">
        <v>602</v>
      </c>
      <c r="D119" s="22" t="s">
        <v>603</v>
      </c>
      <c r="E119" s="23" t="e">
        <f>IF(E111=0,"",GasWRhoAcKE(E111/3600,E114,PI()/4*($E$118/1000)^2,E108,1))</f>
        <v>#VALUE!</v>
      </c>
      <c r="F119" s="23" t="str">
        <f>IF(F111=0,"",GasWRhoAcKE(F111/3600,F114,PI()/4*($E$118/1000)^2,F108,1))</f>
        <v/>
      </c>
      <c r="G119" s="23" t="str">
        <f>IF(G111=0,"",GasWRhoAcKE(G111/3600,G114,PI()/4*($E$118/1000)^2,G108,1))</f>
        <v/>
      </c>
      <c r="H119" s="23" t="str">
        <f>IF(H111=0,"",GasWRhoAcKE(H111/3600,H114,PI()/4*($E$118/1000)^2,H108,1))</f>
        <v/>
      </c>
      <c r="I119" s="23" t="str">
        <f>IF(I111=0,"",GasWRhoAcKE(I111/3600,I114,PI()/4*($E$118/1000)^2,I108,1))</f>
        <v/>
      </c>
      <c r="L119" s="117"/>
      <c r="M119" s="117"/>
      <c r="N119" s="119"/>
      <c r="O119" s="119"/>
      <c r="Q119" s="22"/>
      <c r="R119" s="22"/>
    </row>
    <row r="120" spans="1:18" s="152" customFormat="1" outlineLevel="1" x14ac:dyDescent="0.25">
      <c r="D120" s="22"/>
      <c r="E120" s="23"/>
      <c r="F120" s="23"/>
      <c r="G120" s="23"/>
      <c r="H120" s="23"/>
      <c r="I120" s="23"/>
      <c r="L120" s="117"/>
      <c r="M120" s="117"/>
      <c r="N120" s="119"/>
      <c r="O120" s="119"/>
      <c r="Q120" s="22"/>
      <c r="R120" s="22"/>
    </row>
    <row r="121" spans="1:18" s="152" customFormat="1" ht="13" outlineLevel="1" x14ac:dyDescent="0.3">
      <c r="A121" s="151" t="s">
        <v>604</v>
      </c>
      <c r="D121" s="22"/>
      <c r="E121" s="23"/>
      <c r="F121" s="23"/>
      <c r="G121" s="23"/>
      <c r="H121" s="23"/>
      <c r="I121" s="23"/>
      <c r="L121" s="117"/>
      <c r="M121" s="117"/>
      <c r="N121" s="119"/>
      <c r="O121" s="119"/>
      <c r="Q121" s="22"/>
      <c r="R121" s="22"/>
    </row>
    <row r="122" spans="1:18" s="152" customFormat="1" outlineLevel="1" x14ac:dyDescent="0.25">
      <c r="A122" s="152" t="str">
        <f>IF(D17="Flow to Open (UTP)","Valve Outlet Run ID","Plug Diameter")</f>
        <v>Valve Outlet Run ID</v>
      </c>
      <c r="C122" s="152" t="s">
        <v>605</v>
      </c>
      <c r="D122" s="22" t="s">
        <v>555</v>
      </c>
      <c r="E122" s="23">
        <f>Conv("L",E62,$D62,$D122)</f>
        <v>254</v>
      </c>
      <c r="L122" s="117"/>
      <c r="M122" s="117"/>
      <c r="N122" s="119" t="s">
        <v>560</v>
      </c>
      <c r="O122" s="119" t="e">
        <f>"Dvr2(mm) = "&amp;TEXT(Conv("L",1,D62,$D$122),"General")&amp;"*Dvr2("&amp;D62&amp;")"</f>
        <v>#VALUE!</v>
      </c>
      <c r="Q122" s="22"/>
      <c r="R122" s="22"/>
    </row>
    <row r="123" spans="1:18" s="152" customFormat="1" outlineLevel="1" x14ac:dyDescent="0.25">
      <c r="A123" s="152" t="str">
        <f>IF($D$18="None","Expander Inlet Inside Diameter","Flow Distributor Hole Size")</f>
        <v>Expander Inlet Inside Diameter</v>
      </c>
      <c r="C123" s="152" t="s">
        <v>606</v>
      </c>
      <c r="D123" s="22" t="s">
        <v>555</v>
      </c>
      <c r="E123" s="23">
        <f>Conv("L",E64,$D$64,$D$123)</f>
        <v>254</v>
      </c>
      <c r="F123" s="155"/>
      <c r="G123" s="155"/>
      <c r="H123" s="155"/>
      <c r="I123" s="155"/>
      <c r="L123" s="117"/>
      <c r="M123" s="117"/>
      <c r="N123" s="119"/>
      <c r="O123" s="119"/>
      <c r="Q123" s="22"/>
      <c r="R123" s="22"/>
    </row>
    <row r="124" spans="1:18" s="152" customFormat="1" outlineLevel="1" x14ac:dyDescent="0.25">
      <c r="A124" s="16" t="str">
        <f>IF($D$18="None","Expander Inlet Hole Area","Flow Distrib. Outlet Hole Area")</f>
        <v>Expander Inlet Hole Area</v>
      </c>
      <c r="C124" s="152" t="s">
        <v>607</v>
      </c>
      <c r="D124" s="22" t="s">
        <v>608</v>
      </c>
      <c r="E124" s="23">
        <f>E65*PI()/4*E123^2</f>
        <v>50670.747909749771</v>
      </c>
      <c r="F124" s="155"/>
      <c r="G124" s="155"/>
      <c r="H124" s="155"/>
      <c r="I124" s="155"/>
      <c r="L124" s="117"/>
      <c r="M124" s="117"/>
      <c r="N124" s="119"/>
      <c r="O124" s="119" t="s">
        <v>609</v>
      </c>
      <c r="Q124" s="22"/>
      <c r="R124" s="22"/>
    </row>
    <row r="125" spans="1:18" s="152" customFormat="1" outlineLevel="1" x14ac:dyDescent="0.25">
      <c r="A125" s="16" t="str">
        <f>IF($D$18="None","Expander Flow Coefficient","Flow Distrib. Flow Coefficient")</f>
        <v>Expander Flow Coefficient</v>
      </c>
      <c r="C125" s="152" t="s">
        <v>610</v>
      </c>
      <c r="D125" s="22" t="s">
        <v>611</v>
      </c>
      <c r="E125" s="22">
        <f>Conv("C",38*(E124/25.4^2)/
  IF(D18="None",(1-(E122/F90)^2)^2,
    IF(D18="1 Stage",1,
      IF(D18="2 Stage",1+E66^2,
        1+E66^2+E66^4))*1.5)^0.5, "Cv","Kv")</f>
        <v>2585.8463406049173</v>
      </c>
      <c r="F125" s="155"/>
      <c r="G125" s="155"/>
      <c r="H125" s="155"/>
      <c r="I125" s="155"/>
      <c r="L125" s="117"/>
      <c r="M125" s="117"/>
      <c r="N125" s="119"/>
      <c r="O125" s="119" t="s">
        <v>612</v>
      </c>
      <c r="Q125" s="22"/>
      <c r="R125" s="22"/>
    </row>
    <row r="126" spans="1:18" s="152" customFormat="1" outlineLevel="1" x14ac:dyDescent="0.25">
      <c r="A126" s="16" t="str">
        <f>IF($D$18="None","Expander Jet Diameter","Flow Distributor Jet Diameter")</f>
        <v>Expander Jet Diameter</v>
      </c>
      <c r="C126" s="152" t="s">
        <v>606</v>
      </c>
      <c r="D126" s="22" t="s">
        <v>613</v>
      </c>
      <c r="E126" s="22">
        <f>E123/1000</f>
        <v>0.254</v>
      </c>
      <c r="F126" s="23"/>
      <c r="G126" s="23"/>
      <c r="H126" s="23"/>
      <c r="I126" s="23"/>
      <c r="L126" s="117"/>
      <c r="M126" s="117"/>
      <c r="N126" s="119" t="s">
        <v>560</v>
      </c>
      <c r="O126" s="119" t="e">
        <f>"Dje(m) = "&amp;TEXT(Conv("L",1,$D$64,$D$126),"General")&amp;"*Dje("&amp;$D$64&amp;")"</f>
        <v>#VALUE!</v>
      </c>
      <c r="Q126" s="22"/>
      <c r="R126" s="22"/>
    </row>
    <row r="127" spans="1:18" s="152" customFormat="1" outlineLevel="1" x14ac:dyDescent="0.25">
      <c r="A127" s="16" t="s">
        <v>614</v>
      </c>
      <c r="C127" s="152" t="s">
        <v>615</v>
      </c>
      <c r="D127" s="22" t="s">
        <v>611</v>
      </c>
      <c r="E127" s="22" t="e">
        <f>IF(D18="None",NA(),
    Conv("C",38*E124/(25.4^2*1.5^0.5),"Cv","Kv"))</f>
        <v>#N/A</v>
      </c>
      <c r="F127" s="23"/>
      <c r="G127" s="23"/>
      <c r="H127" s="23"/>
      <c r="I127" s="23"/>
      <c r="L127" s="117"/>
      <c r="M127" s="117"/>
      <c r="N127" s="119"/>
      <c r="O127" s="119"/>
      <c r="Q127" s="22"/>
      <c r="R127" s="22"/>
    </row>
    <row r="128" spans="1:18" s="152" customFormat="1" outlineLevel="1" x14ac:dyDescent="0.25">
      <c r="A128" s="16" t="s">
        <v>616</v>
      </c>
      <c r="C128" s="152" t="s">
        <v>617</v>
      </c>
      <c r="D128" s="22" t="s">
        <v>549</v>
      </c>
      <c r="E128" s="23">
        <f>IF(OR($D$18="None",$D$18="1 Stage"),E170,
    GasCvP1(E111/3600,E170,E172,E103,IF($D$18="2 Stage",0.85,0.95),$E$125,1))</f>
        <v>0.10342135939752543</v>
      </c>
      <c r="F128" s="23">
        <f>IF(OR($D$18="None",$D$18="1 Stage"),F170,
    GasCvP1(F111/3600,F170,F172,F103,IF($D$18="2 Stage",0.85,0.95),$E$125,1))</f>
        <v>0</v>
      </c>
      <c r="G128" s="23">
        <f>IF(OR($D$18="None",$D$18="1 Stage"),G170,
    GasCvP1(G111/3600,G170,G172,G103,IF($D$18="2 Stage",0.85,0.95),$E$125,1))</f>
        <v>0</v>
      </c>
      <c r="H128" s="23">
        <f>IF(OR($D$18="None",$D$18="1 Stage"),H170,
    GasCvP1(H111/3600,H170,H172,H103,IF($D$18="2 Stage",0.85,0.95),$E$125,1))</f>
        <v>0</v>
      </c>
      <c r="I128" s="23">
        <f>IF(OR($D$18="None",$D$18="1 Stage"),I170,
    GasCvP1(I111/3600,I170,I172,I103,IF($D$18="2 Stage",0.85,0.95),$E$125,1))</f>
        <v>0</v>
      </c>
      <c r="L128" s="117"/>
      <c r="M128" s="117"/>
      <c r="N128" s="119"/>
      <c r="O128" s="119" t="str">
        <f>IF(E111=0,"",
    IF(OR($D$18="None",$D$18="1 Stage"),"Pi = P2",
      IF($D$18="2 Stage","Pi = GasCvP1(W, P2, rho2, 0.75, Cve, 1)","Pi = GasCvP1(W, P2, rho2, 0.95, Cve, 1)")))</f>
        <v>Pi = P2</v>
      </c>
      <c r="Q128" s="22"/>
      <c r="R128" s="22"/>
    </row>
    <row r="129" spans="1:18" s="152" customFormat="1" outlineLevel="1" x14ac:dyDescent="0.25">
      <c r="A129" s="16" t="s">
        <v>618</v>
      </c>
      <c r="C129" s="152" t="s">
        <v>619</v>
      </c>
      <c r="D129" s="22" t="s">
        <v>312</v>
      </c>
      <c r="E129" s="22">
        <f>IF(TypeOfGas="Water/Steam",wtrPHT(E128,wtrPTH(E101,E102,1),1),E102)</f>
        <v>563.33333333333337</v>
      </c>
      <c r="F129" s="22">
        <f>IF(TypeOfGas="Water/Steam",wtrPHT(F128,wtrPTH(F101,F102,1),1),F102)</f>
        <v>-17.777777777777771</v>
      </c>
      <c r="G129" s="22">
        <f>IF(TypeOfGas="Water/Steam",wtrPHT(G128,wtrPTH(G101,G102,1),1),G102)</f>
        <v>-17.777777777777771</v>
      </c>
      <c r="H129" s="22">
        <f>IF(TypeOfGas="Water/Steam",wtrPHT(H128,wtrPTH(H101,H102,1),1),H102)</f>
        <v>-17.777777777777771</v>
      </c>
      <c r="I129" s="22">
        <f>IF(TypeOfGas="Water/Steam",wtrPHT(I128,wtrPTH(I101,I102,1),1),I102)</f>
        <v>-17.777777777777771</v>
      </c>
      <c r="L129" s="117"/>
      <c r="M129" s="117"/>
      <c r="N129" s="119"/>
      <c r="O129" s="119"/>
      <c r="Q129" s="22"/>
      <c r="R129" s="22"/>
    </row>
    <row r="130" spans="1:18" s="152" customFormat="1" outlineLevel="1" x14ac:dyDescent="0.25">
      <c r="A130" s="16" t="s">
        <v>620</v>
      </c>
      <c r="C130" s="152" t="s">
        <v>621</v>
      </c>
      <c r="D130" s="22" t="s">
        <v>515</v>
      </c>
      <c r="E130" s="22" t="e">
        <f>IF(TypeOfGas="Water/Steam",wtrPTD(E128,E129,1),E107*E128/E101)</f>
        <v>#DIV/0!</v>
      </c>
      <c r="F130" s="22" t="e">
        <f>IF(TypeOfGas="Water/Steam",wtrPTD(F128,F129,1),F107*F128/F101)</f>
        <v>#DIV/0!</v>
      </c>
      <c r="G130" s="22" t="e">
        <f>IF(TypeOfGas="Water/Steam",wtrPTD(G128,G129,1),G107*G128/G101)</f>
        <v>#DIV/0!</v>
      </c>
      <c r="H130" s="22" t="e">
        <f>IF(TypeOfGas="Water/Steam",wtrPTD(H128,H129,1),H107*H128/H101)</f>
        <v>#DIV/0!</v>
      </c>
      <c r="I130" s="22" t="e">
        <f>IF(TypeOfGas="Water/Steam",wtrPTD(I128,I129,1),I107*I128/I101)</f>
        <v>#DIV/0!</v>
      </c>
      <c r="L130" s="117"/>
      <c r="M130" s="117"/>
      <c r="N130" s="119"/>
      <c r="O130" s="119" t="s">
        <v>622</v>
      </c>
      <c r="Q130" s="22"/>
      <c r="R130" s="22"/>
    </row>
    <row r="131" spans="1:18" s="152" customFormat="1" outlineLevel="1" x14ac:dyDescent="0.25">
      <c r="A131" s="16" t="s">
        <v>623</v>
      </c>
      <c r="C131" s="152" t="s">
        <v>624</v>
      </c>
      <c r="D131" s="22" t="s">
        <v>585</v>
      </c>
      <c r="E131" s="22" t="e">
        <f>IF(TypeOfGas="Water/Steam",wtrptW(E128,E129,1),
    (10^5*E128*E103/E130)^0.5)</f>
        <v>#DIV/0!</v>
      </c>
      <c r="F131" s="22" t="e">
        <f>IF(TypeOfGas="Water/Steam",wtrptW(F128,F129,1),
    (10^5*F128*F103/F130)^0.5)</f>
        <v>#DIV/0!</v>
      </c>
      <c r="G131" s="22" t="e">
        <f>IF(TypeOfGas="Water/Steam",wtrptW(G128,G129,1),
    (10^5*G128*G103/G130)^0.5)</f>
        <v>#DIV/0!</v>
      </c>
      <c r="H131" s="22" t="e">
        <f>IF(TypeOfGas="Water/Steam",wtrptW(H128,H129,1),
    (10^5*H128*H103/H130)^0.5)</f>
        <v>#DIV/0!</v>
      </c>
      <c r="I131" s="22" t="e">
        <f>IF(TypeOfGas="Water/Steam",wtrptW(I128,I129,1),
    (10^5*I128*I103/I130)^0.5)</f>
        <v>#DIV/0!</v>
      </c>
      <c r="L131" s="117"/>
      <c r="M131" s="117"/>
      <c r="N131" s="119"/>
      <c r="O131" s="119"/>
      <c r="Q131" s="22"/>
      <c r="R131" s="22"/>
    </row>
    <row r="132" spans="1:18" s="152" customFormat="1" outlineLevel="1" x14ac:dyDescent="0.25">
      <c r="A132" s="16"/>
      <c r="D132" s="22"/>
      <c r="E132" s="22"/>
      <c r="F132" s="22"/>
      <c r="G132" s="22"/>
      <c r="H132" s="22"/>
      <c r="I132" s="22"/>
      <c r="L132" s="117"/>
      <c r="M132" s="117"/>
      <c r="N132" s="119"/>
      <c r="O132" s="119"/>
      <c r="Q132" s="22"/>
      <c r="R132" s="22"/>
    </row>
    <row r="133" spans="1:18" s="152" customFormat="1" ht="13" outlineLevel="1" x14ac:dyDescent="0.3">
      <c r="A133" s="25" t="s">
        <v>625</v>
      </c>
      <c r="D133" s="17"/>
      <c r="E133" s="23"/>
      <c r="F133" s="23"/>
      <c r="G133" s="23"/>
      <c r="H133" s="23"/>
      <c r="I133" s="23"/>
      <c r="L133" s="117"/>
      <c r="M133" s="117"/>
      <c r="N133" s="119"/>
      <c r="O133" s="119"/>
      <c r="Q133" s="22"/>
      <c r="R133" s="22"/>
    </row>
    <row r="134" spans="1:18" s="152" customFormat="1" outlineLevel="1" x14ac:dyDescent="0.25">
      <c r="A134" s="152" t="s">
        <v>626</v>
      </c>
      <c r="C134" s="152" t="s">
        <v>627</v>
      </c>
      <c r="D134" s="22"/>
      <c r="E134" s="22">
        <f>MINA(E104*$E$98,(E101-E128)/E101)</f>
        <v>0</v>
      </c>
      <c r="F134" s="22" t="e">
        <f>MINA(F104*$E$98,(F101-F128)/F101)</f>
        <v>#DIV/0!</v>
      </c>
      <c r="G134" s="22" t="e">
        <f>MINA(G104*$E$98,(G101-G128)/G101)</f>
        <v>#DIV/0!</v>
      </c>
      <c r="H134" s="22" t="e">
        <f>MINA(H104*$E$98,(H101-H128)/H101)</f>
        <v>#DIV/0!</v>
      </c>
      <c r="I134" s="22" t="e">
        <f>MINA(I104*$E$98,(I101-I128)/I101)</f>
        <v>#DIV/0!</v>
      </c>
      <c r="L134" s="117"/>
      <c r="M134" s="117"/>
      <c r="N134" s="119" t="s">
        <v>628</v>
      </c>
      <c r="O134" s="119" t="s">
        <v>629</v>
      </c>
      <c r="Q134" s="22"/>
      <c r="R134" s="22"/>
    </row>
    <row r="135" spans="1:18" s="152" customFormat="1" outlineLevel="1" x14ac:dyDescent="0.25">
      <c r="A135" s="152" t="s">
        <v>630</v>
      </c>
      <c r="C135" s="152" t="s">
        <v>631</v>
      </c>
      <c r="D135" s="22"/>
      <c r="E135" s="22" t="e">
        <f>1-E134/(3*E104*$E98)</f>
        <v>#DIV/0!</v>
      </c>
      <c r="F135" s="22" t="e">
        <f>1-F134/(3*F104*$E98)</f>
        <v>#DIV/0!</v>
      </c>
      <c r="G135" s="22" t="e">
        <f>1-G134/(3*G104*$E98)</f>
        <v>#DIV/0!</v>
      </c>
      <c r="H135" s="22" t="e">
        <f>1-H134/(3*H104*$E98)</f>
        <v>#DIV/0!</v>
      </c>
      <c r="I135" s="22" t="e">
        <f>1-I134/(3*I104*$E98)</f>
        <v>#DIV/0!</v>
      </c>
      <c r="L135" s="117"/>
      <c r="M135" s="117"/>
      <c r="N135" s="119" t="s">
        <v>632</v>
      </c>
      <c r="O135" s="119" t="s">
        <v>633</v>
      </c>
      <c r="Q135" s="22"/>
      <c r="R135" s="22"/>
    </row>
    <row r="136" spans="1:18" s="152" customFormat="1" outlineLevel="1" x14ac:dyDescent="0.25">
      <c r="A136" s="152" t="s">
        <v>517</v>
      </c>
      <c r="C136" s="152" t="s">
        <v>408</v>
      </c>
      <c r="D136" s="22" t="s">
        <v>611</v>
      </c>
      <c r="E136" s="23" t="e">
        <f>IF(E111=0,"",E111/(31.6*$E96*E135*(E134*E101*E107)^0.5))</f>
        <v>#DIV/0!</v>
      </c>
      <c r="F136" s="23" t="str">
        <f>IF(F111=0,"",F111/(31.6*$E96*F135*(F134*F101*F107)^0.5))</f>
        <v/>
      </c>
      <c r="G136" s="23" t="str">
        <f>IF(G111=0,"",G111/(31.6*$E96*G135*(G134*G101*G107)^0.5))</f>
        <v/>
      </c>
      <c r="H136" s="23" t="str">
        <f>IF(H111=0,"",H111/(31.6*$E96*H135*(H134*H101*H107)^0.5))</f>
        <v/>
      </c>
      <c r="I136" s="23" t="str">
        <f>IF(I111=0,"",I111/(31.6*$E96*I135*(I134*I101*I107)^0.5))</f>
        <v/>
      </c>
      <c r="L136" s="117"/>
      <c r="M136" s="117"/>
      <c r="N136" s="119" t="s">
        <v>634</v>
      </c>
      <c r="O136" s="119" t="s">
        <v>635</v>
      </c>
      <c r="Q136" s="22"/>
      <c r="R136" s="22"/>
    </row>
    <row r="137" spans="1:18" s="152" customFormat="1" outlineLevel="1" x14ac:dyDescent="0.25">
      <c r="A137" s="152" t="s">
        <v>636</v>
      </c>
      <c r="C137" s="152" t="s">
        <v>637</v>
      </c>
      <c r="D137" s="22"/>
      <c r="E137" s="22">
        <f>MINA(E104*1,(E101-E128)/E101)</f>
        <v>0</v>
      </c>
      <c r="F137" s="22" t="e">
        <f>MINA(F104*1,(F101-F128)/F101)</f>
        <v>#DIV/0!</v>
      </c>
      <c r="G137" s="22" t="e">
        <f>MINA(G104*1,(G101-G128)/G101)</f>
        <v>#DIV/0!</v>
      </c>
      <c r="H137" s="22" t="e">
        <f>MINA(H104*1,(H101-H128)/H101)</f>
        <v>#DIV/0!</v>
      </c>
      <c r="I137" s="22" t="e">
        <f>MINA(I104*1,(I101-I128)/I101)</f>
        <v>#DIV/0!</v>
      </c>
      <c r="L137" s="117"/>
      <c r="M137" s="117"/>
      <c r="N137" s="119"/>
      <c r="O137" s="119" t="s">
        <v>638</v>
      </c>
      <c r="Q137" s="22"/>
      <c r="R137" s="22"/>
    </row>
    <row r="138" spans="1:18" s="152" customFormat="1" outlineLevel="1" x14ac:dyDescent="0.25">
      <c r="A138" s="152" t="s">
        <v>639</v>
      </c>
      <c r="C138" s="152" t="s">
        <v>640</v>
      </c>
      <c r="D138" s="22"/>
      <c r="E138" s="22" t="e">
        <f>1-E137/(3*E104*1)</f>
        <v>#DIV/0!</v>
      </c>
      <c r="F138" s="22" t="e">
        <f>1-F137/(3*F104*1)</f>
        <v>#DIV/0!</v>
      </c>
      <c r="G138" s="22" t="e">
        <f>1-G137/(3*G104*1)</f>
        <v>#DIV/0!</v>
      </c>
      <c r="H138" s="22" t="e">
        <f>1-H137/(3*H104*1)</f>
        <v>#DIV/0!</v>
      </c>
      <c r="I138" s="22" t="e">
        <f>1-I137/(3*I104*1)</f>
        <v>#DIV/0!</v>
      </c>
      <c r="L138" s="117"/>
      <c r="M138" s="117"/>
      <c r="N138" s="119"/>
      <c r="O138" s="119" t="s">
        <v>641</v>
      </c>
      <c r="Q138" s="22"/>
      <c r="R138" s="22"/>
    </row>
    <row r="139" spans="1:18" s="152" customFormat="1" outlineLevel="1" x14ac:dyDescent="0.25">
      <c r="A139" s="152" t="s">
        <v>642</v>
      </c>
      <c r="C139" s="152" t="s">
        <v>643</v>
      </c>
      <c r="D139" s="22" t="s">
        <v>611</v>
      </c>
      <c r="E139" s="22" t="e">
        <f>E111/(31.6*1*E138*(E137*E101*E107)^0.5)</f>
        <v>#DIV/0!</v>
      </c>
      <c r="F139" s="22" t="e">
        <f>F111/(31.6*1*F138*(F137*F101*F107)^0.5)</f>
        <v>#DIV/0!</v>
      </c>
      <c r="G139" s="22" t="e">
        <f>G111/(31.6*1*G138*(G137*G101*G107)^0.5)</f>
        <v>#DIV/0!</v>
      </c>
      <c r="H139" s="22" t="e">
        <f>H111/(31.6*1*H138*(H137*H101*H107)^0.5)</f>
        <v>#DIV/0!</v>
      </c>
      <c r="I139" s="22" t="e">
        <f>I111/(31.6*1*I138*(I137*I101*I107)^0.5)</f>
        <v>#DIV/0!</v>
      </c>
      <c r="L139" s="117"/>
      <c r="M139" s="117"/>
      <c r="N139" s="119"/>
      <c r="O139" s="119" t="s">
        <v>644</v>
      </c>
      <c r="Q139" s="22"/>
      <c r="R139" s="22"/>
    </row>
    <row r="140" spans="1:18" s="152" customFormat="1" ht="13" outlineLevel="1" x14ac:dyDescent="0.3">
      <c r="A140" s="16" t="s">
        <v>645</v>
      </c>
      <c r="C140" s="152" t="s">
        <v>646</v>
      </c>
      <c r="D140" s="22" t="s">
        <v>608</v>
      </c>
      <c r="E140" s="22" t="e">
        <f>IF(ISNUMBER(SEARCH("Vector",ValveType,1)),
    E139/CpAo(E53,2^0.1,1)*10^6,
    E139/CpAo(0,2^0.1,1)*10^6)</f>
        <v>#DIV/0!</v>
      </c>
      <c r="F140" s="22" t="e">
        <f>IF(ISNUMBER(SEARCH("Vector",ValveType,1)),
    F139/CpAo(F53,2^0.1,1)*10^6,
    F139/CpAo(0,2^0.1,1)*10^6)</f>
        <v>#DIV/0!</v>
      </c>
      <c r="G140" s="22" t="e">
        <f>IF(ISNUMBER(SEARCH("Vector",ValveType,1)),
    G139/CpAo(G53,2^0.1,1)*10^6,
    G139/CpAo(0,2^0.1,1)*10^6)</f>
        <v>#DIV/0!</v>
      </c>
      <c r="H140" s="22" t="e">
        <f>IF(ISNUMBER(SEARCH("Vector",ValveType,1)),
    H139/CpAo(H53,2^0.1,1)*10^6,
    H139/CpAo(0,2^0.1,1)*10^6)</f>
        <v>#DIV/0!</v>
      </c>
      <c r="I140" s="22" t="e">
        <f>IF(ISNUMBER(SEARCH("Vector",ValveType,1)),
    I139/CpAo(I53,2^0.1,1)*10^6,
    I139/CpAo(0,2^0.1,1)*10^6)</f>
        <v>#DIV/0!</v>
      </c>
      <c r="J140" s="154"/>
      <c r="L140" s="117"/>
      <c r="M140" s="117"/>
      <c r="N140" s="119"/>
      <c r="O140" s="119" t="str">
        <f>IF(OR(ValveType="Custom Vector, 530/540",ValveType="Custom Vector Choke",ValveType="Standard Vector Choke",ValveType="Std Vector, 510/520"),
    "Ao = Cv_Vctr/CvAo(Nu, Ec)*25.4^2)",
    "")</f>
        <v>Ao = Cv_Vctr/CvAo(Nu, Ec)*25.4^2)</v>
      </c>
      <c r="Q140" s="22"/>
      <c r="R140" s="22"/>
    </row>
    <row r="141" spans="1:18" s="152" customFormat="1" ht="13" outlineLevel="1" x14ac:dyDescent="0.3">
      <c r="A141" s="16" t="s">
        <v>647</v>
      </c>
      <c r="C141" s="152" t="s">
        <v>648</v>
      </c>
      <c r="D141" s="22" t="s">
        <v>603</v>
      </c>
      <c r="E141" s="23" t="e">
        <f>IF(E111=0,"",GasWRhoAcKE(E111/3600,E130,E140/10^6,E108,1))</f>
        <v>#VALUE!</v>
      </c>
      <c r="F141" s="23" t="str">
        <f>IF(F111=0,"",GasWRhoAcKE(F111/3600,F130,F140/10^6,F108,1))</f>
        <v/>
      </c>
      <c r="G141" s="23" t="str">
        <f>IF(G111=0,"",GasWRhoAcKE(G111/3600,G130,G140/10^6,G108,1))</f>
        <v/>
      </c>
      <c r="H141" s="23" t="str">
        <f>IF(H111=0,"",GasWRhoAcKE(H111/3600,H130,H140/10^6,H108,1))</f>
        <v/>
      </c>
      <c r="I141" s="23" t="str">
        <f>IF(I111=0,"",GasWRhoAcKE(I111/3600,I130,I140/10^6,I108,1))</f>
        <v/>
      </c>
      <c r="J141" s="154"/>
      <c r="L141" s="117"/>
      <c r="M141" s="117"/>
      <c r="N141" s="119"/>
      <c r="O141" s="119" t="str">
        <f>IF(OR(ValveType="Custom Vector, 530/540",ValveType="Custom Vector Choke",ValveType="Standard Vector Choke",ValveType="Std Vector, 510/520"),
    "IF 1000^2*W/(3600*rho2*Ao) &lt; c1 THEN Ao = rho2*(1000^2*W/(3600*rho2*Ao))^2/200000 ELSE Ao = rho2*(1000^2*W/(3600*rho2*Ao))*c1/200000))",
    "")</f>
        <v>IF 1000^2*W/(3600*rho2*Ao) &lt; c1 THEN Ao = rho2*(1000^2*W/(3600*rho2*Ao))^2/200000 ELSE Ao = rho2*(1000^2*W/(3600*rho2*Ao))*c1/200000))</v>
      </c>
      <c r="Q141" s="22"/>
      <c r="R141" s="22"/>
    </row>
    <row r="142" spans="1:18" s="152" customFormat="1" ht="13" outlineLevel="1" x14ac:dyDescent="0.3">
      <c r="A142" s="16" t="s">
        <v>649</v>
      </c>
      <c r="C142" s="152" t="s">
        <v>650</v>
      </c>
      <c r="D142" s="22" t="s">
        <v>611</v>
      </c>
      <c r="E142" s="23" t="e">
        <f>CHOOSE(VLOOKUP($D$15,ValveData!$A$4:$L$23,7),
    E136,
    Conv("C",38*E140/(25.4^2*1.5^0.5),"Cv","Kv"))</f>
        <v>#VALUE!</v>
      </c>
      <c r="F142" s="23" t="e">
        <f>CHOOSE(VLOOKUP($D$15,ValveData!$A$4:$L$23,7),
    F136,
    Conv("C",38*F140/(25.4^2*1.5^0.5),"Cv","Kv"))</f>
        <v>#VALUE!</v>
      </c>
      <c r="G142" s="23" t="e">
        <f>CHOOSE(VLOOKUP($D$15,ValveData!$A$4:$L$23,7),
    G136,
    Conv("C",38*G140/(25.4^2*1.5^0.5),"Cv","Kv"))</f>
        <v>#VALUE!</v>
      </c>
      <c r="H142" s="23" t="e">
        <f>CHOOSE(VLOOKUP($D$15,ValveData!$A$4:$L$23,7),
    H136,
    Conv("C",38*H140/(25.4^2*1.5^0.5),"Cv","Kv"))</f>
        <v>#VALUE!</v>
      </c>
      <c r="I142" s="23" t="e">
        <f>CHOOSE(VLOOKUP($D$15,ValveData!$A$4:$L$23,7),
    I136,
    Conv("C",38*I140/(25.4^2*1.5^0.5),"Cv","Kv"))</f>
        <v>#VALUE!</v>
      </c>
      <c r="J142" s="154"/>
      <c r="L142" s="117"/>
      <c r="M142" s="117"/>
      <c r="N142" s="119"/>
      <c r="O142" s="119"/>
      <c r="Q142" s="22"/>
      <c r="R142" s="22"/>
    </row>
    <row r="143" spans="1:18" s="152" customFormat="1" outlineLevel="1" x14ac:dyDescent="0.25">
      <c r="A143" s="16" t="s">
        <v>651</v>
      </c>
      <c r="C143" s="152" t="s">
        <v>652</v>
      </c>
      <c r="D143" s="22" t="s">
        <v>549</v>
      </c>
      <c r="E143" s="23" t="e">
        <f>CHOOSE(VLOOKUP($D$15,ValveData!$A$4:$L$23,7),
    E101,
    IF(E53&lt;1,
      E101,
      GasCvP1(E111/3600,E128,E130,E103,0.75,E142,1)))</f>
        <v>#VALUE!</v>
      </c>
      <c r="F143" s="23">
        <f>CHOOSE(VLOOKUP($D$15,ValveData!$A$4:$L$23,7),
    F101,
    IF(F53&lt;1,
      F101,
      GasCvP1(F111/3600,F128,F130,F103,0.75,F142,1)))</f>
        <v>0</v>
      </c>
      <c r="G143" s="23">
        <f>CHOOSE(VLOOKUP($D$15,ValveData!$A$4:$L$23,7),
    G101,
    IF(G53&lt;1,
      G101,
      GasCvP1(G111/3600,G128,G130,G103,0.75,G142,1)))</f>
        <v>0</v>
      </c>
      <c r="H143" s="23">
        <f>CHOOSE(VLOOKUP($D$15,ValveData!$A$4:$L$23,7),
    H101,
    IF(H53&lt;1,
      H101,
      GasCvP1(H111/3600,H128,H130,H103,0.75,H142,1)))</f>
        <v>0</v>
      </c>
      <c r="I143" s="23">
        <f>CHOOSE(VLOOKUP($D$15,ValveData!$A$4:$L$23,7),
    I101,
    IF(I53&lt;2,
      I101,
      GasCvP1(I111/3600,I128,I130,I103,0.75,I142,1)))</f>
        <v>0</v>
      </c>
      <c r="L143" s="117"/>
      <c r="M143" s="117"/>
      <c r="N143" s="119"/>
      <c r="O143" s="119"/>
      <c r="Q143" s="22"/>
      <c r="R143" s="22"/>
    </row>
    <row r="144" spans="1:18" s="152" customFormat="1" outlineLevel="1" x14ac:dyDescent="0.25">
      <c r="A144" s="16" t="s">
        <v>653</v>
      </c>
      <c r="C144" s="152" t="s">
        <v>654</v>
      </c>
      <c r="D144" s="22" t="s">
        <v>515</v>
      </c>
      <c r="E144" s="22" t="e">
        <f>E107*E143/E101</f>
        <v>#DIV/0!</v>
      </c>
      <c r="F144" s="22" t="e">
        <f>F107*F143/F101</f>
        <v>#DIV/0!</v>
      </c>
      <c r="G144" s="22" t="e">
        <f>G107*G143/G101</f>
        <v>#DIV/0!</v>
      </c>
      <c r="H144" s="22" t="e">
        <f>H107*H143/H101</f>
        <v>#DIV/0!</v>
      </c>
      <c r="I144" s="22" t="e">
        <f>I107*I143/I101</f>
        <v>#DIV/0!</v>
      </c>
      <c r="L144" s="117"/>
      <c r="M144" s="117"/>
      <c r="N144" s="119"/>
      <c r="O144" s="119"/>
      <c r="Q144" s="22"/>
      <c r="R144" s="22"/>
    </row>
    <row r="145" spans="1:18" s="159" customFormat="1" outlineLevel="1" x14ac:dyDescent="0.25">
      <c r="A145" s="125" t="s">
        <v>667</v>
      </c>
      <c r="C145" s="159" t="s">
        <v>668</v>
      </c>
      <c r="D145" s="126" t="s">
        <v>555</v>
      </c>
      <c r="E145" s="126">
        <f>6*0.09*25.4</f>
        <v>13.715999999999999</v>
      </c>
      <c r="F145" s="126">
        <f>6*0.09*25.4</f>
        <v>13.715999999999999</v>
      </c>
      <c r="G145" s="126">
        <f>6*0.09*25.4</f>
        <v>13.715999999999999</v>
      </c>
      <c r="H145" s="126">
        <f>6*0.09*25.4</f>
        <v>13.715999999999999</v>
      </c>
      <c r="I145" s="126">
        <f>6*0.09*25.4</f>
        <v>13.715999999999999</v>
      </c>
      <c r="L145" s="160"/>
      <c r="M145" s="160"/>
      <c r="N145" s="161"/>
      <c r="O145" s="161"/>
      <c r="Q145" s="126"/>
      <c r="R145" s="126"/>
    </row>
    <row r="146" spans="1:18" s="152" customFormat="1" outlineLevel="1" x14ac:dyDescent="0.25">
      <c r="A146" s="16" t="s">
        <v>669</v>
      </c>
      <c r="C146" s="152" t="s">
        <v>406</v>
      </c>
      <c r="D146" s="22" t="s">
        <v>608</v>
      </c>
      <c r="E146" s="22">
        <f>2*(25.4*0.09)^2</f>
        <v>10.451591999999996</v>
      </c>
      <c r="F146" s="22">
        <f>2*(25.4*0.09)^2</f>
        <v>10.451591999999996</v>
      </c>
      <c r="G146" s="22">
        <f>2*(25.4*0.09)^2</f>
        <v>10.451591999999996</v>
      </c>
      <c r="H146" s="22">
        <f>2*(25.4*0.09)^2</f>
        <v>10.451591999999996</v>
      </c>
      <c r="I146" s="22">
        <f>2*(25.4*0.09)^2</f>
        <v>10.451591999999996</v>
      </c>
      <c r="L146" s="117"/>
      <c r="M146" s="117"/>
      <c r="N146" s="119"/>
      <c r="O146" s="119"/>
      <c r="Q146" s="22"/>
      <c r="R146" s="22"/>
    </row>
    <row r="147" spans="1:18" s="152" customFormat="1" outlineLevel="1" x14ac:dyDescent="0.25">
      <c r="A147" s="16" t="s">
        <v>670</v>
      </c>
      <c r="C147" s="152" t="s">
        <v>16</v>
      </c>
      <c r="D147" s="22"/>
      <c r="E147" s="22" t="e">
        <f>E140/E146</f>
        <v>#DIV/0!</v>
      </c>
      <c r="F147" s="22" t="e">
        <f>F140/F146</f>
        <v>#DIV/0!</v>
      </c>
      <c r="G147" s="22" t="e">
        <f>G140/G146</f>
        <v>#DIV/0!</v>
      </c>
      <c r="H147" s="22" t="e">
        <f>H140/H146</f>
        <v>#DIV/0!</v>
      </c>
      <c r="I147" s="22" t="e">
        <f>I140/I146</f>
        <v>#DIV/0!</v>
      </c>
      <c r="L147" s="117"/>
      <c r="M147" s="117"/>
      <c r="N147" s="119"/>
      <c r="O147" s="119"/>
      <c r="Q147" s="22"/>
      <c r="R147" s="22"/>
    </row>
    <row r="148" spans="1:18" s="152" customFormat="1" outlineLevel="1" x14ac:dyDescent="0.25">
      <c r="A148" s="16" t="s">
        <v>671</v>
      </c>
      <c r="C148" s="152" t="s">
        <v>672</v>
      </c>
      <c r="D148" s="22" t="s">
        <v>555</v>
      </c>
      <c r="E148" s="22" t="e">
        <f>(4*E140/PI())^0.5</f>
        <v>#DIV/0!</v>
      </c>
      <c r="F148" s="22" t="e">
        <f>(4*F140/PI())^0.5</f>
        <v>#DIV/0!</v>
      </c>
      <c r="G148" s="22" t="e">
        <f>(4*G140/PI())^0.5</f>
        <v>#DIV/0!</v>
      </c>
      <c r="H148" s="22" t="e">
        <f>(4*H140/PI())^0.5</f>
        <v>#DIV/0!</v>
      </c>
      <c r="I148" s="22" t="e">
        <f>(4*I140/PI())^0.5</f>
        <v>#DIV/0!</v>
      </c>
      <c r="L148" s="117"/>
      <c r="M148" s="117"/>
      <c r="N148" s="119"/>
      <c r="O148" s="119"/>
      <c r="Q148" s="22"/>
      <c r="R148" s="22"/>
    </row>
    <row r="149" spans="1:18" s="152" customFormat="1" outlineLevel="1" x14ac:dyDescent="0.25">
      <c r="A149" s="16" t="s">
        <v>673</v>
      </c>
      <c r="C149" s="152" t="s">
        <v>674</v>
      </c>
      <c r="D149" s="22" t="s">
        <v>555</v>
      </c>
      <c r="E149" s="22">
        <f>4*E146/E145</f>
        <v>3.0479999999999992</v>
      </c>
      <c r="F149" s="22">
        <f>4*F146/F145</f>
        <v>3.0479999999999992</v>
      </c>
      <c r="G149" s="22">
        <f>4*G146/G145</f>
        <v>3.0479999999999992</v>
      </c>
      <c r="H149" s="22">
        <f>4*H146/H145</f>
        <v>3.0479999999999992</v>
      </c>
      <c r="I149" s="22">
        <f>4*I146/I145</f>
        <v>3.0479999999999992</v>
      </c>
      <c r="L149" s="117"/>
      <c r="M149" s="117"/>
      <c r="N149" s="119"/>
      <c r="O149" s="119"/>
      <c r="Q149" s="22"/>
      <c r="R149" s="22"/>
    </row>
    <row r="150" spans="1:18" s="152" customFormat="1" outlineLevel="1" x14ac:dyDescent="0.25">
      <c r="A150" s="16" t="s">
        <v>675</v>
      </c>
      <c r="C150" s="152" t="s">
        <v>13</v>
      </c>
      <c r="D150" s="22"/>
      <c r="E150" s="22" t="e">
        <f>IF($F$33="Calc'd",E149/E148,1/$F$33^0.5)</f>
        <v>#DIV/0!</v>
      </c>
      <c r="F150" s="22" t="e">
        <f>IF($F$33="Calc'd",F149/F148,1/$F$33^0.5)</f>
        <v>#DIV/0!</v>
      </c>
      <c r="G150" s="22" t="e">
        <f>IF($F$33="Calc'd",G149/G148,1/$F$33^0.5)</f>
        <v>#DIV/0!</v>
      </c>
      <c r="H150" s="22" t="e">
        <f>IF($F$33="Calc'd",H149/H148,1/$F$33^0.5)</f>
        <v>#DIV/0!</v>
      </c>
      <c r="I150" s="22" t="e">
        <f>IF($F$33="Calc'd",I149/I148,1/$F$33^0.5)</f>
        <v>#DIV/0!</v>
      </c>
      <c r="L150" s="117"/>
      <c r="M150" s="117"/>
      <c r="N150" s="119"/>
      <c r="O150" s="119"/>
      <c r="Q150" s="22"/>
      <c r="R150" s="22"/>
    </row>
    <row r="151" spans="1:18" s="152" customFormat="1" outlineLevel="1" x14ac:dyDescent="0.25">
      <c r="A151" s="16" t="s">
        <v>676</v>
      </c>
      <c r="C151" s="152" t="s">
        <v>677</v>
      </c>
      <c r="D151" s="22" t="s">
        <v>613</v>
      </c>
      <c r="E151" s="22" t="e">
        <f>4.9*10^-3*E150*(E142*$E$97)^0.5</f>
        <v>#DIV/0!</v>
      </c>
      <c r="F151" s="22" t="e">
        <f>4.9*10^-3*F150*(F142*$E$97)^0.5</f>
        <v>#DIV/0!</v>
      </c>
      <c r="G151" s="22" t="e">
        <f>4.9*10^-3*G150*(G142*$E$97)^0.5</f>
        <v>#DIV/0!</v>
      </c>
      <c r="H151" s="22" t="e">
        <f>4.9*10^-3*H150*(H142*$E$97)^0.5</f>
        <v>#DIV/0!</v>
      </c>
      <c r="I151" s="22" t="e">
        <f>4.9*10^-3*I150*(I142*$E$97)^0.5</f>
        <v>#DIV/0!</v>
      </c>
      <c r="L151" s="117"/>
      <c r="M151" s="117"/>
      <c r="N151" s="119"/>
      <c r="O151" s="119"/>
      <c r="Q151" s="22"/>
      <c r="R151" s="22"/>
    </row>
    <row r="152" spans="1:18" s="159" customFormat="1" outlineLevel="1" x14ac:dyDescent="0.25">
      <c r="A152" s="125" t="s">
        <v>655</v>
      </c>
      <c r="C152" s="159" t="s">
        <v>656</v>
      </c>
      <c r="D152" s="126" t="s">
        <v>549</v>
      </c>
      <c r="E152" s="130">
        <f>CHOOSE(VLOOKUP($D$15,ValveData!$A$4:$L$23,7),
    E143-(E143-E128)/$E$97^2,
    E128)</f>
        <v>0.10342135939752543</v>
      </c>
      <c r="F152" s="130">
        <f>CHOOSE(VLOOKUP($D$15,ValveData!$A$4:$L$23,7),
    F143-(F143-F128)/$E$97^2,
    F128)</f>
        <v>0</v>
      </c>
      <c r="G152" s="130">
        <f>CHOOSE(VLOOKUP($D$15,ValveData!$A$4:$L$23,7),
    G143-(G143-G128)/$E$97^2,
    G128)</f>
        <v>0</v>
      </c>
      <c r="H152" s="130">
        <f>CHOOSE(VLOOKUP($D$15,ValveData!$A$4:$L$23,7),
    H143-(H143-H128)/$E$97^2,
    H128)</f>
        <v>0</v>
      </c>
      <c r="I152" s="130">
        <f>CHOOSE(VLOOKUP($D$15,ValveData!$A$4:$L$23,7),
    I143-(I143-I128)/$E$97^2,
    I128)</f>
        <v>0</v>
      </c>
      <c r="L152" s="160"/>
      <c r="M152" s="160"/>
      <c r="N152" s="161"/>
      <c r="O152" s="161"/>
      <c r="Q152" s="126"/>
      <c r="R152" s="126"/>
    </row>
    <row r="153" spans="1:18" s="152" customFormat="1" outlineLevel="1" x14ac:dyDescent="0.25">
      <c r="A153" s="16" t="s">
        <v>657</v>
      </c>
      <c r="C153" s="152" t="s">
        <v>658</v>
      </c>
      <c r="D153" s="22" t="s">
        <v>549</v>
      </c>
      <c r="E153" s="23" t="e">
        <f>E143*(2/(E103+1))^(E103/(E103-1))</f>
        <v>#VALUE!</v>
      </c>
      <c r="F153" s="23">
        <f>F143*(2/(F103+1))^(F103/(F103-1))</f>
        <v>0</v>
      </c>
      <c r="G153" s="23">
        <f>G143*(2/(G103+1))^(G103/(G103-1))</f>
        <v>0</v>
      </c>
      <c r="H153" s="23">
        <f>H143*(2/(H103+1))^(H103/(H103-1))</f>
        <v>0</v>
      </c>
      <c r="I153" s="23">
        <f>I143*(2/(I103+1))^(I103/(I103-1))</f>
        <v>0</v>
      </c>
      <c r="L153" s="117"/>
      <c r="M153" s="117"/>
      <c r="N153" s="119"/>
      <c r="O153" s="119"/>
      <c r="Q153" s="22"/>
      <c r="R153" s="22"/>
    </row>
    <row r="154" spans="1:18" s="152" customFormat="1" outlineLevel="1" x14ac:dyDescent="0.25">
      <c r="A154" s="16" t="s">
        <v>659</v>
      </c>
      <c r="C154" s="152" t="s">
        <v>660</v>
      </c>
      <c r="D154" s="22" t="s">
        <v>549</v>
      </c>
      <c r="E154" s="22" t="e">
        <f>E143-$E$97^2*(E143-E153)</f>
        <v>#VALUE!</v>
      </c>
      <c r="F154" s="22">
        <f>F143-$E$97^2*(F143-F153)</f>
        <v>0</v>
      </c>
      <c r="G154" s="22">
        <f>G143-$E$97^2*(G143-G153)</f>
        <v>0</v>
      </c>
      <c r="H154" s="22">
        <f>H143-$E$97^2*(H143-H153)</f>
        <v>0</v>
      </c>
      <c r="I154" s="22">
        <f>I143-$E$97^2*(I143-I153)</f>
        <v>0</v>
      </c>
      <c r="L154" s="117"/>
      <c r="M154" s="117"/>
      <c r="N154" s="119"/>
      <c r="O154" s="119"/>
      <c r="Q154" s="22"/>
      <c r="R154" s="22"/>
    </row>
    <row r="155" spans="1:18" s="152" customFormat="1" outlineLevel="1" x14ac:dyDescent="0.25">
      <c r="A155" s="16" t="s">
        <v>661</v>
      </c>
      <c r="C155" s="152" t="s">
        <v>662</v>
      </c>
      <c r="D155" s="22"/>
      <c r="E155" s="22" t="e">
        <f>E153/E154</f>
        <v>#VALUE!</v>
      </c>
      <c r="F155" s="22" t="e">
        <f>F153/F154</f>
        <v>#DIV/0!</v>
      </c>
      <c r="G155" s="22" t="e">
        <f>G153/G154</f>
        <v>#DIV/0!</v>
      </c>
      <c r="H155" s="22" t="e">
        <f>H153/H154</f>
        <v>#DIV/0!</v>
      </c>
      <c r="I155" s="22" t="e">
        <f>I153/I154</f>
        <v>#DIV/0!</v>
      </c>
      <c r="L155" s="117"/>
      <c r="M155" s="117"/>
      <c r="N155" s="119"/>
      <c r="O155" s="119"/>
      <c r="Q155" s="22"/>
      <c r="R155" s="22"/>
    </row>
    <row r="156" spans="1:18" s="152" customFormat="1" outlineLevel="1" x14ac:dyDescent="0.25">
      <c r="A156" s="16" t="s">
        <v>850</v>
      </c>
      <c r="C156" s="152" t="s">
        <v>663</v>
      </c>
      <c r="D156" s="22" t="s">
        <v>549</v>
      </c>
      <c r="E156" s="23" t="e">
        <f>E143/E155*(1/E103)^(E103/(E103-1))</f>
        <v>#VALUE!</v>
      </c>
      <c r="F156" s="23" t="e">
        <f>F143/F155*(1/F103)^(F103/(F103-1))</f>
        <v>#DIV/0!</v>
      </c>
      <c r="G156" s="23" t="e">
        <f>G143/G155*(1/G103)^(G103/(G103-1))</f>
        <v>#DIV/0!</v>
      </c>
      <c r="H156" s="23" t="e">
        <f>H143/H155*(1/H103)^(H103/(H103-1))</f>
        <v>#DIV/0!</v>
      </c>
      <c r="I156" s="23" t="e">
        <f>I143/I155*(1/I103)^(I103/(I103-1))</f>
        <v>#DIV/0!</v>
      </c>
      <c r="L156" s="117"/>
      <c r="M156" s="117"/>
      <c r="N156" s="119"/>
      <c r="O156" s="119"/>
      <c r="Q156" s="22"/>
      <c r="R156" s="22"/>
    </row>
    <row r="157" spans="1:18" s="152" customFormat="1" outlineLevel="1" x14ac:dyDescent="0.25">
      <c r="A157" s="16" t="s">
        <v>664</v>
      </c>
      <c r="C157" s="152" t="s">
        <v>665</v>
      </c>
      <c r="D157" s="22" t="s">
        <v>549</v>
      </c>
      <c r="E157" s="22" t="e">
        <f>E143/(22*E155)</f>
        <v>#VALUE!</v>
      </c>
      <c r="F157" s="22" t="e">
        <f>F143/(22*F155)</f>
        <v>#DIV/0!</v>
      </c>
      <c r="G157" s="22" t="e">
        <f>G143/(22*G155)</f>
        <v>#DIV/0!</v>
      </c>
      <c r="H157" s="22" t="e">
        <f>H143/(22*H155)</f>
        <v>#DIV/0!</v>
      </c>
      <c r="I157" s="22" t="e">
        <f>I143/(22*I155)</f>
        <v>#DIV/0!</v>
      </c>
      <c r="L157" s="117"/>
      <c r="M157" s="117"/>
      <c r="N157" s="119"/>
      <c r="O157" s="119"/>
      <c r="Q157" s="22"/>
      <c r="R157" s="22"/>
    </row>
    <row r="158" spans="1:18" s="152" customFormat="1" outlineLevel="1" x14ac:dyDescent="0.25">
      <c r="A158" s="16" t="s">
        <v>666</v>
      </c>
      <c r="C158" s="152" t="s">
        <v>836</v>
      </c>
      <c r="D158" s="22"/>
      <c r="E158" s="22" t="e">
        <f>IF(E128&gt;E154,1,
    IF(E128&gt;E153,2,
      IF(E128&gt;E156,3,
        IF(E128&gt;E157,4,5))))</f>
        <v>#VALUE!</v>
      </c>
      <c r="F158" s="22" t="e">
        <f>IF(F128&gt;F154,1,
    IF(F128&gt;F153,2,
      IF(F128&gt;F156,3,
        IF(F128&gt;F157,4,5))))</f>
        <v>#DIV/0!</v>
      </c>
      <c r="G158" s="22" t="e">
        <f>IF(G128&gt;G154,1,
    IF(G128&gt;G153,2,
      IF(G128&gt;G156,3,
        IF(G128&gt;G157,4,5))))</f>
        <v>#DIV/0!</v>
      </c>
      <c r="H158" s="22" t="e">
        <f>IF(H128&gt;H154,1,
    IF(H128&gt;H153,2,
      IF(H128&gt;H156,3,
        IF(H128&gt;H157,4,5))))</f>
        <v>#DIV/0!</v>
      </c>
      <c r="I158" s="22" t="e">
        <f>IF(I128&gt;I154,1,
    IF(I128&gt;I153,2,
      IF(I128&gt;I156,3,
        IF(I128&gt;I157,4,5))))</f>
        <v>#DIV/0!</v>
      </c>
      <c r="L158" s="117"/>
      <c r="M158" s="117"/>
      <c r="N158" s="119"/>
      <c r="O158" s="119"/>
      <c r="Q158" s="22"/>
      <c r="R158" s="22"/>
    </row>
    <row r="159" spans="1:18" s="159" customFormat="1" outlineLevel="1" x14ac:dyDescent="0.25">
      <c r="A159" s="125" t="s">
        <v>678</v>
      </c>
      <c r="C159" s="159" t="s">
        <v>679</v>
      </c>
      <c r="D159" s="126" t="s">
        <v>585</v>
      </c>
      <c r="E159" s="126" t="e">
        <f>(2*(E103/(E103-1))*(1-(E152/E143)^((E103-1)/E103))*E143*10^5/E144)^0.5</f>
        <v>#VALUE!</v>
      </c>
      <c r="F159" s="126" t="e">
        <f>(2*(F103/(F103-1))*(1-(F152/F143)^((F103-1)/F103))*F143*10^5/F144)^0.5</f>
        <v>#DIV/0!</v>
      </c>
      <c r="G159" s="126" t="e">
        <f>(2*(G103/(G103-1))*(1-(G152/G143)^((G103-1)/G103))*G143*10^5/G144)^0.5</f>
        <v>#DIV/0!</v>
      </c>
      <c r="H159" s="126" t="e">
        <f>(2*(H103/(H103-1))*(1-(H152/H143)^((H103-1)/H103))*H143*10^5/H144)^0.5</f>
        <v>#DIV/0!</v>
      </c>
      <c r="I159" s="126" t="e">
        <f>(2*(I103/(I103-1))*(1-(I152/I143)^((I103-1)/I103))*I143*10^5/I144)^0.5</f>
        <v>#DIV/0!</v>
      </c>
      <c r="L159" s="160"/>
      <c r="M159" s="160"/>
      <c r="N159" s="161"/>
      <c r="O159" s="161"/>
      <c r="Q159" s="126"/>
      <c r="R159" s="126"/>
    </row>
    <row r="160" spans="1:18" s="152" customFormat="1" outlineLevel="1" x14ac:dyDescent="0.25">
      <c r="A160" s="16" t="s">
        <v>680</v>
      </c>
      <c r="C160" s="152" t="s">
        <v>681</v>
      </c>
      <c r="D160" s="22" t="s">
        <v>587</v>
      </c>
      <c r="E160" s="22" t="e">
        <f>E111/3600*E159^2/2</f>
        <v>#VALUE!</v>
      </c>
      <c r="F160" s="22" t="e">
        <f t="shared" ref="F160:I160" si="4">F111/3600*F159^2/2</f>
        <v>#DIV/0!</v>
      </c>
      <c r="G160" s="22" t="e">
        <f t="shared" si="4"/>
        <v>#DIV/0!</v>
      </c>
      <c r="H160" s="22" t="e">
        <f t="shared" si="4"/>
        <v>#DIV/0!</v>
      </c>
      <c r="I160" s="22" t="e">
        <f t="shared" si="4"/>
        <v>#DIV/0!</v>
      </c>
      <c r="L160" s="117"/>
      <c r="M160" s="117"/>
      <c r="N160" s="119"/>
      <c r="O160" s="119"/>
      <c r="Q160" s="22"/>
      <c r="R160" s="22"/>
    </row>
    <row r="161" spans="1:18" s="152" customFormat="1" outlineLevel="1" x14ac:dyDescent="0.25">
      <c r="A161" s="16" t="s">
        <v>847</v>
      </c>
      <c r="C161" s="152" t="s">
        <v>682</v>
      </c>
      <c r="D161" s="22" t="s">
        <v>312</v>
      </c>
      <c r="E161" s="22" t="e">
        <f>(E102+273.15)*(E152/E143)^((E103-1)/E103)-273.15</f>
        <v>#VALUE!</v>
      </c>
      <c r="F161" s="22" t="e">
        <f>(F102+273.15)*(F152/F143)^((F103-1)/F103)-273.15</f>
        <v>#DIV/0!</v>
      </c>
      <c r="G161" s="22" t="e">
        <f>(G102+273.15)*(G152/G143)^((G103-1)/G103)-273.15</f>
        <v>#DIV/0!</v>
      </c>
      <c r="H161" s="22" t="e">
        <f>(H102+273.15)*(H152/H143)^((H103-1)/H103)-273.15</f>
        <v>#DIV/0!</v>
      </c>
      <c r="I161" s="22" t="e">
        <f>(I102+273.15)*(I152/I143)^((I103-1)/I103)-273.15</f>
        <v>#DIV/0!</v>
      </c>
      <c r="L161" s="117"/>
      <c r="M161" s="117"/>
      <c r="N161" s="119"/>
      <c r="O161" s="119"/>
      <c r="Q161" s="22"/>
      <c r="R161" s="22"/>
    </row>
    <row r="162" spans="1:18" s="152" customFormat="1" outlineLevel="1" x14ac:dyDescent="0.25">
      <c r="A162" s="16" t="s">
        <v>683</v>
      </c>
      <c r="C162" s="152" t="s">
        <v>684</v>
      </c>
      <c r="D162" s="22" t="s">
        <v>585</v>
      </c>
      <c r="E162" s="22" t="e">
        <f t="shared" ref="E162:G162" si="5">(10^5*E101*E103/E107)^0.5</f>
        <v>#DIV/0!</v>
      </c>
      <c r="F162" s="22" t="e">
        <f t="shared" si="5"/>
        <v>#DIV/0!</v>
      </c>
      <c r="G162" s="22" t="e">
        <f t="shared" si="5"/>
        <v>#DIV/0!</v>
      </c>
      <c r="H162" s="22" t="e">
        <f>(10^5*H101*H103/H107)^0.5</f>
        <v>#DIV/0!</v>
      </c>
      <c r="I162" s="22" t="e">
        <f t="shared" ref="I162" si="6">(10^5*I101*I103/I107)^0.5</f>
        <v>#DIV/0!</v>
      </c>
      <c r="L162" s="117"/>
      <c r="M162" s="117"/>
      <c r="N162" s="119"/>
      <c r="O162" s="119"/>
      <c r="Q162" s="22"/>
      <c r="R162" s="22"/>
    </row>
    <row r="163" spans="1:18" s="152" customFormat="1" outlineLevel="1" x14ac:dyDescent="0.25">
      <c r="A163" s="16" t="s">
        <v>846</v>
      </c>
      <c r="C163" s="152" t="s">
        <v>685</v>
      </c>
      <c r="D163" s="22"/>
      <c r="E163" s="22" t="e">
        <f>E159/E162</f>
        <v>#VALUE!</v>
      </c>
      <c r="F163" s="22" t="e">
        <f>F159/F162</f>
        <v>#DIV/0!</v>
      </c>
      <c r="G163" s="22" t="e">
        <f>G159/G162</f>
        <v>#DIV/0!</v>
      </c>
      <c r="H163" s="22" t="e">
        <f>H159/H162</f>
        <v>#DIV/0!</v>
      </c>
      <c r="I163" s="22" t="e">
        <f>I159/I162</f>
        <v>#DIV/0!</v>
      </c>
      <c r="L163" s="117"/>
      <c r="M163" s="117"/>
      <c r="N163" s="119"/>
      <c r="O163" s="119"/>
      <c r="Q163" s="22"/>
      <c r="R163" s="22"/>
    </row>
    <row r="164" spans="1:18" s="152" customFormat="1" outlineLevel="1" x14ac:dyDescent="0.25">
      <c r="A164" s="16" t="s">
        <v>686</v>
      </c>
      <c r="C164" s="152" t="s">
        <v>17</v>
      </c>
      <c r="D164" s="22"/>
      <c r="E164" s="22">
        <f>VLOOKUP($D$15,ValveData!$A$4:$L$23,9)</f>
        <v>-4.8</v>
      </c>
      <c r="F164" s="23"/>
      <c r="G164" s="23"/>
      <c r="H164" s="23"/>
      <c r="I164" s="23"/>
      <c r="L164" s="117"/>
      <c r="M164" s="117"/>
      <c r="N164" s="119"/>
      <c r="O164" s="119"/>
      <c r="Q164" s="22"/>
      <c r="R164" s="22"/>
    </row>
    <row r="165" spans="1:18" s="152" customFormat="1" outlineLevel="1" x14ac:dyDescent="0.25">
      <c r="A165" s="16" t="s">
        <v>687</v>
      </c>
      <c r="C165" s="152" t="s">
        <v>18</v>
      </c>
      <c r="D165" s="22"/>
      <c r="E165" s="22">
        <f>VLOOKUP($D$15,ValveData!$A$4:$L$23,10)</f>
        <v>0.1</v>
      </c>
      <c r="F165" s="23"/>
      <c r="G165" s="23"/>
      <c r="H165" s="23"/>
      <c r="I165" s="23"/>
      <c r="L165" s="117"/>
      <c r="M165" s="117"/>
      <c r="N165" s="119"/>
      <c r="O165" s="119"/>
      <c r="Q165" s="22"/>
      <c r="R165" s="22"/>
    </row>
    <row r="166" spans="1:18" s="159" customFormat="1" outlineLevel="1" x14ac:dyDescent="0.25">
      <c r="A166" s="125" t="s">
        <v>690</v>
      </c>
      <c r="C166" s="159" t="s">
        <v>691</v>
      </c>
      <c r="D166" s="126" t="s">
        <v>314</v>
      </c>
      <c r="E166" s="126">
        <f>2*(E102+273.15)/(E103+1)</f>
        <v>1672.9666666666667</v>
      </c>
      <c r="F166" s="126">
        <f>2*(F102+273.15)/(F103+1)</f>
        <v>510.74444444444441</v>
      </c>
      <c r="G166" s="126">
        <f>2*(G102+273.15)/(G103+1)</f>
        <v>510.74444444444441</v>
      </c>
      <c r="H166" s="126">
        <f>2*(H102+273.15)/(H103+1)</f>
        <v>510.74444444444441</v>
      </c>
      <c r="I166" s="126">
        <f>2*(I102+273.15)/(I103+1)</f>
        <v>510.74444444444441</v>
      </c>
      <c r="L166" s="160"/>
      <c r="M166" s="160"/>
      <c r="N166" s="161"/>
      <c r="O166" s="161"/>
      <c r="Q166" s="126"/>
      <c r="R166" s="126"/>
    </row>
    <row r="167" spans="1:18" s="152" customFormat="1" outlineLevel="1" x14ac:dyDescent="0.25">
      <c r="A167" s="16" t="s">
        <v>692</v>
      </c>
      <c r="C167" s="152" t="s">
        <v>693</v>
      </c>
      <c r="D167" s="22" t="s">
        <v>585</v>
      </c>
      <c r="E167" s="22" t="e">
        <f>(2*E103/(E103+1)*E143*10^5/E144)^0.5</f>
        <v>#VALUE!</v>
      </c>
      <c r="F167" s="22" t="e">
        <f>(2*F103/(F103+1)*F143*10^5/F144)^0.5</f>
        <v>#DIV/0!</v>
      </c>
      <c r="G167" s="22" t="e">
        <f>(2*G103/(G103+1)*G143*10^5/G144)^0.5</f>
        <v>#DIV/0!</v>
      </c>
      <c r="H167" s="22" t="e">
        <f>(2*H103/(H103+1)*H143*10^5/H144)^0.5</f>
        <v>#DIV/0!</v>
      </c>
      <c r="I167" s="22" t="e">
        <f>(2*I103/(I103+1)*I143*10^5/I144)^0.5</f>
        <v>#DIV/0!</v>
      </c>
      <c r="L167" s="117"/>
      <c r="M167" s="117"/>
      <c r="N167" s="119"/>
      <c r="O167" s="119"/>
      <c r="Q167" s="22"/>
      <c r="R167" s="22"/>
    </row>
    <row r="168" spans="1:18" s="152" customFormat="1" outlineLevel="1" x14ac:dyDescent="0.25">
      <c r="A168" s="16" t="s">
        <v>680</v>
      </c>
      <c r="C168" s="152" t="s">
        <v>694</v>
      </c>
      <c r="D168" s="22" t="s">
        <v>587</v>
      </c>
      <c r="E168" s="22" t="e">
        <f>(E111/3600)*E167^2/2</f>
        <v>#VALUE!</v>
      </c>
      <c r="F168" s="22" t="e">
        <f t="shared" ref="F168:I168" si="7">(F111/3600)*F167^2/2</f>
        <v>#DIV/0!</v>
      </c>
      <c r="G168" s="22" t="e">
        <f t="shared" si="7"/>
        <v>#DIV/0!</v>
      </c>
      <c r="H168" s="22" t="e">
        <f t="shared" si="7"/>
        <v>#DIV/0!</v>
      </c>
      <c r="I168" s="22" t="e">
        <f t="shared" si="7"/>
        <v>#DIV/0!</v>
      </c>
      <c r="L168" s="117"/>
      <c r="M168" s="117"/>
      <c r="N168" s="119"/>
      <c r="O168" s="119"/>
      <c r="Q168" s="22"/>
      <c r="R168" s="22"/>
    </row>
    <row r="169" spans="1:18" s="152" customFormat="1" outlineLevel="1" x14ac:dyDescent="0.25">
      <c r="A169" s="16" t="s">
        <v>849</v>
      </c>
      <c r="C169" s="152" t="s">
        <v>695</v>
      </c>
      <c r="D169" s="22"/>
      <c r="E169" s="22" t="e">
        <f>(2/(E103-1)*(MIN(22,E143/(E155*E128))^((E103-1)/E103)-1))^0.5</f>
        <v>#VALUE!</v>
      </c>
      <c r="F169" s="22" t="e">
        <f>(2/(F103-1)*(MIN(22,F143/(F155*F128))^((F103-1)/F103)-1))^0.5</f>
        <v>#DIV/0!</v>
      </c>
      <c r="G169" s="22" t="e">
        <f>(2/(G103-1)*(MIN(22,G143/(G155*G128))^((G103-1)/G103)-1))^0.5</f>
        <v>#DIV/0!</v>
      </c>
      <c r="H169" s="22" t="e">
        <f>(2/(H103-1)*(MIN(22,H143/(H155*H128))^((H103-1)/H103)-1))^0.5</f>
        <v>#DIV/0!</v>
      </c>
      <c r="I169" s="22" t="e">
        <f>(2/(I103-1)*(MIN(22,I143/(I155*I128))^((I103-1)/I103)-1))^0.5</f>
        <v>#DIV/0!</v>
      </c>
      <c r="L169" s="117"/>
      <c r="M169" s="117"/>
      <c r="N169" s="119"/>
      <c r="O169" s="119"/>
      <c r="Q169" s="22"/>
      <c r="R169" s="22"/>
    </row>
    <row r="170" spans="1:18" s="159" customFormat="1" outlineLevel="1" x14ac:dyDescent="0.25">
      <c r="A170" s="127" t="s">
        <v>509</v>
      </c>
      <c r="B170" s="127"/>
      <c r="C170" s="127" t="s">
        <v>696</v>
      </c>
      <c r="D170" s="128" t="s">
        <v>549</v>
      </c>
      <c r="E170" s="128">
        <f>Conv("P",E43,$D43,$D170)</f>
        <v>0.10342135939752543</v>
      </c>
      <c r="F170" s="128">
        <f>Conv("P",F43,$D43,$D170)</f>
        <v>0</v>
      </c>
      <c r="G170" s="128">
        <f>Conv("P",G43,$D43,$D170)</f>
        <v>0</v>
      </c>
      <c r="H170" s="128">
        <f>Conv("P",H43,$D43,$D170)</f>
        <v>0</v>
      </c>
      <c r="I170" s="128">
        <f>Conv("P",I43,$D43,$D170)</f>
        <v>0</v>
      </c>
      <c r="J170" s="127"/>
      <c r="L170" s="160"/>
      <c r="M170" s="160"/>
      <c r="N170" s="129" t="s">
        <v>697</v>
      </c>
      <c r="O170" s="161" t="e">
        <f>"P2(barA) = "&amp;TEXT((Conv("P",1,$D$43,$D$170)-Conv("P",0,$D$43,$D$170))/1,"General")&amp;"*P2("&amp;$D$43&amp;") + "&amp;TEXT(Conv("P",0,$D$43,$D$170),"General")</f>
        <v>#VALUE!</v>
      </c>
      <c r="Q170" s="126"/>
      <c r="R170" s="126"/>
    </row>
    <row r="171" spans="1:18" s="152" customFormat="1" outlineLevel="1" x14ac:dyDescent="0.25">
      <c r="A171" s="21" t="s">
        <v>698</v>
      </c>
      <c r="B171" s="21"/>
      <c r="C171" s="21" t="s">
        <v>699</v>
      </c>
      <c r="D171" s="17" t="s">
        <v>312</v>
      </c>
      <c r="E171" s="17">
        <f>IF(TypeOfGas="Water/Steam",wtrPHT(E170,wtrPTH(E101,E102,1),1),E102)</f>
        <v>563.33333333333337</v>
      </c>
      <c r="F171" s="17">
        <f>IF(TypeOfGas="Water/Steam",wtrPHT(F170,wtrPTH(F101,F102,1),1),F102)</f>
        <v>-17.777777777777771</v>
      </c>
      <c r="G171" s="17">
        <f>IF(TypeOfGas="Water/Steam",wtrPHT(G170,wtrPTH(G101,G102,1),1),G102)</f>
        <v>-17.777777777777771</v>
      </c>
      <c r="H171" s="17">
        <f>IF(TypeOfGas="Water/Steam",wtrPHT(H170,wtrPTH(H101,H102,1),1),H102)</f>
        <v>-17.777777777777771</v>
      </c>
      <c r="I171" s="17">
        <f>IF(TypeOfGas="Water/Steam",wtrPHT(I170,wtrPTH(I101,I102,1),1),I102)</f>
        <v>-17.777777777777771</v>
      </c>
      <c r="J171" s="21"/>
      <c r="L171" s="117"/>
      <c r="M171" s="117"/>
      <c r="N171" s="120"/>
      <c r="O171" s="119"/>
      <c r="Q171" s="22"/>
      <c r="R171" s="22"/>
    </row>
    <row r="172" spans="1:18" s="152" customFormat="1" outlineLevel="1" x14ac:dyDescent="0.25">
      <c r="A172" s="16" t="s">
        <v>700</v>
      </c>
      <c r="C172" s="152" t="s">
        <v>701</v>
      </c>
      <c r="D172" s="17" t="s">
        <v>515</v>
      </c>
      <c r="E172" s="22" t="e">
        <f>IF(TypeOfGas="Water/Steam",wtrPTD(E170,E171,1),E107*E170/E101)</f>
        <v>#DIV/0!</v>
      </c>
      <c r="F172" s="22" t="e">
        <f>IF(TypeOfGas="Water/Steam",wtrPTD(F170,(F171-273.15),1),F107*F170/F101)</f>
        <v>#DIV/0!</v>
      </c>
      <c r="G172" s="22" t="e">
        <f>IF(TypeOfGas="Water/Steam",wtrPTD(G170,(G171-273.15),1),G107*G170/G101)</f>
        <v>#DIV/0!</v>
      </c>
      <c r="H172" s="22" t="e">
        <f>IF(TypeOfGas="Water/Steam",wtrPTD(H170,(H171-273.15),1),H107*H170/H101)</f>
        <v>#DIV/0!</v>
      </c>
      <c r="I172" s="22" t="e">
        <f>IF(TypeOfGas="Water/Steam",wtrPTD(I170,(I171-273.15),1),I107*I170/I101)</f>
        <v>#DIV/0!</v>
      </c>
      <c r="L172" s="117"/>
      <c r="M172" s="117"/>
      <c r="N172" s="119"/>
      <c r="O172" s="119" t="s">
        <v>702</v>
      </c>
      <c r="Q172" s="22"/>
      <c r="R172" s="22"/>
    </row>
    <row r="173" spans="1:18" s="152" customFormat="1" outlineLevel="1" x14ac:dyDescent="0.25">
      <c r="A173" s="16" t="s">
        <v>703</v>
      </c>
      <c r="C173" s="152" t="s">
        <v>704</v>
      </c>
      <c r="D173" s="17" t="s">
        <v>585</v>
      </c>
      <c r="E173" s="23" t="e">
        <f>IF(TypeOfGas="Water/Steam",wtrptW(E170,E171,1),
    (10^5*E170*E103/E172)^0.5)</f>
        <v>#DIV/0!</v>
      </c>
      <c r="F173" s="23" t="e">
        <f>IF(TypeOfGas="Water/Steam",wtrptW(F170,(F171-273.15),1),
    (10^5*F170*F103/F172)^0.5)</f>
        <v>#DIV/0!</v>
      </c>
      <c r="G173" s="23" t="e">
        <f>IF(TypeOfGas="Water/Steam",wtrptW(G170,(G171-273.15),1),
    (10^5*G170*G103/G172)^0.5)</f>
        <v>#DIV/0!</v>
      </c>
      <c r="H173" s="23" t="e">
        <f>IF(TypeOfGas="Water/Steam",wtrptW(H170,(H171-273.15),1),
    (10^5*H170*H103/H172)^0.5)</f>
        <v>#DIV/0!</v>
      </c>
      <c r="I173" s="23" t="e">
        <f>IF(TypeOfGas="Water/Steam",wtrptW(I170,(I171-273.15),1),
    (10^5*I170*I103/I172)^0.5)</f>
        <v>#DIV/0!</v>
      </c>
      <c r="L173" s="117"/>
      <c r="M173" s="117"/>
      <c r="N173" s="119"/>
      <c r="O173" s="119"/>
      <c r="Q173" s="22"/>
      <c r="R173" s="22"/>
    </row>
    <row r="174" spans="1:18" s="152" customFormat="1" outlineLevel="1" x14ac:dyDescent="0.25">
      <c r="A174" s="16" t="s">
        <v>705</v>
      </c>
      <c r="C174" s="152" t="s">
        <v>706</v>
      </c>
      <c r="D174" s="17" t="s">
        <v>585</v>
      </c>
      <c r="E174" s="22" t="e">
        <f>4*(E111/3600)/(PI()*($F$90/1000)^2*E172)</f>
        <v>#DIV/0!</v>
      </c>
      <c r="F174" s="22" t="e">
        <f>4*(F111/3600)/(PI()*($F$90/1000)^2*F172)</f>
        <v>#DIV/0!</v>
      </c>
      <c r="G174" s="22" t="e">
        <f>4*(G111/3600)/(PI()*($F$90/1000)^2*G172)</f>
        <v>#DIV/0!</v>
      </c>
      <c r="H174" s="22" t="e">
        <f>4*(H111/3600)/(PI()*($F$90/1000)^2*H172)</f>
        <v>#DIV/0!</v>
      </c>
      <c r="I174" s="22" t="e">
        <f>4*(I111/3600)/(PI()*($F$90/1000)^2*I172)</f>
        <v>#DIV/0!</v>
      </c>
      <c r="L174" s="117"/>
      <c r="M174" s="117"/>
      <c r="N174" s="119"/>
      <c r="O174" s="119"/>
      <c r="Q174" s="22"/>
      <c r="R174" s="22"/>
    </row>
    <row r="175" spans="1:18" s="152" customFormat="1" outlineLevel="1" x14ac:dyDescent="0.25">
      <c r="A175" s="16" t="s">
        <v>707</v>
      </c>
      <c r="C175" s="152" t="s">
        <v>708</v>
      </c>
      <c r="D175" s="22"/>
      <c r="E175" s="22" t="e">
        <f>E174/E173</f>
        <v>#DIV/0!</v>
      </c>
      <c r="F175" s="22" t="e">
        <f>F174/F173</f>
        <v>#DIV/0!</v>
      </c>
      <c r="G175" s="22" t="e">
        <f>G174/G173</f>
        <v>#DIV/0!</v>
      </c>
      <c r="H175" s="22" t="e">
        <f>H174/H173</f>
        <v>#DIV/0!</v>
      </c>
      <c r="I175" s="22" t="e">
        <f>I174/I173</f>
        <v>#DIV/0!</v>
      </c>
      <c r="L175" s="117"/>
      <c r="M175" s="117"/>
      <c r="N175" s="119"/>
      <c r="O175" s="119"/>
      <c r="Q175" s="22"/>
      <c r="R175" s="22"/>
    </row>
    <row r="176" spans="1:18" s="152" customFormat="1" outlineLevel="1" x14ac:dyDescent="0.25">
      <c r="A176" s="16" t="s">
        <v>709</v>
      </c>
      <c r="C176" s="152" t="s">
        <v>710</v>
      </c>
      <c r="D176" s="22" t="s">
        <v>711</v>
      </c>
      <c r="E176" s="22" t="e">
        <f>16*LOG(1/(1-MIN(0.3,E175)))</f>
        <v>#DIV/0!</v>
      </c>
      <c r="F176" s="22" t="e">
        <f>16*LOG(1/(1-MIN(0.3,F175)))</f>
        <v>#DIV/0!</v>
      </c>
      <c r="G176" s="22" t="e">
        <f>16*LOG(1/(1-MIN(0.3,G175)))</f>
        <v>#DIV/0!</v>
      </c>
      <c r="H176" s="22" t="e">
        <f>16*LOG(1/(1-MIN(0.3,H175)))</f>
        <v>#DIV/0!</v>
      </c>
      <c r="I176" s="22" t="e">
        <f>16*LOG(1/(1-MIN(0.3,I175)))</f>
        <v>#DIV/0!</v>
      </c>
      <c r="L176" s="117"/>
      <c r="M176" s="117"/>
      <c r="N176" s="119"/>
      <c r="O176" s="119"/>
      <c r="Q176" s="22"/>
      <c r="R176" s="22"/>
    </row>
    <row r="177" spans="1:18" s="152" customFormat="1" outlineLevel="1" x14ac:dyDescent="0.25">
      <c r="A177" s="16" t="s">
        <v>843</v>
      </c>
      <c r="C177" s="152" t="s">
        <v>688</v>
      </c>
      <c r="D177" s="22" t="s">
        <v>587</v>
      </c>
      <c r="E177" s="22" t="e">
        <f>IF(E158=1,E160,E168)*
    CHOOSE(E158,
      10^$E$164*$E$97^2*E163^3.6,
      10^$E$164*(E143-E128)/(E143-E153)*E169^(6.6*$E$97^2),
      10^$E$164*E169^(6.6*$E$97^2),
      10^$E$164*E169^2/2*SQRT(2)^(6.6*$E$97^2),
      10^$E$164*E169^2/2*SQRT(2)^(6.6*$E$97^2))</f>
        <v>#VALUE!</v>
      </c>
      <c r="F177" s="22" t="e">
        <f>IF(F158=1,F160,F168)*
    CHOOSE(F158,
      10^$E$164*$E$97^2*F163^3.6,
      10^$E$164*(F143-F128)/(F143-F153)*F169^(6.6*$E$97^2),
      10^$E$164*F169^(6.6*$E$97^2),
      10^$E$164*F169^2/2*SQRT(2)^(6.6*$E$97^2),
      10^$E$164*F169^2/2*SQRT(2)^(6.6*$E$97^2))</f>
        <v>#DIV/0!</v>
      </c>
      <c r="G177" s="22" t="e">
        <f>IF(G158=1,G160,G168)*
    CHOOSE(G158,
      10^$E$164*$E$97^2*G163^3.6,
      10^$E$164*(G143-G128)/(G143-G153)*G169^(6.6*$E$97^2),
      10^$E$164*G169^(6.6*$E$97^2),
      10^$E$164*G169^2/2*SQRT(2)^(6.6*$E$97^2),
      10^$E$164*G169^2/2*SQRT(2)^(6.6*$E$97^2))</f>
        <v>#DIV/0!</v>
      </c>
      <c r="H177" s="22" t="e">
        <f>IF(H158=1,H160,H168)*
    CHOOSE(H158,
      10^$E$164*$E$97^2*H163^3.6,
      10^$E$164*(H143-H128)/(H143-H153)*H169^(6.6*$E$97^2),
      10^$E$164*H169^(6.6*$E$97^2),
      10^$E$164*H169^2/2*SQRT(2)^(6.6*$E$97^2),
      10^$E$164*H169^2/2*SQRT(2)^(6.6*$E$97^2))</f>
        <v>#DIV/0!</v>
      </c>
      <c r="I177" s="22" t="e">
        <f>IF(I158=1,I160,I168)*
    CHOOSE(I158,
      10^$E$164*$E$97^2*I163^3.6,
      10^$E$164*(I143-I128)/(I143-I153)*I169^(6.6*$E$97^2),
      10^$E$164*I169^(6.6*$E$97^2),
      10^$E$164*I169^2/2*SQRT(2)^(6.6*$E$97^2),
      10^$E$164*I169^2/2*SQRT(2)^(6.6*$E$97^2))</f>
        <v>#DIV/0!</v>
      </c>
      <c r="L177" s="117"/>
      <c r="M177" s="117"/>
      <c r="N177" s="119"/>
      <c r="O177" s="119"/>
      <c r="Q177" s="22"/>
      <c r="R177" s="22"/>
    </row>
    <row r="178" spans="1:18" s="152" customFormat="1" outlineLevel="1" x14ac:dyDescent="0.25">
      <c r="A178" s="16" t="s">
        <v>842</v>
      </c>
      <c r="C178" s="152" t="s">
        <v>712</v>
      </c>
      <c r="D178" s="22" t="s">
        <v>689</v>
      </c>
      <c r="E178" s="22" t="e">
        <f>CHOOSE(E158,
    E163*E162,
    E169*E167,
    E169*E167,
    1.4*E167/((E169^2-1)^0.5),
    1.4*E167/((E169^2-1)^0.5))*$E$165/E151</f>
        <v>#VALUE!</v>
      </c>
      <c r="F178" s="22" t="e">
        <f>CHOOSE(F158,
    F163*F162,
    F169*F167,
    F169*F167,
    1.4*F167/((F169^2-1)^0.5),
    1.4*F167/((F169^2-1)^0.5))*$E$165/F151</f>
        <v>#DIV/0!</v>
      </c>
      <c r="G178" s="22" t="e">
        <f>CHOOSE(G158,
    G163*G162,
    G169*G167,
    G169*G167,
    1.4*G167/((G169^2-1)^0.5),
    1.4*G167/((G169^2-1)^0.5))*$E$165/G151</f>
        <v>#DIV/0!</v>
      </c>
      <c r="H178" s="22" t="e">
        <f>CHOOSE(H158,
    H163*H162,
    H169*H167,
    H169*H167,
    1.4*H167/((H169^2-1)^0.5),
    1.4*H167/((H169^2-1)^0.5))*$E$165/H151</f>
        <v>#DIV/0!</v>
      </c>
      <c r="I178" s="22" t="e">
        <f>CHOOSE(I158,
    I163*I162,
    I169*I167,
    I169*I167,
    1.4*I167/((I169^2-1)^0.5),
    1.4*I167/((I169^2-1)^0.5))*$E$165/I151</f>
        <v>#DIV/0!</v>
      </c>
      <c r="L178" s="117"/>
      <c r="M178" s="117"/>
      <c r="N178" s="119"/>
      <c r="O178" s="119"/>
      <c r="Q178" s="22"/>
      <c r="R178" s="22"/>
    </row>
    <row r="179" spans="1:18" s="181" customFormat="1" outlineLevel="1" x14ac:dyDescent="0.25">
      <c r="A179" s="180" t="s">
        <v>713</v>
      </c>
      <c r="D179" s="182" t="s">
        <v>711</v>
      </c>
      <c r="E179" s="182">
        <v>0</v>
      </c>
      <c r="F179" s="182">
        <v>0</v>
      </c>
      <c r="G179" s="182">
        <v>0</v>
      </c>
      <c r="H179" s="182">
        <v>0</v>
      </c>
      <c r="I179" s="182">
        <v>0</v>
      </c>
      <c r="J179" s="182" t="e">
        <f>CHOOSE(VLOOKUP($D$15,ValveData!$A$4:$L$23,7),
    0,
    IF(J53&lt;2,0,
      1/(J53-1)^0.125*10*LOG(J101/J143)))</f>
        <v>#VALUE!</v>
      </c>
      <c r="L179" s="182"/>
      <c r="M179" s="182"/>
      <c r="Q179" s="182"/>
      <c r="R179" s="182"/>
    </row>
    <row r="180" spans="1:18" s="152" customFormat="1" outlineLevel="1" x14ac:dyDescent="0.25">
      <c r="A180" s="16" t="s">
        <v>841</v>
      </c>
      <c r="C180" s="152" t="s">
        <v>714</v>
      </c>
      <c r="D180" s="22" t="s">
        <v>711</v>
      </c>
      <c r="E180" s="22" t="e">
        <f>10*LOG(3.2*10^9*E177*E172*E173/($F$90/1000)^2)+E176+E179</f>
        <v>#VALUE!</v>
      </c>
      <c r="F180" s="22" t="e">
        <f t="shared" ref="F180:I180" si="8">10*LOG(3.2*10^9*F177*F172*F173/($F$90/1000)^2)+F176+F179</f>
        <v>#DIV/0!</v>
      </c>
      <c r="G180" s="22" t="e">
        <f t="shared" si="8"/>
        <v>#DIV/0!</v>
      </c>
      <c r="H180" s="22" t="e">
        <f t="shared" si="8"/>
        <v>#DIV/0!</v>
      </c>
      <c r="I180" s="22" t="e">
        <f t="shared" si="8"/>
        <v>#DIV/0!</v>
      </c>
      <c r="L180" s="117"/>
      <c r="M180" s="117"/>
      <c r="N180" s="119"/>
      <c r="O180" s="119"/>
      <c r="Q180" s="22"/>
      <c r="R180" s="22"/>
    </row>
    <row r="181" spans="1:18" s="152" customFormat="1" outlineLevel="1" x14ac:dyDescent="0.25">
      <c r="A181" s="16" t="s">
        <v>840</v>
      </c>
      <c r="C181" s="152" t="s">
        <v>715</v>
      </c>
      <c r="D181" s="22" t="s">
        <v>711</v>
      </c>
      <c r="E181" s="22">
        <f>IF(($F$90/1000)&gt;0.15,0,
    IF(($F$90/1000)&lt;0.05,9,
      -16660*($F$90/1000)^3+6370*($F$90/1000)^2-813*($F$90/1000)+35.8))</f>
        <v>0</v>
      </c>
      <c r="F181" s="23"/>
      <c r="G181" s="23"/>
      <c r="H181" s="23"/>
      <c r="I181" s="23"/>
      <c r="L181" s="117"/>
      <c r="M181" s="117"/>
      <c r="N181" s="119"/>
      <c r="O181" s="119"/>
      <c r="Q181" s="22"/>
      <c r="R181" s="22"/>
    </row>
    <row r="182" spans="1:18" s="152" customFormat="1" outlineLevel="1" x14ac:dyDescent="0.25">
      <c r="A182" s="16" t="s">
        <v>837</v>
      </c>
      <c r="C182" s="152" t="s">
        <v>716</v>
      </c>
      <c r="D182" s="22" t="s">
        <v>689</v>
      </c>
      <c r="E182" s="22">
        <f>5000/(PI()*($F$90/1000))</f>
        <v>255.75276087400826</v>
      </c>
      <c r="F182" s="23"/>
      <c r="G182" s="23"/>
      <c r="H182" s="23"/>
      <c r="I182" s="23"/>
      <c r="L182" s="117"/>
      <c r="M182" s="117"/>
      <c r="N182" s="119"/>
      <c r="O182" s="119"/>
      <c r="Q182" s="22"/>
      <c r="R182" s="22"/>
    </row>
    <row r="183" spans="1:18" s="152" customFormat="1" outlineLevel="1" x14ac:dyDescent="0.25">
      <c r="A183" s="16" t="s">
        <v>838</v>
      </c>
      <c r="C183" s="152" t="s">
        <v>717</v>
      </c>
      <c r="D183" s="22" t="s">
        <v>689</v>
      </c>
      <c r="E183" s="22" t="e">
        <f>$E$182*E131/(4*343)</f>
        <v>#DIV/0!</v>
      </c>
      <c r="F183" s="22" t="e">
        <f>$E$182*F131/(4*343)</f>
        <v>#DIV/0!</v>
      </c>
      <c r="G183" s="22" t="e">
        <f>$E$182*G131/(4*343)</f>
        <v>#DIV/0!</v>
      </c>
      <c r="H183" s="22" t="e">
        <f>$E$182*H131/(4*343)</f>
        <v>#DIV/0!</v>
      </c>
      <c r="I183" s="22" t="e">
        <f>$E$182*I131/(4*343)</f>
        <v>#DIV/0!</v>
      </c>
      <c r="L183" s="117"/>
      <c r="M183" s="117"/>
      <c r="N183" s="119"/>
      <c r="O183" s="119"/>
      <c r="Q183" s="22"/>
      <c r="R183" s="22"/>
    </row>
    <row r="184" spans="1:18" s="152" customFormat="1" outlineLevel="1" x14ac:dyDescent="0.25">
      <c r="A184" s="16" t="s">
        <v>839</v>
      </c>
      <c r="C184" s="152" t="s">
        <v>718</v>
      </c>
      <c r="D184" s="22" t="s">
        <v>689</v>
      </c>
      <c r="E184" s="22">
        <f>3^0.5*343^2/(PI()*($F$89/1000)*5000)</f>
        <v>1021.469184527219</v>
      </c>
      <c r="F184" s="23"/>
      <c r="G184" s="23"/>
      <c r="H184" s="23"/>
      <c r="I184" s="23"/>
      <c r="L184" s="117"/>
      <c r="M184" s="117"/>
      <c r="N184" s="119"/>
      <c r="O184" s="119"/>
      <c r="Q184" s="22"/>
      <c r="R184" s="22"/>
    </row>
    <row r="185" spans="1:18" s="152" customFormat="1" outlineLevel="1" x14ac:dyDescent="0.25">
      <c r="A185" s="16" t="s">
        <v>858</v>
      </c>
      <c r="C185" s="152" t="s">
        <v>857</v>
      </c>
      <c r="D185" s="22" t="s">
        <v>531</v>
      </c>
      <c r="E185" s="22">
        <f>IF(AND(E164=-4.8,F92&lt;178),0.08*(F92-200),0)</f>
        <v>0</v>
      </c>
      <c r="F185" s="23"/>
      <c r="G185" s="23"/>
      <c r="H185" s="23"/>
      <c r="I185" s="23"/>
      <c r="L185" s="117"/>
      <c r="M185" s="117"/>
      <c r="N185" s="119"/>
      <c r="O185" s="119"/>
      <c r="Q185" s="22"/>
      <c r="R185" s="22"/>
    </row>
    <row r="186" spans="1:18" s="152" customFormat="1" outlineLevel="1" x14ac:dyDescent="0.25">
      <c r="A186" s="16" t="s">
        <v>844</v>
      </c>
      <c r="C186" s="152" t="s">
        <v>719</v>
      </c>
      <c r="D186" s="22" t="s">
        <v>531</v>
      </c>
      <c r="E186" s="22" t="e">
        <f>NoiseLpe1m($F$90/1000,$F$89/1000,E172,E173,E178,E180,$E$181,$E$182,E183,$E$184)+$E$185</f>
        <v>#VALUE!</v>
      </c>
      <c r="F186" s="22" t="e">
        <f t="shared" ref="F186:I186" si="9">NoiseLpe1m($F$90/1000,$F$89/1000,F130,F131,F178,F180,$E$181,$E$182,F183,$E$184)+$E$185</f>
        <v>#VALUE!</v>
      </c>
      <c r="G186" s="22" t="e">
        <f t="shared" si="9"/>
        <v>#VALUE!</v>
      </c>
      <c r="H186" s="22" t="e">
        <f t="shared" si="9"/>
        <v>#VALUE!</v>
      </c>
      <c r="I186" s="22" t="e">
        <f t="shared" si="9"/>
        <v>#VALUE!</v>
      </c>
      <c r="L186" s="117"/>
      <c r="M186" s="117"/>
      <c r="N186" s="119"/>
      <c r="O186" s="119"/>
      <c r="Q186" s="22"/>
      <c r="R186" s="22"/>
    </row>
    <row r="187" spans="1:18" s="152" customFormat="1" ht="13" outlineLevel="1" x14ac:dyDescent="0.3">
      <c r="A187" s="25" t="str">
        <f>IF($D$18="None","OUTLET EXPANDER NOISE","FLOW DISTRIBUTOR NOISE")</f>
        <v>OUTLET EXPANDER NOISE</v>
      </c>
      <c r="D187" s="22"/>
      <c r="E187" s="22"/>
      <c r="F187" s="22"/>
      <c r="G187" s="22"/>
      <c r="H187" s="22"/>
      <c r="I187" s="22"/>
      <c r="L187" s="117"/>
      <c r="M187" s="117"/>
      <c r="N187" s="119"/>
      <c r="O187" s="119"/>
      <c r="Q187" s="22"/>
      <c r="R187" s="22"/>
    </row>
    <row r="188" spans="1:18" s="152" customFormat="1" outlineLevel="1" x14ac:dyDescent="0.25">
      <c r="A188" s="16" t="s">
        <v>852</v>
      </c>
      <c r="C188" s="152" t="s">
        <v>824</v>
      </c>
      <c r="D188" s="17" t="s">
        <v>585</v>
      </c>
      <c r="E188" s="23" t="e">
        <f>IF(E111=0,"",GasWRhoAcV(E111/3600,E172,$E$124/10^6,E173,1))</f>
        <v>#VALUE!</v>
      </c>
      <c r="F188" s="23" t="str">
        <f>IF(F111=0,"",GasWRhoAcV(F111/3600,F172,$E$124/10^6,F173,1))</f>
        <v/>
      </c>
      <c r="G188" s="23" t="str">
        <f>IF(G111=0,"",GasWRhoAcV(G111/3600,G172,$E$124/10^6,G173,1))</f>
        <v/>
      </c>
      <c r="H188" s="23" t="str">
        <f>IF(H111=0,"",GasWRhoAcV(H111/3600,H172,$E$124/10^6,H173,1))</f>
        <v/>
      </c>
      <c r="I188" s="23" t="str">
        <f>IF(I111=0,"",GasWRhoAcV(I111/3600,I172,$E$124/10^6,I173,1))</f>
        <v/>
      </c>
      <c r="L188" s="117"/>
      <c r="M188" s="117"/>
      <c r="N188" s="119"/>
      <c r="O188" s="119"/>
      <c r="Q188" s="22"/>
      <c r="R188" s="22"/>
    </row>
    <row r="189" spans="1:18" s="152" customFormat="1" outlineLevel="1" x14ac:dyDescent="0.25">
      <c r="A189" s="16" t="s">
        <v>853</v>
      </c>
      <c r="C189" s="152" t="s">
        <v>720</v>
      </c>
      <c r="D189" s="22" t="s">
        <v>603</v>
      </c>
      <c r="E189" s="23" t="e">
        <f>IF(E111=0,"",GasWRhoAcKE(E111/3600,E172,$E$124/10^6,E173,1))</f>
        <v>#VALUE!</v>
      </c>
      <c r="F189" s="23" t="str">
        <f>IF(F111=0,"",GasWRhoAcKE(F111/3600,F172,$E$124/10^6,F173,1))</f>
        <v/>
      </c>
      <c r="G189" s="23" t="str">
        <f>IF(G111=0,"",GasWRhoAcKE(G111/3600,G172,$E$124/10^6,G173,1))</f>
        <v/>
      </c>
      <c r="H189" s="23" t="str">
        <f>IF(H111=0,"",GasWRhoAcKE(H111/3600,H172,$E$124/10^6,H173,1))</f>
        <v/>
      </c>
      <c r="I189" s="23" t="str">
        <f>IF(I111=0,"",GasWRhoAcKE(I111/3600,I172,$E$124/10^6,I173,1))</f>
        <v/>
      </c>
      <c r="L189" s="117"/>
      <c r="M189" s="117"/>
      <c r="N189" s="119"/>
      <c r="O189" s="119" t="s">
        <v>721</v>
      </c>
      <c r="Q189" s="22"/>
      <c r="R189" s="22"/>
    </row>
    <row r="190" spans="1:18" s="152" customFormat="1" outlineLevel="1" x14ac:dyDescent="0.25">
      <c r="A190" s="16" t="s">
        <v>854</v>
      </c>
      <c r="C190" s="152" t="s">
        <v>817</v>
      </c>
      <c r="D190" s="22" t="s">
        <v>549</v>
      </c>
      <c r="E190" s="23" t="e">
        <f>IF(FlowDistributorDesign="None",NA(),
    GasCvP1(E111/3600,E170,E172,E103,0.75,$E$127,1))</f>
        <v>#N/A</v>
      </c>
      <c r="F190" s="23" t="e">
        <f>IF(FlowDistributorDesign="None",NA(),
    GasCvP1(F111/3600,F170,F172,F103,0.75,$E$127,1))</f>
        <v>#N/A</v>
      </c>
      <c r="G190" s="23" t="e">
        <f>IF(FlowDistributorDesign="None",NA(),
    GasCvP1(G111/3600,G170,G172,G103,0.75,$E$127,1))</f>
        <v>#N/A</v>
      </c>
      <c r="H190" s="23" t="e">
        <f>IF(FlowDistributorDesign="None",NA(),
    GasCvP1(H111/3600,H170,H172,H103,0.75,$E$127,1))</f>
        <v>#N/A</v>
      </c>
      <c r="I190" s="23" t="e">
        <f>IF(FlowDistributorDesign="None",NA(),
    GasCvP1(I111/3600,I170,I172,I103,0.75,$E$127,1))</f>
        <v>#N/A</v>
      </c>
      <c r="L190" s="117"/>
      <c r="M190" s="117"/>
      <c r="N190" s="119"/>
      <c r="O190" s="119"/>
      <c r="Q190" s="22"/>
      <c r="R190" s="22"/>
    </row>
    <row r="191" spans="1:18" s="152" customFormat="1" outlineLevel="1" x14ac:dyDescent="0.25">
      <c r="A191" s="16" t="s">
        <v>855</v>
      </c>
      <c r="C191" s="152" t="s">
        <v>822</v>
      </c>
      <c r="D191" s="22" t="s">
        <v>515</v>
      </c>
      <c r="E191" s="22" t="e">
        <f>E107*E190/E101</f>
        <v>#DIV/0!</v>
      </c>
      <c r="F191" s="22" t="e">
        <f>F107*F190/F101</f>
        <v>#DIV/0!</v>
      </c>
      <c r="G191" s="22" t="e">
        <f>G107*G190/G101</f>
        <v>#DIV/0!</v>
      </c>
      <c r="H191" s="22" t="e">
        <f>H107*H190/H101</f>
        <v>#DIV/0!</v>
      </c>
      <c r="I191" s="22" t="e">
        <f>I107*I190/I101</f>
        <v>#DIV/0!</v>
      </c>
      <c r="L191" s="117"/>
      <c r="M191" s="117"/>
      <c r="N191" s="119"/>
      <c r="O191" s="119"/>
      <c r="Q191" s="22"/>
      <c r="R191" s="22"/>
    </row>
    <row r="192" spans="1:18" s="152" customFormat="1" outlineLevel="1" x14ac:dyDescent="0.25">
      <c r="A192" s="16" t="s">
        <v>655</v>
      </c>
      <c r="C192" s="152" t="s">
        <v>815</v>
      </c>
      <c r="D192" s="22" t="s">
        <v>549</v>
      </c>
      <c r="E192" s="22" t="e">
        <f>E190-(E190-E170)/0.95^2</f>
        <v>#N/A</v>
      </c>
      <c r="F192" s="22" t="e">
        <f>F190-(F190-F170)/0.95^2</f>
        <v>#N/A</v>
      </c>
      <c r="G192" s="22" t="e">
        <f>G190-(G190-G170)/0.95^2</f>
        <v>#N/A</v>
      </c>
      <c r="H192" s="22" t="e">
        <f>H190-(H190-H170)/0.95^2</f>
        <v>#N/A</v>
      </c>
      <c r="I192" s="22" t="e">
        <f>I190-(I190-I170)/0.95^2</f>
        <v>#N/A</v>
      </c>
      <c r="L192" s="117"/>
      <c r="M192" s="117"/>
      <c r="N192" s="119"/>
      <c r="O192" s="119"/>
      <c r="Q192" s="22"/>
      <c r="R192" s="22"/>
    </row>
    <row r="193" spans="1:18" s="152" customFormat="1" outlineLevel="1" x14ac:dyDescent="0.25">
      <c r="A193" s="16" t="s">
        <v>657</v>
      </c>
      <c r="C193" s="152" t="s">
        <v>816</v>
      </c>
      <c r="D193" s="22" t="s">
        <v>549</v>
      </c>
      <c r="E193" s="23" t="e">
        <f>E190*(2/(E103+1))^(E103/(E103-1))</f>
        <v>#N/A</v>
      </c>
      <c r="F193" s="23" t="e">
        <f>F190*(2/(F103+1))^(F103/(F103-1))</f>
        <v>#N/A</v>
      </c>
      <c r="G193" s="23" t="e">
        <f>G190*(2/(G103+1))^(G103/(G103-1))</f>
        <v>#N/A</v>
      </c>
      <c r="H193" s="23" t="e">
        <f>H190*(2/(H103+1))^(H103/(H103-1))</f>
        <v>#N/A</v>
      </c>
      <c r="I193" s="23" t="e">
        <f>I190*(2/(I103+1))^(I103/(I103-1))</f>
        <v>#N/A</v>
      </c>
      <c r="L193" s="117"/>
      <c r="M193" s="117"/>
      <c r="N193" s="119"/>
      <c r="O193" s="119"/>
      <c r="Q193" s="22"/>
      <c r="R193" s="22"/>
    </row>
    <row r="194" spans="1:18" s="152" customFormat="1" outlineLevel="1" x14ac:dyDescent="0.25">
      <c r="A194" s="16" t="s">
        <v>659</v>
      </c>
      <c r="C194" s="152" t="s">
        <v>818</v>
      </c>
      <c r="D194" s="22" t="s">
        <v>549</v>
      </c>
      <c r="E194" s="23" t="e">
        <f>E190-0.95^2*(E190-E193)</f>
        <v>#N/A</v>
      </c>
      <c r="F194" s="23" t="e">
        <f t="shared" ref="F194:I194" si="10">F190-0.95^2*(F190-F193)</f>
        <v>#N/A</v>
      </c>
      <c r="G194" s="23" t="e">
        <f t="shared" si="10"/>
        <v>#N/A</v>
      </c>
      <c r="H194" s="23" t="e">
        <f t="shared" si="10"/>
        <v>#N/A</v>
      </c>
      <c r="I194" s="23" t="e">
        <f t="shared" si="10"/>
        <v>#N/A</v>
      </c>
      <c r="L194" s="117"/>
      <c r="M194" s="117"/>
      <c r="N194" s="119"/>
      <c r="O194" s="119"/>
      <c r="Q194" s="22"/>
      <c r="R194" s="22"/>
    </row>
    <row r="195" spans="1:18" s="152" customFormat="1" outlineLevel="1" x14ac:dyDescent="0.25">
      <c r="A195" s="16" t="s">
        <v>661</v>
      </c>
      <c r="C195" s="152" t="s">
        <v>819</v>
      </c>
      <c r="D195" s="22"/>
      <c r="E195" s="22" t="e">
        <f>E193/E194</f>
        <v>#N/A</v>
      </c>
      <c r="F195" s="22" t="e">
        <f t="shared" ref="F195:I195" si="11">F193/F194</f>
        <v>#N/A</v>
      </c>
      <c r="G195" s="22" t="e">
        <f t="shared" si="11"/>
        <v>#N/A</v>
      </c>
      <c r="H195" s="22" t="e">
        <f t="shared" si="11"/>
        <v>#N/A</v>
      </c>
      <c r="I195" s="22" t="e">
        <f t="shared" si="11"/>
        <v>#N/A</v>
      </c>
      <c r="L195" s="117"/>
      <c r="M195" s="117"/>
      <c r="N195" s="119"/>
      <c r="O195" s="119"/>
      <c r="Q195" s="22"/>
      <c r="R195" s="22"/>
    </row>
    <row r="196" spans="1:18" s="152" customFormat="1" outlineLevel="1" x14ac:dyDescent="0.25">
      <c r="A196" s="16" t="s">
        <v>848</v>
      </c>
      <c r="C196" s="152" t="s">
        <v>820</v>
      </c>
      <c r="D196" s="22" t="s">
        <v>549</v>
      </c>
      <c r="E196" s="23" t="e">
        <f>E190/E195*(1/E103)^(E103/(E103-1))</f>
        <v>#N/A</v>
      </c>
      <c r="F196" s="23" t="e">
        <f>F190/F195*(1/F103)^(F103/(F103-1))</f>
        <v>#N/A</v>
      </c>
      <c r="G196" s="23" t="e">
        <f>G190/G195*(1/G103)^(G103/(G103-1))</f>
        <v>#N/A</v>
      </c>
      <c r="H196" s="23" t="e">
        <f>H190/H195*(1/H103)^(H103/(H103-1))</f>
        <v>#N/A</v>
      </c>
      <c r="I196" s="23" t="e">
        <f>I190/I195*(1/I103)^(I103/(I103-1))</f>
        <v>#N/A</v>
      </c>
      <c r="L196" s="117"/>
      <c r="M196" s="117"/>
      <c r="N196" s="119"/>
      <c r="O196" s="119"/>
      <c r="Q196" s="22"/>
      <c r="R196" s="22"/>
    </row>
    <row r="197" spans="1:18" s="152" customFormat="1" outlineLevel="1" x14ac:dyDescent="0.25">
      <c r="A197" s="16" t="s">
        <v>664</v>
      </c>
      <c r="C197" s="152" t="s">
        <v>821</v>
      </c>
      <c r="D197" s="22" t="s">
        <v>549</v>
      </c>
      <c r="E197" s="22" t="e">
        <f>E190/(22*E195)</f>
        <v>#N/A</v>
      </c>
      <c r="F197" s="22" t="e">
        <f t="shared" ref="F197:I197" si="12">F190/(22*F195)</f>
        <v>#N/A</v>
      </c>
      <c r="G197" s="22" t="e">
        <f t="shared" si="12"/>
        <v>#N/A</v>
      </c>
      <c r="H197" s="22" t="e">
        <f t="shared" si="12"/>
        <v>#N/A</v>
      </c>
      <c r="I197" s="22" t="e">
        <f t="shared" si="12"/>
        <v>#N/A</v>
      </c>
      <c r="L197" s="117"/>
      <c r="M197" s="117"/>
      <c r="N197" s="119"/>
      <c r="O197" s="119"/>
      <c r="Q197" s="22"/>
      <c r="R197" s="22"/>
    </row>
    <row r="198" spans="1:18" s="152" customFormat="1" outlineLevel="1" x14ac:dyDescent="0.25">
      <c r="A198" s="16" t="s">
        <v>666</v>
      </c>
      <c r="C198" s="152" t="s">
        <v>835</v>
      </c>
      <c r="D198" s="22"/>
      <c r="E198" s="22" t="e">
        <f>IF(E170&gt;E194,1,
    IF(E170&gt;E193,2,
      IF(E170&gt;E196,3,
        IF(E170&gt;E197,4,5))))</f>
        <v>#N/A</v>
      </c>
      <c r="F198" s="22" t="e">
        <f>IF(F170&gt;F194,1,
    IF(F170&gt;F193,2,
      IF(F170&gt;F196,3,
        IF(F170&gt;F197,4,5))))</f>
        <v>#N/A</v>
      </c>
      <c r="G198" s="22" t="e">
        <f>IF(G170&gt;G194,1,
    IF(G170&gt;G193,2,
      IF(G170&gt;G196,3,
        IF(G170&gt;G197,4,5))))</f>
        <v>#N/A</v>
      </c>
      <c r="H198" s="22" t="e">
        <f>IF(H170&gt;H194,1,
    IF(H170&gt;H193,2,
      IF(H170&gt;H196,3,
        IF(H170&gt;H197,4,5))))</f>
        <v>#N/A</v>
      </c>
      <c r="I198" s="22" t="e">
        <f>IF(I170&gt;I194,1,
    IF(I170&gt;I193,2,
      IF(I170&gt;I196,3,
        IF(I170&gt;I197,4,5))))</f>
        <v>#N/A</v>
      </c>
      <c r="L198" s="117"/>
      <c r="M198" s="117"/>
      <c r="N198" s="119"/>
      <c r="O198" s="119"/>
      <c r="Q198" s="22"/>
      <c r="R198" s="22"/>
    </row>
    <row r="199" spans="1:18" s="159" customFormat="1" outlineLevel="1" x14ac:dyDescent="0.25">
      <c r="A199" s="125" t="s">
        <v>678</v>
      </c>
      <c r="C199" s="159" t="s">
        <v>823</v>
      </c>
      <c r="D199" s="126" t="s">
        <v>585</v>
      </c>
      <c r="E199" s="126" t="e">
        <f>IF(FlowDistributorDesign="None",E188,
    (2*(E103/(E103-1))*(1-(E192/E190)^((E103-1)/E103))*E190*10^5/E191)^0.5)</f>
        <v>#VALUE!</v>
      </c>
      <c r="F199" s="126" t="str">
        <f>IF(FlowDistributorDesign="None",F188,
    (2*(F103/(F103-1))*(1-(F192/F190)^((F103-1)/F103))*F190*10^5/F191)^0.5)</f>
        <v/>
      </c>
      <c r="G199" s="126" t="str">
        <f>IF(FlowDistributorDesign="None",G188,
    (2*(G103/(G103-1))*(1-(G192/G190)^((G103-1)/G103))*G190*10^5/G191)^0.5)</f>
        <v/>
      </c>
      <c r="H199" s="126" t="str">
        <f>IF(FlowDistributorDesign="None",H188,
    (2*(H103/(H103-1))*(1-(H192/H190)^((H103-1)/H103))*H190*10^5/H191)^0.5)</f>
        <v/>
      </c>
      <c r="I199" s="126" t="str">
        <f>IF(FlowDistributorDesign="None",I188,
    (2*(I103/(I103-1))*(1-(I192/I190)^((I103-1)/I103))*I190*10^5/I191)^0.5)</f>
        <v/>
      </c>
      <c r="L199" s="160"/>
      <c r="M199" s="160"/>
      <c r="N199" s="161"/>
      <c r="O199" s="161"/>
      <c r="Q199" s="126"/>
      <c r="R199" s="126"/>
    </row>
    <row r="200" spans="1:18" s="152" customFormat="1" outlineLevel="1" x14ac:dyDescent="0.25">
      <c r="A200" s="16" t="s">
        <v>680</v>
      </c>
      <c r="C200" s="152" t="s">
        <v>722</v>
      </c>
      <c r="D200" s="22" t="s">
        <v>587</v>
      </c>
      <c r="E200" s="22" t="e">
        <f>E111/3600*E199^2/2</f>
        <v>#VALUE!</v>
      </c>
      <c r="F200" s="22">
        <f t="shared" ref="F200:I200" si="13">F111/3600*F199^2/2</f>
        <v>0</v>
      </c>
      <c r="G200" s="22">
        <f t="shared" si="13"/>
        <v>0</v>
      </c>
      <c r="H200" s="22">
        <f t="shared" si="13"/>
        <v>0</v>
      </c>
      <c r="I200" s="22">
        <f t="shared" si="13"/>
        <v>0</v>
      </c>
      <c r="L200" s="117"/>
      <c r="M200" s="117"/>
      <c r="N200" s="119"/>
      <c r="O200" s="119"/>
      <c r="Q200" s="22"/>
      <c r="R200" s="22"/>
    </row>
    <row r="201" spans="1:18" s="152" customFormat="1" outlineLevel="1" x14ac:dyDescent="0.25">
      <c r="A201" s="16" t="s">
        <v>847</v>
      </c>
      <c r="C201" s="152" t="s">
        <v>825</v>
      </c>
      <c r="D201" s="22" t="s">
        <v>312</v>
      </c>
      <c r="E201" s="23" t="e">
        <f>(E102+273.15)*(E192/E190)^((E103-1)/E103)-273.15</f>
        <v>#N/A</v>
      </c>
      <c r="F201" s="23" t="e">
        <f>(F102+273.15)*(F192/F190)^((F103-1)/F103)-273.15</f>
        <v>#N/A</v>
      </c>
      <c r="G201" s="23" t="e">
        <f>(G102+273.15)*(G192/G190)^((G103-1)/G103)-273.15</f>
        <v>#N/A</v>
      </c>
      <c r="H201" s="23" t="e">
        <f>(H102+273.15)*(H192/H190)^((H103-1)/H103)-273.15</f>
        <v>#N/A</v>
      </c>
      <c r="I201" s="23" t="e">
        <f>(I102+273.15)*(I192/I190)^((I103-1)/I103)-273.15</f>
        <v>#N/A</v>
      </c>
      <c r="L201" s="117"/>
      <c r="M201" s="117"/>
      <c r="N201" s="119"/>
      <c r="O201" s="119"/>
      <c r="Q201" s="22"/>
      <c r="R201" s="22"/>
    </row>
    <row r="202" spans="1:18" s="152" customFormat="1" outlineLevel="1" x14ac:dyDescent="0.25">
      <c r="A202" s="16" t="s">
        <v>683</v>
      </c>
      <c r="C202" s="152" t="s">
        <v>826</v>
      </c>
      <c r="D202" s="22" t="s">
        <v>585</v>
      </c>
      <c r="E202" s="23" t="e">
        <f>IF(FlowDistributorDesign="None",E173,
    (E103*8314*(E201+273.15)/E105)^0.5)</f>
        <v>#DIV/0!</v>
      </c>
      <c r="F202" s="23" t="e">
        <f>IF(FlowDistributorDesign="None",F173,
    (F103*8314*(F201+273.15)/F105)^0.5)</f>
        <v>#DIV/0!</v>
      </c>
      <c r="G202" s="23" t="e">
        <f>IF(FlowDistributorDesign="None",G173,
    (G103*8314*(G201+273.15)/G105)^0.5)</f>
        <v>#DIV/0!</v>
      </c>
      <c r="H202" s="23" t="e">
        <f>IF(FlowDistributorDesign="None",H173,
    (H103*8314*(H201+273.15)/H105)^0.5)</f>
        <v>#DIV/0!</v>
      </c>
      <c r="I202" s="23" t="e">
        <f>IF(FlowDistributorDesign="None",I173,
    (I103*8314*(I201+273.15)/I105)^0.5)</f>
        <v>#DIV/0!</v>
      </c>
      <c r="L202" s="117"/>
      <c r="M202" s="117"/>
      <c r="N202" s="119"/>
      <c r="O202" s="119"/>
      <c r="Q202" s="22"/>
      <c r="R202" s="22"/>
    </row>
    <row r="203" spans="1:18" s="152" customFormat="1" outlineLevel="1" x14ac:dyDescent="0.25">
      <c r="A203" s="16" t="s">
        <v>846</v>
      </c>
      <c r="C203" s="152" t="s">
        <v>827</v>
      </c>
      <c r="D203" s="22"/>
      <c r="E203" s="22" t="e">
        <f>E199/E202</f>
        <v>#VALUE!</v>
      </c>
      <c r="F203" s="22" t="e">
        <f t="shared" ref="F203:I203" si="14">F199/F202</f>
        <v>#DIV/0!</v>
      </c>
      <c r="G203" s="22" t="e">
        <f t="shared" si="14"/>
        <v>#DIV/0!</v>
      </c>
      <c r="H203" s="22" t="e">
        <f t="shared" si="14"/>
        <v>#DIV/0!</v>
      </c>
      <c r="I203" s="22" t="e">
        <f t="shared" si="14"/>
        <v>#DIV/0!</v>
      </c>
      <c r="L203" s="117"/>
      <c r="M203" s="117"/>
      <c r="N203" s="119"/>
      <c r="O203" s="119"/>
      <c r="Q203" s="22"/>
      <c r="R203" s="22"/>
    </row>
    <row r="204" spans="1:18" s="159" customFormat="1" outlineLevel="1" x14ac:dyDescent="0.25">
      <c r="A204" s="125" t="s">
        <v>690</v>
      </c>
      <c r="C204" s="159" t="s">
        <v>830</v>
      </c>
      <c r="D204" s="126" t="s">
        <v>312</v>
      </c>
      <c r="E204" s="126">
        <f>E166</f>
        <v>1672.9666666666667</v>
      </c>
      <c r="F204" s="126">
        <f t="shared" ref="F204:I204" si="15">F166</f>
        <v>510.74444444444441</v>
      </c>
      <c r="G204" s="126">
        <f t="shared" si="15"/>
        <v>510.74444444444441</v>
      </c>
      <c r="H204" s="126">
        <f t="shared" si="15"/>
        <v>510.74444444444441</v>
      </c>
      <c r="I204" s="126">
        <f t="shared" si="15"/>
        <v>510.74444444444441</v>
      </c>
      <c r="L204" s="160"/>
      <c r="M204" s="160"/>
      <c r="N204" s="161"/>
      <c r="O204" s="161"/>
      <c r="Q204" s="126"/>
      <c r="R204" s="126"/>
    </row>
    <row r="205" spans="1:18" s="152" customFormat="1" outlineLevel="1" x14ac:dyDescent="0.25">
      <c r="A205" s="16" t="s">
        <v>692</v>
      </c>
      <c r="C205" s="152" t="s">
        <v>831</v>
      </c>
      <c r="D205" s="22" t="s">
        <v>585</v>
      </c>
      <c r="E205" s="22" t="e">
        <f>(2*E103/(E103+1)*E190*10^5/E191)^0.5</f>
        <v>#N/A</v>
      </c>
      <c r="F205" s="22" t="e">
        <f>(2*F103/(F103+1)*F190*10^5/F191)^0.5</f>
        <v>#N/A</v>
      </c>
      <c r="G205" s="22" t="e">
        <f>(2*G103/(G103+1)*G190*10^5/G191)^0.5</f>
        <v>#N/A</v>
      </c>
      <c r="H205" s="22" t="e">
        <f>(2*H103/(H103+1)*H190*10^5/H191)^0.5</f>
        <v>#N/A</v>
      </c>
      <c r="I205" s="22" t="e">
        <f>(2*I103/(I103+1)*I190*10^5/I191)^0.5</f>
        <v>#N/A</v>
      </c>
      <c r="L205" s="117"/>
      <c r="M205" s="117"/>
      <c r="N205" s="119"/>
      <c r="O205" s="119"/>
      <c r="Q205" s="22"/>
      <c r="R205" s="22"/>
    </row>
    <row r="206" spans="1:18" s="152" customFormat="1" outlineLevel="1" x14ac:dyDescent="0.25">
      <c r="A206" s="16" t="s">
        <v>680</v>
      </c>
      <c r="C206" s="152" t="s">
        <v>832</v>
      </c>
      <c r="D206" s="22" t="s">
        <v>587</v>
      </c>
      <c r="E206" s="22" t="e">
        <f>(E111/3600)*E205^2/2</f>
        <v>#N/A</v>
      </c>
      <c r="F206" s="22" t="e">
        <f t="shared" ref="F206:I206" si="16">(F111/3600)*F205^2/2</f>
        <v>#N/A</v>
      </c>
      <c r="G206" s="22" t="e">
        <f t="shared" si="16"/>
        <v>#N/A</v>
      </c>
      <c r="H206" s="22" t="e">
        <f t="shared" si="16"/>
        <v>#N/A</v>
      </c>
      <c r="I206" s="22" t="e">
        <f t="shared" si="16"/>
        <v>#N/A</v>
      </c>
      <c r="L206" s="117"/>
      <c r="M206" s="117"/>
      <c r="N206" s="119"/>
      <c r="O206" s="119"/>
      <c r="Q206" s="22"/>
      <c r="R206" s="22"/>
    </row>
    <row r="207" spans="1:18" s="152" customFormat="1" outlineLevel="1" x14ac:dyDescent="0.25">
      <c r="A207" s="16" t="s">
        <v>849</v>
      </c>
      <c r="C207" s="152" t="s">
        <v>833</v>
      </c>
      <c r="D207" s="22"/>
      <c r="E207" s="22" t="e">
        <f>(2/(E103-1)*(MIN(22,E190/(E195*E170))^((E103-1)/E103)-1))^0.5</f>
        <v>#N/A</v>
      </c>
      <c r="F207" s="22" t="e">
        <f>(2/(F103-1)*(MIN(22,F190/(F195*F170))^((F103-1)/F103)-1))^0.5</f>
        <v>#N/A</v>
      </c>
      <c r="G207" s="22" t="e">
        <f>(2/(G103-1)*(MIN(22,G190/(G195*G170))^((G103-1)/G103)-1))^0.5</f>
        <v>#N/A</v>
      </c>
      <c r="H207" s="22" t="e">
        <f>(2/(H103-1)*(MIN(22,H190/(H195*H170))^((H103-1)/H103)-1))^0.5</f>
        <v>#N/A</v>
      </c>
      <c r="I207" s="22" t="e">
        <f>(2/(I103-1)*(MIN(22,I190/(I195*I170))^((I103-1)/I103)-1))^0.5</f>
        <v>#N/A</v>
      </c>
      <c r="L207" s="117"/>
      <c r="M207" s="117"/>
      <c r="N207" s="119"/>
      <c r="O207" s="119"/>
      <c r="Q207" s="22"/>
      <c r="R207" s="22"/>
    </row>
    <row r="208" spans="1:18" s="159" customFormat="1" outlineLevel="1" x14ac:dyDescent="0.25">
      <c r="A208" s="125" t="s">
        <v>843</v>
      </c>
      <c r="C208" s="159" t="s">
        <v>851</v>
      </c>
      <c r="D208" s="126" t="s">
        <v>587</v>
      </c>
      <c r="E208" s="126" t="e">
        <f>IF(FlowDistributorDesign="None",E200*10^-3*0.55^2*E203^3.6,
    IF(E198=1,E200,E206)*
      CHOOSE(E198,
        10^-4.8*0.95^2*E203^3.6,
        10^-4.8*(E190-E170)/(E190-E193)*E207^(6.6*0.95^2),
        10^-4.8*E207^(6.6*0.95^2),
        10^-4.8*E207^2/2*SQRT(2)^(6.6*0.95^2),
        10^-4.8*E207^2/2*SQRT(2)^(6.6*0.95^2)))</f>
        <v>#VALUE!</v>
      </c>
      <c r="F208" s="126" t="e">
        <f>IF(FlowDistributorDesign="None",F200*10^-3*0.55^2*F203^3.6,
    IF(F198=1,F200,F206)*
      CHOOSE(F198,
        10^-4.8*0.95^2*F203^3.6,
        10^-4.8*(F190-F170)/(F190-F193)*F207^(6.6*0.95^2),
        10^-4.8*F207^(6.6*0.95^2),
        10^-4.8*F207^2/2*SQRT(2)^(6.6*0.95^2),
        10^-4.8*F207^2/2*SQRT(2)^(6.6*0.95^2)))</f>
        <v>#DIV/0!</v>
      </c>
      <c r="G208" s="126" t="e">
        <f>IF(FlowDistributorDesign="None",G200*10^-3*0.55^2*G203^3.6,
    IF(G198=1,G200,G206)*
      CHOOSE(G198,
        10^-4.8*0.95^2*G203^3.6,
        10^-4.8*(G190-G170)/(G190-G193)*G207^(6.6*0.95^2),
        10^-4.8*G207^(6.6*0.95^2),
        10^-4.8*G207^2/2*SQRT(2)^(6.6*0.95^2),
        10^-4.8*G207^2/2*SQRT(2)^(6.6*0.95^2)))</f>
        <v>#DIV/0!</v>
      </c>
      <c r="H208" s="126" t="e">
        <f>IF(FlowDistributorDesign="None",H200*10^-3*0.55^2*H203^3.6,
    IF(H198=1,H200,H206)*
      CHOOSE(H198,
        10^-4.8*0.95^2*H203^3.6,
        10^-4.8*(H190-H170)/(H190-H193)*H207^(6.6*0.95^2),
        10^-4.8*H207^(6.6*0.95^2),
        10^-4.8*H207^2/2*SQRT(2)^(6.6*0.95^2),
        10^-4.8*H207^2/2*SQRT(2)^(6.6*0.95^2)))</f>
        <v>#DIV/0!</v>
      </c>
      <c r="I208" s="126" t="e">
        <f>IF(FlowDistributorDesign="None",I200*10^-3*0.55^2*I203^3.6,
    IF(I198=1,I200,I206)*
      CHOOSE(I198,
        10^-4.8*0.95^2*I203^3.6,
        10^-4.8*(I190-I170)/(I190-I193)*I207^(6.6*0.95^2),
        10^-4.8*I207^(6.6*0.95^2),
        10^-4.8*I207^2/2*SQRT(2)^(6.6*0.95^2),
        10^-4.8*I207^2/2*SQRT(2)^(6.6*0.95^2)))</f>
        <v>#DIV/0!</v>
      </c>
      <c r="L208" s="160"/>
      <c r="M208" s="160"/>
      <c r="N208" s="161"/>
      <c r="O208" s="161"/>
      <c r="Q208" s="126"/>
      <c r="R208" s="126"/>
    </row>
    <row r="209" spans="1:18" s="152" customFormat="1" outlineLevel="1" x14ac:dyDescent="0.25">
      <c r="A209" s="16" t="s">
        <v>842</v>
      </c>
      <c r="C209" s="152" t="s">
        <v>834</v>
      </c>
      <c r="D209" s="22" t="s">
        <v>689</v>
      </c>
      <c r="E209" s="22" t="e">
        <f>IF(FlowDistributorDesign="None",0.2*E203*E202,
    CHOOSE(E198,
      0.1*E203*E202,
      0.1*E207*E205,
      0.1*E207*E205,
      0.1*1.4*E205/((E207^2-1)^0.5),
      0.1*1.4*E205/((E207^2-1)^0.5)))/$E$126</f>
        <v>#VALUE!</v>
      </c>
      <c r="F209" s="22" t="e">
        <f>IF(FlowDistributorDesign="None",0.2*F203*F202,
    CHOOSE(F198,
      0.1*F203*F202,
      0.1*F207*F205,
      0.1*F207*F205,
      0.1*1.4*F205/((F207^2-1)^0.5),
      0.1*1.4*F205/((F207^2-1)^0.5)))/$E$126</f>
        <v>#DIV/0!</v>
      </c>
      <c r="G209" s="22" t="e">
        <f>IF(FlowDistributorDesign="None",0.2*G203*G202,
    CHOOSE(G198,
      0.1*G203*G202,
      0.1*G207*G205,
      0.1*G207*G205,
      0.1*1.4*G205/((G207^2-1)^0.5),
      0.1*1.4*G205/((G207^2-1)^0.5)))/$E$126</f>
        <v>#DIV/0!</v>
      </c>
      <c r="H209" s="22" t="e">
        <f>IF(FlowDistributorDesign="None",0.2*H203*H202,
    CHOOSE(H198,
      0.1*H203*H202,
      0.1*H207*H205,
      0.1*H207*H205,
      0.1*1.4*H205/((H207^2-1)^0.5),
      0.1*1.4*H205/((H207^2-1)^0.5)))/$E$126</f>
        <v>#DIV/0!</v>
      </c>
      <c r="I209" s="22" t="e">
        <f>IF(FlowDistributorDesign="None",0.2*I203*I202,
    CHOOSE(I198,
      0.1*I203*I202,
      0.1*I207*I205,
      0.1*I207*I205,
      0.1*1.4*I205/((I207^2-1)^0.5),
      0.1*1.4*I205/((I207^2-1)^0.5)))/$E$126</f>
        <v>#DIV/0!</v>
      </c>
      <c r="L209" s="117"/>
      <c r="M209" s="117"/>
      <c r="N209" s="119"/>
      <c r="O209" s="119"/>
      <c r="Q209" s="22"/>
      <c r="R209" s="22"/>
    </row>
    <row r="210" spans="1:18" s="152" customFormat="1" outlineLevel="1" x14ac:dyDescent="0.25">
      <c r="A210" s="16" t="s">
        <v>841</v>
      </c>
      <c r="C210" s="152" t="s">
        <v>723</v>
      </c>
      <c r="D210" s="22" t="s">
        <v>711</v>
      </c>
      <c r="E210" s="22" t="e">
        <f>10*LOG(3.2*10^9*E208*E172*E173/($F$90/1000)^2)+E176</f>
        <v>#VALUE!</v>
      </c>
      <c r="F210" s="22" t="e">
        <f>10*LOG(3.2*10^9*F208*F130*F131/($F$90/1000)^2)+F176</f>
        <v>#DIV/0!</v>
      </c>
      <c r="G210" s="22" t="e">
        <f>10*LOG(3.2*10^9*G208*G130*G131/($F$90/1000)^2)+G176</f>
        <v>#DIV/0!</v>
      </c>
      <c r="H210" s="22" t="e">
        <f>10*LOG(3.2*10^9*H208*H130*H131/($F$90/1000)^2)+H176</f>
        <v>#DIV/0!</v>
      </c>
      <c r="I210" s="22" t="e">
        <f>10*LOG(3.2*10^9*I208*I130*I131/($F$90/1000)^2)+I176</f>
        <v>#DIV/0!</v>
      </c>
      <c r="L210" s="117"/>
      <c r="M210" s="117"/>
      <c r="N210" s="119"/>
      <c r="O210" s="119"/>
      <c r="Q210" s="22"/>
      <c r="R210" s="22"/>
    </row>
    <row r="211" spans="1:18" s="152" customFormat="1" outlineLevel="1" x14ac:dyDescent="0.25">
      <c r="A211" s="16" t="s">
        <v>838</v>
      </c>
      <c r="C211" s="152" t="s">
        <v>828</v>
      </c>
      <c r="D211" s="22" t="s">
        <v>689</v>
      </c>
      <c r="E211" s="23" t="e">
        <f>$E$182*E173/(4*343)</f>
        <v>#DIV/0!</v>
      </c>
      <c r="F211" s="23" t="e">
        <f t="shared" ref="F211:I211" si="17">$E$182*F173/(4*343)</f>
        <v>#DIV/0!</v>
      </c>
      <c r="G211" s="23" t="e">
        <f t="shared" si="17"/>
        <v>#DIV/0!</v>
      </c>
      <c r="H211" s="23" t="e">
        <f t="shared" si="17"/>
        <v>#DIV/0!</v>
      </c>
      <c r="I211" s="23" t="e">
        <f t="shared" si="17"/>
        <v>#DIV/0!</v>
      </c>
      <c r="L211" s="117"/>
      <c r="M211" s="117"/>
      <c r="N211" s="119"/>
      <c r="O211" s="119"/>
      <c r="Q211" s="22"/>
      <c r="R211" s="22"/>
    </row>
    <row r="212" spans="1:18" s="152" customFormat="1" outlineLevel="1" x14ac:dyDescent="0.25">
      <c r="A212" s="16" t="s">
        <v>845</v>
      </c>
      <c r="C212" s="152" t="s">
        <v>829</v>
      </c>
      <c r="D212" s="22" t="s">
        <v>531</v>
      </c>
      <c r="E212" s="23" t="e">
        <f>NoiseLpe1m($F$90/1000,$F$89/1000,E172,E173,E209,E210,$E$181,$E$182,E211,$E$184)</f>
        <v>#VALUE!</v>
      </c>
      <c r="F212" s="23" t="e">
        <f>NoiseLpe1m($F$90/1000,$F$89/1000,F130,F131,F209,F210,$E$181,$E$182,F211,$E$184)</f>
        <v>#VALUE!</v>
      </c>
      <c r="G212" s="23" t="e">
        <f>NoiseLpe1m($F$90/1000,$F$89/1000,G130,G131,G209,G210,$E$181,$E$182,G211,$E$184)</f>
        <v>#VALUE!</v>
      </c>
      <c r="H212" s="23" t="e">
        <f>NoiseLpe1m($F$90/1000,$F$89/1000,H130,H131,H209,H210,$E$181,$E$182,H211,$E$184)</f>
        <v>#VALUE!</v>
      </c>
      <c r="I212" s="23" t="e">
        <f>NoiseLpe1m($F$90/1000,$F$89/1000,I130,I131,I209,I210,$E$181,$E$182,I211,$E$184)</f>
        <v>#VALUE!</v>
      </c>
      <c r="L212" s="117"/>
      <c r="M212" s="117"/>
      <c r="N212" s="119"/>
      <c r="O212" s="119"/>
      <c r="Q212" s="22"/>
      <c r="R212" s="22"/>
    </row>
    <row r="213" spans="1:18" x14ac:dyDescent="0.25">
      <c r="A213" s="4" t="s">
        <v>724</v>
      </c>
      <c r="P213" s="4"/>
      <c r="R213" s="5"/>
    </row>
    <row r="227" spans="5:41" ht="13" x14ac:dyDescent="0.3">
      <c r="F227" s="33" t="s">
        <v>479</v>
      </c>
      <c r="G227" s="33" t="s">
        <v>480</v>
      </c>
      <c r="L227" s="132"/>
    </row>
    <row r="228" spans="5:41" ht="13" x14ac:dyDescent="0.3">
      <c r="F228" s="33" t="s">
        <v>725</v>
      </c>
      <c r="G228" s="33" t="s">
        <v>725</v>
      </c>
      <c r="L228" s="162"/>
    </row>
    <row r="229" spans="5:41" ht="13" x14ac:dyDescent="0.3">
      <c r="F229" s="5" t="str">
        <f>E22</f>
        <v>10in (250mm)</v>
      </c>
      <c r="G229" s="5" t="str">
        <f>F22</f>
        <v>42in (1050mm)</v>
      </c>
      <c r="P229" s="33" t="s">
        <v>726</v>
      </c>
      <c r="Q229" s="33" t="s">
        <v>727</v>
      </c>
      <c r="R229" s="33" t="s">
        <v>728</v>
      </c>
      <c r="S229" s="33" t="s">
        <v>729</v>
      </c>
      <c r="T229" s="33" t="s">
        <v>730</v>
      </c>
      <c r="U229" s="33" t="s">
        <v>731</v>
      </c>
      <c r="V229" s="33" t="s">
        <v>732</v>
      </c>
      <c r="W229" s="33" t="s">
        <v>733</v>
      </c>
      <c r="X229" s="33" t="s">
        <v>734</v>
      </c>
      <c r="Y229" s="33" t="s">
        <v>735</v>
      </c>
      <c r="Z229" s="33" t="s">
        <v>736</v>
      </c>
      <c r="AA229" s="33" t="s">
        <v>737</v>
      </c>
      <c r="AB229" s="33" t="s">
        <v>738</v>
      </c>
      <c r="AC229" s="33" t="s">
        <v>739</v>
      </c>
      <c r="AD229" s="33" t="s">
        <v>483</v>
      </c>
      <c r="AE229" s="33" t="s">
        <v>740</v>
      </c>
      <c r="AF229" s="33" t="s">
        <v>741</v>
      </c>
      <c r="AG229" s="33" t="s">
        <v>742</v>
      </c>
      <c r="AH229" s="33" t="s">
        <v>743</v>
      </c>
      <c r="AI229" s="33" t="s">
        <v>744</v>
      </c>
      <c r="AJ229" s="33" t="s">
        <v>745</v>
      </c>
      <c r="AK229" s="33" t="s">
        <v>746</v>
      </c>
      <c r="AL229" s="33" t="s">
        <v>747</v>
      </c>
      <c r="AM229" s="33" t="s">
        <v>748</v>
      </c>
      <c r="AN229" s="33" t="s">
        <v>749</v>
      </c>
      <c r="AO229" s="33" t="s">
        <v>750</v>
      </c>
    </row>
    <row r="230" spans="5:41" ht="13" x14ac:dyDescent="0.3">
      <c r="E230" s="32">
        <v>1</v>
      </c>
      <c r="F230" s="163" t="str">
        <f>INDEX($P$230:$AN$244,$E230,MATCH(F$229,$P$229:$AN$229,0))</f>
        <v>10S</v>
      </c>
      <c r="G230" s="163" t="str">
        <f>INDEX($P$230:$AO$244,$E230,MATCH(G$229,$P$229:$AO$229,0))</f>
        <v>STD</v>
      </c>
      <c r="L230" s="164"/>
      <c r="P230" s="163" t="s">
        <v>751</v>
      </c>
      <c r="Q230" s="163" t="s">
        <v>751</v>
      </c>
      <c r="R230" s="163" t="s">
        <v>751</v>
      </c>
      <c r="S230" s="163" t="s">
        <v>751</v>
      </c>
      <c r="T230" s="163" t="s">
        <v>751</v>
      </c>
      <c r="U230" s="163" t="s">
        <v>751</v>
      </c>
      <c r="V230" s="163" t="s">
        <v>751</v>
      </c>
      <c r="W230" s="163" t="s">
        <v>751</v>
      </c>
      <c r="X230" s="163" t="s">
        <v>751</v>
      </c>
      <c r="Y230" s="163" t="s">
        <v>751</v>
      </c>
      <c r="Z230" s="165" t="s">
        <v>751</v>
      </c>
      <c r="AA230" s="165" t="s">
        <v>751</v>
      </c>
      <c r="AB230" s="165" t="s">
        <v>751</v>
      </c>
      <c r="AC230" s="165" t="s">
        <v>751</v>
      </c>
      <c r="AD230" s="165" t="s">
        <v>751</v>
      </c>
      <c r="AE230" s="165" t="s">
        <v>751</v>
      </c>
      <c r="AF230" s="165" t="s">
        <v>751</v>
      </c>
      <c r="AG230" s="165" t="s">
        <v>751</v>
      </c>
      <c r="AH230" s="165" t="s">
        <v>752</v>
      </c>
      <c r="AI230" s="165" t="s">
        <v>752</v>
      </c>
      <c r="AJ230" s="165" t="s">
        <v>752</v>
      </c>
      <c r="AK230" s="165" t="s">
        <v>752</v>
      </c>
      <c r="AL230" s="165" t="s">
        <v>752</v>
      </c>
      <c r="AM230" s="165" t="s">
        <v>752</v>
      </c>
      <c r="AN230" s="165" t="s">
        <v>752</v>
      </c>
      <c r="AO230" s="163" t="s">
        <v>753</v>
      </c>
    </row>
    <row r="231" spans="5:41" ht="13" x14ac:dyDescent="0.3">
      <c r="E231" s="32">
        <v>2</v>
      </c>
      <c r="F231" s="163" t="str">
        <f t="shared" ref="F231:F244" si="18">INDEX($P$230:$AN$244,$E231,MATCH(F$229,$P$229:$AN$229,0))</f>
        <v>20</v>
      </c>
      <c r="G231" s="163" t="str">
        <f t="shared" ref="G231:G244" si="19">INDEX($P$230:$AO$244,$E231,MATCH(G$229,$P$229:$AO$229,0))</f>
        <v>20</v>
      </c>
      <c r="L231" s="164"/>
      <c r="P231" s="165" t="s">
        <v>754</v>
      </c>
      <c r="Q231" s="165" t="s">
        <v>754</v>
      </c>
      <c r="R231" s="165" t="s">
        <v>754</v>
      </c>
      <c r="S231" s="165" t="s">
        <v>754</v>
      </c>
      <c r="T231" s="165" t="s">
        <v>754</v>
      </c>
      <c r="U231" s="165" t="s">
        <v>754</v>
      </c>
      <c r="V231" s="165" t="s">
        <v>754</v>
      </c>
      <c r="W231" s="165" t="s">
        <v>754</v>
      </c>
      <c r="X231" s="165" t="s">
        <v>754</v>
      </c>
      <c r="Y231" s="165" t="s">
        <v>754</v>
      </c>
      <c r="Z231" s="165" t="s">
        <v>755</v>
      </c>
      <c r="AA231" s="165" t="s">
        <v>755</v>
      </c>
      <c r="AB231" s="165" t="s">
        <v>755</v>
      </c>
      <c r="AC231" s="165" t="s">
        <v>752</v>
      </c>
      <c r="AD231" s="165" t="s">
        <v>752</v>
      </c>
      <c r="AE231" s="165" t="s">
        <v>752</v>
      </c>
      <c r="AF231" s="165" t="s">
        <v>752</v>
      </c>
      <c r="AG231" s="165" t="s">
        <v>752</v>
      </c>
      <c r="AH231" s="165" t="s">
        <v>751</v>
      </c>
      <c r="AI231" s="163" t="s">
        <v>753</v>
      </c>
      <c r="AJ231" s="163" t="s">
        <v>753</v>
      </c>
      <c r="AK231" s="165" t="s">
        <v>751</v>
      </c>
      <c r="AL231" s="163" t="s">
        <v>753</v>
      </c>
      <c r="AM231" s="163" t="s">
        <v>753</v>
      </c>
      <c r="AN231" s="163" t="s">
        <v>753</v>
      </c>
      <c r="AO231" s="165" t="s">
        <v>755</v>
      </c>
    </row>
    <row r="232" spans="5:41" ht="13" x14ac:dyDescent="0.3">
      <c r="E232" s="32">
        <v>3</v>
      </c>
      <c r="F232" s="163" t="str">
        <f t="shared" si="18"/>
        <v>30</v>
      </c>
      <c r="G232" s="163" t="str">
        <f t="shared" si="19"/>
        <v>XS</v>
      </c>
      <c r="L232" s="164"/>
      <c r="P232" s="163" t="s">
        <v>756</v>
      </c>
      <c r="Q232" s="163" t="s">
        <v>756</v>
      </c>
      <c r="R232" s="163" t="s">
        <v>756</v>
      </c>
      <c r="S232" s="163" t="s">
        <v>756</v>
      </c>
      <c r="T232" s="163" t="s">
        <v>756</v>
      </c>
      <c r="U232" s="163" t="s">
        <v>756</v>
      </c>
      <c r="V232" s="163" t="s">
        <v>756</v>
      </c>
      <c r="W232" s="163" t="s">
        <v>756</v>
      </c>
      <c r="X232" s="163" t="s">
        <v>756</v>
      </c>
      <c r="Y232" s="163" t="s">
        <v>756</v>
      </c>
      <c r="Z232" s="165" t="s">
        <v>757</v>
      </c>
      <c r="AA232" s="165" t="s">
        <v>757</v>
      </c>
      <c r="AB232" s="165" t="s">
        <v>757</v>
      </c>
      <c r="AC232" s="165" t="s">
        <v>755</v>
      </c>
      <c r="AD232" s="165" t="s">
        <v>755</v>
      </c>
      <c r="AE232" s="165" t="s">
        <v>755</v>
      </c>
      <c r="AF232" s="165" t="s">
        <v>755</v>
      </c>
      <c r="AG232" s="165" t="s">
        <v>755</v>
      </c>
      <c r="AH232" s="165" t="s">
        <v>755</v>
      </c>
      <c r="AI232" s="165" t="s">
        <v>755</v>
      </c>
      <c r="AJ232" s="165" t="s">
        <v>755</v>
      </c>
      <c r="AK232" s="163" t="s">
        <v>753</v>
      </c>
      <c r="AL232" s="165" t="s">
        <v>755</v>
      </c>
      <c r="AM232" s="165" t="s">
        <v>755</v>
      </c>
      <c r="AN232" s="165" t="s">
        <v>755</v>
      </c>
      <c r="AO232" s="163" t="s">
        <v>758</v>
      </c>
    </row>
    <row r="233" spans="5:41" ht="13" x14ac:dyDescent="0.3">
      <c r="E233" s="32">
        <v>4</v>
      </c>
      <c r="F233" s="163" t="str">
        <f t="shared" si="18"/>
        <v>40</v>
      </c>
      <c r="G233" s="163" t="str">
        <f t="shared" si="19"/>
        <v/>
      </c>
      <c r="L233" s="164"/>
      <c r="P233" s="163" t="s">
        <v>753</v>
      </c>
      <c r="Q233" s="163" t="s">
        <v>753</v>
      </c>
      <c r="R233" s="163" t="s">
        <v>753</v>
      </c>
      <c r="S233" s="163" t="s">
        <v>753</v>
      </c>
      <c r="T233" s="163" t="s">
        <v>753</v>
      </c>
      <c r="U233" s="163" t="s">
        <v>753</v>
      </c>
      <c r="V233" s="163" t="s">
        <v>753</v>
      </c>
      <c r="W233" s="163" t="s">
        <v>753</v>
      </c>
      <c r="X233" s="163" t="s">
        <v>753</v>
      </c>
      <c r="Y233" s="163" t="s">
        <v>753</v>
      </c>
      <c r="Z233" s="165" t="s">
        <v>754</v>
      </c>
      <c r="AA233" s="165" t="s">
        <v>754</v>
      </c>
      <c r="AB233" s="163" t="s">
        <v>756</v>
      </c>
      <c r="AC233" s="165" t="s">
        <v>757</v>
      </c>
      <c r="AD233" s="165" t="s">
        <v>757</v>
      </c>
      <c r="AE233" s="163" t="s">
        <v>753</v>
      </c>
      <c r="AF233" s="163" t="s">
        <v>753</v>
      </c>
      <c r="AG233" s="163" t="s">
        <v>753</v>
      </c>
      <c r="AH233" s="163" t="s">
        <v>753</v>
      </c>
      <c r="AI233" s="163" t="s">
        <v>758</v>
      </c>
      <c r="AJ233" s="163" t="s">
        <v>758</v>
      </c>
      <c r="AK233" s="165" t="s">
        <v>755</v>
      </c>
      <c r="AL233" s="163" t="s">
        <v>758</v>
      </c>
      <c r="AM233" s="163" t="s">
        <v>758</v>
      </c>
      <c r="AN233" s="163" t="s">
        <v>758</v>
      </c>
      <c r="AO233" s="165" t="s">
        <v>447</v>
      </c>
    </row>
    <row r="234" spans="5:41" ht="13" x14ac:dyDescent="0.3">
      <c r="E234" s="32">
        <v>5</v>
      </c>
      <c r="F234" s="163" t="str">
        <f t="shared" si="18"/>
        <v>40S</v>
      </c>
      <c r="G234" s="163" t="str">
        <f t="shared" si="19"/>
        <v/>
      </c>
      <c r="L234" s="164"/>
      <c r="P234" s="165" t="s">
        <v>759</v>
      </c>
      <c r="Q234" s="165" t="s">
        <v>759</v>
      </c>
      <c r="R234" s="165" t="s">
        <v>759</v>
      </c>
      <c r="S234" s="165" t="s">
        <v>759</v>
      </c>
      <c r="T234" s="165" t="s">
        <v>759</v>
      </c>
      <c r="U234" s="165" t="s">
        <v>759</v>
      </c>
      <c r="V234" s="165" t="s">
        <v>759</v>
      </c>
      <c r="W234" s="165" t="s">
        <v>759</v>
      </c>
      <c r="X234" s="165" t="s">
        <v>759</v>
      </c>
      <c r="Y234" s="165" t="s">
        <v>759</v>
      </c>
      <c r="Z234" s="163" t="s">
        <v>756</v>
      </c>
      <c r="AA234" s="163" t="s">
        <v>756</v>
      </c>
      <c r="AB234" s="163" t="s">
        <v>753</v>
      </c>
      <c r="AC234" s="163" t="s">
        <v>753</v>
      </c>
      <c r="AD234" s="163" t="s">
        <v>753</v>
      </c>
      <c r="AE234" s="165" t="s">
        <v>757</v>
      </c>
      <c r="AF234" s="165" t="s">
        <v>757</v>
      </c>
      <c r="AG234" s="165" t="s">
        <v>757</v>
      </c>
      <c r="AH234" s="163" t="s">
        <v>758</v>
      </c>
      <c r="AI234" s="165" t="s">
        <v>447</v>
      </c>
      <c r="AJ234" s="165" t="s">
        <v>757</v>
      </c>
      <c r="AK234" s="163" t="s">
        <v>758</v>
      </c>
      <c r="AL234" s="165" t="s">
        <v>757</v>
      </c>
      <c r="AM234" s="165" t="s">
        <v>757</v>
      </c>
      <c r="AN234" s="165" t="s">
        <v>757</v>
      </c>
      <c r="AO234" s="165" t="s">
        <v>447</v>
      </c>
    </row>
    <row r="235" spans="5:41" ht="13" x14ac:dyDescent="0.3">
      <c r="E235" s="32">
        <v>6</v>
      </c>
      <c r="F235" s="163" t="str">
        <f t="shared" si="18"/>
        <v>STD</v>
      </c>
      <c r="G235" s="163" t="str">
        <f t="shared" si="19"/>
        <v/>
      </c>
      <c r="L235" s="164"/>
      <c r="P235" s="163" t="s">
        <v>760</v>
      </c>
      <c r="Q235" s="163" t="s">
        <v>760</v>
      </c>
      <c r="R235" s="163" t="s">
        <v>760</v>
      </c>
      <c r="S235" s="163" t="s">
        <v>760</v>
      </c>
      <c r="T235" s="163" t="s">
        <v>760</v>
      </c>
      <c r="U235" s="163" t="s">
        <v>760</v>
      </c>
      <c r="V235" s="163" t="s">
        <v>760</v>
      </c>
      <c r="W235" s="163" t="s">
        <v>760</v>
      </c>
      <c r="X235" s="163" t="s">
        <v>760</v>
      </c>
      <c r="Y235" s="163" t="s">
        <v>760</v>
      </c>
      <c r="Z235" s="163" t="s">
        <v>753</v>
      </c>
      <c r="AA235" s="163" t="s">
        <v>753</v>
      </c>
      <c r="AB235" s="165" t="s">
        <v>754</v>
      </c>
      <c r="AC235" s="165" t="s">
        <v>754</v>
      </c>
      <c r="AD235" s="165" t="s">
        <v>754</v>
      </c>
      <c r="AE235" s="163" t="s">
        <v>758</v>
      </c>
      <c r="AF235" s="163" t="s">
        <v>758</v>
      </c>
      <c r="AG235" s="163" t="s">
        <v>758</v>
      </c>
      <c r="AH235" s="165" t="s">
        <v>757</v>
      </c>
      <c r="AI235" s="165" t="s">
        <v>447</v>
      </c>
      <c r="AJ235" s="165" t="s">
        <v>447</v>
      </c>
      <c r="AK235" s="165" t="s">
        <v>757</v>
      </c>
      <c r="AL235" s="165" t="s">
        <v>754</v>
      </c>
      <c r="AM235" s="165" t="s">
        <v>754</v>
      </c>
      <c r="AN235" s="165" t="s">
        <v>754</v>
      </c>
      <c r="AO235" s="165" t="s">
        <v>447</v>
      </c>
    </row>
    <row r="236" spans="5:41" ht="13" x14ac:dyDescent="0.3">
      <c r="E236" s="32">
        <v>7</v>
      </c>
      <c r="F236" s="163" t="str">
        <f t="shared" si="18"/>
        <v>60</v>
      </c>
      <c r="G236" s="163" t="str">
        <f t="shared" si="19"/>
        <v/>
      </c>
      <c r="L236" s="164"/>
      <c r="P236" s="163" t="s">
        <v>758</v>
      </c>
      <c r="Q236" s="163" t="s">
        <v>758</v>
      </c>
      <c r="R236" s="163" t="s">
        <v>758</v>
      </c>
      <c r="S236" s="163" t="s">
        <v>758</v>
      </c>
      <c r="T236" s="163" t="s">
        <v>758</v>
      </c>
      <c r="U236" s="163" t="s">
        <v>758</v>
      </c>
      <c r="V236" s="163" t="s">
        <v>758</v>
      </c>
      <c r="W236" s="163" t="s">
        <v>758</v>
      </c>
      <c r="X236" s="163" t="s">
        <v>758</v>
      </c>
      <c r="Y236" s="163" t="s">
        <v>758</v>
      </c>
      <c r="Z236" s="165" t="s">
        <v>486</v>
      </c>
      <c r="AA236" s="165" t="s">
        <v>486</v>
      </c>
      <c r="AB236" s="163" t="s">
        <v>760</v>
      </c>
      <c r="AC236" s="163" t="s">
        <v>758</v>
      </c>
      <c r="AD236" s="163" t="s">
        <v>758</v>
      </c>
      <c r="AE236" s="165" t="s">
        <v>754</v>
      </c>
      <c r="AF236" s="165" t="s">
        <v>754</v>
      </c>
      <c r="AG236" s="165" t="s">
        <v>486</v>
      </c>
      <c r="AH236" s="165" t="s">
        <v>754</v>
      </c>
      <c r="AI236" s="165" t="s">
        <v>447</v>
      </c>
      <c r="AJ236" s="165" t="s">
        <v>447</v>
      </c>
      <c r="AK236" s="165" t="s">
        <v>447</v>
      </c>
      <c r="AL236" s="165" t="s">
        <v>447</v>
      </c>
      <c r="AM236" s="165" t="s">
        <v>447</v>
      </c>
      <c r="AN236" s="165" t="s">
        <v>447</v>
      </c>
      <c r="AO236" s="165" t="s">
        <v>447</v>
      </c>
    </row>
    <row r="237" spans="5:41" ht="13" x14ac:dyDescent="0.3">
      <c r="E237" s="32">
        <v>8</v>
      </c>
      <c r="F237" s="163" t="str">
        <f t="shared" si="18"/>
        <v>80S</v>
      </c>
      <c r="G237" s="163" t="str">
        <f t="shared" si="19"/>
        <v/>
      </c>
      <c r="L237" s="164"/>
      <c r="P237" s="165" t="s">
        <v>761</v>
      </c>
      <c r="Q237" s="165" t="s">
        <v>761</v>
      </c>
      <c r="R237" s="165" t="s">
        <v>761</v>
      </c>
      <c r="S237" s="165" t="s">
        <v>761</v>
      </c>
      <c r="T237" s="165" t="s">
        <v>761</v>
      </c>
      <c r="U237" s="165" t="s">
        <v>761</v>
      </c>
      <c r="V237" s="165" t="s">
        <v>761</v>
      </c>
      <c r="W237" s="165" t="s">
        <v>762</v>
      </c>
      <c r="X237" s="165" t="s">
        <v>762</v>
      </c>
      <c r="Y237" s="165" t="s">
        <v>762</v>
      </c>
      <c r="Z237" s="165" t="s">
        <v>759</v>
      </c>
      <c r="AA237" s="163" t="s">
        <v>760</v>
      </c>
      <c r="AB237" s="163" t="s">
        <v>758</v>
      </c>
      <c r="AC237" s="165" t="s">
        <v>486</v>
      </c>
      <c r="AD237" s="165" t="s">
        <v>486</v>
      </c>
      <c r="AE237" s="165" t="s">
        <v>486</v>
      </c>
      <c r="AF237" s="165" t="s">
        <v>486</v>
      </c>
      <c r="AG237" s="165" t="s">
        <v>759</v>
      </c>
      <c r="AH237" s="165" t="s">
        <v>486</v>
      </c>
      <c r="AI237" s="165" t="s">
        <v>447</v>
      </c>
      <c r="AJ237" s="165" t="s">
        <v>447</v>
      </c>
      <c r="AK237" s="165" t="s">
        <v>447</v>
      </c>
      <c r="AL237" s="165" t="s">
        <v>447</v>
      </c>
      <c r="AM237" s="165" t="s">
        <v>447</v>
      </c>
      <c r="AN237" s="165" t="s">
        <v>447</v>
      </c>
      <c r="AO237" s="165" t="s">
        <v>447</v>
      </c>
    </row>
    <row r="238" spans="5:41" ht="13" x14ac:dyDescent="0.3">
      <c r="E238" s="32">
        <v>9</v>
      </c>
      <c r="F238" s="163" t="str">
        <f t="shared" si="18"/>
        <v>XS</v>
      </c>
      <c r="G238" s="163" t="str">
        <f t="shared" si="19"/>
        <v/>
      </c>
      <c r="L238" s="164"/>
      <c r="P238" s="163" t="s">
        <v>763</v>
      </c>
      <c r="Q238" s="163" t="s">
        <v>763</v>
      </c>
      <c r="R238" s="163" t="s">
        <v>763</v>
      </c>
      <c r="S238" s="163" t="s">
        <v>763</v>
      </c>
      <c r="T238" s="163" t="s">
        <v>763</v>
      </c>
      <c r="U238" s="163" t="s">
        <v>763</v>
      </c>
      <c r="V238" s="163" t="s">
        <v>763</v>
      </c>
      <c r="W238" s="165" t="s">
        <v>761</v>
      </c>
      <c r="X238" s="165" t="s">
        <v>761</v>
      </c>
      <c r="Y238" s="165" t="s">
        <v>761</v>
      </c>
      <c r="Z238" s="163" t="s">
        <v>760</v>
      </c>
      <c r="AA238" s="163" t="s">
        <v>758</v>
      </c>
      <c r="AB238" s="165" t="s">
        <v>486</v>
      </c>
      <c r="AC238" s="165" t="s">
        <v>759</v>
      </c>
      <c r="AD238" s="165" t="s">
        <v>759</v>
      </c>
      <c r="AE238" s="165" t="s">
        <v>759</v>
      </c>
      <c r="AF238" s="165" t="s">
        <v>759</v>
      </c>
      <c r="AG238" s="165" t="s">
        <v>485</v>
      </c>
      <c r="AH238" s="165" t="s">
        <v>759</v>
      </c>
      <c r="AI238" s="165" t="s">
        <v>447</v>
      </c>
      <c r="AJ238" s="165" t="s">
        <v>447</v>
      </c>
      <c r="AK238" s="165" t="s">
        <v>447</v>
      </c>
      <c r="AL238" s="165" t="s">
        <v>447</v>
      </c>
      <c r="AM238" s="165" t="s">
        <v>447</v>
      </c>
      <c r="AN238" s="165" t="s">
        <v>447</v>
      </c>
      <c r="AO238" s="165" t="s">
        <v>447</v>
      </c>
    </row>
    <row r="239" spans="5:41" ht="13" x14ac:dyDescent="0.3">
      <c r="E239" s="32">
        <v>10</v>
      </c>
      <c r="F239" s="163" t="str">
        <f t="shared" si="18"/>
        <v>80</v>
      </c>
      <c r="G239" s="163" t="str">
        <f t="shared" si="19"/>
        <v/>
      </c>
      <c r="L239" s="164"/>
      <c r="P239" s="165" t="s">
        <v>447</v>
      </c>
      <c r="Q239" s="165" t="s">
        <v>447</v>
      </c>
      <c r="R239" s="165" t="s">
        <v>447</v>
      </c>
      <c r="S239" s="165" t="s">
        <v>447</v>
      </c>
      <c r="T239" s="165" t="s">
        <v>447</v>
      </c>
      <c r="U239" s="165" t="s">
        <v>447</v>
      </c>
      <c r="V239" s="165" t="s">
        <v>447</v>
      </c>
      <c r="W239" s="163" t="s">
        <v>763</v>
      </c>
      <c r="X239" s="163" t="s">
        <v>763</v>
      </c>
      <c r="Y239" s="163" t="s">
        <v>763</v>
      </c>
      <c r="Z239" s="163" t="s">
        <v>758</v>
      </c>
      <c r="AA239" s="165" t="s">
        <v>759</v>
      </c>
      <c r="AB239" s="165" t="s">
        <v>759</v>
      </c>
      <c r="AC239" s="165" t="s">
        <v>485</v>
      </c>
      <c r="AD239" s="165" t="s">
        <v>485</v>
      </c>
      <c r="AE239" s="165" t="s">
        <v>485</v>
      </c>
      <c r="AF239" s="165" t="s">
        <v>485</v>
      </c>
      <c r="AG239" s="165" t="s">
        <v>762</v>
      </c>
      <c r="AH239" s="165" t="s">
        <v>485</v>
      </c>
      <c r="AI239" s="165" t="s">
        <v>447</v>
      </c>
      <c r="AJ239" s="165" t="s">
        <v>447</v>
      </c>
      <c r="AK239" s="165" t="s">
        <v>447</v>
      </c>
      <c r="AL239" s="165" t="s">
        <v>447</v>
      </c>
      <c r="AM239" s="165" t="s">
        <v>447</v>
      </c>
      <c r="AN239" s="165" t="s">
        <v>447</v>
      </c>
      <c r="AO239" s="165" t="s">
        <v>447</v>
      </c>
    </row>
    <row r="240" spans="5:41" ht="13" x14ac:dyDescent="0.3">
      <c r="E240" s="32">
        <v>11</v>
      </c>
      <c r="F240" s="163" t="str">
        <f t="shared" si="18"/>
        <v>100</v>
      </c>
      <c r="G240" s="163" t="str">
        <f t="shared" si="19"/>
        <v/>
      </c>
      <c r="L240" s="164"/>
      <c r="P240" s="165" t="s">
        <v>447</v>
      </c>
      <c r="Q240" s="165" t="s">
        <v>447</v>
      </c>
      <c r="R240" s="165" t="s">
        <v>447</v>
      </c>
      <c r="S240" s="165" t="s">
        <v>447</v>
      </c>
      <c r="T240" s="165" t="s">
        <v>447</v>
      </c>
      <c r="U240" s="165" t="s">
        <v>447</v>
      </c>
      <c r="V240" s="165" t="s">
        <v>447</v>
      </c>
      <c r="W240" s="165" t="s">
        <v>447</v>
      </c>
      <c r="X240" s="165" t="s">
        <v>447</v>
      </c>
      <c r="Y240" s="165" t="s">
        <v>447</v>
      </c>
      <c r="Z240" s="165" t="s">
        <v>485</v>
      </c>
      <c r="AA240" s="165" t="s">
        <v>485</v>
      </c>
      <c r="AB240" s="165" t="s">
        <v>485</v>
      </c>
      <c r="AC240" s="165" t="s">
        <v>762</v>
      </c>
      <c r="AD240" s="165" t="s">
        <v>762</v>
      </c>
      <c r="AE240" s="165" t="s">
        <v>762</v>
      </c>
      <c r="AF240" s="165" t="s">
        <v>762</v>
      </c>
      <c r="AG240" s="165" t="s">
        <v>764</v>
      </c>
      <c r="AH240" s="165" t="s">
        <v>762</v>
      </c>
      <c r="AI240" s="165" t="s">
        <v>447</v>
      </c>
      <c r="AJ240" s="165" t="s">
        <v>447</v>
      </c>
      <c r="AK240" s="165" t="s">
        <v>447</v>
      </c>
      <c r="AL240" s="165" t="s">
        <v>447</v>
      </c>
      <c r="AM240" s="165" t="s">
        <v>447</v>
      </c>
      <c r="AN240" s="165" t="s">
        <v>447</v>
      </c>
      <c r="AO240" s="165" t="s">
        <v>447</v>
      </c>
    </row>
    <row r="241" spans="5:41" ht="13" x14ac:dyDescent="0.3">
      <c r="E241" s="32">
        <v>12</v>
      </c>
      <c r="F241" s="163" t="str">
        <f t="shared" si="18"/>
        <v>120</v>
      </c>
      <c r="G241" s="163" t="str">
        <f t="shared" si="19"/>
        <v/>
      </c>
      <c r="L241" s="164"/>
      <c r="P241" s="165" t="s">
        <v>447</v>
      </c>
      <c r="Q241" s="165" t="s">
        <v>447</v>
      </c>
      <c r="R241" s="165" t="s">
        <v>447</v>
      </c>
      <c r="S241" s="165" t="s">
        <v>447</v>
      </c>
      <c r="T241" s="165" t="s">
        <v>447</v>
      </c>
      <c r="U241" s="165" t="s">
        <v>447</v>
      </c>
      <c r="V241" s="165" t="s">
        <v>447</v>
      </c>
      <c r="W241" s="165" t="s">
        <v>447</v>
      </c>
      <c r="X241" s="165" t="s">
        <v>447</v>
      </c>
      <c r="Y241" s="165" t="s">
        <v>447</v>
      </c>
      <c r="Z241" s="165" t="s">
        <v>762</v>
      </c>
      <c r="AA241" s="165" t="s">
        <v>762</v>
      </c>
      <c r="AB241" s="165" t="s">
        <v>762</v>
      </c>
      <c r="AC241" s="165" t="s">
        <v>764</v>
      </c>
      <c r="AD241" s="165" t="s">
        <v>764</v>
      </c>
      <c r="AE241" s="165" t="s">
        <v>764</v>
      </c>
      <c r="AF241" s="165" t="s">
        <v>764</v>
      </c>
      <c r="AG241" s="165" t="s">
        <v>761</v>
      </c>
      <c r="AH241" s="165" t="s">
        <v>764</v>
      </c>
      <c r="AI241" s="165" t="s">
        <v>447</v>
      </c>
      <c r="AJ241" s="165" t="s">
        <v>447</v>
      </c>
      <c r="AK241" s="165" t="s">
        <v>447</v>
      </c>
      <c r="AL241" s="165" t="s">
        <v>447</v>
      </c>
      <c r="AM241" s="165" t="s">
        <v>447</v>
      </c>
      <c r="AN241" s="165" t="s">
        <v>447</v>
      </c>
      <c r="AO241" s="165" t="s">
        <v>447</v>
      </c>
    </row>
    <row r="242" spans="5:41" ht="13" x14ac:dyDescent="0.3">
      <c r="E242" s="32">
        <v>13</v>
      </c>
      <c r="F242" s="163" t="str">
        <f t="shared" si="18"/>
        <v>140</v>
      </c>
      <c r="G242" s="163" t="str">
        <f t="shared" si="19"/>
        <v/>
      </c>
      <c r="L242" s="164"/>
      <c r="P242" s="165" t="s">
        <v>447</v>
      </c>
      <c r="Q242" s="165" t="s">
        <v>447</v>
      </c>
      <c r="R242" s="165" t="s">
        <v>447</v>
      </c>
      <c r="S242" s="165" t="s">
        <v>447</v>
      </c>
      <c r="T242" s="165" t="s">
        <v>447</v>
      </c>
      <c r="U242" s="165" t="s">
        <v>447</v>
      </c>
      <c r="V242" s="165" t="s">
        <v>447</v>
      </c>
      <c r="W242" s="165" t="s">
        <v>447</v>
      </c>
      <c r="X242" s="165" t="s">
        <v>447</v>
      </c>
      <c r="Y242" s="165" t="s">
        <v>447</v>
      </c>
      <c r="Z242" s="165" t="s">
        <v>764</v>
      </c>
      <c r="AA242" s="165" t="s">
        <v>764</v>
      </c>
      <c r="AB242" s="163" t="s">
        <v>763</v>
      </c>
      <c r="AC242" s="165" t="s">
        <v>761</v>
      </c>
      <c r="AD242" s="165" t="s">
        <v>761</v>
      </c>
      <c r="AE242" s="165" t="s">
        <v>761</v>
      </c>
      <c r="AF242" s="165" t="s">
        <v>761</v>
      </c>
      <c r="AG242" s="166"/>
      <c r="AH242" s="165" t="s">
        <v>761</v>
      </c>
      <c r="AI242" s="165" t="s">
        <v>447</v>
      </c>
      <c r="AJ242" s="165" t="s">
        <v>447</v>
      </c>
      <c r="AK242" s="165" t="s">
        <v>447</v>
      </c>
      <c r="AL242" s="165" t="s">
        <v>447</v>
      </c>
      <c r="AM242" s="165" t="s">
        <v>447</v>
      </c>
      <c r="AN242" s="165" t="s">
        <v>447</v>
      </c>
      <c r="AO242" s="165" t="s">
        <v>447</v>
      </c>
    </row>
    <row r="243" spans="5:41" ht="13" x14ac:dyDescent="0.3">
      <c r="E243" s="32">
        <v>14</v>
      </c>
      <c r="F243" s="163" t="str">
        <f t="shared" si="18"/>
        <v>XXS</v>
      </c>
      <c r="G243" s="163" t="str">
        <f t="shared" si="19"/>
        <v/>
      </c>
      <c r="L243" s="164"/>
      <c r="P243" s="165" t="s">
        <v>447</v>
      </c>
      <c r="Q243" s="165" t="s">
        <v>447</v>
      </c>
      <c r="R243" s="165" t="s">
        <v>447</v>
      </c>
      <c r="S243" s="165" t="s">
        <v>447</v>
      </c>
      <c r="T243" s="165" t="s">
        <v>447</v>
      </c>
      <c r="U243" s="165" t="s">
        <v>447</v>
      </c>
      <c r="V243" s="165" t="s">
        <v>447</v>
      </c>
      <c r="W243" s="165" t="s">
        <v>447</v>
      </c>
      <c r="X243" s="165" t="s">
        <v>447</v>
      </c>
      <c r="Y243" s="165" t="s">
        <v>447</v>
      </c>
      <c r="Z243" s="163" t="s">
        <v>763</v>
      </c>
      <c r="AA243" s="163" t="s">
        <v>763</v>
      </c>
      <c r="AB243" s="165" t="s">
        <v>764</v>
      </c>
      <c r="AC243" s="165" t="s">
        <v>447</v>
      </c>
      <c r="AD243" s="165" t="s">
        <v>447</v>
      </c>
      <c r="AE243" s="165" t="s">
        <v>447</v>
      </c>
      <c r="AF243" s="165" t="s">
        <v>447</v>
      </c>
      <c r="AG243" s="165" t="s">
        <v>447</v>
      </c>
      <c r="AH243" s="165" t="s">
        <v>447</v>
      </c>
      <c r="AI243" s="165" t="s">
        <v>447</v>
      </c>
      <c r="AJ243" s="165" t="s">
        <v>447</v>
      </c>
      <c r="AK243" s="165" t="s">
        <v>447</v>
      </c>
      <c r="AL243" s="165" t="s">
        <v>447</v>
      </c>
      <c r="AM243" s="165" t="s">
        <v>447</v>
      </c>
      <c r="AN243" s="165" t="s">
        <v>447</v>
      </c>
      <c r="AO243" s="165" t="s">
        <v>447</v>
      </c>
    </row>
    <row r="244" spans="5:41" ht="13" x14ac:dyDescent="0.3">
      <c r="E244" s="32">
        <v>15</v>
      </c>
      <c r="F244" s="163" t="str">
        <f t="shared" si="18"/>
        <v>160</v>
      </c>
      <c r="G244" s="163" t="str">
        <f t="shared" si="19"/>
        <v/>
      </c>
      <c r="L244" s="164"/>
      <c r="P244" s="165" t="s">
        <v>447</v>
      </c>
      <c r="Q244" s="165" t="s">
        <v>447</v>
      </c>
      <c r="R244" s="165" t="s">
        <v>447</v>
      </c>
      <c r="S244" s="165" t="s">
        <v>447</v>
      </c>
      <c r="T244" s="165" t="s">
        <v>447</v>
      </c>
      <c r="U244" s="165" t="s">
        <v>447</v>
      </c>
      <c r="V244" s="165" t="s">
        <v>447</v>
      </c>
      <c r="W244" s="165" t="s">
        <v>447</v>
      </c>
      <c r="X244" s="165" t="s">
        <v>447</v>
      </c>
      <c r="Y244" s="165" t="s">
        <v>447</v>
      </c>
      <c r="Z244" s="165" t="s">
        <v>761</v>
      </c>
      <c r="AA244" s="165" t="s">
        <v>761</v>
      </c>
      <c r="AB244" s="165" t="s">
        <v>761</v>
      </c>
      <c r="AC244" s="165" t="s">
        <v>447</v>
      </c>
      <c r="AD244" s="165" t="s">
        <v>447</v>
      </c>
      <c r="AE244" s="165" t="s">
        <v>447</v>
      </c>
      <c r="AF244" s="165" t="s">
        <v>447</v>
      </c>
      <c r="AG244" s="165" t="s">
        <v>447</v>
      </c>
      <c r="AH244" s="165" t="s">
        <v>447</v>
      </c>
      <c r="AI244" s="165" t="s">
        <v>447</v>
      </c>
      <c r="AJ244" s="165" t="s">
        <v>447</v>
      </c>
      <c r="AK244" s="165" t="s">
        <v>447</v>
      </c>
      <c r="AL244" s="165" t="s">
        <v>447</v>
      </c>
      <c r="AM244" s="165" t="s">
        <v>447</v>
      </c>
      <c r="AN244" s="165" t="s">
        <v>447</v>
      </c>
      <c r="AO244" s="165" t="s">
        <v>447</v>
      </c>
    </row>
    <row r="245" spans="5:41" x14ac:dyDescent="0.25">
      <c r="L245" s="164"/>
    </row>
    <row r="246" spans="5:41" x14ac:dyDescent="0.25">
      <c r="L246" s="164"/>
    </row>
    <row r="247" spans="5:41" x14ac:dyDescent="0.25">
      <c r="L247" s="164"/>
    </row>
    <row r="248" spans="5:41" x14ac:dyDescent="0.25">
      <c r="L248" s="164"/>
    </row>
    <row r="249" spans="5:41" x14ac:dyDescent="0.25">
      <c r="L249" s="164"/>
    </row>
    <row r="250" spans="5:41" x14ac:dyDescent="0.25">
      <c r="L250" s="164"/>
    </row>
    <row r="251" spans="5:41" x14ac:dyDescent="0.25">
      <c r="L251" s="164"/>
    </row>
    <row r="252" spans="5:41" x14ac:dyDescent="0.25">
      <c r="L252" s="164"/>
    </row>
    <row r="253" spans="5:41" x14ac:dyDescent="0.25">
      <c r="L253" s="164"/>
    </row>
    <row r="254" spans="5:41" x14ac:dyDescent="0.25">
      <c r="L254" s="164"/>
    </row>
    <row r="255" spans="5:41" x14ac:dyDescent="0.25">
      <c r="L255" s="164"/>
    </row>
    <row r="256" spans="5:41" x14ac:dyDescent="0.25">
      <c r="L256" s="164"/>
    </row>
    <row r="257" spans="12:12" x14ac:dyDescent="0.25">
      <c r="L257" s="164"/>
    </row>
    <row r="258" spans="12:12" x14ac:dyDescent="0.25">
      <c r="L258" s="164"/>
    </row>
    <row r="259" spans="12:12" x14ac:dyDescent="0.25">
      <c r="L259" s="164"/>
    </row>
    <row r="260" spans="12:12" x14ac:dyDescent="0.25">
      <c r="L260" s="164"/>
    </row>
    <row r="261" spans="12:12" x14ac:dyDescent="0.25">
      <c r="L261" s="164"/>
    </row>
    <row r="262" spans="12:12" x14ac:dyDescent="0.25">
      <c r="L262" s="164"/>
    </row>
    <row r="263" spans="12:12" x14ac:dyDescent="0.25">
      <c r="L263" s="164"/>
    </row>
    <row r="264" spans="12:12" x14ac:dyDescent="0.25">
      <c r="L264" s="164"/>
    </row>
    <row r="265" spans="12:12" x14ac:dyDescent="0.25">
      <c r="L265" s="164"/>
    </row>
    <row r="266" spans="12:12" x14ac:dyDescent="0.25">
      <c r="L266" s="164"/>
    </row>
    <row r="267" spans="12:12" x14ac:dyDescent="0.25">
      <c r="L267" s="164"/>
    </row>
    <row r="268" spans="12:12" x14ac:dyDescent="0.25">
      <c r="L268" s="164"/>
    </row>
    <row r="269" spans="12:12" x14ac:dyDescent="0.25">
      <c r="L269" s="164"/>
    </row>
    <row r="270" spans="12:12" x14ac:dyDescent="0.25">
      <c r="L270" s="164"/>
    </row>
    <row r="271" spans="12:12" x14ac:dyDescent="0.25">
      <c r="L271" s="164"/>
    </row>
    <row r="272" spans="12:12" x14ac:dyDescent="0.25">
      <c r="L272" s="164"/>
    </row>
    <row r="273" spans="12:12" x14ac:dyDescent="0.25">
      <c r="L273" s="164"/>
    </row>
    <row r="274" spans="12:12" x14ac:dyDescent="0.25">
      <c r="L274" s="164"/>
    </row>
    <row r="275" spans="12:12" x14ac:dyDescent="0.25">
      <c r="L275" s="164"/>
    </row>
    <row r="276" spans="12:12" x14ac:dyDescent="0.25">
      <c r="L276" s="164"/>
    </row>
    <row r="277" spans="12:12" x14ac:dyDescent="0.25">
      <c r="L277" s="164"/>
    </row>
    <row r="278" spans="12:12" x14ac:dyDescent="0.25">
      <c r="L278" s="164"/>
    </row>
    <row r="279" spans="12:12" x14ac:dyDescent="0.25">
      <c r="L279" s="164"/>
    </row>
    <row r="280" spans="12:12" x14ac:dyDescent="0.25">
      <c r="L280" s="164"/>
    </row>
    <row r="281" spans="12:12" x14ac:dyDescent="0.25">
      <c r="L281" s="164"/>
    </row>
    <row r="282" spans="12:12" x14ac:dyDescent="0.25">
      <c r="L282" s="164"/>
    </row>
    <row r="283" spans="12:12" x14ac:dyDescent="0.25">
      <c r="L283" s="164"/>
    </row>
    <row r="284" spans="12:12" x14ac:dyDescent="0.25">
      <c r="L284" s="164"/>
    </row>
    <row r="285" spans="12:12" x14ac:dyDescent="0.25">
      <c r="L285" s="164"/>
    </row>
    <row r="286" spans="12:12" x14ac:dyDescent="0.25">
      <c r="L286" s="164"/>
    </row>
    <row r="287" spans="12:12" x14ac:dyDescent="0.25">
      <c r="L287" s="164"/>
    </row>
    <row r="288" spans="12:12" x14ac:dyDescent="0.25">
      <c r="L288" s="164"/>
    </row>
    <row r="289" spans="5:24" x14ac:dyDescent="0.25">
      <c r="L289" s="164"/>
    </row>
    <row r="290" spans="5:24" x14ac:dyDescent="0.25">
      <c r="L290" s="164"/>
    </row>
    <row r="291" spans="5:24" x14ac:dyDescent="0.25">
      <c r="L291" s="164"/>
    </row>
    <row r="292" spans="5:24" x14ac:dyDescent="0.25">
      <c r="L292" s="164"/>
    </row>
    <row r="293" spans="5:24" ht="13" x14ac:dyDescent="0.3">
      <c r="L293" s="164"/>
      <c r="N293" s="132"/>
      <c r="O293" s="167"/>
      <c r="P293" s="12"/>
      <c r="Q293" s="12"/>
      <c r="R293" s="145"/>
      <c r="S293" s="145"/>
      <c r="T293" s="145"/>
      <c r="U293" s="145"/>
      <c r="V293" s="145"/>
      <c r="W293" s="168"/>
      <c r="X293" s="168"/>
    </row>
    <row r="294" spans="5:24" ht="13" x14ac:dyDescent="0.3">
      <c r="L294" s="164"/>
      <c r="N294" s="132"/>
      <c r="O294" s="167"/>
      <c r="P294" s="12"/>
      <c r="Q294" s="12"/>
      <c r="R294" s="145"/>
      <c r="S294" s="145"/>
      <c r="T294" s="145"/>
      <c r="U294" s="145"/>
      <c r="V294" s="145"/>
      <c r="W294" s="168"/>
      <c r="X294" s="168"/>
    </row>
    <row r="295" spans="5:24" ht="13" x14ac:dyDescent="0.3">
      <c r="L295" s="164"/>
      <c r="N295" s="132"/>
      <c r="O295" s="167"/>
      <c r="P295" s="12"/>
      <c r="Q295" s="12"/>
      <c r="R295" s="145"/>
      <c r="S295" s="145"/>
      <c r="T295" s="145"/>
      <c r="U295" s="145"/>
      <c r="V295" s="145"/>
      <c r="W295" s="168"/>
      <c r="X295" s="168"/>
    </row>
    <row r="296" spans="5:24" ht="13" x14ac:dyDescent="0.3">
      <c r="L296" s="164"/>
      <c r="N296" s="132"/>
      <c r="O296" s="167"/>
      <c r="P296" s="12"/>
      <c r="Q296" s="12"/>
      <c r="R296" s="145"/>
      <c r="S296" s="145"/>
      <c r="T296" s="145"/>
      <c r="U296" s="145"/>
      <c r="V296" s="145"/>
      <c r="W296" s="168"/>
      <c r="X296" s="168"/>
    </row>
    <row r="297" spans="5:24" ht="13" x14ac:dyDescent="0.3">
      <c r="L297" s="164"/>
      <c r="N297" s="132"/>
      <c r="O297" s="167"/>
      <c r="P297" s="12"/>
      <c r="Q297" s="12"/>
      <c r="R297" s="145"/>
      <c r="S297" s="145"/>
      <c r="T297" s="145"/>
      <c r="U297" s="145"/>
      <c r="V297" s="145"/>
      <c r="W297" s="168"/>
      <c r="X297" s="168"/>
    </row>
    <row r="298" spans="5:24" ht="13" x14ac:dyDescent="0.3">
      <c r="L298" s="164"/>
      <c r="N298" s="132"/>
      <c r="O298" s="167"/>
      <c r="P298" s="12"/>
      <c r="Q298" s="12"/>
      <c r="R298" s="145"/>
      <c r="S298" s="145"/>
      <c r="T298" s="145"/>
      <c r="U298" s="145"/>
      <c r="V298" s="145"/>
      <c r="W298" s="168"/>
      <c r="X298" s="168"/>
    </row>
    <row r="299" spans="5:24" ht="13" x14ac:dyDescent="0.3">
      <c r="L299" s="164"/>
      <c r="N299" s="132"/>
      <c r="O299" s="167"/>
      <c r="P299" s="12"/>
      <c r="Q299" s="12"/>
      <c r="R299" s="145"/>
      <c r="S299" s="145"/>
      <c r="T299" s="145"/>
      <c r="U299" s="145"/>
      <c r="V299" s="145"/>
      <c r="W299" s="168"/>
      <c r="X299" s="168"/>
    </row>
    <row r="300" spans="5:24" ht="13" x14ac:dyDescent="0.3">
      <c r="L300" s="164"/>
      <c r="N300" s="132"/>
      <c r="O300" s="167"/>
      <c r="P300" s="12"/>
      <c r="Q300" s="12"/>
      <c r="R300" s="145"/>
      <c r="S300" s="145"/>
      <c r="T300" s="145"/>
      <c r="U300" s="145"/>
      <c r="V300" s="145"/>
      <c r="W300" s="168"/>
      <c r="X300" s="168"/>
    </row>
    <row r="301" spans="5:24" ht="13" x14ac:dyDescent="0.3">
      <c r="E301" s="8"/>
      <c r="L301" s="164"/>
      <c r="N301" s="132"/>
      <c r="O301" s="167"/>
      <c r="P301" s="12"/>
      <c r="Q301" s="12"/>
      <c r="R301" s="145"/>
      <c r="S301" s="145"/>
      <c r="T301" s="145"/>
      <c r="U301" s="145"/>
      <c r="V301" s="145"/>
      <c r="W301" s="168"/>
      <c r="X301" s="168"/>
    </row>
    <row r="302" spans="5:24" ht="13" x14ac:dyDescent="0.3">
      <c r="E302" s="8"/>
      <c r="L302" s="164"/>
      <c r="N302" s="132"/>
      <c r="O302" s="167"/>
      <c r="P302" s="12"/>
      <c r="Q302" s="12"/>
      <c r="R302" s="145"/>
      <c r="S302" s="145"/>
      <c r="T302" s="145"/>
      <c r="U302" s="145"/>
      <c r="V302" s="145"/>
      <c r="W302" s="168"/>
      <c r="X302" s="168"/>
    </row>
    <row r="303" spans="5:24" ht="13" x14ac:dyDescent="0.3">
      <c r="N303" s="132"/>
      <c r="O303" s="167"/>
      <c r="P303" s="12"/>
      <c r="Q303" s="12"/>
      <c r="R303" s="145"/>
      <c r="S303" s="145"/>
      <c r="T303" s="145"/>
      <c r="U303" s="145"/>
      <c r="V303" s="145"/>
      <c r="W303" s="168"/>
      <c r="X303" s="168"/>
    </row>
    <row r="304" spans="5:24" ht="13" x14ac:dyDescent="0.3">
      <c r="N304" s="132"/>
      <c r="O304" s="167"/>
      <c r="P304" s="12"/>
      <c r="Q304" s="12"/>
      <c r="R304" s="145"/>
      <c r="S304" s="145"/>
      <c r="T304" s="145"/>
      <c r="U304" s="145"/>
      <c r="V304" s="145"/>
      <c r="W304" s="168"/>
      <c r="X304" s="168"/>
    </row>
    <row r="305" spans="1:24" ht="13" x14ac:dyDescent="0.3">
      <c r="N305" s="132"/>
      <c r="O305" s="167"/>
      <c r="P305" s="12"/>
      <c r="Q305" s="12"/>
      <c r="R305" s="145"/>
      <c r="S305" s="145"/>
      <c r="T305" s="145"/>
      <c r="U305" s="145"/>
      <c r="V305" s="145"/>
      <c r="W305" s="168"/>
      <c r="X305" s="168"/>
    </row>
    <row r="306" spans="1:24" ht="13" x14ac:dyDescent="0.3">
      <c r="N306" s="132"/>
      <c r="O306" s="167"/>
      <c r="P306" s="12"/>
      <c r="Q306" s="12"/>
      <c r="R306" s="145"/>
      <c r="S306" s="145"/>
      <c r="T306" s="145"/>
      <c r="U306" s="145"/>
      <c r="V306" s="145"/>
      <c r="W306" s="168"/>
      <c r="X306" s="168"/>
    </row>
    <row r="307" spans="1:24" ht="13" x14ac:dyDescent="0.3">
      <c r="A307" s="169"/>
      <c r="B307" s="169"/>
      <c r="C307" s="169"/>
      <c r="N307" s="132"/>
      <c r="O307" s="167"/>
      <c r="P307" s="12"/>
      <c r="Q307" s="12"/>
      <c r="R307" s="145"/>
      <c r="S307" s="145"/>
      <c r="T307" s="145"/>
      <c r="U307" s="145"/>
      <c r="V307" s="145"/>
      <c r="W307" s="168"/>
      <c r="X307" s="168"/>
    </row>
    <row r="308" spans="1:24" x14ac:dyDescent="0.25">
      <c r="A308" s="169"/>
      <c r="B308" s="169"/>
      <c r="C308" s="169"/>
    </row>
    <row r="309" spans="1:24" x14ac:dyDescent="0.25">
      <c r="A309" s="169"/>
      <c r="B309" s="169"/>
      <c r="C309" s="169"/>
      <c r="D309" s="169"/>
      <c r="E309" s="169"/>
      <c r="F309" s="169"/>
      <c r="G309" s="169"/>
    </row>
  </sheetData>
  <mergeCells count="112">
    <mergeCell ref="I5:K5"/>
    <mergeCell ref="D6:E6"/>
    <mergeCell ref="I6:K6"/>
    <mergeCell ref="D7:G7"/>
    <mergeCell ref="A9:C9"/>
    <mergeCell ref="D9:F9"/>
    <mergeCell ref="A1:D1"/>
    <mergeCell ref="F1:H1"/>
    <mergeCell ref="I1:K1"/>
    <mergeCell ref="A2:B7"/>
    <mergeCell ref="D2:E2"/>
    <mergeCell ref="D3:G3"/>
    <mergeCell ref="I3:K3"/>
    <mergeCell ref="D4:G4"/>
    <mergeCell ref="I4:K4"/>
    <mergeCell ref="D5:E5"/>
    <mergeCell ref="A12:C12"/>
    <mergeCell ref="D12:F12"/>
    <mergeCell ref="A13:C13"/>
    <mergeCell ref="D13:F13"/>
    <mergeCell ref="A10:C10"/>
    <mergeCell ref="D10:F10"/>
    <mergeCell ref="A11:C11"/>
    <mergeCell ref="D11:F11"/>
    <mergeCell ref="A16:C16"/>
    <mergeCell ref="D16:F16"/>
    <mergeCell ref="A26:C26"/>
    <mergeCell ref="A27:C27"/>
    <mergeCell ref="A23:C23"/>
    <mergeCell ref="A24:C24"/>
    <mergeCell ref="A25:C25"/>
    <mergeCell ref="A34:B34"/>
    <mergeCell ref="A17:C17"/>
    <mergeCell ref="D17:F17"/>
    <mergeCell ref="A14:C14"/>
    <mergeCell ref="D14:F14"/>
    <mergeCell ref="A15:C15"/>
    <mergeCell ref="D15:F15"/>
    <mergeCell ref="A20:C20"/>
    <mergeCell ref="A21:C21"/>
    <mergeCell ref="A22:C22"/>
    <mergeCell ref="A18:C18"/>
    <mergeCell ref="D18:F18"/>
    <mergeCell ref="A19:C19"/>
    <mergeCell ref="D19:F19"/>
    <mergeCell ref="A28:C28"/>
    <mergeCell ref="A29:C29"/>
    <mergeCell ref="A38:C38"/>
    <mergeCell ref="E38:I38"/>
    <mergeCell ref="J38:K38"/>
    <mergeCell ref="A39:C39"/>
    <mergeCell ref="J39:K39"/>
    <mergeCell ref="A40:C40"/>
    <mergeCell ref="J40:K40"/>
    <mergeCell ref="A35:C35"/>
    <mergeCell ref="A36:C36"/>
    <mergeCell ref="A37:C37"/>
    <mergeCell ref="A44:C44"/>
    <mergeCell ref="J44:K44"/>
    <mergeCell ref="A45:C45"/>
    <mergeCell ref="J45:K45"/>
    <mergeCell ref="A46:C46"/>
    <mergeCell ref="J46:K46"/>
    <mergeCell ref="A41:C41"/>
    <mergeCell ref="J41:K41"/>
    <mergeCell ref="A42:C42"/>
    <mergeCell ref="J42:K42"/>
    <mergeCell ref="A43:C43"/>
    <mergeCell ref="J43:K43"/>
    <mergeCell ref="J54:K54"/>
    <mergeCell ref="A55:B55"/>
    <mergeCell ref="J55:K55"/>
    <mergeCell ref="A54:C54"/>
    <mergeCell ref="A50:C50"/>
    <mergeCell ref="J50:K50"/>
    <mergeCell ref="A56:C56"/>
    <mergeCell ref="A57:C57"/>
    <mergeCell ref="A47:C47"/>
    <mergeCell ref="J47:K47"/>
    <mergeCell ref="A48:C48"/>
    <mergeCell ref="J48:K48"/>
    <mergeCell ref="A49:C49"/>
    <mergeCell ref="J49:K49"/>
    <mergeCell ref="A51:C51"/>
    <mergeCell ref="J51:K51"/>
    <mergeCell ref="J52:K52"/>
    <mergeCell ref="J53:K53"/>
    <mergeCell ref="A52:C52"/>
    <mergeCell ref="A53:C53"/>
    <mergeCell ref="A64:C64"/>
    <mergeCell ref="A65:C65"/>
    <mergeCell ref="A66:C66"/>
    <mergeCell ref="A75:C75"/>
    <mergeCell ref="A76:C76"/>
    <mergeCell ref="A77:C77"/>
    <mergeCell ref="A58:C58"/>
    <mergeCell ref="A59:C59"/>
    <mergeCell ref="A60:C60"/>
    <mergeCell ref="A61:C61"/>
    <mergeCell ref="A62:C62"/>
    <mergeCell ref="A63:C63"/>
    <mergeCell ref="A78:C78"/>
    <mergeCell ref="J78:K78"/>
    <mergeCell ref="A79:C79"/>
    <mergeCell ref="A70:C70"/>
    <mergeCell ref="J70:K70"/>
    <mergeCell ref="A71:C71"/>
    <mergeCell ref="A73:C73"/>
    <mergeCell ref="A74:C74"/>
    <mergeCell ref="A67:C67"/>
    <mergeCell ref="A68:C68"/>
    <mergeCell ref="A69:C69"/>
  </mergeCells>
  <phoneticPr fontId="22" type="noConversion"/>
  <conditionalFormatting sqref="E53:I53 E59 E36:E37 E62 E76:E77 E39:I49 E64:E66 E24:F28">
    <cfRule type="expression" dxfId="9" priority="11" stopIfTrue="1">
      <formula>NOT(ISBLANK(E24))</formula>
    </cfRule>
  </conditionalFormatting>
  <conditionalFormatting sqref="A35:K37 A22:K26 K13:K14 G13:J13 A13:F14 A71:K71 A53:C54 E53:K54 D53 A40:K41 A44:K49 A63:K69">
    <cfRule type="expression" dxfId="8" priority="8" stopIfTrue="1">
      <formula>$L13="Not Req'd"</formula>
    </cfRule>
  </conditionalFormatting>
  <conditionalFormatting sqref="C30">
    <cfRule type="expression" dxfId="7" priority="18" stopIfTrue="1">
      <formula>$L14="Not Req'd"</formula>
    </cfRule>
  </conditionalFormatting>
  <conditionalFormatting sqref="C33">
    <cfRule type="expression" dxfId="6" priority="25" stopIfTrue="1">
      <formula>$L14="Not Req'd"</formula>
    </cfRule>
  </conditionalFormatting>
  <conditionalFormatting sqref="C32">
    <cfRule type="expression" dxfId="5" priority="32" stopIfTrue="1">
      <formula>$L14="Not Req'd"</formula>
    </cfRule>
  </conditionalFormatting>
  <conditionalFormatting sqref="C31">
    <cfRule type="expression" dxfId="4" priority="39" stopIfTrue="1">
      <formula>$L14="Not Req'd"</formula>
    </cfRule>
  </conditionalFormatting>
  <conditionalFormatting sqref="F39:I49">
    <cfRule type="expression" dxfId="3" priority="4" stopIfTrue="1">
      <formula>NOT(ISBLANK(F39))</formula>
    </cfRule>
  </conditionalFormatting>
  <conditionalFormatting sqref="F40:I41 F44:I49">
    <cfRule type="expression" dxfId="2" priority="3" stopIfTrue="1">
      <formula>$L40="Not Req'd"</formula>
    </cfRule>
  </conditionalFormatting>
  <conditionalFormatting sqref="E39:H49">
    <cfRule type="expression" dxfId="1" priority="2" stopIfTrue="1">
      <formula>NOT(ISBLANK(E39))</formula>
    </cfRule>
  </conditionalFormatting>
  <conditionalFormatting sqref="E40:H41 E44:H49">
    <cfRule type="expression" dxfId="0" priority="1" stopIfTrue="1">
      <formula>$L40="Not Req'd"</formula>
    </cfRule>
  </conditionalFormatting>
  <dataValidations count="24">
    <dataValidation type="list" allowBlank="1" showInputMessage="1" showErrorMessage="1" sqref="D60 D54" xr:uid="{00000000-0002-0000-0000-000000000000}">
      <formula1>"psi, bar"</formula1>
    </dataValidation>
    <dataValidation type="list" allowBlank="1" showInputMessage="1" showErrorMessage="1" sqref="D57 D24" xr:uid="{00000000-0002-0000-0000-000001000000}">
      <formula1>"mm,in.,"</formula1>
    </dataValidation>
    <dataValidation type="list" allowBlank="1" showInputMessage="1" showErrorMessage="1" sqref="D67" xr:uid="{00000000-0002-0000-0000-000002000000}">
      <formula1>"in2, mm2"</formula1>
    </dataValidation>
    <dataValidation type="list" allowBlank="1" showInputMessage="1" showErrorMessage="1" sqref="D48" xr:uid="{00000000-0002-0000-0000-000003000000}">
      <formula1>"kg/m3,lb/ft3,g/cm3"</formula1>
    </dataValidation>
    <dataValidation type="list" allowBlank="1" showInputMessage="1" showErrorMessage="1" sqref="D44 D37" xr:uid="{00000000-0002-0000-0000-000004000000}">
      <formula1>"deg C,deg F,K,deg R"</formula1>
    </dataValidation>
    <dataValidation type="list" allowBlank="1" showInputMessage="1" showErrorMessage="1" sqref="D42 D36" xr:uid="{00000000-0002-0000-0000-000005000000}">
      <formula1>"barA,barG,MPaA,MPaG,psiA,psiG,kPaA,kPaG,kg/cm2A,kg/cm2G"</formula1>
    </dataValidation>
    <dataValidation type="list" allowBlank="1" showInputMessage="1" showErrorMessage="1" sqref="D41" xr:uid="{00000000-0002-0000-0000-000006000000}">
      <formula1>"Nm3/h,SCFH,SCFM,SCFD,MMSCFD,Nm3/s"</formula1>
    </dataValidation>
    <dataValidation type="list" allowBlank="1" showInputMessage="1" showErrorMessage="1" sqref="D40" xr:uid="{00000000-0002-0000-0000-000007000000}">
      <formula1>"kg/s,kg/h,lb/h,mt/h"</formula1>
    </dataValidation>
    <dataValidation type="list" allowBlank="1" showInputMessage="1" showErrorMessage="1" sqref="D50" xr:uid="{00000000-0002-0000-0000-000008000000}">
      <formula1>"Cv,Kv"</formula1>
    </dataValidation>
    <dataValidation type="list" allowBlank="1" showInputMessage="1" showErrorMessage="1" sqref="E27:F27" xr:uid="{00000000-0002-0000-0000-000009000000}">
      <formula1>NomValveSizes</formula1>
    </dataValidation>
    <dataValidation type="list" allowBlank="1" showInputMessage="1" showErrorMessage="1" sqref="D16" xr:uid="{00000000-0002-0000-0000-00000A000000}">
      <formula1>"Angle, Globe"</formula1>
    </dataValidation>
    <dataValidation type="list" allowBlank="1" showInputMessage="1" showErrorMessage="1" sqref="D17" xr:uid="{00000000-0002-0000-0000-00000B000000}">
      <formula1>"Flow to Open (UTP), Flow to Close (OTP)"</formula1>
    </dataValidation>
    <dataValidation type="list" allowBlank="1" showInputMessage="1" showErrorMessage="1" sqref="D19" xr:uid="{00000000-0002-0000-0000-00000C000000}">
      <formula1>"Ignore Correction, Calculate Correction"</formula1>
    </dataValidation>
    <dataValidation type="list" allowBlank="1" showInputMessage="1" showErrorMessage="1" sqref="D18" xr:uid="{00000000-0002-0000-0000-00000D000000}">
      <formula1>"None, 1 Stage, 2 Stage, 3 Stage"</formula1>
    </dataValidation>
    <dataValidation type="list" allowBlank="1" showInputMessage="1" showErrorMessage="1" sqref="E21:F21" xr:uid="{00000000-0002-0000-0000-00000E000000}">
      <formula1>"NPS &amp; Schd,OD &amp; t, OD &amp; ID"</formula1>
    </dataValidation>
    <dataValidation type="list" allowBlank="1" showInputMessage="1" showErrorMessage="1" sqref="F23" xr:uid="{00000000-0002-0000-0000-00000F000000}">
      <formula1>$G$230:$G$244</formula1>
    </dataValidation>
    <dataValidation type="list" allowBlank="1" showInputMessage="1" showErrorMessage="1" sqref="E23" xr:uid="{00000000-0002-0000-0000-000010000000}">
      <formula1>$F$230:$F$244</formula1>
    </dataValidation>
    <dataValidation type="list" allowBlank="1" showInputMessage="1" showErrorMessage="1" sqref="E22:F22" xr:uid="{00000000-0002-0000-0000-000011000000}">
      <formula1>$P$229:$AO$229</formula1>
    </dataValidation>
    <dataValidation type="list" allowBlank="1" showInputMessage="1" showErrorMessage="1" sqref="D15:F15" xr:uid="{00000000-0002-0000-0000-000012000000}">
      <formula1>ValveTypes</formula1>
    </dataValidation>
    <dataValidation type="list" allowBlank="1" showInputMessage="1" showErrorMessage="1" sqref="D12" xr:uid="{00000000-0002-0000-0000-000013000000}">
      <formula1>"Mass Flow Rate, Volume Flow Rate"</formula1>
    </dataValidation>
    <dataValidation type="list" allowBlank="1" showInputMessage="1" showErrorMessage="1" sqref="D13" xr:uid="{00000000-0002-0000-0000-000014000000}">
      <formula1>"Direct Input, Calculate from MW, Calculate from Spec Grav"</formula1>
    </dataValidation>
    <dataValidation type="list" allowBlank="1" showInputMessage="1" showErrorMessage="1" sqref="D14" xr:uid="{00000000-0002-0000-0000-000015000000}">
      <formula1>"Assume 1, Direct Input,Calculate from Pc &amp; Tc"</formula1>
    </dataValidation>
    <dataValidation type="list" allowBlank="1" showInputMessage="1" showErrorMessage="1" sqref="D10" xr:uid="{00000000-0002-0000-0000-000016000000}">
      <formula1>"Other, Turbine Bypass, Steam Conditioning"</formula1>
    </dataValidation>
    <dataValidation type="list" allowBlank="1" showInputMessage="1" showErrorMessage="1" sqref="D11:F11" xr:uid="{00000000-0002-0000-0000-000017000000}">
      <formula1>FluidList</formula1>
    </dataValidation>
  </dataValidations>
  <printOptions gridLinesSet="0"/>
  <pageMargins left="0.3" right="0" top="0.25" bottom="0.25" header="0.25" footer="0.25"/>
  <pageSetup scale="54" orientation="portrait" horizontalDpi="300" verticalDpi="300" r:id="rId1"/>
  <headerFooter alignWithMargins="0"/>
  <customProperties>
    <customPr name="BudgetSheetCodeName" r:id="rId2"/>
  </customProperties>
  <ignoredErrors>
    <ignoredError sqref="D36:D37 D41" unlockedFormula="1"/>
    <ignoredError sqref="D43" formula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8DC182-E888-4A0F-9C7A-26512AA67C8E}">
          <x14:formula1>
            <xm:f>ValveData!$D$27:$J$27</xm:f>
          </x14:formula1>
          <xm:sqref>E28:F28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indexed="22"/>
  </sheetPr>
  <dimension ref="A1:AR153"/>
  <sheetViews>
    <sheetView topLeftCell="A36" workbookViewId="0">
      <selection activeCell="A13" sqref="A13"/>
    </sheetView>
  </sheetViews>
  <sheetFormatPr defaultColWidth="9.1796875" defaultRowHeight="13" x14ac:dyDescent="0.3"/>
  <cols>
    <col min="1" max="2" width="25.7265625" style="31" customWidth="1"/>
    <col min="3" max="3" width="9.7265625" style="35" customWidth="1"/>
    <col min="4" max="7" width="9.7265625" style="31" customWidth="1"/>
    <col min="8" max="8" width="9.7265625" style="35" customWidth="1"/>
    <col min="9" max="14" width="9.7265625" style="31" customWidth="1"/>
    <col min="15" max="22" width="11.54296875" style="31" bestFit="1" customWidth="1"/>
    <col min="23" max="24" width="11.453125" style="31" customWidth="1"/>
    <col min="25" max="32" width="13.81640625" style="31" customWidth="1"/>
    <col min="33" max="34" width="11.453125" style="31" customWidth="1"/>
    <col min="35" max="35" width="11.81640625" style="31" customWidth="1"/>
    <col min="36" max="43" width="11.453125" style="31" customWidth="1"/>
    <col min="44" max="44" width="12.54296875" style="31" bestFit="1" customWidth="1"/>
    <col min="45" max="16384" width="9.1796875" style="31"/>
  </cols>
  <sheetData>
    <row r="1" spans="1:42" ht="15.5" x14ac:dyDescent="0.35">
      <c r="A1" s="3" t="s">
        <v>306</v>
      </c>
      <c r="B1" s="34" t="s">
        <v>307</v>
      </c>
      <c r="AO1" s="35">
        <v>104</v>
      </c>
      <c r="AP1" s="31" t="s">
        <v>308</v>
      </c>
    </row>
    <row r="2" spans="1:42" x14ac:dyDescent="0.3">
      <c r="A2" s="34"/>
      <c r="AO2" s="35"/>
    </row>
    <row r="3" spans="1:42" x14ac:dyDescent="0.3">
      <c r="A3" s="34" t="s">
        <v>309</v>
      </c>
      <c r="AO3" s="35">
        <f>Conv("T",AO1,$AP$1,AP3)</f>
        <v>563.66999999999996</v>
      </c>
      <c r="AP3" s="31" t="s">
        <v>310</v>
      </c>
    </row>
    <row r="4" spans="1:42" x14ac:dyDescent="0.3">
      <c r="A4" s="31" t="s">
        <v>311</v>
      </c>
      <c r="AO4" s="35">
        <f>Conv("T",AO1,$AP$1,AP4)</f>
        <v>40</v>
      </c>
      <c r="AP4" s="31" t="s">
        <v>312</v>
      </c>
    </row>
    <row r="5" spans="1:42" x14ac:dyDescent="0.3">
      <c r="A5" s="36" t="s">
        <v>313</v>
      </c>
      <c r="AO5" s="35">
        <f>Conv("T",AO1,$AP$1,AP5)</f>
        <v>313.14999999999998</v>
      </c>
      <c r="AP5" s="31" t="s">
        <v>314</v>
      </c>
    </row>
    <row r="6" spans="1:42" x14ac:dyDescent="0.3">
      <c r="B6" s="36"/>
      <c r="AO6" s="35"/>
    </row>
    <row r="7" spans="1:42" x14ac:dyDescent="0.3">
      <c r="A7" s="34" t="s">
        <v>315</v>
      </c>
      <c r="B7" s="36"/>
      <c r="AO7" s="35"/>
    </row>
    <row r="8" spans="1:42" x14ac:dyDescent="0.3">
      <c r="B8" s="36"/>
      <c r="AO8" s="35"/>
    </row>
    <row r="9" spans="1:42" x14ac:dyDescent="0.3">
      <c r="A9" s="34" t="s">
        <v>316</v>
      </c>
      <c r="B9" s="34" t="s">
        <v>317</v>
      </c>
      <c r="AO9" s="35"/>
    </row>
    <row r="10" spans="1:42" x14ac:dyDescent="0.3">
      <c r="A10" s="34" t="s">
        <v>318</v>
      </c>
      <c r="B10" s="34" t="s">
        <v>319</v>
      </c>
      <c r="AO10" s="35"/>
    </row>
    <row r="11" spans="1:42" x14ac:dyDescent="0.3">
      <c r="A11" s="34" t="s">
        <v>320</v>
      </c>
      <c r="B11" s="34" t="s">
        <v>320</v>
      </c>
      <c r="AO11" s="35"/>
    </row>
    <row r="12" spans="1:42" x14ac:dyDescent="0.3">
      <c r="A12" s="34" t="s">
        <v>321</v>
      </c>
      <c r="B12" s="34" t="s">
        <v>321</v>
      </c>
      <c r="AO12" s="35"/>
    </row>
    <row r="13" spans="1:42" x14ac:dyDescent="0.3">
      <c r="A13" s="34" t="s">
        <v>322</v>
      </c>
      <c r="B13" s="34" t="s">
        <v>322</v>
      </c>
      <c r="AO13" s="35"/>
    </row>
    <row r="14" spans="1:42" x14ac:dyDescent="0.3">
      <c r="A14" s="34" t="s">
        <v>323</v>
      </c>
      <c r="B14" s="34" t="s">
        <v>321</v>
      </c>
      <c r="AO14" s="35"/>
    </row>
    <row r="15" spans="1:42" x14ac:dyDescent="0.3">
      <c r="A15" s="34" t="s">
        <v>324</v>
      </c>
      <c r="B15" s="34" t="s">
        <v>322</v>
      </c>
      <c r="AO15" s="35"/>
    </row>
    <row r="16" spans="1:42" x14ac:dyDescent="0.3">
      <c r="A16" s="34" t="s">
        <v>325</v>
      </c>
      <c r="B16" s="34" t="s">
        <v>326</v>
      </c>
      <c r="AO16" s="35"/>
    </row>
    <row r="17" spans="1:41" x14ac:dyDescent="0.3">
      <c r="A17" s="34" t="s">
        <v>327</v>
      </c>
      <c r="B17" s="34" t="s">
        <v>328</v>
      </c>
      <c r="AO17" s="35"/>
    </row>
    <row r="18" spans="1:41" x14ac:dyDescent="0.3">
      <c r="A18" s="34" t="s">
        <v>329</v>
      </c>
      <c r="B18" s="34" t="s">
        <v>321</v>
      </c>
      <c r="AO18" s="35"/>
    </row>
    <row r="19" spans="1:41" x14ac:dyDescent="0.3">
      <c r="A19" s="34" t="s">
        <v>330</v>
      </c>
      <c r="B19" s="34" t="s">
        <v>331</v>
      </c>
      <c r="AO19" s="35"/>
    </row>
    <row r="20" spans="1:41" x14ac:dyDescent="0.3">
      <c r="A20" s="34" t="s">
        <v>332</v>
      </c>
      <c r="B20" s="34" t="s">
        <v>333</v>
      </c>
      <c r="AO20" s="35"/>
    </row>
    <row r="21" spans="1:41" x14ac:dyDescent="0.3">
      <c r="A21" s="34" t="s">
        <v>334</v>
      </c>
      <c r="B21" s="34" t="s">
        <v>334</v>
      </c>
      <c r="AO21" s="35"/>
    </row>
    <row r="22" spans="1:41" x14ac:dyDescent="0.3">
      <c r="A22" s="34" t="s">
        <v>335</v>
      </c>
      <c r="B22" s="34" t="s">
        <v>335</v>
      </c>
      <c r="AO22" s="35"/>
    </row>
    <row r="23" spans="1:41" x14ac:dyDescent="0.3">
      <c r="A23" s="34" t="s">
        <v>336</v>
      </c>
      <c r="B23" s="34" t="s">
        <v>337</v>
      </c>
      <c r="AO23" s="35"/>
    </row>
    <row r="24" spans="1:41" x14ac:dyDescent="0.3">
      <c r="A24" s="34" t="s">
        <v>338</v>
      </c>
      <c r="B24" s="34" t="s">
        <v>338</v>
      </c>
      <c r="AO24" s="35"/>
    </row>
    <row r="25" spans="1:41" x14ac:dyDescent="0.3">
      <c r="A25" s="34" t="s">
        <v>339</v>
      </c>
      <c r="B25" s="34" t="s">
        <v>339</v>
      </c>
      <c r="AO25" s="35"/>
    </row>
    <row r="26" spans="1:41" x14ac:dyDescent="0.3">
      <c r="A26" s="34" t="s">
        <v>340</v>
      </c>
      <c r="B26" s="34" t="s">
        <v>340</v>
      </c>
      <c r="AO26" s="35"/>
    </row>
    <row r="27" spans="1:41" x14ac:dyDescent="0.3">
      <c r="A27" s="34" t="s">
        <v>341</v>
      </c>
      <c r="B27" s="34" t="s">
        <v>341</v>
      </c>
      <c r="AO27" s="35"/>
    </row>
    <row r="28" spans="1:41" x14ac:dyDescent="0.3">
      <c r="A28" s="34" t="s">
        <v>342</v>
      </c>
      <c r="B28" s="34" t="s">
        <v>342</v>
      </c>
      <c r="AO28" s="35"/>
    </row>
    <row r="29" spans="1:41" x14ac:dyDescent="0.3">
      <c r="A29" s="34" t="s">
        <v>326</v>
      </c>
      <c r="B29" s="34" t="s">
        <v>326</v>
      </c>
      <c r="AO29" s="35"/>
    </row>
    <row r="30" spans="1:41" x14ac:dyDescent="0.3">
      <c r="A30" s="34" t="s">
        <v>343</v>
      </c>
      <c r="B30" s="34" t="s">
        <v>343</v>
      </c>
      <c r="AO30" s="35"/>
    </row>
    <row r="31" spans="1:41" x14ac:dyDescent="0.3">
      <c r="A31" s="34" t="s">
        <v>344</v>
      </c>
      <c r="B31" s="34" t="s">
        <v>344</v>
      </c>
      <c r="AO31" s="35"/>
    </row>
    <row r="32" spans="1:41" x14ac:dyDescent="0.3">
      <c r="A32" s="34" t="s">
        <v>345</v>
      </c>
      <c r="B32" s="34" t="s">
        <v>345</v>
      </c>
      <c r="AO32" s="35"/>
    </row>
    <row r="33" spans="1:41" x14ac:dyDescent="0.3">
      <c r="A33" s="34" t="s">
        <v>346</v>
      </c>
      <c r="B33" s="34" t="s">
        <v>346</v>
      </c>
      <c r="AO33" s="35"/>
    </row>
    <row r="34" spans="1:41" x14ac:dyDescent="0.3">
      <c r="A34" s="34" t="s">
        <v>347</v>
      </c>
      <c r="B34" s="34" t="s">
        <v>347</v>
      </c>
      <c r="AO34" s="35"/>
    </row>
    <row r="35" spans="1:41" x14ac:dyDescent="0.3">
      <c r="A35" s="34" t="s">
        <v>348</v>
      </c>
      <c r="B35" s="34" t="s">
        <v>348</v>
      </c>
      <c r="AO35" s="35"/>
    </row>
    <row r="36" spans="1:41" x14ac:dyDescent="0.3">
      <c r="A36" s="34" t="s">
        <v>349</v>
      </c>
      <c r="B36" s="34" t="s">
        <v>349</v>
      </c>
      <c r="AO36" s="35"/>
    </row>
    <row r="37" spans="1:41" x14ac:dyDescent="0.3">
      <c r="A37" s="34" t="s">
        <v>350</v>
      </c>
      <c r="B37" s="34" t="s">
        <v>350</v>
      </c>
      <c r="AO37" s="35"/>
    </row>
    <row r="38" spans="1:41" x14ac:dyDescent="0.3">
      <c r="A38" s="34" t="s">
        <v>337</v>
      </c>
      <c r="B38" s="34" t="s">
        <v>337</v>
      </c>
      <c r="AO38" s="35"/>
    </row>
    <row r="39" spans="1:41" x14ac:dyDescent="0.3">
      <c r="A39" s="34" t="s">
        <v>351</v>
      </c>
      <c r="B39" s="34" t="s">
        <v>333</v>
      </c>
      <c r="AO39" s="35"/>
    </row>
    <row r="40" spans="1:41" x14ac:dyDescent="0.3">
      <c r="A40" s="34" t="s">
        <v>352</v>
      </c>
      <c r="B40" s="34" t="s">
        <v>337</v>
      </c>
      <c r="AO40" s="35"/>
    </row>
    <row r="41" spans="1:41" x14ac:dyDescent="0.3">
      <c r="A41" s="34" t="s">
        <v>353</v>
      </c>
      <c r="B41" s="34" t="s">
        <v>353</v>
      </c>
      <c r="AO41" s="35"/>
    </row>
    <row r="42" spans="1:41" x14ac:dyDescent="0.3">
      <c r="A42" s="34" t="s">
        <v>333</v>
      </c>
      <c r="B42" s="34" t="s">
        <v>333</v>
      </c>
      <c r="AO42" s="35"/>
    </row>
    <row r="43" spans="1:41" x14ac:dyDescent="0.3">
      <c r="A43" s="34" t="s">
        <v>354</v>
      </c>
      <c r="B43" s="34" t="s">
        <v>349</v>
      </c>
      <c r="AO43" s="35"/>
    </row>
    <row r="44" spans="1:41" x14ac:dyDescent="0.3">
      <c r="A44" s="34" t="s">
        <v>355</v>
      </c>
      <c r="B44" s="34" t="s">
        <v>355</v>
      </c>
      <c r="AO44" s="35"/>
    </row>
    <row r="45" spans="1:41" x14ac:dyDescent="0.3">
      <c r="A45" s="34" t="s">
        <v>356</v>
      </c>
      <c r="B45" s="34" t="s">
        <v>356</v>
      </c>
      <c r="AO45" s="35"/>
    </row>
    <row r="46" spans="1:41" x14ac:dyDescent="0.3">
      <c r="A46" s="34" t="s">
        <v>357</v>
      </c>
      <c r="B46" s="34" t="s">
        <v>357</v>
      </c>
      <c r="AO46" s="35"/>
    </row>
    <row r="47" spans="1:41" x14ac:dyDescent="0.3">
      <c r="A47" s="34" t="s">
        <v>358</v>
      </c>
      <c r="B47" s="34" t="s">
        <v>358</v>
      </c>
      <c r="AO47" s="35"/>
    </row>
    <row r="48" spans="1:41" x14ac:dyDescent="0.3">
      <c r="A48" s="34" t="s">
        <v>359</v>
      </c>
      <c r="B48" s="34" t="s">
        <v>359</v>
      </c>
      <c r="AO48" s="35"/>
    </row>
    <row r="49" spans="1:41" x14ac:dyDescent="0.3">
      <c r="A49" s="34" t="s">
        <v>360</v>
      </c>
      <c r="B49" s="34" t="s">
        <v>360</v>
      </c>
      <c r="AO49" s="35"/>
    </row>
    <row r="50" spans="1:41" x14ac:dyDescent="0.3">
      <c r="A50" s="34" t="s">
        <v>361</v>
      </c>
      <c r="B50" s="34" t="s">
        <v>361</v>
      </c>
      <c r="AO50" s="35"/>
    </row>
    <row r="51" spans="1:41" x14ac:dyDescent="0.3">
      <c r="A51" s="34" t="s">
        <v>362</v>
      </c>
      <c r="B51" s="34" t="s">
        <v>321</v>
      </c>
      <c r="AO51" s="35"/>
    </row>
    <row r="52" spans="1:41" x14ac:dyDescent="0.3">
      <c r="A52" s="34" t="s">
        <v>363</v>
      </c>
      <c r="B52" s="34" t="s">
        <v>321</v>
      </c>
      <c r="AO52" s="35"/>
    </row>
    <row r="53" spans="1:41" x14ac:dyDescent="0.3">
      <c r="A53" s="34" t="s">
        <v>364</v>
      </c>
      <c r="B53" s="34" t="s">
        <v>328</v>
      </c>
      <c r="AO53" s="35"/>
    </row>
    <row r="54" spans="1:41" x14ac:dyDescent="0.3">
      <c r="A54" s="34" t="s">
        <v>365</v>
      </c>
      <c r="B54" s="34" t="s">
        <v>322</v>
      </c>
      <c r="AO54" s="35"/>
    </row>
    <row r="55" spans="1:41" x14ac:dyDescent="0.3">
      <c r="A55" s="34" t="s">
        <v>366</v>
      </c>
      <c r="B55" s="34" t="s">
        <v>341</v>
      </c>
      <c r="AO55" s="35"/>
    </row>
    <row r="56" spans="1:41" x14ac:dyDescent="0.3">
      <c r="A56" s="34" t="s">
        <v>367</v>
      </c>
      <c r="B56" s="34" t="s">
        <v>326</v>
      </c>
      <c r="AO56" s="35"/>
    </row>
    <row r="57" spans="1:41" x14ac:dyDescent="0.3">
      <c r="A57" s="34" t="s">
        <v>368</v>
      </c>
      <c r="B57" s="34" t="s">
        <v>368</v>
      </c>
      <c r="AO57" s="35"/>
    </row>
    <row r="58" spans="1:41" x14ac:dyDescent="0.3">
      <c r="A58" s="34" t="s">
        <v>369</v>
      </c>
      <c r="B58" s="34" t="s">
        <v>370</v>
      </c>
      <c r="AO58" s="35"/>
    </row>
    <row r="59" spans="1:41" x14ac:dyDescent="0.3">
      <c r="A59" s="34" t="s">
        <v>370</v>
      </c>
      <c r="B59" s="34" t="s">
        <v>370</v>
      </c>
      <c r="AO59" s="35"/>
    </row>
    <row r="60" spans="1:41" x14ac:dyDescent="0.3">
      <c r="A60" s="34" t="s">
        <v>371</v>
      </c>
      <c r="B60" s="34" t="s">
        <v>371</v>
      </c>
      <c r="AO60" s="35"/>
    </row>
    <row r="61" spans="1:41" x14ac:dyDescent="0.3">
      <c r="A61" s="34" t="s">
        <v>372</v>
      </c>
      <c r="B61" s="34" t="s">
        <v>372</v>
      </c>
      <c r="AO61" s="35"/>
    </row>
    <row r="62" spans="1:41" x14ac:dyDescent="0.3">
      <c r="A62" s="34" t="s">
        <v>373</v>
      </c>
      <c r="B62" s="34" t="s">
        <v>373</v>
      </c>
      <c r="AO62" s="35"/>
    </row>
    <row r="63" spans="1:41" x14ac:dyDescent="0.3">
      <c r="A63" s="34" t="s">
        <v>374</v>
      </c>
      <c r="B63" s="34" t="s">
        <v>374</v>
      </c>
      <c r="AO63" s="35"/>
    </row>
    <row r="64" spans="1:41" x14ac:dyDescent="0.3">
      <c r="A64" s="34" t="s">
        <v>375</v>
      </c>
      <c r="B64" s="34" t="s">
        <v>375</v>
      </c>
      <c r="AO64" s="35"/>
    </row>
    <row r="65" spans="1:41" x14ac:dyDescent="0.3">
      <c r="A65" s="34" t="s">
        <v>376</v>
      </c>
      <c r="B65" s="34" t="s">
        <v>376</v>
      </c>
      <c r="AO65" s="35"/>
    </row>
    <row r="66" spans="1:41" x14ac:dyDescent="0.3">
      <c r="A66" s="34" t="s">
        <v>377</v>
      </c>
      <c r="B66" s="34" t="s">
        <v>342</v>
      </c>
      <c r="AO66" s="35"/>
    </row>
    <row r="67" spans="1:41" x14ac:dyDescent="0.3">
      <c r="A67" s="34" t="s">
        <v>378</v>
      </c>
      <c r="B67" s="34" t="s">
        <v>348</v>
      </c>
      <c r="AO67" s="35"/>
    </row>
    <row r="68" spans="1:41" x14ac:dyDescent="0.3">
      <c r="A68" s="34" t="s">
        <v>379</v>
      </c>
      <c r="B68" s="34" t="s">
        <v>356</v>
      </c>
      <c r="AO68" s="35"/>
    </row>
    <row r="69" spans="1:41" x14ac:dyDescent="0.3">
      <c r="A69" s="34" t="s">
        <v>380</v>
      </c>
      <c r="B69" s="34" t="s">
        <v>357</v>
      </c>
      <c r="AO69" s="35"/>
    </row>
    <row r="70" spans="1:41" x14ac:dyDescent="0.3">
      <c r="A70" s="34" t="s">
        <v>381</v>
      </c>
      <c r="B70" s="34" t="s">
        <v>376</v>
      </c>
      <c r="AO70" s="35"/>
    </row>
    <row r="71" spans="1:41" x14ac:dyDescent="0.3">
      <c r="A71" s="34" t="s">
        <v>382</v>
      </c>
      <c r="B71" s="34" t="s">
        <v>383</v>
      </c>
      <c r="AO71" s="35"/>
    </row>
    <row r="72" spans="1:41" x14ac:dyDescent="0.3">
      <c r="A72" s="34" t="s">
        <v>384</v>
      </c>
      <c r="B72" s="34" t="s">
        <v>385</v>
      </c>
      <c r="AO72" s="35"/>
    </row>
    <row r="73" spans="1:41" x14ac:dyDescent="0.3">
      <c r="A73" s="34" t="s">
        <v>386</v>
      </c>
      <c r="B73" s="34" t="s">
        <v>387</v>
      </c>
      <c r="AO73" s="35"/>
    </row>
    <row r="74" spans="1:41" x14ac:dyDescent="0.3">
      <c r="A74" s="34" t="s">
        <v>383</v>
      </c>
      <c r="B74" s="34" t="s">
        <v>383</v>
      </c>
      <c r="AO74" s="35"/>
    </row>
    <row r="75" spans="1:41" x14ac:dyDescent="0.3">
      <c r="A75" s="34" t="s">
        <v>388</v>
      </c>
      <c r="B75" s="34" t="s">
        <v>388</v>
      </c>
      <c r="AO75" s="35"/>
    </row>
    <row r="76" spans="1:41" x14ac:dyDescent="0.3">
      <c r="A76" s="34" t="s">
        <v>385</v>
      </c>
      <c r="B76" s="34" t="s">
        <v>385</v>
      </c>
      <c r="AO76" s="35"/>
    </row>
    <row r="77" spans="1:41" x14ac:dyDescent="0.3">
      <c r="A77" s="34" t="s">
        <v>328</v>
      </c>
      <c r="B77" s="34" t="s">
        <v>328</v>
      </c>
      <c r="AO77" s="35"/>
    </row>
    <row r="78" spans="1:41" x14ac:dyDescent="0.3">
      <c r="A78" s="34" t="s">
        <v>331</v>
      </c>
      <c r="B78" s="34" t="s">
        <v>331</v>
      </c>
      <c r="AO78" s="35"/>
    </row>
    <row r="79" spans="1:41" x14ac:dyDescent="0.3">
      <c r="A79" s="34" t="s">
        <v>387</v>
      </c>
      <c r="B79" s="34" t="s">
        <v>387</v>
      </c>
      <c r="AO79" s="35"/>
    </row>
    <row r="80" spans="1:41" x14ac:dyDescent="0.3">
      <c r="A80" s="34" t="s">
        <v>389</v>
      </c>
      <c r="B80" s="34" t="s">
        <v>389</v>
      </c>
      <c r="AO80" s="35"/>
    </row>
    <row r="81" spans="1:41" x14ac:dyDescent="0.3">
      <c r="A81" s="34" t="s">
        <v>390</v>
      </c>
      <c r="B81" s="34" t="s">
        <v>321</v>
      </c>
      <c r="AO81" s="35"/>
    </row>
    <row r="82" spans="1:41" x14ac:dyDescent="0.3">
      <c r="A82" s="34" t="s">
        <v>391</v>
      </c>
      <c r="B82" s="34" t="s">
        <v>389</v>
      </c>
      <c r="AO82" s="35"/>
    </row>
    <row r="83" spans="1:41" x14ac:dyDescent="0.3">
      <c r="A83" s="34" t="s">
        <v>392</v>
      </c>
      <c r="B83" s="34" t="s">
        <v>392</v>
      </c>
      <c r="AO83" s="35"/>
    </row>
    <row r="84" spans="1:41" x14ac:dyDescent="0.3">
      <c r="A84" s="34" t="s">
        <v>393</v>
      </c>
      <c r="B84" s="34" t="s">
        <v>393</v>
      </c>
      <c r="AO84" s="35"/>
    </row>
    <row r="85" spans="1:41" x14ac:dyDescent="0.3">
      <c r="A85" s="34" t="s">
        <v>319</v>
      </c>
      <c r="B85" s="34" t="s">
        <v>319</v>
      </c>
      <c r="AO85" s="35"/>
    </row>
    <row r="86" spans="1:41" x14ac:dyDescent="0.3">
      <c r="B86" s="36"/>
      <c r="AO86" s="35"/>
    </row>
    <row r="87" spans="1:41" x14ac:dyDescent="0.3">
      <c r="B87" s="36"/>
      <c r="H87" s="31"/>
      <c r="AO87" s="35"/>
    </row>
    <row r="88" spans="1:41" x14ac:dyDescent="0.3">
      <c r="B88" s="36"/>
      <c r="C88" s="31"/>
      <c r="H88" s="31"/>
      <c r="AO88" s="35"/>
    </row>
    <row r="89" spans="1:41" x14ac:dyDescent="0.3">
      <c r="B89" s="36"/>
      <c r="C89" s="31"/>
      <c r="H89" s="31"/>
      <c r="AO89" s="35"/>
    </row>
    <row r="90" spans="1:41" x14ac:dyDescent="0.3">
      <c r="B90" s="36"/>
      <c r="C90" s="31"/>
      <c r="H90" s="31"/>
      <c r="AO90" s="35"/>
    </row>
    <row r="91" spans="1:41" x14ac:dyDescent="0.3">
      <c r="B91" s="36"/>
      <c r="C91" s="31"/>
      <c r="H91" s="31"/>
      <c r="AO91" s="35"/>
    </row>
    <row r="92" spans="1:41" x14ac:dyDescent="0.3">
      <c r="B92" s="36"/>
      <c r="C92" s="31"/>
      <c r="AO92" s="35"/>
    </row>
    <row r="93" spans="1:41" x14ac:dyDescent="0.3">
      <c r="B93" s="36"/>
      <c r="C93" s="31"/>
      <c r="AO93" s="35"/>
    </row>
    <row r="94" spans="1:41" x14ac:dyDescent="0.3">
      <c r="B94" s="36"/>
      <c r="C94" s="31"/>
      <c r="AO94" s="35"/>
    </row>
    <row r="95" spans="1:41" x14ac:dyDescent="0.3">
      <c r="B95" s="36"/>
      <c r="AO95" s="35"/>
    </row>
    <row r="96" spans="1:41" x14ac:dyDescent="0.3">
      <c r="B96" s="36"/>
      <c r="AO96" s="35"/>
    </row>
    <row r="97" spans="1:44" x14ac:dyDescent="0.3">
      <c r="B97" s="36"/>
      <c r="AO97" s="35"/>
    </row>
    <row r="98" spans="1:44" x14ac:dyDescent="0.3">
      <c r="B98" s="37" t="s">
        <v>394</v>
      </c>
      <c r="AO98" s="35"/>
    </row>
    <row r="99" spans="1:44" ht="12.5" x14ac:dyDescent="0.25">
      <c r="B99" s="38">
        <v>1</v>
      </c>
      <c r="C99" s="38">
        <v>2</v>
      </c>
      <c r="D99" s="38">
        <v>3</v>
      </c>
      <c r="E99" s="38">
        <v>4</v>
      </c>
      <c r="F99" s="38">
        <v>5</v>
      </c>
      <c r="G99" s="38">
        <v>6</v>
      </c>
      <c r="H99" s="38">
        <v>7</v>
      </c>
      <c r="I99" s="38">
        <v>8</v>
      </c>
      <c r="J99" s="38">
        <v>9</v>
      </c>
      <c r="K99" s="38">
        <v>10</v>
      </c>
      <c r="L99" s="38">
        <v>11</v>
      </c>
      <c r="M99" s="38">
        <v>12</v>
      </c>
      <c r="N99" s="38">
        <v>13</v>
      </c>
    </row>
    <row r="100" spans="1:44" s="39" customFormat="1" ht="39.75" customHeight="1" x14ac:dyDescent="0.3">
      <c r="C100" s="40" t="s">
        <v>395</v>
      </c>
      <c r="H100" s="40" t="s">
        <v>396</v>
      </c>
      <c r="I100" s="224" t="s">
        <v>397</v>
      </c>
      <c r="J100" s="224"/>
      <c r="K100" s="224"/>
      <c r="L100" s="224" t="s">
        <v>804</v>
      </c>
      <c r="M100" s="224"/>
      <c r="O100" s="40" t="s">
        <v>398</v>
      </c>
      <c r="P100" s="224" t="s">
        <v>399</v>
      </c>
      <c r="Q100" s="224"/>
      <c r="R100" s="224"/>
      <c r="S100" s="224"/>
      <c r="T100" s="224"/>
      <c r="U100" s="224"/>
      <c r="V100" s="224"/>
      <c r="W100" s="224"/>
      <c r="X100" s="224"/>
      <c r="Y100" s="224" t="s">
        <v>765</v>
      </c>
      <c r="Z100" s="224"/>
      <c r="AA100" s="224"/>
      <c r="AB100" s="224"/>
      <c r="AC100" s="224" t="s">
        <v>766</v>
      </c>
      <c r="AD100" s="224"/>
      <c r="AE100" s="224"/>
      <c r="AF100" s="224"/>
      <c r="AG100" s="224" t="s">
        <v>767</v>
      </c>
      <c r="AH100" s="224"/>
      <c r="AI100" s="224"/>
      <c r="AJ100" s="224"/>
      <c r="AK100" s="224"/>
      <c r="AL100" s="224"/>
      <c r="AM100" s="224"/>
      <c r="AN100" s="224"/>
      <c r="AO100" s="224" t="s">
        <v>400</v>
      </c>
      <c r="AP100" s="224"/>
      <c r="AQ100" s="224"/>
      <c r="AR100" s="224"/>
    </row>
    <row r="101" spans="1:44" x14ac:dyDescent="0.3">
      <c r="A101" s="34"/>
      <c r="B101" s="34" t="s">
        <v>401</v>
      </c>
      <c r="D101" s="34" t="s">
        <v>402</v>
      </c>
      <c r="E101" s="35" t="s">
        <v>403</v>
      </c>
      <c r="F101" s="35" t="s">
        <v>404</v>
      </c>
      <c r="G101" s="35" t="s">
        <v>405</v>
      </c>
      <c r="I101" s="35" t="s">
        <v>406</v>
      </c>
      <c r="J101" s="35" t="s">
        <v>407</v>
      </c>
      <c r="K101" s="35" t="s">
        <v>408</v>
      </c>
      <c r="L101" s="35" t="s">
        <v>409</v>
      </c>
      <c r="M101" s="41" t="s">
        <v>410</v>
      </c>
      <c r="N101" s="35" t="s">
        <v>411</v>
      </c>
      <c r="O101" s="35" t="s">
        <v>412</v>
      </c>
      <c r="P101" s="35" t="s">
        <v>413</v>
      </c>
      <c r="Q101" s="35" t="s">
        <v>414</v>
      </c>
      <c r="R101" s="35" t="s">
        <v>415</v>
      </c>
      <c r="S101" s="35" t="s">
        <v>416</v>
      </c>
      <c r="T101" s="35" t="s">
        <v>417</v>
      </c>
      <c r="U101" s="35" t="s">
        <v>418</v>
      </c>
      <c r="V101" s="35" t="s">
        <v>419</v>
      </c>
      <c r="W101" s="35" t="s">
        <v>420</v>
      </c>
      <c r="X101" s="35" t="s">
        <v>421</v>
      </c>
      <c r="Y101" s="35" t="s">
        <v>422</v>
      </c>
      <c r="Z101" s="35" t="s">
        <v>423</v>
      </c>
      <c r="AA101" s="35" t="s">
        <v>424</v>
      </c>
      <c r="AB101" s="35" t="s">
        <v>425</v>
      </c>
      <c r="AC101" s="35" t="s">
        <v>422</v>
      </c>
      <c r="AD101" s="35" t="s">
        <v>423</v>
      </c>
      <c r="AE101" s="35" t="s">
        <v>424</v>
      </c>
      <c r="AF101" s="35" t="s">
        <v>425</v>
      </c>
      <c r="AG101" s="35" t="s">
        <v>406</v>
      </c>
      <c r="AH101" s="35" t="s">
        <v>407</v>
      </c>
      <c r="AI101" s="35" t="s">
        <v>408</v>
      </c>
      <c r="AJ101" s="35" t="s">
        <v>426</v>
      </c>
      <c r="AK101" s="35" t="s">
        <v>427</v>
      </c>
      <c r="AL101" s="35" t="s">
        <v>428</v>
      </c>
      <c r="AM101" s="35" t="s">
        <v>429</v>
      </c>
      <c r="AN101" s="35" t="s">
        <v>430</v>
      </c>
      <c r="AO101" s="35" t="s">
        <v>431</v>
      </c>
      <c r="AP101" s="35" t="s">
        <v>432</v>
      </c>
      <c r="AQ101" s="35" t="s">
        <v>433</v>
      </c>
      <c r="AR101" s="35" t="s">
        <v>434</v>
      </c>
    </row>
    <row r="102" spans="1:44" x14ac:dyDescent="0.3">
      <c r="E102" s="35"/>
      <c r="F102" s="42" t="s">
        <v>314</v>
      </c>
      <c r="G102" s="42" t="s">
        <v>435</v>
      </c>
      <c r="H102" s="42" t="s">
        <v>314</v>
      </c>
      <c r="M102" s="43" t="s">
        <v>314</v>
      </c>
      <c r="N102" s="35"/>
      <c r="O102" s="35"/>
    </row>
    <row r="103" spans="1:44" ht="15" x14ac:dyDescent="0.4">
      <c r="B103" s="34" t="s">
        <v>321</v>
      </c>
      <c r="C103" s="35">
        <v>164</v>
      </c>
      <c r="D103" s="34" t="s">
        <v>768</v>
      </c>
      <c r="E103" s="35">
        <v>56.107999999999997</v>
      </c>
      <c r="F103" s="35">
        <v>417.72</v>
      </c>
      <c r="G103" s="35">
        <v>40.033999999999999</v>
      </c>
      <c r="H103" s="35">
        <v>216.4</v>
      </c>
      <c r="I103" s="35">
        <v>9.1326999999999998</v>
      </c>
      <c r="J103" s="35">
        <v>2125.6999999999998</v>
      </c>
      <c r="K103" s="35">
        <v>-33.15</v>
      </c>
      <c r="L103" s="35">
        <v>0.59399999999999997</v>
      </c>
      <c r="M103" s="35">
        <v>292.82</v>
      </c>
      <c r="N103" s="35">
        <v>1.1000000000000001</v>
      </c>
      <c r="O103" s="44">
        <v>0.1953</v>
      </c>
      <c r="AO103" s="45" t="str">
        <f t="shared" ref="AO103:AO150" si="0">IF(P103="","",
    4.1868*(P103+Q103*((R103/$AO$5)/SINH(R103/$AO$5))^2+S103*((T103/$AO$5)/COSH(T103/$AO$5))^2+U103*((V103/$AO$5)/SINH(V103/$AO$5))^2+W103*((X103/$AO$5)/COSH(X103/$AO$5))^2)/$E103)</f>
        <v/>
      </c>
      <c r="AP103" s="45" t="str">
        <f>IF(Y103="","",
    (Y103+Z103*$AO$5+AA103*$AO$5^2+AB103*$AO$5^3)/E103)</f>
        <v/>
      </c>
      <c r="AQ103" s="45" t="str">
        <f t="shared" ref="AQ103:AQ150" si="1">IF(AC103="","",
    4.1868*(AC103+AD103*$AO$3+AE103*$AO$3^2+AF103*$AO$3^3)/$E103)</f>
        <v/>
      </c>
      <c r="AR103" s="45" t="str">
        <f t="shared" ref="AR103:AR150" si="2">IF(AG103="","",
    (AG103+AH103*($AO$5/1000)+AI103*($AO$5/1000)^2+AJ103*($AO$5/1000)^3+AK103/($AO$5/1000)^2)/$E103)</f>
        <v/>
      </c>
    </row>
    <row r="104" spans="1:44" ht="15" x14ac:dyDescent="0.4">
      <c r="B104" s="34" t="s">
        <v>322</v>
      </c>
      <c r="C104" s="35">
        <v>201</v>
      </c>
      <c r="D104" s="34" t="s">
        <v>769</v>
      </c>
      <c r="E104" s="35">
        <v>68.119</v>
      </c>
      <c r="F104" s="35">
        <v>483.82</v>
      </c>
      <c r="G104" s="35">
        <v>38.514000000000003</v>
      </c>
      <c r="H104" s="35">
        <v>215.5</v>
      </c>
      <c r="I104" s="35">
        <v>9.2347000000000001</v>
      </c>
      <c r="J104" s="35">
        <v>2467.4</v>
      </c>
      <c r="K104" s="35">
        <v>-39.639000000000003</v>
      </c>
      <c r="L104" s="35">
        <v>0.68100000000000005</v>
      </c>
      <c r="M104" s="35">
        <v>292.82</v>
      </c>
      <c r="N104" s="35">
        <v>1.0900000000000001</v>
      </c>
      <c r="O104" s="44">
        <v>0.17449999999999999</v>
      </c>
      <c r="AO104" s="45" t="str">
        <f t="shared" si="0"/>
        <v/>
      </c>
      <c r="AP104" s="45" t="str">
        <f>IF(Y104="","",
    (Y104+Z104*$AO$5+AA104*$AO$5^2+AB104*$AO$5^3)/E104)</f>
        <v/>
      </c>
      <c r="AQ104" s="45" t="str">
        <f t="shared" si="1"/>
        <v/>
      </c>
      <c r="AR104" s="45" t="str">
        <f t="shared" si="2"/>
        <v/>
      </c>
    </row>
    <row r="105" spans="1:44" ht="15" x14ac:dyDescent="0.4">
      <c r="B105" s="34" t="s">
        <v>334</v>
      </c>
      <c r="C105" s="35">
        <v>77</v>
      </c>
      <c r="D105" s="34" t="s">
        <v>770</v>
      </c>
      <c r="E105" s="35">
        <v>26.038</v>
      </c>
      <c r="F105" s="35">
        <v>308.12</v>
      </c>
      <c r="G105" s="35">
        <v>61.42</v>
      </c>
      <c r="H105" s="35">
        <v>192.59</v>
      </c>
      <c r="I105" s="35">
        <v>9.7279999999999998</v>
      </c>
      <c r="J105" s="35">
        <v>1637.1</v>
      </c>
      <c r="K105" s="35">
        <v>-19.772000000000002</v>
      </c>
      <c r="L105" s="35">
        <v>0.61499999999999999</v>
      </c>
      <c r="M105" s="35">
        <v>188.82</v>
      </c>
      <c r="N105" s="35">
        <v>1.23</v>
      </c>
      <c r="O105" s="44">
        <v>0.19489999999999999</v>
      </c>
      <c r="Y105" s="35">
        <v>21.8</v>
      </c>
      <c r="Z105" s="46">
        <v>9.2143000000000003E-2</v>
      </c>
      <c r="AA105" s="46">
        <v>-6.5270000000000004E-5</v>
      </c>
      <c r="AB105" s="46">
        <v>1.8209999999999999E-8</v>
      </c>
      <c r="AC105" s="35">
        <v>5.21</v>
      </c>
      <c r="AD105" s="35">
        <v>1.2227E-2</v>
      </c>
      <c r="AE105" s="35">
        <v>-4.8119999999999998E-6</v>
      </c>
      <c r="AF105" s="35">
        <v>7.4570000000000002E-10</v>
      </c>
      <c r="AG105" s="35">
        <v>40.686970000000002</v>
      </c>
      <c r="AH105" s="35">
        <v>40.732790000000001</v>
      </c>
      <c r="AI105" s="35">
        <v>-16.1784</v>
      </c>
      <c r="AJ105" s="35">
        <v>3.6697410000000001</v>
      </c>
      <c r="AK105" s="35">
        <v>-0.65841099999999997</v>
      </c>
      <c r="AL105" s="35">
        <v>210.70670000000001</v>
      </c>
      <c r="AM105" s="35">
        <v>235.0052</v>
      </c>
      <c r="AN105" s="35">
        <v>226.73140000000001</v>
      </c>
      <c r="AO105" s="45" t="str">
        <f t="shared" si="0"/>
        <v/>
      </c>
      <c r="AP105" s="45">
        <f>IF(Y105="","",
    (Y105+Z105*$AO$5+AA105*$AO$5^2+AB105*$AO$5^3)/$E105)</f>
        <v>1.721069726498146</v>
      </c>
      <c r="AQ105" s="45">
        <f t="shared" si="1"/>
        <v>1.721584615632223</v>
      </c>
      <c r="AR105" s="45">
        <f t="shared" si="2"/>
        <v>1.7380161779997452</v>
      </c>
    </row>
    <row r="106" spans="1:44" x14ac:dyDescent="0.3">
      <c r="B106" s="34" t="s">
        <v>335</v>
      </c>
      <c r="E106" s="35">
        <v>28.97</v>
      </c>
      <c r="F106" s="35">
        <v>132</v>
      </c>
      <c r="G106" s="35">
        <v>37.799999999999997</v>
      </c>
      <c r="N106" s="35">
        <v>1.4</v>
      </c>
      <c r="O106" s="44"/>
      <c r="Y106" s="35">
        <v>28.11</v>
      </c>
      <c r="Z106" s="46">
        <v>1.967E-3</v>
      </c>
      <c r="AA106" s="46">
        <v>4.8019999999999999E-6</v>
      </c>
      <c r="AB106" s="46">
        <v>-1.966E-9</v>
      </c>
      <c r="AC106" s="35">
        <v>6.7130000000000001</v>
      </c>
      <c r="AD106" s="35">
        <v>2.609E-4</v>
      </c>
      <c r="AE106" s="35">
        <v>3.5400000000000002E-7</v>
      </c>
      <c r="AF106" s="35">
        <v>-8.0519999999999997E-11</v>
      </c>
      <c r="AO106" s="45" t="str">
        <f t="shared" si="0"/>
        <v/>
      </c>
      <c r="AP106" s="45">
        <f t="shared" ref="AP106:AP150" si="3">IF(Y106="","",
    (Y106+Z106*$AO$5+AA106*$AO$5^2+AB106*$AO$5^3)/E106)</f>
        <v>1.0057470307637348</v>
      </c>
      <c r="AQ106" s="45">
        <f t="shared" si="1"/>
        <v>1.0056001790916904</v>
      </c>
      <c r="AR106" s="45" t="str">
        <f t="shared" si="2"/>
        <v/>
      </c>
    </row>
    <row r="107" spans="1:44" ht="15" x14ac:dyDescent="0.4">
      <c r="B107" s="34" t="s">
        <v>338</v>
      </c>
      <c r="C107" s="35">
        <v>22</v>
      </c>
      <c r="D107" s="34" t="s">
        <v>771</v>
      </c>
      <c r="E107" s="35">
        <v>17.030999999999999</v>
      </c>
      <c r="F107" s="35">
        <v>405.42</v>
      </c>
      <c r="G107" s="35">
        <v>112.81</v>
      </c>
      <c r="H107" s="35">
        <v>164</v>
      </c>
      <c r="I107" s="35">
        <v>10.327999999999999</v>
      </c>
      <c r="J107" s="35">
        <v>2132.5</v>
      </c>
      <c r="K107" s="35">
        <v>-32.978000000000002</v>
      </c>
      <c r="L107" s="35">
        <v>0.63900000000000001</v>
      </c>
      <c r="M107" s="35">
        <v>273.04000000000002</v>
      </c>
      <c r="N107" s="35">
        <v>1.31</v>
      </c>
      <c r="O107" s="44">
        <v>0.25580000000000003</v>
      </c>
      <c r="Y107" s="35">
        <v>27.568000000000001</v>
      </c>
      <c r="Z107" s="46">
        <v>2.563E-2</v>
      </c>
      <c r="AA107" s="46">
        <v>9.9072000000000006E-6</v>
      </c>
      <c r="AB107" s="46">
        <v>-6.6908999999999997E-9</v>
      </c>
      <c r="AC107" s="35">
        <v>6.5846</v>
      </c>
      <c r="AD107" s="35">
        <v>3.4028000000000001E-3</v>
      </c>
      <c r="AE107" s="35">
        <v>7.3033999999999996E-7</v>
      </c>
      <c r="AF107" s="35">
        <v>-2.7402E-10</v>
      </c>
      <c r="AG107" s="35">
        <v>19.995629999999998</v>
      </c>
      <c r="AH107" s="35">
        <v>49.771189999999997</v>
      </c>
      <c r="AI107" s="35">
        <v>-15.37599</v>
      </c>
      <c r="AJ107" s="35">
        <v>1.921168</v>
      </c>
      <c r="AK107" s="35">
        <v>0.18917400000000001</v>
      </c>
      <c r="AL107" s="35">
        <v>-53.306669999999997</v>
      </c>
      <c r="AM107" s="35">
        <v>203.85910000000001</v>
      </c>
      <c r="AN107" s="35">
        <v>-45.898060000000001</v>
      </c>
      <c r="AO107" s="45" t="str">
        <f t="shared" si="0"/>
        <v/>
      </c>
      <c r="AP107" s="45">
        <f t="shared" si="3"/>
        <v>2.1349360944312248</v>
      </c>
      <c r="AQ107" s="45">
        <f t="shared" si="1"/>
        <v>2.1352232821371224</v>
      </c>
      <c r="AR107" s="45">
        <f t="shared" si="2"/>
        <v>2.1174192918497732</v>
      </c>
    </row>
    <row r="108" spans="1:44" x14ac:dyDescent="0.3">
      <c r="B108" s="34" t="s">
        <v>339</v>
      </c>
      <c r="C108" s="35">
        <v>1</v>
      </c>
      <c r="D108" s="34" t="s">
        <v>436</v>
      </c>
      <c r="E108" s="35">
        <v>39.948</v>
      </c>
      <c r="F108" s="35">
        <v>150.62</v>
      </c>
      <c r="G108" s="35">
        <v>48.750999999999998</v>
      </c>
      <c r="H108" s="35">
        <v>83.78</v>
      </c>
      <c r="I108" s="35">
        <v>8.6128999999999998</v>
      </c>
      <c r="J108" s="35">
        <v>700.5</v>
      </c>
      <c r="K108" s="35">
        <v>-5.8389000000000006</v>
      </c>
      <c r="L108" s="35">
        <v>1.373</v>
      </c>
      <c r="M108" s="35">
        <v>89.817000000000007</v>
      </c>
      <c r="N108" s="35">
        <v>1.67</v>
      </c>
      <c r="O108" s="44">
        <v>4.0000000000000001E-3</v>
      </c>
      <c r="P108" s="35">
        <v>4.9649999999999999</v>
      </c>
      <c r="Q108" s="35">
        <v>0</v>
      </c>
      <c r="R108" s="35">
        <v>100</v>
      </c>
      <c r="S108" s="35">
        <v>0</v>
      </c>
      <c r="T108" s="35">
        <v>100</v>
      </c>
      <c r="U108" s="35">
        <v>0</v>
      </c>
      <c r="V108" s="35">
        <v>100</v>
      </c>
      <c r="W108" s="35">
        <v>0</v>
      </c>
      <c r="X108" s="35">
        <v>100</v>
      </c>
      <c r="AG108" s="35">
        <v>20.786000000000001</v>
      </c>
      <c r="AH108" s="47">
        <v>2.8259110000000001E-7</v>
      </c>
      <c r="AI108" s="47">
        <v>-1.464191E-7</v>
      </c>
      <c r="AJ108" s="47">
        <v>1.092131E-8</v>
      </c>
      <c r="AK108" s="47">
        <v>-3.661371E-8</v>
      </c>
      <c r="AL108" s="35">
        <v>-6.1973500000000001</v>
      </c>
      <c r="AM108" s="35">
        <v>179.999</v>
      </c>
      <c r="AN108" s="35">
        <v>0</v>
      </c>
      <c r="AO108" s="48">
        <f t="shared" si="0"/>
        <v>0.52036302192850703</v>
      </c>
      <c r="AP108" s="45" t="str">
        <f t="shared" si="3"/>
        <v/>
      </c>
      <c r="AQ108" s="45" t="str">
        <f t="shared" si="1"/>
        <v/>
      </c>
      <c r="AR108" s="49">
        <f t="shared" si="2"/>
        <v>0.52032641686945369</v>
      </c>
    </row>
    <row r="109" spans="1:44" ht="15" x14ac:dyDescent="0.4">
      <c r="B109" s="34" t="s">
        <v>340</v>
      </c>
      <c r="C109" s="35">
        <v>242</v>
      </c>
      <c r="D109" s="34" t="s">
        <v>772</v>
      </c>
      <c r="E109" s="35">
        <v>78.114000000000004</v>
      </c>
      <c r="F109" s="35">
        <v>561.91999999999996</v>
      </c>
      <c r="G109" s="35">
        <v>48.953000000000003</v>
      </c>
      <c r="H109" s="35">
        <v>287.7</v>
      </c>
      <c r="I109" s="35">
        <v>9.2807000000000013</v>
      </c>
      <c r="J109" s="35">
        <v>2788.5</v>
      </c>
      <c r="K109" s="35">
        <v>-52.361000000000004</v>
      </c>
      <c r="L109" s="35">
        <v>0.88500000000000001</v>
      </c>
      <c r="M109" s="35">
        <v>288.82</v>
      </c>
      <c r="N109" s="35">
        <v>1.1100000000000001</v>
      </c>
      <c r="O109" s="44">
        <v>0.20899999999999999</v>
      </c>
      <c r="Y109" s="35">
        <v>-36.22</v>
      </c>
      <c r="Z109" s="35">
        <v>0.48475000000000001</v>
      </c>
      <c r="AA109" s="35">
        <v>-3.1569999999999998E-4</v>
      </c>
      <c r="AB109" s="35">
        <v>7.7620000000000003E-8</v>
      </c>
      <c r="AC109" s="50">
        <v>-8.65</v>
      </c>
      <c r="AD109" s="50">
        <v>6.4322000000000004E-2</v>
      </c>
      <c r="AE109" s="50">
        <v>-2.3269999999999999E-5</v>
      </c>
      <c r="AF109" s="50">
        <v>3.1789999999999999E-9</v>
      </c>
      <c r="AO109" s="45" t="str">
        <f t="shared" si="0"/>
        <v/>
      </c>
      <c r="AP109" s="45">
        <f t="shared" si="3"/>
        <v>1.1138155029734687</v>
      </c>
      <c r="AQ109" s="45">
        <f t="shared" si="1"/>
        <v>1.1139007777582512</v>
      </c>
      <c r="AR109" s="45" t="str">
        <f t="shared" si="2"/>
        <v/>
      </c>
    </row>
    <row r="110" spans="1:44" ht="15" x14ac:dyDescent="0.4">
      <c r="B110" s="34" t="s">
        <v>341</v>
      </c>
      <c r="C110" s="35">
        <v>379</v>
      </c>
      <c r="D110" s="34" t="s">
        <v>773</v>
      </c>
      <c r="E110" s="35">
        <v>120.19499999999999</v>
      </c>
      <c r="F110" s="35">
        <v>630.82000000000005</v>
      </c>
      <c r="G110" s="35">
        <v>32.128999999999998</v>
      </c>
      <c r="H110" s="35">
        <v>343.17</v>
      </c>
      <c r="I110" s="35">
        <v>9.3521000000000001</v>
      </c>
      <c r="J110" s="35">
        <v>3363.6</v>
      </c>
      <c r="K110" s="35">
        <v>-63.372</v>
      </c>
      <c r="L110" s="35">
        <v>0.86199999999999999</v>
      </c>
      <c r="M110" s="35">
        <v>292.82</v>
      </c>
      <c r="N110" s="35">
        <v>1.06</v>
      </c>
      <c r="O110" s="44">
        <v>0.32600000000000001</v>
      </c>
      <c r="AO110" s="45" t="str">
        <f t="shared" si="0"/>
        <v/>
      </c>
      <c r="AP110" s="45" t="str">
        <f t="shared" si="3"/>
        <v/>
      </c>
      <c r="AQ110" s="45" t="str">
        <f t="shared" si="1"/>
        <v/>
      </c>
      <c r="AR110" s="45" t="str">
        <f t="shared" si="2"/>
        <v/>
      </c>
    </row>
    <row r="111" spans="1:44" ht="15" x14ac:dyDescent="0.4">
      <c r="B111" s="34" t="s">
        <v>342</v>
      </c>
      <c r="C111" s="35">
        <v>181</v>
      </c>
      <c r="D111" s="34" t="s">
        <v>774</v>
      </c>
      <c r="E111" s="35">
        <v>58.124000000000002</v>
      </c>
      <c r="F111" s="35">
        <v>425.02</v>
      </c>
      <c r="G111" s="35">
        <v>38.006999999999998</v>
      </c>
      <c r="H111" s="35">
        <v>135.41999999999999</v>
      </c>
      <c r="I111" s="35">
        <v>9.0580999999999996</v>
      </c>
      <c r="J111" s="35">
        <v>2154.9</v>
      </c>
      <c r="K111" s="35">
        <v>-34.422000000000004</v>
      </c>
      <c r="L111" s="35">
        <v>0.57899999999999996</v>
      </c>
      <c r="M111" s="35">
        <v>292.82</v>
      </c>
      <c r="N111" s="35">
        <v>1.0900000000000001</v>
      </c>
      <c r="O111" s="44">
        <v>0.1981</v>
      </c>
      <c r="P111" s="35">
        <v>18.638300000000001</v>
      </c>
      <c r="Q111" s="35">
        <v>57.4178</v>
      </c>
      <c r="R111" s="35">
        <v>1792.73</v>
      </c>
      <c r="S111" s="35">
        <v>38.6599</v>
      </c>
      <c r="T111" s="35">
        <v>814.15099999999995</v>
      </c>
      <c r="U111" s="35">
        <v>0</v>
      </c>
      <c r="V111" s="35">
        <v>100</v>
      </c>
      <c r="W111" s="35">
        <v>0</v>
      </c>
      <c r="X111" s="35">
        <v>100</v>
      </c>
      <c r="Y111" s="35">
        <v>3.96</v>
      </c>
      <c r="Z111" s="46">
        <v>0.3715</v>
      </c>
      <c r="AA111" s="46">
        <v>-1.8340000000000001E-4</v>
      </c>
      <c r="AB111" s="46">
        <v>3.5000000000000002E-8</v>
      </c>
      <c r="AC111" s="35">
        <v>0.94499999999999995</v>
      </c>
      <c r="AD111" s="35">
        <v>4.929E-2</v>
      </c>
      <c r="AE111" s="35">
        <v>-1.3519999999999999E-5</v>
      </c>
      <c r="AF111" s="35">
        <v>1.4329999999999999E-9</v>
      </c>
      <c r="AO111" s="45">
        <f t="shared" si="0"/>
        <v>1.7592469943299773</v>
      </c>
      <c r="AP111" s="45">
        <f t="shared" si="3"/>
        <v>1.7787020707423888</v>
      </c>
      <c r="AQ111" s="45">
        <f t="shared" si="1"/>
        <v>1.7784251709106211</v>
      </c>
      <c r="AR111" s="45" t="str">
        <f t="shared" si="2"/>
        <v/>
      </c>
    </row>
    <row r="112" spans="1:44" ht="15" x14ac:dyDescent="0.4">
      <c r="B112" s="34" t="s">
        <v>326</v>
      </c>
      <c r="C112" s="35">
        <v>224</v>
      </c>
      <c r="D112" s="34" t="s">
        <v>775</v>
      </c>
      <c r="E112" s="35">
        <v>72.150999999999996</v>
      </c>
      <c r="F112" s="35">
        <v>460.22</v>
      </c>
      <c r="G112" s="35">
        <v>33.852000000000004</v>
      </c>
      <c r="H112" s="35">
        <v>190.2</v>
      </c>
      <c r="I112" s="35">
        <v>9.0137</v>
      </c>
      <c r="J112" s="35">
        <v>2348.6</v>
      </c>
      <c r="K112" s="35">
        <v>-40.049999999999997</v>
      </c>
      <c r="L112" s="35">
        <v>0.62</v>
      </c>
      <c r="M112" s="35">
        <v>292.82</v>
      </c>
      <c r="N112" s="35">
        <v>1.08</v>
      </c>
      <c r="O112" s="44">
        <v>0.2286</v>
      </c>
      <c r="P112" s="35">
        <v>22.501200000000001</v>
      </c>
      <c r="Q112" s="35">
        <v>69.578900000000004</v>
      </c>
      <c r="R112" s="35">
        <v>1719.58</v>
      </c>
      <c r="S112" s="35">
        <v>46.21264</v>
      </c>
      <c r="T112" s="35">
        <v>802.17399999999998</v>
      </c>
      <c r="U112" s="35">
        <v>0</v>
      </c>
      <c r="V112" s="35">
        <v>100</v>
      </c>
      <c r="W112" s="35">
        <v>0</v>
      </c>
      <c r="X112" s="35">
        <v>100</v>
      </c>
      <c r="Y112" s="42"/>
      <c r="Z112" s="42"/>
      <c r="AA112" s="42"/>
      <c r="AB112" s="42"/>
      <c r="AC112" s="42"/>
      <c r="AD112" s="42"/>
      <c r="AE112" s="42"/>
      <c r="AF112" s="42"/>
      <c r="AO112" s="45">
        <f t="shared" si="0"/>
        <v>1.7283004814456813</v>
      </c>
      <c r="AP112" s="45" t="str">
        <f t="shared" si="3"/>
        <v/>
      </c>
      <c r="AQ112" s="45" t="str">
        <f t="shared" si="1"/>
        <v/>
      </c>
      <c r="AR112" s="45" t="str">
        <f t="shared" si="2"/>
        <v/>
      </c>
    </row>
    <row r="113" spans="2:44" ht="15" x14ac:dyDescent="0.4">
      <c r="B113" s="34" t="s">
        <v>343</v>
      </c>
      <c r="C113" s="35">
        <v>46</v>
      </c>
      <c r="D113" s="34" t="s">
        <v>776</v>
      </c>
      <c r="E113" s="35">
        <v>44.01</v>
      </c>
      <c r="F113" s="35">
        <v>304.02</v>
      </c>
      <c r="G113" s="35">
        <v>73.784999999999997</v>
      </c>
      <c r="H113" s="35">
        <v>154.26</v>
      </c>
      <c r="I113" s="35">
        <v>15.97</v>
      </c>
      <c r="J113" s="35">
        <v>3103.3</v>
      </c>
      <c r="K113" s="35">
        <v>-0.16111</v>
      </c>
      <c r="L113" s="35">
        <v>0.77700000000000002</v>
      </c>
      <c r="M113" s="35">
        <v>292.82</v>
      </c>
      <c r="N113" s="35">
        <v>1.29</v>
      </c>
      <c r="O113" s="44">
        <v>0.26669999999999999</v>
      </c>
      <c r="P113" s="35">
        <v>6.9623699999999999</v>
      </c>
      <c r="Q113" s="35">
        <v>2.6864499999999998</v>
      </c>
      <c r="R113" s="35">
        <v>500.37099999999998</v>
      </c>
      <c r="S113" s="35">
        <v>-2.5642900000000002</v>
      </c>
      <c r="T113" s="35">
        <v>-530.44299999999998</v>
      </c>
      <c r="U113" s="35">
        <v>3.9192100000000001</v>
      </c>
      <c r="V113" s="35">
        <v>500.19799999999998</v>
      </c>
      <c r="W113" s="35">
        <v>2.1328999999999998</v>
      </c>
      <c r="X113" s="35">
        <v>2197.2199999999998</v>
      </c>
      <c r="Y113" s="35">
        <v>22.26</v>
      </c>
      <c r="Z113" s="35">
        <v>5.9810000000000002E-2</v>
      </c>
      <c r="AA113" s="35">
        <v>-3.5009999999999999E-5</v>
      </c>
      <c r="AB113" s="35">
        <v>7.4690000000000006E-9</v>
      </c>
      <c r="AC113" s="35">
        <v>5.3159999999999998</v>
      </c>
      <c r="AD113" s="35">
        <v>7.9360999999999998E-3</v>
      </c>
      <c r="AE113" s="35">
        <v>-2.5809999999999999E-6</v>
      </c>
      <c r="AF113" s="35">
        <v>3.059E-10</v>
      </c>
      <c r="AG113" s="35">
        <v>24.997350000000001</v>
      </c>
      <c r="AH113" s="35">
        <v>55.186959999999999</v>
      </c>
      <c r="AI113" s="35">
        <v>-33.691369999999999</v>
      </c>
      <c r="AJ113" s="35">
        <v>7.9483870000000003</v>
      </c>
      <c r="AK113" s="35">
        <v>-0.13663800000000001</v>
      </c>
      <c r="AL113" s="35">
        <v>-403.60750000000002</v>
      </c>
      <c r="AM113" s="35">
        <v>228.2431</v>
      </c>
      <c r="AN113" s="35">
        <v>-393.5224</v>
      </c>
      <c r="AO113" s="45">
        <f t="shared" si="0"/>
        <v>0.85959356860421754</v>
      </c>
      <c r="AP113" s="45">
        <f t="shared" si="3"/>
        <v>0.85857031706662024</v>
      </c>
      <c r="AQ113" s="45">
        <f t="shared" si="1"/>
        <v>0.85848714311178742</v>
      </c>
      <c r="AR113" s="45">
        <f t="shared" si="2"/>
        <v>0.85948611519241436</v>
      </c>
    </row>
    <row r="114" spans="2:44" x14ac:dyDescent="0.3">
      <c r="B114" s="34" t="s">
        <v>344</v>
      </c>
      <c r="C114" s="35">
        <v>44</v>
      </c>
      <c r="D114" s="34" t="s">
        <v>437</v>
      </c>
      <c r="E114" s="35">
        <v>28.01</v>
      </c>
      <c r="F114" s="35">
        <v>132.72</v>
      </c>
      <c r="G114" s="35">
        <v>34.966999999999999</v>
      </c>
      <c r="H114" s="51">
        <v>50</v>
      </c>
      <c r="I114" s="35">
        <v>7.7484999999999999</v>
      </c>
      <c r="J114" s="35">
        <v>530.20000000000005</v>
      </c>
      <c r="K114" s="35">
        <v>-13.15</v>
      </c>
      <c r="L114" s="35">
        <v>0.80300000000000005</v>
      </c>
      <c r="M114" s="35">
        <v>80.817000000000007</v>
      </c>
      <c r="N114" s="35">
        <v>1.4</v>
      </c>
      <c r="O114" s="44">
        <v>4.7699999999999999E-2</v>
      </c>
      <c r="P114" s="35">
        <v>6.9585400000000002</v>
      </c>
      <c r="Q114" s="35">
        <v>2.02441</v>
      </c>
      <c r="R114" s="35">
        <v>1541.22</v>
      </c>
      <c r="S114" s="35">
        <v>9.6773999999999999E-2</v>
      </c>
      <c r="T114" s="35">
        <v>3674.81</v>
      </c>
      <c r="U114" s="35">
        <v>0</v>
      </c>
      <c r="V114" s="35">
        <v>100</v>
      </c>
      <c r="W114" s="35">
        <v>0</v>
      </c>
      <c r="X114" s="35">
        <v>100</v>
      </c>
      <c r="Y114" s="35">
        <v>28.16</v>
      </c>
      <c r="Z114" s="35">
        <v>1.6750000000000001E-3</v>
      </c>
      <c r="AA114" s="35">
        <v>5.3720000000000004E-6</v>
      </c>
      <c r="AB114" s="35">
        <v>-2.222E-9</v>
      </c>
      <c r="AC114" s="35">
        <v>6.726</v>
      </c>
      <c r="AD114" s="35">
        <v>2.2220000000000001E-4</v>
      </c>
      <c r="AE114" s="35">
        <v>3.96E-7</v>
      </c>
      <c r="AF114" s="35">
        <v>-9.0999999999999996E-11</v>
      </c>
      <c r="AG114" s="35">
        <v>25.567589999999999</v>
      </c>
      <c r="AH114" s="35">
        <v>6.0961299999999996</v>
      </c>
      <c r="AI114" s="35">
        <v>4.0546559999999996</v>
      </c>
      <c r="AJ114" s="35">
        <v>-2.6713010000000001</v>
      </c>
      <c r="AK114" s="35">
        <v>0.131021</v>
      </c>
      <c r="AL114" s="35">
        <v>-118.0089</v>
      </c>
      <c r="AM114" s="35">
        <v>227.3665</v>
      </c>
      <c r="AN114" s="35">
        <v>-110.5271</v>
      </c>
      <c r="AO114" s="45">
        <f t="shared" si="0"/>
        <v>1.0416860854021055</v>
      </c>
      <c r="AP114" s="45">
        <f t="shared" si="3"/>
        <v>1.0404529166576257</v>
      </c>
      <c r="AQ114" s="45">
        <f t="shared" si="1"/>
        <v>1.0404622221769793</v>
      </c>
      <c r="AR114" s="45">
        <f t="shared" si="2"/>
        <v>1.0399237506701031</v>
      </c>
    </row>
    <row r="115" spans="2:44" ht="15" x14ac:dyDescent="0.4">
      <c r="B115" s="34" t="s">
        <v>345</v>
      </c>
      <c r="C115" s="35">
        <v>6</v>
      </c>
      <c r="D115" s="34" t="s">
        <v>777</v>
      </c>
      <c r="E115" s="35">
        <v>70.906000000000006</v>
      </c>
      <c r="F115" s="35">
        <v>416.82</v>
      </c>
      <c r="G115" s="35">
        <v>79.841000000000008</v>
      </c>
      <c r="H115" s="35">
        <v>155</v>
      </c>
      <c r="I115" s="35">
        <v>9.3409000000000013</v>
      </c>
      <c r="J115" s="35">
        <v>1978.3</v>
      </c>
      <c r="K115" s="35">
        <v>-27.010999999999999</v>
      </c>
      <c r="L115" s="35">
        <v>1.5629999999999999</v>
      </c>
      <c r="M115" s="35">
        <v>238.93</v>
      </c>
      <c r="N115" s="35">
        <v>1.33</v>
      </c>
      <c r="O115" s="44">
        <v>8.7800000000000003E-2</v>
      </c>
      <c r="Y115" s="42"/>
      <c r="Z115" s="42"/>
      <c r="AA115" s="42"/>
      <c r="AB115" s="42"/>
      <c r="AC115" s="42"/>
      <c r="AD115" s="42"/>
      <c r="AE115" s="42"/>
      <c r="AF115" s="42"/>
      <c r="AG115" s="35">
        <v>33.050600000000003</v>
      </c>
      <c r="AH115" s="35">
        <v>12.2294</v>
      </c>
      <c r="AI115" s="35">
        <v>-12.065099999999999</v>
      </c>
      <c r="AJ115" s="35">
        <v>4.3853299999999997</v>
      </c>
      <c r="AK115" s="35">
        <v>-0.159494</v>
      </c>
      <c r="AL115" s="35">
        <v>-10.8348</v>
      </c>
      <c r="AM115" s="35">
        <v>259.029</v>
      </c>
      <c r="AN115" s="35">
        <v>0</v>
      </c>
      <c r="AO115" s="45" t="str">
        <f t="shared" si="0"/>
        <v/>
      </c>
      <c r="AP115" s="45" t="str">
        <f t="shared" si="3"/>
        <v/>
      </c>
      <c r="AQ115" s="45" t="str">
        <f t="shared" si="1"/>
        <v/>
      </c>
      <c r="AR115" s="45">
        <f t="shared" si="2"/>
        <v>0.48240372633948214</v>
      </c>
    </row>
    <row r="116" spans="2:44" ht="15" x14ac:dyDescent="0.4">
      <c r="B116" s="34" t="s">
        <v>346</v>
      </c>
      <c r="C116" s="35">
        <v>249</v>
      </c>
      <c r="D116" s="34" t="s">
        <v>778</v>
      </c>
      <c r="E116" s="35">
        <v>84.162000000000006</v>
      </c>
      <c r="F116" s="35">
        <v>553.22</v>
      </c>
      <c r="G116" s="35">
        <v>40.744</v>
      </c>
      <c r="H116" s="35">
        <v>293.06</v>
      </c>
      <c r="I116" s="35">
        <v>9.1326000000000001</v>
      </c>
      <c r="J116" s="35">
        <v>2766.6</v>
      </c>
      <c r="K116" s="35">
        <v>-50.5</v>
      </c>
      <c r="L116" s="35">
        <v>0.77900000000000003</v>
      </c>
      <c r="M116" s="35">
        <v>292.82</v>
      </c>
      <c r="N116" s="35">
        <v>1.0900000000000001</v>
      </c>
      <c r="O116" s="44">
        <v>2.9399999999999999E-2</v>
      </c>
      <c r="Y116" s="42"/>
      <c r="Z116" s="42"/>
      <c r="AA116" s="42"/>
      <c r="AB116" s="42"/>
      <c r="AC116" s="42"/>
      <c r="AD116" s="42"/>
      <c r="AE116" s="42"/>
      <c r="AF116" s="42"/>
      <c r="AO116" s="45" t="str">
        <f t="shared" si="0"/>
        <v/>
      </c>
      <c r="AP116" s="45" t="str">
        <f t="shared" si="3"/>
        <v/>
      </c>
      <c r="AQ116" s="45" t="str">
        <f t="shared" si="1"/>
        <v/>
      </c>
      <c r="AR116" s="45" t="str">
        <f t="shared" si="2"/>
        <v/>
      </c>
    </row>
    <row r="117" spans="2:44" ht="15" x14ac:dyDescent="0.4">
      <c r="B117" s="34" t="s">
        <v>347</v>
      </c>
      <c r="C117" s="35">
        <v>204</v>
      </c>
      <c r="D117" s="34" t="s">
        <v>779</v>
      </c>
      <c r="E117" s="35">
        <v>70.135000000000005</v>
      </c>
      <c r="F117" s="35">
        <v>511.42</v>
      </c>
      <c r="G117" s="35">
        <v>45.102000000000004</v>
      </c>
      <c r="H117" s="35">
        <v>225.9</v>
      </c>
      <c r="I117" s="35">
        <v>9.2373000000000012</v>
      </c>
      <c r="J117" s="35">
        <v>2588.4</v>
      </c>
      <c r="K117" s="35">
        <v>-41.789000000000001</v>
      </c>
      <c r="L117" s="35">
        <v>0.745</v>
      </c>
      <c r="M117" s="35">
        <v>292.82</v>
      </c>
      <c r="N117" s="35">
        <v>1.1100000000000001</v>
      </c>
      <c r="O117" s="44">
        <v>0.1938</v>
      </c>
      <c r="Y117" s="42"/>
      <c r="Z117" s="42"/>
      <c r="AA117" s="42"/>
      <c r="AB117" s="42"/>
      <c r="AC117" s="42"/>
      <c r="AD117" s="42"/>
      <c r="AE117" s="42"/>
      <c r="AF117" s="42"/>
      <c r="AO117" s="45" t="str">
        <f t="shared" si="0"/>
        <v/>
      </c>
      <c r="AP117" s="45" t="str">
        <f t="shared" si="3"/>
        <v/>
      </c>
      <c r="AQ117" s="45" t="str">
        <f t="shared" si="1"/>
        <v/>
      </c>
      <c r="AR117" s="45" t="str">
        <f t="shared" si="2"/>
        <v/>
      </c>
    </row>
    <row r="118" spans="2:44" ht="15" x14ac:dyDescent="0.4">
      <c r="B118" s="34" t="s">
        <v>348</v>
      </c>
      <c r="C118" s="35">
        <v>418</v>
      </c>
      <c r="D118" s="34" t="s">
        <v>780</v>
      </c>
      <c r="E118" s="35">
        <v>142.286</v>
      </c>
      <c r="F118" s="35">
        <v>617.41999999999996</v>
      </c>
      <c r="G118" s="35">
        <v>21.081</v>
      </c>
      <c r="H118" s="35">
        <v>243.49</v>
      </c>
      <c r="I118" s="35">
        <v>9.3913000000000011</v>
      </c>
      <c r="J118" s="35">
        <v>3456.8</v>
      </c>
      <c r="K118" s="35">
        <v>-78.671999999999997</v>
      </c>
      <c r="L118" s="35">
        <v>0.73</v>
      </c>
      <c r="M118" s="35">
        <v>292.82</v>
      </c>
      <c r="N118" s="35">
        <v>1.04</v>
      </c>
      <c r="O118" s="44">
        <v>0.48809999999999998</v>
      </c>
      <c r="P118" s="35">
        <v>42.714300000000001</v>
      </c>
      <c r="Q118" s="35">
        <v>122.173</v>
      </c>
      <c r="R118" s="35">
        <v>1654.85</v>
      </c>
      <c r="S118" s="35">
        <v>90.225499999999997</v>
      </c>
      <c r="T118" s="35">
        <v>785.56399999999996</v>
      </c>
      <c r="U118" s="35">
        <v>0</v>
      </c>
      <c r="V118" s="35">
        <v>100</v>
      </c>
      <c r="W118" s="35">
        <v>0</v>
      </c>
      <c r="X118" s="35">
        <v>100</v>
      </c>
      <c r="Y118" s="42"/>
      <c r="Z118" s="42"/>
      <c r="AA118" s="42"/>
      <c r="AB118" s="42"/>
      <c r="AC118" s="42"/>
      <c r="AD118" s="42"/>
      <c r="AE118" s="42"/>
      <c r="AF118" s="42"/>
      <c r="AO118" s="45">
        <f t="shared" si="0"/>
        <v>1.7040195901810278</v>
      </c>
      <c r="AP118" s="45" t="str">
        <f t="shared" si="3"/>
        <v/>
      </c>
      <c r="AQ118" s="45" t="str">
        <f t="shared" si="1"/>
        <v/>
      </c>
      <c r="AR118" s="45" t="str">
        <f t="shared" si="2"/>
        <v/>
      </c>
    </row>
    <row r="119" spans="2:44" ht="15" x14ac:dyDescent="0.4">
      <c r="B119" s="34" t="s">
        <v>349</v>
      </c>
      <c r="C119" s="35">
        <v>39</v>
      </c>
      <c r="D119" s="34" t="s">
        <v>781</v>
      </c>
      <c r="E119" s="35">
        <v>120.914</v>
      </c>
      <c r="F119" s="35">
        <v>384.82</v>
      </c>
      <c r="G119" s="35">
        <v>41.250999999999998</v>
      </c>
      <c r="H119" s="35">
        <v>154.6</v>
      </c>
      <c r="I119" s="51">
        <v>8.7753999999999994</v>
      </c>
      <c r="J119" s="51">
        <v>1800.8</v>
      </c>
      <c r="K119" s="51">
        <v>-37.773000000000003</v>
      </c>
      <c r="L119" s="35">
        <v>1.75</v>
      </c>
      <c r="M119" s="35">
        <v>157.82</v>
      </c>
      <c r="N119" s="35">
        <v>1.1299999999999999</v>
      </c>
      <c r="O119" s="44"/>
      <c r="Y119" s="42"/>
      <c r="Z119" s="42"/>
      <c r="AA119" s="42"/>
      <c r="AB119" s="42"/>
      <c r="AC119" s="42"/>
      <c r="AD119" s="42"/>
      <c r="AE119" s="42"/>
      <c r="AF119" s="42"/>
      <c r="AG119" s="35">
        <v>48.01014</v>
      </c>
      <c r="AH119" s="35">
        <v>139.1808</v>
      </c>
      <c r="AI119" s="35">
        <v>-124.3326</v>
      </c>
      <c r="AJ119" s="35">
        <v>39.751469999999998</v>
      </c>
      <c r="AK119" s="35">
        <v>-0.66338339999999996</v>
      </c>
      <c r="AL119" s="35">
        <v>-513.23040000000003</v>
      </c>
      <c r="AM119" s="35">
        <v>319.1028</v>
      </c>
      <c r="AN119" s="35">
        <v>-491.62</v>
      </c>
      <c r="AO119" s="45" t="str">
        <f t="shared" si="0"/>
        <v/>
      </c>
      <c r="AP119" s="45" t="str">
        <f t="shared" si="3"/>
        <v/>
      </c>
      <c r="AQ119" s="45" t="str">
        <f t="shared" si="1"/>
        <v/>
      </c>
      <c r="AR119" s="45">
        <f t="shared" si="2"/>
        <v>0.61083099343773317</v>
      </c>
    </row>
    <row r="120" spans="2:44" ht="15" x14ac:dyDescent="0.4">
      <c r="B120" s="34" t="s">
        <v>350</v>
      </c>
      <c r="C120" s="35">
        <v>100</v>
      </c>
      <c r="D120" s="34" t="s">
        <v>782</v>
      </c>
      <c r="E120" s="35">
        <v>30.07</v>
      </c>
      <c r="F120" s="35">
        <v>305.22000000000003</v>
      </c>
      <c r="G120" s="35">
        <v>48.852000000000004</v>
      </c>
      <c r="H120" s="35">
        <v>91.33</v>
      </c>
      <c r="I120" s="35">
        <v>9.0435999999999996</v>
      </c>
      <c r="J120" s="35">
        <v>1511.4</v>
      </c>
      <c r="K120" s="35">
        <v>-17.161000000000001</v>
      </c>
      <c r="L120" s="35">
        <v>0.54800000000000004</v>
      </c>
      <c r="M120" s="35">
        <v>182.82</v>
      </c>
      <c r="N120" s="35">
        <v>1.19</v>
      </c>
      <c r="O120" s="44">
        <v>9.7199999999999995E-2</v>
      </c>
      <c r="P120" s="35">
        <v>7.9813900000000002</v>
      </c>
      <c r="Q120" s="35">
        <v>24.366800000000001</v>
      </c>
      <c r="R120" s="35">
        <v>752.32</v>
      </c>
      <c r="S120" s="35">
        <v>3.5398999999999998</v>
      </c>
      <c r="T120" s="35">
        <v>272.846</v>
      </c>
      <c r="U120" s="35">
        <v>8.4472400000000007</v>
      </c>
      <c r="V120" s="35">
        <v>1020.13</v>
      </c>
      <c r="W120" s="35">
        <v>-13.273199999999999</v>
      </c>
      <c r="X120" s="35">
        <v>869.51</v>
      </c>
      <c r="Y120" s="35">
        <v>6.9</v>
      </c>
      <c r="Z120" s="35">
        <v>0.17269999999999999</v>
      </c>
      <c r="AA120" s="35">
        <v>-6.4060000000000007E-5</v>
      </c>
      <c r="AB120" s="35">
        <v>7.2850000000000004E-9</v>
      </c>
      <c r="AC120" s="35">
        <v>1.6479999999999999</v>
      </c>
      <c r="AD120" s="35">
        <v>2.291E-2</v>
      </c>
      <c r="AE120" s="35">
        <v>-4.7219999999999999E-6</v>
      </c>
      <c r="AF120" s="35">
        <v>2.9840000000000002E-10</v>
      </c>
      <c r="AO120" s="45">
        <f t="shared" si="0"/>
        <v>1.808188669960046</v>
      </c>
      <c r="AP120" s="45">
        <f t="shared" si="3"/>
        <v>1.8264983341904775</v>
      </c>
      <c r="AQ120" s="45">
        <f t="shared" si="1"/>
        <v>1.8260446901547716</v>
      </c>
      <c r="AR120" s="45" t="str">
        <f t="shared" si="2"/>
        <v/>
      </c>
    </row>
    <row r="121" spans="2:44" ht="15" x14ac:dyDescent="0.4">
      <c r="B121" s="34" t="s">
        <v>337</v>
      </c>
      <c r="C121" s="35">
        <v>102</v>
      </c>
      <c r="D121" s="34" t="s">
        <v>783</v>
      </c>
      <c r="E121" s="35">
        <v>46.069000000000003</v>
      </c>
      <c r="F121" s="35">
        <v>516.02</v>
      </c>
      <c r="G121" s="35">
        <v>63.852000000000004</v>
      </c>
      <c r="H121" s="35">
        <v>273</v>
      </c>
      <c r="I121" s="35">
        <v>12.292</v>
      </c>
      <c r="J121" s="35">
        <v>3803.9</v>
      </c>
      <c r="K121" s="35">
        <v>-41.678000000000004</v>
      </c>
      <c r="L121" s="35">
        <v>0.78900000000000003</v>
      </c>
      <c r="M121" s="35">
        <v>292.82</v>
      </c>
      <c r="N121" s="35">
        <v>1.1499999999999999</v>
      </c>
      <c r="O121" s="44">
        <v>0.64459999999999995</v>
      </c>
      <c r="Y121" s="35">
        <v>19.899999999999999</v>
      </c>
      <c r="Z121" s="35">
        <v>0.20960000000000001</v>
      </c>
      <c r="AA121" s="35">
        <v>-1.038E-4</v>
      </c>
      <c r="AB121" s="35">
        <v>2.0050000000000001E-8</v>
      </c>
      <c r="AC121" s="35">
        <v>4.75</v>
      </c>
      <c r="AD121" s="35">
        <v>2.7810000000000001E-2</v>
      </c>
      <c r="AE121" s="35">
        <v>-7.6510000000000001E-6</v>
      </c>
      <c r="AF121" s="35">
        <v>8.2099999999999996E-10</v>
      </c>
      <c r="AO121" s="45" t="str">
        <f t="shared" si="0"/>
        <v/>
      </c>
      <c r="AP121" s="45">
        <f t="shared" si="3"/>
        <v>1.6491135502903584</v>
      </c>
      <c r="AQ121" s="45">
        <f t="shared" si="1"/>
        <v>1.648745411362617</v>
      </c>
      <c r="AR121" s="45" t="str">
        <f t="shared" si="2"/>
        <v/>
      </c>
    </row>
    <row r="122" spans="2:44" ht="15" x14ac:dyDescent="0.4">
      <c r="B122" s="34" t="s">
        <v>353</v>
      </c>
      <c r="C122" s="35">
        <v>325</v>
      </c>
      <c r="D122" s="34" t="s">
        <v>784</v>
      </c>
      <c r="E122" s="35">
        <v>106.16800000000001</v>
      </c>
      <c r="F122" s="35">
        <v>616.91999999999996</v>
      </c>
      <c r="G122" s="35">
        <v>36.082000000000001</v>
      </c>
      <c r="H122" s="35">
        <v>329.74</v>
      </c>
      <c r="I122" s="35">
        <v>9.3994</v>
      </c>
      <c r="J122" s="35">
        <v>3279.4</v>
      </c>
      <c r="K122" s="35">
        <v>-59.95</v>
      </c>
      <c r="L122" s="35">
        <v>0.86699999999999999</v>
      </c>
      <c r="M122" s="35">
        <v>292.82</v>
      </c>
      <c r="N122" s="35">
        <v>1.07</v>
      </c>
      <c r="O122" s="44">
        <v>0.30270000000000002</v>
      </c>
      <c r="Y122" s="42"/>
      <c r="Z122" s="42"/>
      <c r="AA122" s="42"/>
      <c r="AB122" s="42"/>
      <c r="AC122" s="42"/>
      <c r="AD122" s="42"/>
      <c r="AE122" s="42"/>
      <c r="AF122" s="42"/>
      <c r="AO122" s="45" t="str">
        <f t="shared" si="0"/>
        <v/>
      </c>
      <c r="AP122" s="45" t="str">
        <f t="shared" si="3"/>
        <v/>
      </c>
      <c r="AQ122" s="45" t="str">
        <f t="shared" si="1"/>
        <v/>
      </c>
      <c r="AR122" s="45" t="str">
        <f t="shared" si="2"/>
        <v/>
      </c>
    </row>
    <row r="123" spans="2:44" ht="15" x14ac:dyDescent="0.4">
      <c r="B123" s="34" t="s">
        <v>333</v>
      </c>
      <c r="C123" s="35">
        <v>88</v>
      </c>
      <c r="D123" s="34" t="s">
        <v>785</v>
      </c>
      <c r="E123" s="35">
        <v>28.053999999999998</v>
      </c>
      <c r="F123" s="35">
        <v>287.77</v>
      </c>
      <c r="G123" s="35">
        <v>50.372</v>
      </c>
      <c r="H123" s="35">
        <v>149.37</v>
      </c>
      <c r="I123" s="35">
        <v>8.9167000000000005</v>
      </c>
      <c r="J123" s="35">
        <v>1347</v>
      </c>
      <c r="K123" s="35">
        <v>-18.149999999999999</v>
      </c>
      <c r="L123" s="35">
        <v>0.57699999999999996</v>
      </c>
      <c r="M123" s="35">
        <v>162.82</v>
      </c>
      <c r="N123" s="35">
        <v>1.24</v>
      </c>
      <c r="O123" s="44"/>
      <c r="Y123" s="35">
        <v>3.95</v>
      </c>
      <c r="Z123" s="35">
        <v>0.15640000000000001</v>
      </c>
      <c r="AA123" s="35">
        <v>-8.3440000000000001E-5</v>
      </c>
      <c r="AB123" s="35">
        <v>1.7669999999999999E-8</v>
      </c>
      <c r="AC123" s="35">
        <v>0.94399999999999995</v>
      </c>
      <c r="AD123" s="35">
        <v>2.0750000000000001E-2</v>
      </c>
      <c r="AE123" s="35">
        <v>-6.1510000000000001E-6</v>
      </c>
      <c r="AF123" s="35">
        <v>7.3260000000000003E-10</v>
      </c>
      <c r="AO123" s="45" t="str">
        <f t="shared" si="0"/>
        <v/>
      </c>
      <c r="AP123" s="45">
        <f t="shared" si="3"/>
        <v>1.6142762974433615</v>
      </c>
      <c r="AQ123" s="45">
        <f t="shared" si="1"/>
        <v>1.6143424684705168</v>
      </c>
      <c r="AR123" s="45" t="str">
        <f t="shared" si="2"/>
        <v/>
      </c>
    </row>
    <row r="124" spans="2:44" x14ac:dyDescent="0.3">
      <c r="B124" s="34" t="s">
        <v>355</v>
      </c>
      <c r="C124" s="35">
        <v>24</v>
      </c>
      <c r="D124" s="34" t="s">
        <v>438</v>
      </c>
      <c r="E124" s="35">
        <v>4.0030000000000001</v>
      </c>
      <c r="F124" s="35">
        <v>5.0056000000000003</v>
      </c>
      <c r="G124" s="35">
        <v>2.2704</v>
      </c>
      <c r="H124" s="51">
        <v>1</v>
      </c>
      <c r="I124" s="35">
        <v>5.6313000000000004</v>
      </c>
      <c r="J124" s="35">
        <v>33.733000000000004</v>
      </c>
      <c r="K124" s="35">
        <v>1.7889000000000002</v>
      </c>
      <c r="L124" s="35">
        <v>0.123</v>
      </c>
      <c r="M124" s="35">
        <v>4.0944000000000003</v>
      </c>
      <c r="N124" s="51">
        <v>1.66</v>
      </c>
      <c r="O124" s="44">
        <v>0</v>
      </c>
      <c r="P124" s="35">
        <v>4.9649999999999999</v>
      </c>
      <c r="Q124" s="35">
        <v>0</v>
      </c>
      <c r="R124" s="35">
        <v>100</v>
      </c>
      <c r="S124" s="35">
        <v>0</v>
      </c>
      <c r="T124" s="35">
        <v>100</v>
      </c>
      <c r="U124" s="35">
        <v>0</v>
      </c>
      <c r="V124" s="35">
        <v>100</v>
      </c>
      <c r="W124" s="35">
        <v>0</v>
      </c>
      <c r="X124" s="35">
        <v>100</v>
      </c>
      <c r="Y124" s="42"/>
      <c r="Z124" s="42"/>
      <c r="AA124" s="42"/>
      <c r="AB124" s="42"/>
      <c r="AC124" s="42"/>
      <c r="AD124" s="42"/>
      <c r="AE124" s="42"/>
      <c r="AF124" s="42"/>
      <c r="AG124" s="35">
        <v>20.78603</v>
      </c>
      <c r="AH124" s="35">
        <v>4.8506380000000005E-10</v>
      </c>
      <c r="AI124" s="35">
        <v>-1.582916E-10</v>
      </c>
      <c r="AJ124" s="35">
        <v>1.525102E-11</v>
      </c>
      <c r="AK124" s="35">
        <v>3.1963469999999999E-11</v>
      </c>
      <c r="AL124" s="35">
        <v>-6.1973409999999998</v>
      </c>
      <c r="AM124" s="35">
        <v>151.3064</v>
      </c>
      <c r="AN124" s="35">
        <v>0</v>
      </c>
      <c r="AO124" s="45">
        <f t="shared" si="0"/>
        <v>5.1929707719210585</v>
      </c>
      <c r="AP124" s="45" t="str">
        <f t="shared" si="3"/>
        <v/>
      </c>
      <c r="AQ124" s="45" t="str">
        <f t="shared" si="1"/>
        <v/>
      </c>
      <c r="AR124" s="45">
        <f t="shared" si="2"/>
        <v>5.1926130403354458</v>
      </c>
    </row>
    <row r="125" spans="2:44" ht="15" x14ac:dyDescent="0.4">
      <c r="B125" s="34" t="s">
        <v>356</v>
      </c>
      <c r="C125" s="35">
        <v>308</v>
      </c>
      <c r="D125" s="34" t="s">
        <v>786</v>
      </c>
      <c r="E125" s="35">
        <v>100.205</v>
      </c>
      <c r="F125" s="35">
        <v>540.02</v>
      </c>
      <c r="G125" s="35">
        <v>27.364999999999998</v>
      </c>
      <c r="H125" s="35">
        <v>185.29</v>
      </c>
      <c r="I125" s="35">
        <v>9.2536000000000005</v>
      </c>
      <c r="J125" s="35">
        <v>2911.3</v>
      </c>
      <c r="K125" s="35">
        <v>-56.511000000000003</v>
      </c>
      <c r="L125" s="35">
        <v>0.68400000000000005</v>
      </c>
      <c r="M125" s="35">
        <v>292.82</v>
      </c>
      <c r="N125" s="35">
        <v>1.05</v>
      </c>
      <c r="O125" s="44">
        <v>0.3483</v>
      </c>
      <c r="P125" s="35">
        <v>30.402899999999999</v>
      </c>
      <c r="Q125" s="35">
        <v>90.694100000000006</v>
      </c>
      <c r="R125" s="35">
        <v>1669.32</v>
      </c>
      <c r="S125" s="35">
        <v>63.202800000000003</v>
      </c>
      <c r="T125" s="35">
        <v>786.00099999999998</v>
      </c>
      <c r="U125" s="35">
        <v>0</v>
      </c>
      <c r="V125" s="35">
        <v>100</v>
      </c>
      <c r="W125" s="35">
        <v>0</v>
      </c>
      <c r="X125" s="35">
        <v>100</v>
      </c>
      <c r="Y125" s="42"/>
      <c r="Z125" s="42"/>
      <c r="AA125" s="42"/>
      <c r="AB125" s="42"/>
      <c r="AC125" s="42"/>
      <c r="AD125" s="42"/>
      <c r="AE125" s="42"/>
      <c r="AF125" s="42"/>
      <c r="AO125" s="45">
        <f t="shared" si="0"/>
        <v>1.7141771805961887</v>
      </c>
      <c r="AP125" s="45" t="str">
        <f t="shared" si="3"/>
        <v/>
      </c>
      <c r="AQ125" s="45" t="str">
        <f t="shared" si="1"/>
        <v/>
      </c>
      <c r="AR125" s="45" t="str">
        <f t="shared" si="2"/>
        <v/>
      </c>
    </row>
    <row r="126" spans="2:44" ht="15" x14ac:dyDescent="0.4">
      <c r="B126" s="34" t="s">
        <v>357</v>
      </c>
      <c r="C126" s="35">
        <v>271</v>
      </c>
      <c r="D126" s="34" t="s">
        <v>787</v>
      </c>
      <c r="E126" s="35">
        <v>86.177999999999997</v>
      </c>
      <c r="F126" s="35">
        <v>507.22</v>
      </c>
      <c r="G126" s="35">
        <v>29.696000000000002</v>
      </c>
      <c r="H126" s="35">
        <v>177.7</v>
      </c>
      <c r="I126" s="35">
        <v>9.2164999999999999</v>
      </c>
      <c r="J126" s="35">
        <v>2697.5</v>
      </c>
      <c r="K126" s="35">
        <v>-48.777999999999999</v>
      </c>
      <c r="L126" s="35">
        <v>0.65900000000000003</v>
      </c>
      <c r="M126" s="35">
        <v>292.82</v>
      </c>
      <c r="N126" s="35">
        <v>1.06</v>
      </c>
      <c r="O126" s="44">
        <v>0.29899999999999999</v>
      </c>
      <c r="P126" s="35">
        <v>26.622499999999999</v>
      </c>
      <c r="Q126" s="35">
        <v>80.381900000000002</v>
      </c>
      <c r="R126" s="35">
        <v>1718.49</v>
      </c>
      <c r="S126" s="35">
        <v>55.659799999999997</v>
      </c>
      <c r="T126" s="35">
        <v>802.06899999999996</v>
      </c>
      <c r="U126" s="35">
        <v>0</v>
      </c>
      <c r="V126" s="35">
        <v>100</v>
      </c>
      <c r="W126" s="35">
        <v>0</v>
      </c>
      <c r="X126" s="35">
        <v>100</v>
      </c>
      <c r="Y126" s="35">
        <v>6.9379999999999997</v>
      </c>
      <c r="Z126" s="35">
        <v>0.55220000000000002</v>
      </c>
      <c r="AA126" s="35">
        <v>-2.8650000000000003E-4</v>
      </c>
      <c r="AB126" s="35">
        <v>5.7690000000000002E-8</v>
      </c>
      <c r="AC126" s="35">
        <v>1.657</v>
      </c>
      <c r="AD126" s="35">
        <v>7.3279999999999998E-2</v>
      </c>
      <c r="AE126" s="35">
        <v>-2.1120000000000001E-5</v>
      </c>
      <c r="AF126" s="35">
        <v>2.3629999999999998E-9</v>
      </c>
      <c r="AO126" s="45">
        <f t="shared" si="0"/>
        <v>1.719415732745569</v>
      </c>
      <c r="AP126" s="45">
        <f t="shared" si="3"/>
        <v>1.7816144554404216</v>
      </c>
      <c r="AQ126" s="45">
        <f t="shared" si="1"/>
        <v>1.781816850465235</v>
      </c>
      <c r="AR126" s="45" t="str">
        <f t="shared" si="2"/>
        <v/>
      </c>
    </row>
    <row r="127" spans="2:44" ht="15" x14ac:dyDescent="0.4">
      <c r="B127" s="34" t="s">
        <v>358</v>
      </c>
      <c r="C127" s="35">
        <v>19</v>
      </c>
      <c r="D127" s="34" t="s">
        <v>788</v>
      </c>
      <c r="E127" s="35">
        <v>2.016</v>
      </c>
      <c r="F127" s="35">
        <v>33.017000000000003</v>
      </c>
      <c r="G127" s="35">
        <v>12.973000000000001</v>
      </c>
      <c r="H127" s="35">
        <v>21.01</v>
      </c>
      <c r="I127" s="35">
        <v>7.0132000000000003</v>
      </c>
      <c r="J127" s="35">
        <v>164.9</v>
      </c>
      <c r="K127" s="35">
        <v>3.1889000000000003</v>
      </c>
      <c r="L127" s="35">
        <v>7.0999999999999994E-2</v>
      </c>
      <c r="M127" s="35">
        <v>19.817</v>
      </c>
      <c r="N127" s="35">
        <v>1.4</v>
      </c>
      <c r="O127" s="44">
        <v>0.22159999999999999</v>
      </c>
      <c r="P127" s="35">
        <v>6.6678899999999999</v>
      </c>
      <c r="Q127" s="35">
        <v>2.3345799999999999</v>
      </c>
      <c r="R127" s="35">
        <v>2584.98</v>
      </c>
      <c r="S127" s="35">
        <v>0.74901899999999999</v>
      </c>
      <c r="T127" s="35">
        <v>559.65599999999995</v>
      </c>
      <c r="U127" s="35">
        <v>0</v>
      </c>
      <c r="V127" s="35">
        <v>100</v>
      </c>
      <c r="W127" s="35">
        <v>0</v>
      </c>
      <c r="X127" s="35">
        <v>100</v>
      </c>
      <c r="Y127" s="35">
        <v>29.11</v>
      </c>
      <c r="Z127" s="35">
        <v>-1.916E-3</v>
      </c>
      <c r="AA127" s="35">
        <v>4.0029999999999996E-6</v>
      </c>
      <c r="AB127" s="35">
        <v>-8.7040000000000001E-10</v>
      </c>
      <c r="AC127" s="35">
        <v>6.952</v>
      </c>
      <c r="AD127" s="35">
        <v>-2.542E-4</v>
      </c>
      <c r="AE127" s="35">
        <v>2.952E-7</v>
      </c>
      <c r="AF127" s="35">
        <v>-3.5650000000000001E-11</v>
      </c>
      <c r="AG127" s="35">
        <v>33.066178000000001</v>
      </c>
      <c r="AH127" s="35">
        <v>-11.363417</v>
      </c>
      <c r="AI127" s="35">
        <v>11.432816000000001</v>
      </c>
      <c r="AJ127" s="35">
        <v>-2.7728739999999998</v>
      </c>
      <c r="AK127" s="35">
        <v>-0.158558</v>
      </c>
      <c r="AL127" s="35">
        <v>-9.9807970000000008</v>
      </c>
      <c r="AM127" s="35">
        <v>172.70797400000001</v>
      </c>
      <c r="AN127" s="35">
        <v>0</v>
      </c>
      <c r="AO127" s="45">
        <f t="shared" si="0"/>
        <v>14.375026573115248</v>
      </c>
      <c r="AP127" s="45">
        <f t="shared" si="3"/>
        <v>14.323324347107372</v>
      </c>
      <c r="AQ127" s="45">
        <f t="shared" si="1"/>
        <v>14.321768823257248</v>
      </c>
      <c r="AR127" s="45">
        <f t="shared" si="2"/>
        <v>14.348615159826451</v>
      </c>
    </row>
    <row r="128" spans="2:44" x14ac:dyDescent="0.3">
      <c r="B128" s="34" t="s">
        <v>359</v>
      </c>
      <c r="C128" s="35">
        <v>16</v>
      </c>
      <c r="D128" s="34" t="s">
        <v>439</v>
      </c>
      <c r="E128" s="35">
        <v>36.460999999999999</v>
      </c>
      <c r="F128" s="35">
        <v>324.42</v>
      </c>
      <c r="G128" s="35">
        <v>83.108999999999995</v>
      </c>
      <c r="H128" s="35">
        <v>122.3</v>
      </c>
      <c r="I128" s="35">
        <v>9.8839000000000006</v>
      </c>
      <c r="J128" s="35">
        <v>1714.2</v>
      </c>
      <c r="K128" s="35">
        <v>-14.45</v>
      </c>
      <c r="L128" s="35">
        <v>1.1930000000000001</v>
      </c>
      <c r="M128" s="35">
        <v>187.93</v>
      </c>
      <c r="N128" s="35">
        <v>1.4</v>
      </c>
      <c r="O128" s="44">
        <v>0.12590000000000001</v>
      </c>
      <c r="Y128" s="35">
        <v>30.33</v>
      </c>
      <c r="Z128" s="35">
        <v>-7.62E-3</v>
      </c>
      <c r="AA128" s="35">
        <v>1.327E-5</v>
      </c>
      <c r="AB128" s="35">
        <v>-4.3379999999999997E-9</v>
      </c>
      <c r="AC128" s="35">
        <v>7.2549999999999999</v>
      </c>
      <c r="AD128" s="35">
        <v>-1.011E-3</v>
      </c>
      <c r="AE128" s="35">
        <v>9.7830000000000002E-7</v>
      </c>
      <c r="AF128" s="35">
        <v>-1.7760000000000001E-10</v>
      </c>
      <c r="AG128" s="35">
        <v>32.123919999999998</v>
      </c>
      <c r="AH128" s="35">
        <v>-13.45805</v>
      </c>
      <c r="AI128" s="35">
        <v>19.86852</v>
      </c>
      <c r="AJ128" s="35">
        <v>-6.853936</v>
      </c>
      <c r="AK128" s="35">
        <v>-4.9672000000000001E-2</v>
      </c>
      <c r="AL128" s="35">
        <v>-101.6206</v>
      </c>
      <c r="AM128" s="35">
        <v>228.6866</v>
      </c>
      <c r="AN128" s="35">
        <v>-92.312010000000001</v>
      </c>
      <c r="AO128" s="45" t="str">
        <f t="shared" si="0"/>
        <v/>
      </c>
      <c r="AP128" s="45">
        <f t="shared" si="3"/>
        <v>0.79843885039462348</v>
      </c>
      <c r="AQ128" s="45">
        <f t="shared" si="1"/>
        <v>0.79969042717611616</v>
      </c>
      <c r="AR128" s="45">
        <f t="shared" si="2"/>
        <v>0.79923456369164692</v>
      </c>
    </row>
    <row r="129" spans="2:44" ht="15" x14ac:dyDescent="0.4">
      <c r="B129" s="34" t="s">
        <v>360</v>
      </c>
      <c r="C129" s="35">
        <v>21</v>
      </c>
      <c r="D129" s="34" t="s">
        <v>789</v>
      </c>
      <c r="E129" s="35">
        <v>34.08</v>
      </c>
      <c r="F129" s="35">
        <v>373.02</v>
      </c>
      <c r="G129" s="35">
        <v>89.393000000000001</v>
      </c>
      <c r="H129" s="35">
        <v>138.80000000000001</v>
      </c>
      <c r="I129" s="35">
        <v>9.4839000000000002</v>
      </c>
      <c r="J129" s="35">
        <v>1768.6</v>
      </c>
      <c r="K129" s="35">
        <v>-26.061</v>
      </c>
      <c r="L129" s="35">
        <v>0.99299999999999999</v>
      </c>
      <c r="M129" s="35">
        <v>213.43</v>
      </c>
      <c r="N129" s="35">
        <v>1.32</v>
      </c>
      <c r="O129" s="44">
        <v>9.4799999999999995E-2</v>
      </c>
      <c r="P129" s="35">
        <v>7.9467999999999996</v>
      </c>
      <c r="Q129" s="35">
        <v>-8.3799999999999999E-2</v>
      </c>
      <c r="R129" s="35">
        <v>433.80099999999999</v>
      </c>
      <c r="S129" s="35">
        <v>2.8553899999999999</v>
      </c>
      <c r="T129" s="35">
        <v>843.79200000000003</v>
      </c>
      <c r="U129" s="35">
        <v>6.31595</v>
      </c>
      <c r="V129" s="35">
        <v>1481.43</v>
      </c>
      <c r="W129" s="35">
        <v>-2.8845700000000001</v>
      </c>
      <c r="X129" s="35">
        <v>1102.23</v>
      </c>
      <c r="Y129" s="42"/>
      <c r="Z129" s="42"/>
      <c r="AA129" s="42"/>
      <c r="AB129" s="42"/>
      <c r="AC129" s="42"/>
      <c r="AD129" s="42"/>
      <c r="AE129" s="42"/>
      <c r="AF129" s="42"/>
      <c r="AG129" s="35">
        <v>26.884119999999999</v>
      </c>
      <c r="AH129" s="35">
        <v>18.678090000000001</v>
      </c>
      <c r="AI129" s="35">
        <v>3.4342030000000001</v>
      </c>
      <c r="AJ129" s="35">
        <v>-3.3787020000000001</v>
      </c>
      <c r="AK129" s="35">
        <v>0.135882</v>
      </c>
      <c r="AL129" s="35">
        <v>-28.912109999999998</v>
      </c>
      <c r="AM129" s="35">
        <v>233.2747</v>
      </c>
      <c r="AN129" s="35">
        <v>-20.502020000000002</v>
      </c>
      <c r="AO129" s="45">
        <f t="shared" si="0"/>
        <v>1.0067856975927651</v>
      </c>
      <c r="AP129" s="45" t="str">
        <f t="shared" si="3"/>
        <v/>
      </c>
      <c r="AQ129" s="45" t="str">
        <f t="shared" si="1"/>
        <v/>
      </c>
      <c r="AR129" s="45">
        <f t="shared" si="2"/>
        <v>1.0079764863098946</v>
      </c>
    </row>
    <row r="130" spans="2:44" ht="15" x14ac:dyDescent="0.4">
      <c r="B130" s="34" t="s">
        <v>361</v>
      </c>
      <c r="C130" s="35">
        <v>182</v>
      </c>
      <c r="D130" s="34" t="s">
        <v>774</v>
      </c>
      <c r="E130" s="35">
        <v>58.124000000000002</v>
      </c>
      <c r="F130" s="35">
        <v>407.92</v>
      </c>
      <c r="G130" s="35">
        <v>36.487000000000002</v>
      </c>
      <c r="H130" s="35">
        <v>186.06</v>
      </c>
      <c r="I130" s="35">
        <v>8.918000000000001</v>
      </c>
      <c r="J130" s="35">
        <v>2032.7</v>
      </c>
      <c r="K130" s="35">
        <v>-33.15</v>
      </c>
      <c r="L130" s="35">
        <v>0.55700000000000005</v>
      </c>
      <c r="M130" s="35">
        <v>292.82</v>
      </c>
      <c r="N130" s="35">
        <v>1.0900000000000001</v>
      </c>
      <c r="O130" s="44">
        <v>0.1852</v>
      </c>
      <c r="P130" s="35">
        <v>17.814299999999999</v>
      </c>
      <c r="Q130" s="35">
        <v>58.206200000000003</v>
      </c>
      <c r="R130" s="35">
        <v>1787.39</v>
      </c>
      <c r="S130" s="35">
        <v>40.762099999999997</v>
      </c>
      <c r="T130" s="35">
        <v>808.64499999999998</v>
      </c>
      <c r="U130" s="35">
        <v>0</v>
      </c>
      <c r="V130" s="35">
        <v>100</v>
      </c>
      <c r="W130" s="35">
        <v>0</v>
      </c>
      <c r="X130" s="35">
        <v>100</v>
      </c>
      <c r="Y130" s="35">
        <v>-7.9130000000000003</v>
      </c>
      <c r="Z130" s="35">
        <v>0.41599999999999998</v>
      </c>
      <c r="AA130" s="35">
        <v>-2.3010000000000001E-4</v>
      </c>
      <c r="AB130" s="35">
        <v>4.9910000000000002E-8</v>
      </c>
      <c r="AC130" s="35">
        <v>-1.89</v>
      </c>
      <c r="AD130" s="35">
        <v>5.5199999999999999E-2</v>
      </c>
      <c r="AE130" s="35">
        <v>-1.696E-5</v>
      </c>
      <c r="AF130" s="35">
        <v>2.044E-9</v>
      </c>
      <c r="AO130" s="45">
        <f t="shared" si="0"/>
        <v>1.7317664413856837</v>
      </c>
      <c r="AP130" s="45">
        <f t="shared" si="3"/>
        <v>1.7432691828748446</v>
      </c>
      <c r="AQ130" s="45">
        <f t="shared" si="1"/>
        <v>1.7433270778677483</v>
      </c>
      <c r="AR130" s="45" t="str">
        <f t="shared" si="2"/>
        <v/>
      </c>
    </row>
    <row r="131" spans="2:44" ht="15" x14ac:dyDescent="0.4">
      <c r="B131" s="34" t="s">
        <v>368</v>
      </c>
      <c r="C131" s="35">
        <v>61</v>
      </c>
      <c r="D131" s="34" t="s">
        <v>790</v>
      </c>
      <c r="E131" s="35">
        <v>16.042999999999999</v>
      </c>
      <c r="F131" s="35">
        <v>190.42</v>
      </c>
      <c r="G131" s="35">
        <v>46.014000000000003</v>
      </c>
      <c r="H131" s="35">
        <v>90.99</v>
      </c>
      <c r="I131" s="51">
        <v>9.1861999999999995</v>
      </c>
      <c r="J131" s="51">
        <v>1020.1</v>
      </c>
      <c r="K131" s="51">
        <v>-0.49</v>
      </c>
      <c r="L131" s="35">
        <v>0.42499999999999999</v>
      </c>
      <c r="M131" s="35">
        <v>111.54</v>
      </c>
      <c r="N131" s="35">
        <v>1.31</v>
      </c>
      <c r="O131" s="44">
        <v>1.0800000000000001E-2</v>
      </c>
      <c r="P131" s="35">
        <v>7.9545399999999997</v>
      </c>
      <c r="Q131" s="35">
        <v>43.941699999999997</v>
      </c>
      <c r="R131" s="35">
        <v>1037.0899999999999</v>
      </c>
      <c r="S131" s="35">
        <v>1.5672999999999999</v>
      </c>
      <c r="T131" s="35">
        <v>13.205</v>
      </c>
      <c r="U131" s="35">
        <v>-24.902699999999999</v>
      </c>
      <c r="V131" s="35">
        <v>1019.98</v>
      </c>
      <c r="W131" s="35">
        <v>-10.1601</v>
      </c>
      <c r="X131" s="35">
        <v>1070.1400000000001</v>
      </c>
      <c r="Y131" s="35">
        <v>19.89</v>
      </c>
      <c r="Z131" s="35">
        <v>5.024E-2</v>
      </c>
      <c r="AA131" s="35">
        <v>1.269E-5</v>
      </c>
      <c r="AB131" s="35">
        <v>-1.1010000000000001E-8</v>
      </c>
      <c r="AC131" s="35">
        <v>4.75</v>
      </c>
      <c r="AD131" s="35">
        <v>6.6660000000000001E-3</v>
      </c>
      <c r="AE131" s="35">
        <v>9.3519999999999996E-7</v>
      </c>
      <c r="AF131" s="35">
        <v>-4.5099999999999999E-10</v>
      </c>
      <c r="AG131" s="35">
        <v>-0.70302900000000002</v>
      </c>
      <c r="AH131" s="35">
        <v>108.4773</v>
      </c>
      <c r="AI131" s="35">
        <v>-42.521569999999997</v>
      </c>
      <c r="AJ131" s="35">
        <v>5.8627880000000001</v>
      </c>
      <c r="AK131" s="35">
        <v>0.67856499999999997</v>
      </c>
      <c r="AL131" s="35">
        <v>-76.843760000000003</v>
      </c>
      <c r="AM131" s="35">
        <v>158.71629999999999</v>
      </c>
      <c r="AN131" s="35">
        <v>-74.873099999999994</v>
      </c>
      <c r="AO131" s="45">
        <f t="shared" si="0"/>
        <v>2.2039630576226252</v>
      </c>
      <c r="AP131" s="45">
        <f t="shared" si="3"/>
        <v>2.2769416540854932</v>
      </c>
      <c r="AQ131" s="45">
        <f t="shared" si="1"/>
        <v>2.2766790046054473</v>
      </c>
      <c r="AR131" s="45">
        <f t="shared" si="2"/>
        <v>2.256222320533757</v>
      </c>
    </row>
    <row r="132" spans="2:44" ht="15" x14ac:dyDescent="0.4">
      <c r="B132" s="34" t="s">
        <v>370</v>
      </c>
      <c r="C132" s="35">
        <v>62</v>
      </c>
      <c r="D132" s="34" t="s">
        <v>791</v>
      </c>
      <c r="E132" s="35">
        <v>32.042000000000002</v>
      </c>
      <c r="F132" s="35">
        <v>512.41999999999996</v>
      </c>
      <c r="G132" s="35">
        <v>80.981000000000009</v>
      </c>
      <c r="H132" s="35">
        <v>288</v>
      </c>
      <c r="I132" s="35">
        <v>11.967000000000001</v>
      </c>
      <c r="J132" s="35">
        <v>3626.5</v>
      </c>
      <c r="K132" s="35">
        <v>-34.289000000000001</v>
      </c>
      <c r="L132" s="35">
        <v>0.79100000000000004</v>
      </c>
      <c r="M132" s="35">
        <v>292.82</v>
      </c>
      <c r="N132" s="35">
        <v>1.24</v>
      </c>
      <c r="O132" s="44"/>
      <c r="P132" s="35"/>
      <c r="Q132" s="35"/>
      <c r="R132" s="35"/>
      <c r="S132" s="35"/>
      <c r="T132" s="35"/>
      <c r="U132" s="35"/>
      <c r="V132" s="35"/>
      <c r="W132" s="35"/>
      <c r="X132" s="35"/>
      <c r="Y132" s="35">
        <v>19</v>
      </c>
      <c r="Z132" s="47">
        <v>9.1520000000000004E-2</v>
      </c>
      <c r="AA132" s="47">
        <v>-1.22E-5</v>
      </c>
      <c r="AB132" s="47">
        <v>-8.0390000000000001E-9</v>
      </c>
      <c r="AC132" s="35">
        <v>4.55</v>
      </c>
      <c r="AD132" s="47">
        <v>1.214E-2</v>
      </c>
      <c r="AE132" s="47">
        <v>-8.9800000000000002E-7</v>
      </c>
      <c r="AF132" s="47">
        <v>-3.29E-10</v>
      </c>
      <c r="AG132" s="35"/>
      <c r="AH132" s="35"/>
      <c r="AI132" s="35"/>
      <c r="AJ132" s="35"/>
      <c r="AK132" s="35"/>
      <c r="AL132" s="35"/>
      <c r="AM132" s="35"/>
      <c r="AN132" s="35"/>
      <c r="AO132" s="45" t="str">
        <f t="shared" si="0"/>
        <v/>
      </c>
      <c r="AP132" s="45">
        <f t="shared" si="3"/>
        <v>1.442364879979088</v>
      </c>
      <c r="AQ132" s="45">
        <f t="shared" si="1"/>
        <v>1.4436916247738045</v>
      </c>
      <c r="AR132" s="45" t="str">
        <f t="shared" si="2"/>
        <v/>
      </c>
    </row>
    <row r="133" spans="2:44" ht="15" x14ac:dyDescent="0.4">
      <c r="B133" s="34" t="s">
        <v>371</v>
      </c>
      <c r="C133" s="35">
        <v>57</v>
      </c>
      <c r="D133" s="34" t="s">
        <v>792</v>
      </c>
      <c r="E133" s="35">
        <v>50.488</v>
      </c>
      <c r="F133" s="35">
        <v>416.12</v>
      </c>
      <c r="G133" s="35">
        <v>66.792000000000002</v>
      </c>
      <c r="H133" s="35">
        <v>183</v>
      </c>
      <c r="I133" s="35">
        <v>9.485100000000001</v>
      </c>
      <c r="J133" s="35">
        <v>2077.9</v>
      </c>
      <c r="K133" s="35">
        <v>-29.55</v>
      </c>
      <c r="L133" s="35">
        <v>0.91500000000000004</v>
      </c>
      <c r="M133" s="35">
        <v>292.82</v>
      </c>
      <c r="N133" s="35">
        <v>1.26</v>
      </c>
      <c r="O133" s="44"/>
      <c r="Y133" s="42"/>
      <c r="Z133" s="42"/>
      <c r="AA133" s="42"/>
      <c r="AB133" s="42"/>
      <c r="AC133" s="42"/>
      <c r="AD133" s="42"/>
      <c r="AE133" s="42"/>
      <c r="AF133" s="42"/>
      <c r="AG133" s="35">
        <v>3.5246900000000001</v>
      </c>
      <c r="AH133" s="35">
        <v>136.92769999999999</v>
      </c>
      <c r="AI133" s="35">
        <v>-82.141959999999997</v>
      </c>
      <c r="AJ133" s="35">
        <v>20.227969999999999</v>
      </c>
      <c r="AK133" s="35">
        <v>0.278032</v>
      </c>
      <c r="AL133" s="35">
        <v>-89.199950000000001</v>
      </c>
      <c r="AM133" s="35">
        <v>202.8391</v>
      </c>
      <c r="AN133" s="35">
        <v>-83.68</v>
      </c>
      <c r="AO133" s="45" t="str">
        <f t="shared" si="0"/>
        <v/>
      </c>
      <c r="AP133" s="45" t="str">
        <f t="shared" si="3"/>
        <v/>
      </c>
      <c r="AQ133" s="45" t="str">
        <f t="shared" si="1"/>
        <v/>
      </c>
      <c r="AR133" s="45">
        <f t="shared" si="2"/>
        <v>0.82801711471790174</v>
      </c>
    </row>
    <row r="134" spans="2:44" x14ac:dyDescent="0.3">
      <c r="B134" s="34" t="s">
        <v>372</v>
      </c>
      <c r="E134" s="35">
        <v>19.5</v>
      </c>
      <c r="F134" s="35">
        <v>-70</v>
      </c>
      <c r="G134" s="35">
        <v>46.33276901009139</v>
      </c>
      <c r="I134" s="34"/>
      <c r="J134" s="34"/>
      <c r="K134" s="34"/>
      <c r="L134" s="34"/>
      <c r="M134" s="34"/>
      <c r="N134" s="35">
        <v>1.27</v>
      </c>
      <c r="O134" s="44"/>
      <c r="Y134" s="42"/>
      <c r="Z134" s="42"/>
      <c r="AA134" s="42"/>
      <c r="AB134" s="42"/>
      <c r="AC134" s="42"/>
      <c r="AD134" s="42"/>
      <c r="AE134" s="42"/>
      <c r="AF134" s="42"/>
      <c r="AO134" s="45" t="str">
        <f t="shared" si="0"/>
        <v/>
      </c>
      <c r="AP134" s="45" t="str">
        <f t="shared" si="3"/>
        <v/>
      </c>
      <c r="AQ134" s="45" t="str">
        <f t="shared" si="1"/>
        <v/>
      </c>
      <c r="AR134" s="45" t="str">
        <f t="shared" si="2"/>
        <v/>
      </c>
    </row>
    <row r="135" spans="2:44" x14ac:dyDescent="0.3">
      <c r="B135" s="34" t="s">
        <v>373</v>
      </c>
      <c r="C135" s="35">
        <v>31</v>
      </c>
      <c r="D135" s="34" t="s">
        <v>440</v>
      </c>
      <c r="E135" s="35">
        <v>20.183</v>
      </c>
      <c r="F135" s="35">
        <v>44.216999999999999</v>
      </c>
      <c r="G135" s="35">
        <v>27.568000000000001</v>
      </c>
      <c r="H135" s="35">
        <v>15.8</v>
      </c>
      <c r="I135" s="35">
        <v>7.3898000000000001</v>
      </c>
      <c r="J135" s="35">
        <v>180.4</v>
      </c>
      <c r="K135" s="35">
        <v>-2.6111</v>
      </c>
      <c r="L135" s="35">
        <v>1.204</v>
      </c>
      <c r="M135" s="35">
        <v>26.817</v>
      </c>
      <c r="N135" s="51">
        <v>1.64</v>
      </c>
      <c r="O135" s="44"/>
      <c r="Y135" s="42"/>
      <c r="Z135" s="42"/>
      <c r="AA135" s="42"/>
      <c r="AB135" s="42"/>
      <c r="AC135" s="42"/>
      <c r="AD135" s="42"/>
      <c r="AE135" s="42"/>
      <c r="AF135" s="42"/>
      <c r="AG135" s="35">
        <v>20.78603</v>
      </c>
      <c r="AH135" s="35">
        <v>4.8506380000000005E-10</v>
      </c>
      <c r="AI135" s="35">
        <v>-1.582916E-10</v>
      </c>
      <c r="AJ135" s="35">
        <v>1.525102E-11</v>
      </c>
      <c r="AK135" s="35">
        <v>3.1963469999999999E-11</v>
      </c>
      <c r="AL135" s="35">
        <v>-6.1973409999999998</v>
      </c>
      <c r="AM135" s="35">
        <v>171.4821</v>
      </c>
      <c r="AN135" s="35">
        <v>0</v>
      </c>
      <c r="AO135" s="45" t="str">
        <f t="shared" si="0"/>
        <v/>
      </c>
      <c r="AP135" s="45" t="str">
        <f t="shared" si="3"/>
        <v/>
      </c>
      <c r="AQ135" s="45" t="str">
        <f t="shared" si="1"/>
        <v/>
      </c>
      <c r="AR135" s="45">
        <f t="shared" si="2"/>
        <v>1.0298781152684333</v>
      </c>
    </row>
    <row r="136" spans="2:44" ht="15" x14ac:dyDescent="0.4">
      <c r="B136" s="34" t="s">
        <v>374</v>
      </c>
      <c r="C136" s="35">
        <v>29</v>
      </c>
      <c r="D136" s="34" t="s">
        <v>793</v>
      </c>
      <c r="E136" s="35">
        <v>28.013000000000002</v>
      </c>
      <c r="F136" s="35">
        <v>126.02</v>
      </c>
      <c r="G136" s="35">
        <v>33.953000000000003</v>
      </c>
      <c r="H136" s="35">
        <v>63.14</v>
      </c>
      <c r="I136" s="35">
        <v>8.3341000000000012</v>
      </c>
      <c r="J136" s="35">
        <v>588.70000000000005</v>
      </c>
      <c r="K136" s="35">
        <v>-6.6</v>
      </c>
      <c r="L136" s="35">
        <v>0.80400000000000005</v>
      </c>
      <c r="M136" s="35">
        <v>78.128</v>
      </c>
      <c r="N136" s="35">
        <v>1.4</v>
      </c>
      <c r="O136" s="44">
        <v>3.6999999999999998E-2</v>
      </c>
      <c r="P136" s="35">
        <v>6.95587</v>
      </c>
      <c r="Q136" s="35">
        <v>0.27289000000000002</v>
      </c>
      <c r="R136" s="35">
        <v>662.73800000000006</v>
      </c>
      <c r="S136" s="35">
        <v>-0.29132000000000002</v>
      </c>
      <c r="T136" s="35">
        <v>-680.56200000000001</v>
      </c>
      <c r="U136" s="35">
        <v>1.7898000000000001</v>
      </c>
      <c r="V136" s="35">
        <v>1740.06</v>
      </c>
      <c r="W136" s="35">
        <v>0</v>
      </c>
      <c r="X136" s="35">
        <v>100</v>
      </c>
      <c r="Y136" s="35">
        <v>28.9</v>
      </c>
      <c r="Z136" s="35">
        <v>-1.5709999999999999E-3</v>
      </c>
      <c r="AA136" s="35">
        <v>8.0809999999999994E-6</v>
      </c>
      <c r="AB136" s="35">
        <v>-2.8729999999999999E-9</v>
      </c>
      <c r="AC136" s="35">
        <v>6.9029999999999996</v>
      </c>
      <c r="AD136" s="35">
        <v>-2.085E-4</v>
      </c>
      <c r="AE136" s="35">
        <v>5.9569999999999997E-7</v>
      </c>
      <c r="AF136" s="35">
        <v>-1.1760000000000001E-10</v>
      </c>
      <c r="AG136" s="35">
        <v>26.091999999999999</v>
      </c>
      <c r="AH136" s="35">
        <v>8.2188009999999991</v>
      </c>
      <c r="AI136" s="35">
        <v>-1.9761409999999999</v>
      </c>
      <c r="AJ136" s="35">
        <v>0.159274</v>
      </c>
      <c r="AK136" s="35">
        <v>4.4434000000000001E-2</v>
      </c>
      <c r="AL136" s="35">
        <v>-7.9892300000000001</v>
      </c>
      <c r="AM136" s="35">
        <v>221.02</v>
      </c>
      <c r="AN136" s="35">
        <v>0</v>
      </c>
      <c r="AO136" s="45">
        <f t="shared" si="0"/>
        <v>1.040647826404147</v>
      </c>
      <c r="AP136" s="45">
        <f t="shared" si="3"/>
        <v>1.0392411588016579</v>
      </c>
      <c r="AQ136" s="45">
        <f t="shared" si="1"/>
        <v>1.0392915720371971</v>
      </c>
      <c r="AR136" s="45">
        <f t="shared" si="2"/>
        <v>1.0327326474756051</v>
      </c>
    </row>
    <row r="137" spans="2:44" x14ac:dyDescent="0.3">
      <c r="B137" s="34" t="s">
        <v>441</v>
      </c>
      <c r="C137" s="35">
        <v>27</v>
      </c>
      <c r="D137" s="34" t="s">
        <v>442</v>
      </c>
      <c r="E137" s="35">
        <v>30.006</v>
      </c>
      <c r="F137" s="35">
        <v>179.82</v>
      </c>
      <c r="G137" s="35">
        <v>64.866</v>
      </c>
      <c r="H137" s="51">
        <v>100</v>
      </c>
      <c r="I137" s="35">
        <v>13.511000000000001</v>
      </c>
      <c r="J137" s="35">
        <v>1572.5</v>
      </c>
      <c r="K137" s="35">
        <v>-4.8778000000000006</v>
      </c>
      <c r="L137" s="35">
        <v>1.28</v>
      </c>
      <c r="M137" s="35">
        <v>120.82</v>
      </c>
      <c r="N137" s="35">
        <v>1.39</v>
      </c>
      <c r="O137" s="44"/>
      <c r="P137" s="35"/>
      <c r="Q137" s="35"/>
      <c r="R137" s="35"/>
      <c r="S137" s="35"/>
      <c r="T137" s="35"/>
      <c r="U137" s="35"/>
      <c r="V137" s="35"/>
      <c r="W137" s="35"/>
      <c r="X137" s="35"/>
      <c r="Y137" s="35">
        <v>29.34</v>
      </c>
      <c r="Z137" s="47">
        <v>-9.3950000000000001E-4</v>
      </c>
      <c r="AA137" s="47">
        <v>9.747E-6</v>
      </c>
      <c r="AB137" s="47">
        <v>-4.1869999999999997E-9</v>
      </c>
      <c r="AC137" s="35">
        <v>7.008</v>
      </c>
      <c r="AD137" s="35">
        <v>-1.247E-4</v>
      </c>
      <c r="AE137" s="47">
        <v>7.1849999999999998E-7</v>
      </c>
      <c r="AF137" s="47">
        <v>-1.715E-10</v>
      </c>
      <c r="AG137" s="35">
        <v>23.834910000000001</v>
      </c>
      <c r="AH137" s="35">
        <v>12.58878</v>
      </c>
      <c r="AI137" s="35">
        <v>-1.139011</v>
      </c>
      <c r="AJ137" s="35">
        <v>-1.4974590000000001</v>
      </c>
      <c r="AK137" s="35">
        <v>0.214194</v>
      </c>
      <c r="AL137" s="35">
        <v>83.357830000000007</v>
      </c>
      <c r="AM137" s="35">
        <v>237.12190000000001</v>
      </c>
      <c r="AN137" s="35">
        <v>90.291139999999999</v>
      </c>
      <c r="AO137" s="45" t="str">
        <f t="shared" si="0"/>
        <v/>
      </c>
      <c r="AP137" s="45">
        <f t="shared" si="3"/>
        <v>0.99556884597421103</v>
      </c>
      <c r="AQ137" s="45">
        <f t="shared" si="1"/>
        <v>0.99560066460889329</v>
      </c>
      <c r="AR137" s="45">
        <f t="shared" si="2"/>
        <v>0.99325660737225774</v>
      </c>
    </row>
    <row r="138" spans="2:44" ht="15" x14ac:dyDescent="0.4">
      <c r="B138" s="34" t="s">
        <v>375</v>
      </c>
      <c r="C138" s="35">
        <v>30</v>
      </c>
      <c r="D138" s="34" t="s">
        <v>794</v>
      </c>
      <c r="E138" s="35">
        <v>44.012999999999998</v>
      </c>
      <c r="F138" s="35">
        <v>309.42</v>
      </c>
      <c r="G138" s="35">
        <v>72.466999999999999</v>
      </c>
      <c r="H138" s="35">
        <v>129.69999999999999</v>
      </c>
      <c r="I138" s="35">
        <v>9.5069999999999997</v>
      </c>
      <c r="J138" s="35">
        <v>1506.4</v>
      </c>
      <c r="K138" s="35">
        <v>-25.989000000000001</v>
      </c>
      <c r="L138" s="35">
        <v>1.226</v>
      </c>
      <c r="M138" s="35">
        <v>183.43</v>
      </c>
      <c r="N138" s="35">
        <v>1.28</v>
      </c>
      <c r="O138" s="44"/>
      <c r="Y138" s="35">
        <v>24.11</v>
      </c>
      <c r="Z138" s="47">
        <v>5.8631999999999997E-2</v>
      </c>
      <c r="AA138" s="47">
        <v>-3.5620000000000001E-5</v>
      </c>
      <c r="AB138" s="47">
        <v>1.0579999999999999E-8</v>
      </c>
      <c r="AC138" s="35">
        <v>5.758</v>
      </c>
      <c r="AD138" s="35">
        <v>7.7799999999999996E-3</v>
      </c>
      <c r="AE138" s="35">
        <v>-2.5959999999999998E-6</v>
      </c>
      <c r="AF138" s="35">
        <v>4.3309999999999998E-10</v>
      </c>
      <c r="AG138" s="35">
        <v>27.679880000000001</v>
      </c>
      <c r="AH138" s="35">
        <v>51.148980000000002</v>
      </c>
      <c r="AI138" s="35">
        <v>-30.644539999999999</v>
      </c>
      <c r="AJ138" s="35">
        <v>6.8479109999999999</v>
      </c>
      <c r="AK138" s="35">
        <v>-0.15790599999999999</v>
      </c>
      <c r="AL138" s="35">
        <v>71.249340000000004</v>
      </c>
      <c r="AM138" s="35">
        <v>238.6164</v>
      </c>
      <c r="AN138" s="35">
        <v>82.048240000000007</v>
      </c>
      <c r="AO138" s="45" t="str">
        <f t="shared" si="0"/>
        <v/>
      </c>
      <c r="AP138" s="45">
        <f t="shared" si="3"/>
        <v>0.89297490325094075</v>
      </c>
      <c r="AQ138" s="45">
        <f t="shared" si="1"/>
        <v>0.89381810594087951</v>
      </c>
      <c r="AR138" s="45">
        <f t="shared" si="2"/>
        <v>0.89273911182840027</v>
      </c>
    </row>
    <row r="139" spans="2:44" ht="15" x14ac:dyDescent="0.4">
      <c r="B139" s="34" t="s">
        <v>443</v>
      </c>
      <c r="C139" s="35">
        <v>28</v>
      </c>
      <c r="D139" s="34" t="s">
        <v>795</v>
      </c>
      <c r="E139" s="35">
        <v>46.006</v>
      </c>
      <c r="F139" s="35">
        <v>431.22</v>
      </c>
      <c r="G139" s="35">
        <v>101.35</v>
      </c>
      <c r="H139" s="35">
        <v>217.5</v>
      </c>
      <c r="I139" s="35">
        <v>13.912000000000001</v>
      </c>
      <c r="J139" s="35">
        <v>4141.2</v>
      </c>
      <c r="K139" s="35">
        <v>3.65</v>
      </c>
      <c r="L139" s="35">
        <v>1.4470000000000001</v>
      </c>
      <c r="M139" s="35">
        <v>292.82</v>
      </c>
      <c r="N139" s="35">
        <v>1.29</v>
      </c>
      <c r="O139" s="44"/>
      <c r="Y139" s="35">
        <v>22.9</v>
      </c>
      <c r="Z139" s="47">
        <v>5.7149999999999999E-2</v>
      </c>
      <c r="AA139" s="47">
        <v>-3.5200000000000002E-5</v>
      </c>
      <c r="AB139" s="47">
        <v>7.8700000000000003E-9</v>
      </c>
      <c r="AC139" s="35">
        <v>5.48</v>
      </c>
      <c r="AD139" s="47">
        <v>7.5830000000000003E-3</v>
      </c>
      <c r="AE139" s="47">
        <v>-2.6000000000000001E-6</v>
      </c>
      <c r="AF139" s="47">
        <v>3.2200000000000003E-10</v>
      </c>
      <c r="AG139" s="35">
        <v>16.10857</v>
      </c>
      <c r="AH139" s="35">
        <v>75.895250000000004</v>
      </c>
      <c r="AI139" s="35">
        <v>-54.3874</v>
      </c>
      <c r="AJ139" s="35">
        <v>14.30777</v>
      </c>
      <c r="AK139" s="35">
        <v>2.39423E-2</v>
      </c>
      <c r="AL139" s="35">
        <v>26.17464</v>
      </c>
      <c r="AM139" s="35">
        <v>240.5386</v>
      </c>
      <c r="AN139" s="35">
        <v>33.095019999999998</v>
      </c>
      <c r="AO139" s="45" t="str">
        <f t="shared" si="0"/>
        <v/>
      </c>
      <c r="AP139" s="45">
        <f t="shared" si="3"/>
        <v>0.81698871383957494</v>
      </c>
      <c r="AQ139" s="45">
        <f t="shared" si="1"/>
        <v>0.81776605501427135</v>
      </c>
      <c r="AR139" s="45">
        <f t="shared" si="2"/>
        <v>0.7656675510158566</v>
      </c>
    </row>
    <row r="140" spans="2:44" ht="15" x14ac:dyDescent="0.4">
      <c r="B140" s="34" t="s">
        <v>376</v>
      </c>
      <c r="C140" s="35">
        <v>389</v>
      </c>
      <c r="D140" s="34" t="s">
        <v>796</v>
      </c>
      <c r="E140" s="35">
        <v>128.25899999999999</v>
      </c>
      <c r="F140" s="35">
        <v>594.41999999999996</v>
      </c>
      <c r="G140" s="35">
        <v>23.108000000000001</v>
      </c>
      <c r="H140" s="35">
        <v>219.9</v>
      </c>
      <c r="I140" s="35">
        <v>9.3470000000000013</v>
      </c>
      <c r="J140" s="35">
        <v>3291.4</v>
      </c>
      <c r="K140" s="35">
        <v>-71.328000000000003</v>
      </c>
      <c r="L140" s="35">
        <v>0.71799999999999997</v>
      </c>
      <c r="M140" s="35">
        <v>292.82</v>
      </c>
      <c r="N140" s="35">
        <v>1.05</v>
      </c>
      <c r="O140" s="44">
        <v>0.4425</v>
      </c>
      <c r="P140" s="35">
        <v>38.501399999999997</v>
      </c>
      <c r="Q140" s="35">
        <v>111.446</v>
      </c>
      <c r="R140" s="35">
        <v>1646.48</v>
      </c>
      <c r="S140" s="35">
        <v>80.501499999999993</v>
      </c>
      <c r="T140" s="35">
        <v>781.58799999999997</v>
      </c>
      <c r="U140" s="35">
        <v>0</v>
      </c>
      <c r="V140" s="35">
        <v>100</v>
      </c>
      <c r="W140" s="35">
        <v>0</v>
      </c>
      <c r="X140" s="35">
        <v>100</v>
      </c>
      <c r="Y140" s="42"/>
      <c r="Z140" s="42"/>
      <c r="AA140" s="42"/>
      <c r="AB140" s="42"/>
      <c r="AC140" s="42"/>
      <c r="AD140" s="42"/>
      <c r="AE140" s="42"/>
      <c r="AF140" s="42"/>
      <c r="AO140" s="45">
        <f t="shared" si="0"/>
        <v>1.7065798695266896</v>
      </c>
      <c r="AP140" s="45" t="str">
        <f t="shared" si="3"/>
        <v/>
      </c>
      <c r="AQ140" s="45" t="str">
        <f t="shared" si="1"/>
        <v/>
      </c>
      <c r="AR140" s="45" t="str">
        <f t="shared" si="2"/>
        <v/>
      </c>
    </row>
    <row r="141" spans="2:44" ht="15" x14ac:dyDescent="0.4">
      <c r="B141" s="34" t="s">
        <v>383</v>
      </c>
      <c r="C141" s="35">
        <v>354</v>
      </c>
      <c r="D141" s="34" t="s">
        <v>797</v>
      </c>
      <c r="E141" s="35">
        <v>114.32299999999999</v>
      </c>
      <c r="F141" s="35">
        <v>568.62</v>
      </c>
      <c r="G141" s="35">
        <v>24.831</v>
      </c>
      <c r="H141" s="35">
        <v>216.59</v>
      </c>
      <c r="I141" s="35">
        <v>9.3224999999999998</v>
      </c>
      <c r="J141" s="35">
        <v>3120.2</v>
      </c>
      <c r="K141" s="35">
        <v>-63.628</v>
      </c>
      <c r="L141" s="35">
        <v>0.70299999999999996</v>
      </c>
      <c r="M141" s="35">
        <v>292.82</v>
      </c>
      <c r="N141" s="35">
        <v>1.05</v>
      </c>
      <c r="O141" s="44">
        <v>0.39779999999999999</v>
      </c>
      <c r="P141" s="35">
        <v>34.084699999999998</v>
      </c>
      <c r="Q141" s="35">
        <v>100.253</v>
      </c>
      <c r="R141" s="35">
        <v>1611.55</v>
      </c>
      <c r="S141" s="35">
        <v>69.767499999999998</v>
      </c>
      <c r="T141" s="35">
        <v>768.84699999999998</v>
      </c>
      <c r="U141" s="35">
        <v>0</v>
      </c>
      <c r="V141" s="35">
        <v>100</v>
      </c>
      <c r="W141" s="35">
        <v>0</v>
      </c>
      <c r="X141" s="35">
        <v>100</v>
      </c>
      <c r="Y141" s="42"/>
      <c r="Z141" s="42"/>
      <c r="AA141" s="42"/>
      <c r="AB141" s="42"/>
      <c r="AC141" s="42"/>
      <c r="AD141" s="42"/>
      <c r="AE141" s="42"/>
      <c r="AF141" s="42"/>
      <c r="AO141" s="45">
        <f t="shared" si="0"/>
        <v>1.7088498460197752</v>
      </c>
      <c r="AP141" s="45" t="str">
        <f t="shared" si="3"/>
        <v/>
      </c>
      <c r="AQ141" s="45" t="str">
        <f t="shared" si="1"/>
        <v/>
      </c>
      <c r="AR141" s="45" t="str">
        <f t="shared" si="2"/>
        <v/>
      </c>
    </row>
    <row r="142" spans="2:44" ht="15" x14ac:dyDescent="0.4">
      <c r="B142" s="34" t="s">
        <v>388</v>
      </c>
      <c r="C142" s="35">
        <v>32</v>
      </c>
      <c r="D142" s="34" t="s">
        <v>798</v>
      </c>
      <c r="E142" s="35">
        <v>31.998999999999999</v>
      </c>
      <c r="F142" s="35">
        <v>154.41999999999999</v>
      </c>
      <c r="G142" s="35">
        <v>50.474000000000004</v>
      </c>
      <c r="H142" s="35">
        <v>54.36</v>
      </c>
      <c r="I142" s="35">
        <v>8.7873999999999999</v>
      </c>
      <c r="J142" s="35">
        <v>734.5</v>
      </c>
      <c r="K142" s="35">
        <v>-6.45</v>
      </c>
      <c r="L142" s="35">
        <v>1.149</v>
      </c>
      <c r="M142" s="35">
        <v>89.817000000000007</v>
      </c>
      <c r="N142" s="35">
        <v>1.4</v>
      </c>
      <c r="O142" s="44">
        <v>2.1600000000000001E-2</v>
      </c>
      <c r="P142" s="35">
        <v>6.9630200000000002</v>
      </c>
      <c r="Q142" s="35">
        <v>2.4001299999999999</v>
      </c>
      <c r="R142" s="35">
        <v>2522.0500000000002</v>
      </c>
      <c r="S142" s="35">
        <v>2.2175199999999999</v>
      </c>
      <c r="T142" s="35">
        <v>1154.1500000000001</v>
      </c>
      <c r="U142" s="35">
        <v>0</v>
      </c>
      <c r="V142" s="35">
        <v>100</v>
      </c>
      <c r="W142" s="35">
        <v>0</v>
      </c>
      <c r="X142" s="35">
        <v>100</v>
      </c>
      <c r="Y142" s="35">
        <v>25.48</v>
      </c>
      <c r="Z142" s="35">
        <v>1.52E-2</v>
      </c>
      <c r="AA142" s="35">
        <v>-7.1550000000000001E-6</v>
      </c>
      <c r="AB142" s="35">
        <v>1.312E-9</v>
      </c>
      <c r="AC142" s="35">
        <v>6.085</v>
      </c>
      <c r="AD142" s="35">
        <v>2.0170000000000001E-3</v>
      </c>
      <c r="AE142" s="35">
        <v>-5.2750000000000003E-7</v>
      </c>
      <c r="AF142" s="35">
        <v>5.3720000000000003E-11</v>
      </c>
      <c r="AG142" s="35">
        <v>29.658999999999999</v>
      </c>
      <c r="AH142" s="35">
        <v>6.1372609999999996</v>
      </c>
      <c r="AI142" s="35">
        <v>-1.1865209999999999</v>
      </c>
      <c r="AJ142" s="35">
        <v>9.5780000000000004E-2</v>
      </c>
      <c r="AK142" s="35">
        <v>-0.219663</v>
      </c>
      <c r="AL142" s="35">
        <v>-9.8613909999999994</v>
      </c>
      <c r="AM142" s="35">
        <v>237.94800000000001</v>
      </c>
      <c r="AN142" s="35">
        <v>0</v>
      </c>
      <c r="AO142" s="45">
        <f t="shared" si="0"/>
        <v>0.92096603207304795</v>
      </c>
      <c r="AP142" s="45">
        <f t="shared" si="3"/>
        <v>0.92435792417881213</v>
      </c>
      <c r="AQ142" s="45">
        <f t="shared" si="1"/>
        <v>0.92425763520027859</v>
      </c>
      <c r="AR142" s="45">
        <f t="shared" si="2"/>
        <v>0.91338635190408168</v>
      </c>
    </row>
    <row r="143" spans="2:44" ht="15" x14ac:dyDescent="0.4">
      <c r="B143" s="34" t="s">
        <v>385</v>
      </c>
      <c r="C143" s="35">
        <v>223</v>
      </c>
      <c r="D143" s="34" t="s">
        <v>775</v>
      </c>
      <c r="E143" s="35">
        <v>72.150999999999996</v>
      </c>
      <c r="F143" s="35">
        <v>469.42</v>
      </c>
      <c r="G143" s="35">
        <v>33.750999999999998</v>
      </c>
      <c r="H143" s="35">
        <v>268.7</v>
      </c>
      <c r="I143" s="35">
        <v>9.2132000000000005</v>
      </c>
      <c r="J143" s="35">
        <v>2477</v>
      </c>
      <c r="K143" s="35">
        <v>-39.939</v>
      </c>
      <c r="L143" s="35">
        <v>0.626</v>
      </c>
      <c r="M143" s="35">
        <v>292.82</v>
      </c>
      <c r="N143" s="35">
        <v>1.08</v>
      </c>
      <c r="O143" s="44">
        <v>0.251</v>
      </c>
      <c r="P143" s="35">
        <v>21.386099999999999</v>
      </c>
      <c r="Q143" s="35">
        <v>74.340999999999994</v>
      </c>
      <c r="R143" s="35">
        <v>1701.58</v>
      </c>
      <c r="S143" s="35">
        <v>47.058700000000002</v>
      </c>
      <c r="T143" s="35">
        <v>775.899</v>
      </c>
      <c r="U143" s="35">
        <v>0</v>
      </c>
      <c r="V143" s="35">
        <v>100</v>
      </c>
      <c r="W143" s="35">
        <v>0</v>
      </c>
      <c r="X143" s="35">
        <v>100</v>
      </c>
      <c r="Y143" s="35">
        <v>6.774</v>
      </c>
      <c r="Z143" s="35">
        <v>0.45429999999999998</v>
      </c>
      <c r="AA143" s="35">
        <v>-2.2460000000000001E-4</v>
      </c>
      <c r="AB143" s="35">
        <v>4.224E-8</v>
      </c>
      <c r="AC143" s="35">
        <v>1.6180000000000001</v>
      </c>
      <c r="AD143" s="35">
        <v>6.028E-2</v>
      </c>
      <c r="AE143" s="35">
        <v>-1.6560000000000001E-5</v>
      </c>
      <c r="AF143" s="35">
        <v>1.732E-9</v>
      </c>
      <c r="AO143" s="45">
        <f t="shared" si="0"/>
        <v>1.7165411410848463</v>
      </c>
      <c r="AP143" s="45">
        <f t="shared" si="3"/>
        <v>1.7783569957325629</v>
      </c>
      <c r="AQ143" s="45">
        <f t="shared" si="1"/>
        <v>1.7782602852133784</v>
      </c>
      <c r="AR143" s="45" t="str">
        <f t="shared" si="2"/>
        <v/>
      </c>
    </row>
    <row r="144" spans="2:44" ht="15" x14ac:dyDescent="0.4">
      <c r="B144" s="34" t="s">
        <v>328</v>
      </c>
      <c r="C144" s="35">
        <v>272</v>
      </c>
      <c r="D144" s="34" t="s">
        <v>787</v>
      </c>
      <c r="E144" s="35">
        <v>86.177999999999997</v>
      </c>
      <c r="F144" s="35">
        <v>497.32</v>
      </c>
      <c r="G144" s="35">
        <v>30.102</v>
      </c>
      <c r="H144" s="35">
        <v>285.91000000000003</v>
      </c>
      <c r="I144" s="35">
        <v>9.1274999999999995</v>
      </c>
      <c r="J144" s="35">
        <v>2614.3000000000002</v>
      </c>
      <c r="K144" s="35">
        <v>-46.578000000000003</v>
      </c>
      <c r="L144" s="35">
        <v>0.65300000000000002</v>
      </c>
      <c r="M144" s="35">
        <v>292.82</v>
      </c>
      <c r="N144" s="35">
        <v>1.06</v>
      </c>
      <c r="O144" s="44">
        <v>0.27800000000000002</v>
      </c>
      <c r="Y144" s="42"/>
      <c r="Z144" s="42"/>
      <c r="AA144" s="42"/>
      <c r="AB144" s="42"/>
      <c r="AC144" s="42"/>
      <c r="AD144" s="42"/>
      <c r="AE144" s="42"/>
      <c r="AF144" s="42"/>
      <c r="AO144" s="45" t="str">
        <f t="shared" si="0"/>
        <v/>
      </c>
      <c r="AP144" s="45" t="str">
        <f t="shared" si="3"/>
        <v/>
      </c>
      <c r="AQ144" s="45" t="str">
        <f t="shared" si="1"/>
        <v/>
      </c>
      <c r="AR144" s="45" t="str">
        <f t="shared" si="2"/>
        <v/>
      </c>
    </row>
    <row r="145" spans="2:44" ht="15" x14ac:dyDescent="0.4">
      <c r="B145" s="34" t="s">
        <v>331</v>
      </c>
      <c r="C145" s="35">
        <v>273</v>
      </c>
      <c r="D145" s="34" t="s">
        <v>787</v>
      </c>
      <c r="E145" s="35">
        <v>86.177999999999997</v>
      </c>
      <c r="F145" s="35">
        <v>504.22</v>
      </c>
      <c r="G145" s="35">
        <v>31.217000000000002</v>
      </c>
      <c r="H145" s="35">
        <v>288.44</v>
      </c>
      <c r="I145" s="35">
        <v>9.15</v>
      </c>
      <c r="J145" s="35">
        <v>2653.4</v>
      </c>
      <c r="K145" s="35">
        <v>-46.021999999999998</v>
      </c>
      <c r="L145" s="35">
        <v>0.66400000000000003</v>
      </c>
      <c r="M145" s="35">
        <v>292.82</v>
      </c>
      <c r="N145" s="35">
        <v>1.06</v>
      </c>
      <c r="O145" s="44">
        <v>0.27360000000000001</v>
      </c>
      <c r="Y145" s="42"/>
      <c r="Z145" s="42"/>
      <c r="AA145" s="42"/>
      <c r="AB145" s="42"/>
      <c r="AC145" s="42"/>
      <c r="AD145" s="42"/>
      <c r="AE145" s="42"/>
      <c r="AF145" s="42"/>
      <c r="AO145" s="45" t="str">
        <f t="shared" si="0"/>
        <v/>
      </c>
      <c r="AP145" s="45" t="str">
        <f t="shared" si="3"/>
        <v/>
      </c>
      <c r="AQ145" s="45" t="str">
        <f t="shared" si="1"/>
        <v/>
      </c>
      <c r="AR145" s="45" t="str">
        <f t="shared" si="2"/>
        <v/>
      </c>
    </row>
    <row r="146" spans="2:44" ht="15" x14ac:dyDescent="0.4">
      <c r="B146" s="34" t="s">
        <v>387</v>
      </c>
      <c r="C146" s="35">
        <v>132</v>
      </c>
      <c r="D146" s="34" t="s">
        <v>799</v>
      </c>
      <c r="E146" s="35">
        <v>44.097000000000001</v>
      </c>
      <c r="F146" s="35">
        <v>369.62</v>
      </c>
      <c r="G146" s="35">
        <v>42.466999999999999</v>
      </c>
      <c r="H146" s="35">
        <v>166.02</v>
      </c>
      <c r="I146" s="35">
        <v>9.1059000000000001</v>
      </c>
      <c r="J146" s="35">
        <v>1872.4</v>
      </c>
      <c r="K146" s="35">
        <v>-25.161000000000001</v>
      </c>
      <c r="L146" s="35">
        <v>0.58199999999999996</v>
      </c>
      <c r="M146" s="35">
        <v>230.82</v>
      </c>
      <c r="N146" s="35">
        <v>1.1299999999999999</v>
      </c>
      <c r="O146" s="44">
        <v>0.1515</v>
      </c>
      <c r="P146" s="35">
        <v>8.1431900000000006</v>
      </c>
      <c r="Q146" s="35">
        <v>37.062899999999999</v>
      </c>
      <c r="R146" s="35">
        <v>735.40200000000004</v>
      </c>
      <c r="S146" s="35">
        <v>9.3815899999999992</v>
      </c>
      <c r="T146" s="35">
        <v>247.19</v>
      </c>
      <c r="U146" s="35">
        <v>13.4556</v>
      </c>
      <c r="V146" s="35">
        <v>1454.78</v>
      </c>
      <c r="W146" s="35">
        <v>-11.7342</v>
      </c>
      <c r="X146" s="35">
        <v>984.51800000000003</v>
      </c>
      <c r="Y146" s="35">
        <v>-4.04</v>
      </c>
      <c r="Z146" s="35">
        <v>0.30480000000000002</v>
      </c>
      <c r="AA146" s="35">
        <v>-1.572E-4</v>
      </c>
      <c r="AB146" s="35">
        <v>3.1739999999999998E-8</v>
      </c>
      <c r="AC146" s="35">
        <v>-0.96599999999999997</v>
      </c>
      <c r="AD146" s="35">
        <v>4.0439999999999997E-2</v>
      </c>
      <c r="AE146" s="35">
        <v>-1.1590000000000001E-5</v>
      </c>
      <c r="AF146" s="35">
        <v>1.3000000000000001E-9</v>
      </c>
      <c r="AO146" s="45">
        <f t="shared" si="0"/>
        <v>1.7378481947163769</v>
      </c>
      <c r="AP146" s="45">
        <f t="shared" si="3"/>
        <v>1.7454092870649016</v>
      </c>
      <c r="AQ146" s="45">
        <f t="shared" si="1"/>
        <v>1.7450187804365209</v>
      </c>
      <c r="AR146" s="45" t="str">
        <f t="shared" si="2"/>
        <v/>
      </c>
    </row>
    <row r="147" spans="2:44" ht="15" x14ac:dyDescent="0.4">
      <c r="B147" s="34" t="s">
        <v>389</v>
      </c>
      <c r="C147" s="35">
        <v>120</v>
      </c>
      <c r="D147" s="34" t="s">
        <v>800</v>
      </c>
      <c r="E147" s="35">
        <v>42.081000000000003</v>
      </c>
      <c r="F147" s="35">
        <v>364.82</v>
      </c>
      <c r="G147" s="35">
        <v>46.216999999999999</v>
      </c>
      <c r="H147" s="35">
        <v>165.81</v>
      </c>
      <c r="I147" s="35">
        <v>9.0725999999999996</v>
      </c>
      <c r="J147" s="35">
        <v>1807.5</v>
      </c>
      <c r="K147" s="35">
        <v>-26.15</v>
      </c>
      <c r="L147" s="35">
        <v>0.61199999999999999</v>
      </c>
      <c r="M147" s="35">
        <v>222.82</v>
      </c>
      <c r="N147" s="35">
        <v>1.1499999999999999</v>
      </c>
      <c r="O147" s="44">
        <v>0.1404</v>
      </c>
      <c r="Y147" s="35">
        <v>3.15</v>
      </c>
      <c r="Z147" s="35">
        <v>0.23830000000000001</v>
      </c>
      <c r="AA147" s="35">
        <v>-1.2180000000000001E-4</v>
      </c>
      <c r="AB147" s="35">
        <v>2.4620000000000001E-8</v>
      </c>
      <c r="AC147" s="35">
        <v>0.753</v>
      </c>
      <c r="AD147" s="35">
        <v>3.1620000000000002E-2</v>
      </c>
      <c r="AE147" s="35">
        <v>-8.9809999999999992E-6</v>
      </c>
      <c r="AF147" s="35">
        <v>1.008E-9</v>
      </c>
      <c r="AO147" s="45" t="str">
        <f t="shared" si="0"/>
        <v/>
      </c>
      <c r="AP147" s="45">
        <f t="shared" si="3"/>
        <v>1.5823203334149172</v>
      </c>
      <c r="AQ147" s="45">
        <f t="shared" si="1"/>
        <v>1.5822794315643864</v>
      </c>
      <c r="AR147" s="45" t="str">
        <f t="shared" si="2"/>
        <v/>
      </c>
    </row>
    <row r="148" spans="2:44" ht="15" x14ac:dyDescent="0.4">
      <c r="B148" s="34" t="s">
        <v>392</v>
      </c>
      <c r="C148" s="35">
        <v>33</v>
      </c>
      <c r="D148" s="34" t="s">
        <v>801</v>
      </c>
      <c r="E148" s="35">
        <v>64.063000000000002</v>
      </c>
      <c r="F148" s="35">
        <v>430.62</v>
      </c>
      <c r="G148" s="35">
        <v>78.853000000000009</v>
      </c>
      <c r="H148" s="35">
        <v>177.6</v>
      </c>
      <c r="I148" s="35">
        <v>10.148</v>
      </c>
      <c r="J148" s="35">
        <v>2302.3000000000002</v>
      </c>
      <c r="K148" s="35">
        <v>-35.972000000000001</v>
      </c>
      <c r="L148" s="35">
        <v>1.4550000000000001</v>
      </c>
      <c r="M148" s="35">
        <v>262.82</v>
      </c>
      <c r="N148" s="35">
        <v>1.27</v>
      </c>
      <c r="O148" s="44">
        <v>0.25480000000000003</v>
      </c>
      <c r="Y148" s="35">
        <v>25.78</v>
      </c>
      <c r="Z148" s="35">
        <v>5.7950000000000002E-2</v>
      </c>
      <c r="AA148" s="35">
        <v>-3.8120000000000001E-5</v>
      </c>
      <c r="AB148" s="35">
        <v>8.6119999999999996E-9</v>
      </c>
      <c r="AC148" s="35">
        <v>6.157</v>
      </c>
      <c r="AD148" s="35">
        <v>7.6889999999999997E-3</v>
      </c>
      <c r="AE148" s="35">
        <v>-2.8100000000000002E-6</v>
      </c>
      <c r="AF148" s="35">
        <v>3.5269999999999998E-10</v>
      </c>
      <c r="AG148" s="35">
        <v>21.430489999999999</v>
      </c>
      <c r="AH148" s="35">
        <v>74.350939999999994</v>
      </c>
      <c r="AI148" s="35">
        <v>-57.75217</v>
      </c>
      <c r="AJ148" s="35">
        <v>16.355340000000002</v>
      </c>
      <c r="AK148" s="35">
        <v>8.6731000000000003E-2</v>
      </c>
      <c r="AL148" s="35">
        <v>-305.7688</v>
      </c>
      <c r="AM148" s="35">
        <v>254.88720000000001</v>
      </c>
      <c r="AN148" s="35">
        <v>-296.84219999999999</v>
      </c>
      <c r="AO148" s="45" t="str">
        <f t="shared" si="0"/>
        <v/>
      </c>
      <c r="AP148" s="45">
        <f t="shared" si="3"/>
        <v>0.63146191516328765</v>
      </c>
      <c r="AQ148" s="45">
        <f t="shared" si="1"/>
        <v>0.6314164755620072</v>
      </c>
      <c r="AR148" s="45">
        <f t="shared" si="2"/>
        <v>0.63120411180806968</v>
      </c>
    </row>
    <row r="149" spans="2:44" ht="15" x14ac:dyDescent="0.4">
      <c r="B149" s="34" t="s">
        <v>393</v>
      </c>
      <c r="C149" s="35">
        <v>35</v>
      </c>
      <c r="D149" s="34" t="s">
        <v>802</v>
      </c>
      <c r="E149" s="35">
        <v>80.058000000000007</v>
      </c>
      <c r="F149" s="35">
        <v>490.82</v>
      </c>
      <c r="G149" s="35">
        <v>82.096000000000004</v>
      </c>
      <c r="H149" s="35">
        <v>333</v>
      </c>
      <c r="I149" s="35">
        <v>4.2051499999999997</v>
      </c>
      <c r="J149" s="35">
        <v>892.17499999999995</v>
      </c>
      <c r="K149" s="35">
        <v>-103.56399999999999</v>
      </c>
      <c r="L149" s="35">
        <v>1.78</v>
      </c>
      <c r="M149" s="35">
        <v>317.58999999999997</v>
      </c>
      <c r="N149" s="35"/>
      <c r="O149" s="44"/>
      <c r="Y149" s="35">
        <v>16.399999999999999</v>
      </c>
      <c r="Z149" s="47">
        <v>0.14580000000000001</v>
      </c>
      <c r="AA149" s="47">
        <v>-1.12E-4</v>
      </c>
      <c r="AB149" s="47">
        <v>3.2420000000000002E-8</v>
      </c>
      <c r="AC149" s="35">
        <v>3.9180000000000001</v>
      </c>
      <c r="AD149" s="47">
        <v>1.9349999999999999E-2</v>
      </c>
      <c r="AE149" s="47">
        <v>-8.2560000000000002E-6</v>
      </c>
      <c r="AF149" s="47">
        <v>1.328E-9</v>
      </c>
      <c r="AG149" s="35">
        <v>24.025030000000001</v>
      </c>
      <c r="AH149" s="35">
        <v>119.4607</v>
      </c>
      <c r="AI149" s="35">
        <v>-94.386859999999999</v>
      </c>
      <c r="AJ149" s="35">
        <v>26.96237</v>
      </c>
      <c r="AK149" s="35">
        <v>-0.117517</v>
      </c>
      <c r="AL149" s="35">
        <v>-407.8526</v>
      </c>
      <c r="AM149" s="35">
        <v>253.51859999999999</v>
      </c>
      <c r="AN149" s="35">
        <v>-395.7654</v>
      </c>
      <c r="AO149" s="45" t="str">
        <f t="shared" si="0"/>
        <v/>
      </c>
      <c r="AP149" s="45">
        <f t="shared" si="3"/>
        <v>0.65040082369711916</v>
      </c>
      <c r="AQ149" s="45">
        <f t="shared" si="1"/>
        <v>0.65056107032532096</v>
      </c>
      <c r="AR149" s="45">
        <f t="shared" si="2"/>
        <v>0.64712938874290848</v>
      </c>
    </row>
    <row r="150" spans="2:44" ht="15" x14ac:dyDescent="0.4">
      <c r="B150" s="34" t="s">
        <v>319</v>
      </c>
      <c r="C150" s="35">
        <v>20</v>
      </c>
      <c r="D150" s="34" t="s">
        <v>803</v>
      </c>
      <c r="E150" s="35">
        <v>18.015000000000001</v>
      </c>
      <c r="F150" s="35">
        <v>647.096</v>
      </c>
      <c r="G150" s="35">
        <v>220.64</v>
      </c>
      <c r="H150" s="35">
        <v>273</v>
      </c>
      <c r="I150" s="35">
        <v>11.683</v>
      </c>
      <c r="J150" s="35">
        <v>3816.4</v>
      </c>
      <c r="K150" s="35">
        <v>-46.128</v>
      </c>
      <c r="L150" s="35">
        <v>0.998</v>
      </c>
      <c r="M150" s="35">
        <v>292.82</v>
      </c>
      <c r="N150" s="35">
        <v>1.33</v>
      </c>
      <c r="O150" s="44">
        <v>0.34449999999999997</v>
      </c>
      <c r="P150" s="35">
        <v>7.9718299999999997</v>
      </c>
      <c r="Q150" s="35">
        <v>6.2707800000000002</v>
      </c>
      <c r="R150" s="35">
        <v>2572.63</v>
      </c>
      <c r="S150" s="35">
        <v>2.0501</v>
      </c>
      <c r="T150" s="35">
        <v>1156.72</v>
      </c>
      <c r="U150" s="35">
        <v>0</v>
      </c>
      <c r="V150" s="35">
        <v>100</v>
      </c>
      <c r="W150" s="35">
        <v>0</v>
      </c>
      <c r="X150" s="35">
        <v>100</v>
      </c>
      <c r="Y150" s="35">
        <v>32.24</v>
      </c>
      <c r="Z150" s="35">
        <v>1.923E-3</v>
      </c>
      <c r="AA150" s="35">
        <v>1.0550000000000001E-5</v>
      </c>
      <c r="AB150" s="35">
        <v>-3.5950000000000001E-9</v>
      </c>
      <c r="AC150" s="35">
        <v>7.7</v>
      </c>
      <c r="AD150" s="35">
        <v>2.5520000000000002E-4</v>
      </c>
      <c r="AE150" s="35">
        <v>7.7810000000000001E-7</v>
      </c>
      <c r="AF150" s="35">
        <v>-1.4719999999999999E-10</v>
      </c>
      <c r="AG150" s="35">
        <v>30.091999999999999</v>
      </c>
      <c r="AH150" s="35">
        <v>6.8325139999999998</v>
      </c>
      <c r="AI150" s="35">
        <v>6.7934349999999997</v>
      </c>
      <c r="AJ150" s="35">
        <v>-2.5344799999999998</v>
      </c>
      <c r="AK150" s="35">
        <v>8.2139000000000004E-2</v>
      </c>
      <c r="AL150" s="35">
        <v>-250.881</v>
      </c>
      <c r="AM150" s="35">
        <v>223.39670000000001</v>
      </c>
      <c r="AN150" s="35">
        <v>-2418264</v>
      </c>
      <c r="AO150" s="45">
        <f t="shared" si="0"/>
        <v>1.8688050885305552</v>
      </c>
      <c r="AP150" s="45">
        <f t="shared" si="3"/>
        <v>1.8743466316594368</v>
      </c>
      <c r="AQ150" s="45">
        <f t="shared" si="1"/>
        <v>1.8742890035852073</v>
      </c>
      <c r="AR150" s="45">
        <f t="shared" si="2"/>
        <v>1.8683081470696106</v>
      </c>
    </row>
    <row r="151" spans="2:44" x14ac:dyDescent="0.3">
      <c r="Y151" s="42"/>
      <c r="Z151" s="42"/>
      <c r="AA151" s="42"/>
      <c r="AB151" s="42"/>
      <c r="AC151" s="42"/>
      <c r="AD151" s="42"/>
      <c r="AE151" s="42"/>
      <c r="AF151" s="42"/>
    </row>
    <row r="152" spans="2:44" x14ac:dyDescent="0.3">
      <c r="Y152" s="42"/>
      <c r="Z152" s="42"/>
      <c r="AA152" s="42"/>
      <c r="AB152" s="42"/>
      <c r="AC152" s="42"/>
      <c r="AD152" s="42"/>
      <c r="AE152" s="42"/>
      <c r="AF152" s="42"/>
    </row>
    <row r="153" spans="2:44" x14ac:dyDescent="0.3">
      <c r="Y153" s="42"/>
      <c r="Z153" s="42"/>
      <c r="AA153" s="42"/>
      <c r="AB153" s="42"/>
      <c r="AC153" s="42"/>
      <c r="AD153" s="42"/>
      <c r="AE153" s="42"/>
      <c r="AF153" s="42"/>
    </row>
  </sheetData>
  <mergeCells count="7">
    <mergeCell ref="AO100:AR100"/>
    <mergeCell ref="I100:K100"/>
    <mergeCell ref="L100:M100"/>
    <mergeCell ref="P100:X100"/>
    <mergeCell ref="Y100:AB100"/>
    <mergeCell ref="AC100:AF100"/>
    <mergeCell ref="AG100:AN100"/>
  </mergeCells>
  <phoneticPr fontId="22" type="noConversion"/>
  <hyperlinks>
    <hyperlink ref="A5" r:id="rId1" xr:uid="{00000000-0004-0000-0100-000000000000}"/>
  </hyperlinks>
  <pageMargins left="0.75" right="0.75" top="1" bottom="1" header="0.5" footer="0.5"/>
  <pageSetup orientation="portrait" r:id="rId2"/>
  <headerFooter alignWithMargins="0"/>
  <customProperties>
    <customPr name="BudgetSheetCodeNam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>
    <tabColor indexed="22"/>
  </sheetPr>
  <dimension ref="A1:J302"/>
  <sheetViews>
    <sheetView showGridLines="0" workbookViewId="0">
      <pane ySplit="5" topLeftCell="A71" activePane="bottomLeft" state="frozen"/>
      <selection pane="bottomLeft" activeCell="F95" sqref="F95"/>
    </sheetView>
  </sheetViews>
  <sheetFormatPr defaultColWidth="9.1796875" defaultRowHeight="13" x14ac:dyDescent="0.3"/>
  <cols>
    <col min="1" max="1" width="25.7265625" style="57" customWidth="1"/>
    <col min="2" max="4" width="8.7265625" style="57" customWidth="1"/>
    <col min="5" max="5" width="8.7265625" style="57" hidden="1" customWidth="1"/>
    <col min="6" max="6" width="8.7265625" style="60" customWidth="1"/>
    <col min="7" max="10" width="10.7265625" style="57" customWidth="1"/>
    <col min="11" max="16384" width="9.1796875" style="57"/>
  </cols>
  <sheetData>
    <row r="1" spans="1:10" ht="14" x14ac:dyDescent="0.3">
      <c r="A1" s="52" t="s">
        <v>42</v>
      </c>
      <c r="B1" s="53"/>
      <c r="C1" s="53"/>
      <c r="D1" s="54"/>
      <c r="E1" s="54"/>
      <c r="F1" s="55"/>
      <c r="G1" s="56"/>
      <c r="H1" s="56"/>
      <c r="I1" s="56"/>
      <c r="J1" s="56"/>
    </row>
    <row r="2" spans="1:10" x14ac:dyDescent="0.3">
      <c r="A2" s="53"/>
      <c r="B2" s="53"/>
      <c r="C2" s="53"/>
      <c r="D2" s="54"/>
      <c r="E2" s="54"/>
      <c r="F2" s="55"/>
      <c r="G2" s="56"/>
      <c r="H2" s="56"/>
      <c r="I2" s="56"/>
      <c r="J2" s="56"/>
    </row>
    <row r="3" spans="1:10" ht="13.5" thickBot="1" x14ac:dyDescent="0.35">
      <c r="A3" s="58">
        <v>1</v>
      </c>
      <c r="B3" s="58">
        <v>2</v>
      </c>
      <c r="C3" s="58">
        <v>3</v>
      </c>
      <c r="D3" s="59">
        <v>4</v>
      </c>
      <c r="E3" s="60">
        <v>34</v>
      </c>
      <c r="F3" s="59">
        <v>5</v>
      </c>
    </row>
    <row r="4" spans="1:10" x14ac:dyDescent="0.3">
      <c r="A4" s="61" t="s">
        <v>43</v>
      </c>
      <c r="B4" s="62" t="s">
        <v>44</v>
      </c>
      <c r="C4" s="63" t="s">
        <v>45</v>
      </c>
      <c r="D4" s="64" t="s">
        <v>46</v>
      </c>
      <c r="E4" s="60">
        <v>32</v>
      </c>
      <c r="F4" s="65" t="s">
        <v>47</v>
      </c>
    </row>
    <row r="5" spans="1:10" ht="13.5" thickBot="1" x14ac:dyDescent="0.35">
      <c r="A5" s="66"/>
      <c r="B5" s="67" t="s">
        <v>48</v>
      </c>
      <c r="C5" s="68" t="s">
        <v>48</v>
      </c>
      <c r="D5" s="69" t="s">
        <v>48</v>
      </c>
      <c r="E5" s="60">
        <v>31</v>
      </c>
      <c r="F5" s="70" t="s">
        <v>49</v>
      </c>
    </row>
    <row r="6" spans="1:10" x14ac:dyDescent="0.3">
      <c r="A6" s="71" t="s">
        <v>50</v>
      </c>
      <c r="B6" s="55">
        <v>0.84</v>
      </c>
      <c r="C6" s="60">
        <v>8.3000000000000004E-2</v>
      </c>
      <c r="D6" s="72">
        <f t="shared" ref="D6:D69" si="0">ROUND(B6-2*C6,3)</f>
        <v>0.67400000000000004</v>
      </c>
      <c r="E6" s="73">
        <f>$E$3*LOG($C$7/C6)</f>
        <v>4.0238457891946897</v>
      </c>
      <c r="F6" s="74">
        <v>4</v>
      </c>
    </row>
    <row r="7" spans="1:10" x14ac:dyDescent="0.3">
      <c r="A7" s="75" t="s">
        <v>51</v>
      </c>
      <c r="B7" s="55">
        <v>0.84</v>
      </c>
      <c r="C7" s="60">
        <v>0.109</v>
      </c>
      <c r="D7" s="72">
        <f t="shared" si="0"/>
        <v>0.622</v>
      </c>
      <c r="E7" s="73">
        <f>$E$3*LOG($C$7/C7)</f>
        <v>0</v>
      </c>
      <c r="F7" s="76">
        <v>0</v>
      </c>
    </row>
    <row r="8" spans="1:10" x14ac:dyDescent="0.3">
      <c r="A8" s="75" t="s">
        <v>52</v>
      </c>
      <c r="B8" s="55">
        <v>0.84</v>
      </c>
      <c r="C8" s="60">
        <v>0.109</v>
      </c>
      <c r="D8" s="72">
        <f t="shared" si="0"/>
        <v>0.622</v>
      </c>
      <c r="E8" s="73"/>
      <c r="F8" s="74"/>
    </row>
    <row r="9" spans="1:10" x14ac:dyDescent="0.3">
      <c r="A9" s="75" t="s">
        <v>53</v>
      </c>
      <c r="B9" s="55">
        <v>0.84</v>
      </c>
      <c r="C9" s="60">
        <v>0.109</v>
      </c>
      <c r="D9" s="72">
        <f t="shared" si="0"/>
        <v>0.622</v>
      </c>
      <c r="E9" s="73"/>
      <c r="F9" s="74"/>
    </row>
    <row r="10" spans="1:10" x14ac:dyDescent="0.3">
      <c r="A10" s="75" t="s">
        <v>54</v>
      </c>
      <c r="B10" s="55">
        <v>0.84</v>
      </c>
      <c r="C10" s="60">
        <v>0.14699999999999999</v>
      </c>
      <c r="D10" s="72">
        <f t="shared" si="0"/>
        <v>0.54600000000000004</v>
      </c>
      <c r="E10" s="73">
        <f>$E$3*LOG($C$7/C10)</f>
        <v>-4.4162884514567828</v>
      </c>
      <c r="F10" s="74">
        <v>-4.5</v>
      </c>
    </row>
    <row r="11" spans="1:10" x14ac:dyDescent="0.3">
      <c r="A11" s="75" t="s">
        <v>55</v>
      </c>
      <c r="B11" s="55">
        <v>0.84</v>
      </c>
      <c r="C11" s="60">
        <v>0.14699999999999999</v>
      </c>
      <c r="D11" s="72">
        <f t="shared" si="0"/>
        <v>0.54600000000000004</v>
      </c>
      <c r="E11" s="73"/>
      <c r="F11" s="74"/>
    </row>
    <row r="12" spans="1:10" x14ac:dyDescent="0.3">
      <c r="A12" s="75" t="s">
        <v>56</v>
      </c>
      <c r="B12" s="55">
        <v>0.84</v>
      </c>
      <c r="C12" s="60">
        <v>0.14699999999999999</v>
      </c>
      <c r="D12" s="72">
        <f t="shared" si="0"/>
        <v>0.54600000000000004</v>
      </c>
      <c r="E12" s="73"/>
      <c r="F12" s="74"/>
    </row>
    <row r="13" spans="1:10" x14ac:dyDescent="0.3">
      <c r="A13" s="75" t="s">
        <v>57</v>
      </c>
      <c r="B13" s="55">
        <v>0.84</v>
      </c>
      <c r="C13" s="60">
        <v>0.187</v>
      </c>
      <c r="D13" s="72">
        <f t="shared" si="0"/>
        <v>0.46600000000000003</v>
      </c>
      <c r="E13" s="73">
        <f>$E$3*LOG($C$7/C13)</f>
        <v>-7.9701136922597611</v>
      </c>
      <c r="F13" s="74">
        <v>-8</v>
      </c>
    </row>
    <row r="14" spans="1:10" ht="13.5" thickBot="1" x14ac:dyDescent="0.35">
      <c r="A14" s="75" t="s">
        <v>58</v>
      </c>
      <c r="B14" s="55">
        <v>0.84</v>
      </c>
      <c r="C14" s="60">
        <v>0.29399999999999998</v>
      </c>
      <c r="D14" s="72">
        <f t="shared" si="0"/>
        <v>0.252</v>
      </c>
      <c r="E14" s="73">
        <f>$E$3*LOG($C$7/C14)</f>
        <v>-14.651308304032144</v>
      </c>
      <c r="F14" s="74">
        <v>-14.5</v>
      </c>
    </row>
    <row r="15" spans="1:10" x14ac:dyDescent="0.3">
      <c r="A15" s="71" t="s">
        <v>59</v>
      </c>
      <c r="B15" s="77">
        <v>1.05</v>
      </c>
      <c r="C15" s="78">
        <v>8.3000000000000004E-2</v>
      </c>
      <c r="D15" s="79">
        <f t="shared" si="0"/>
        <v>0.88400000000000001</v>
      </c>
      <c r="E15" s="73">
        <f>$E$3*LOG($C$16/C15)</f>
        <v>4.5560119376497585</v>
      </c>
      <c r="F15" s="80">
        <v>4.5</v>
      </c>
    </row>
    <row r="16" spans="1:10" x14ac:dyDescent="0.3">
      <c r="A16" s="75" t="s">
        <v>60</v>
      </c>
      <c r="B16" s="55">
        <v>1.05</v>
      </c>
      <c r="C16" s="60">
        <v>0.113</v>
      </c>
      <c r="D16" s="72">
        <f t="shared" si="0"/>
        <v>0.82399999999999995</v>
      </c>
      <c r="E16" s="73">
        <f>$E$3*LOG($C$16/C16)</f>
        <v>0</v>
      </c>
      <c r="F16" s="76">
        <v>0</v>
      </c>
    </row>
    <row r="17" spans="1:6" x14ac:dyDescent="0.3">
      <c r="A17" s="75" t="s">
        <v>61</v>
      </c>
      <c r="B17" s="55">
        <v>1.05</v>
      </c>
      <c r="C17" s="60">
        <v>0.113</v>
      </c>
      <c r="D17" s="72">
        <f t="shared" si="0"/>
        <v>0.82399999999999995</v>
      </c>
      <c r="E17" s="73"/>
      <c r="F17" s="76"/>
    </row>
    <row r="18" spans="1:6" x14ac:dyDescent="0.3">
      <c r="A18" s="75" t="s">
        <v>62</v>
      </c>
      <c r="B18" s="55">
        <v>1.05</v>
      </c>
      <c r="C18" s="60">
        <v>0.113</v>
      </c>
      <c r="D18" s="72">
        <f t="shared" si="0"/>
        <v>0.82399999999999995</v>
      </c>
      <c r="E18" s="73"/>
      <c r="F18" s="76"/>
    </row>
    <row r="19" spans="1:6" x14ac:dyDescent="0.3">
      <c r="A19" s="75" t="s">
        <v>63</v>
      </c>
      <c r="B19" s="55">
        <v>1.05</v>
      </c>
      <c r="C19" s="60">
        <v>0.154</v>
      </c>
      <c r="D19" s="72">
        <f t="shared" si="0"/>
        <v>0.74199999999999999</v>
      </c>
      <c r="E19" s="73">
        <f>$E$3*LOG($C$16/C19)</f>
        <v>-4.5710374300034715</v>
      </c>
      <c r="F19" s="74">
        <v>-4.5</v>
      </c>
    </row>
    <row r="20" spans="1:6" x14ac:dyDescent="0.3">
      <c r="A20" s="75" t="s">
        <v>64</v>
      </c>
      <c r="B20" s="55">
        <v>1.05</v>
      </c>
      <c r="C20" s="60">
        <v>0.154</v>
      </c>
      <c r="D20" s="72">
        <f t="shared" si="0"/>
        <v>0.74199999999999999</v>
      </c>
      <c r="E20" s="73"/>
      <c r="F20" s="74"/>
    </row>
    <row r="21" spans="1:6" x14ac:dyDescent="0.3">
      <c r="A21" s="75" t="s">
        <v>65</v>
      </c>
      <c r="B21" s="55">
        <v>1.05</v>
      </c>
      <c r="C21" s="60">
        <v>0.154</v>
      </c>
      <c r="D21" s="72">
        <f t="shared" si="0"/>
        <v>0.74199999999999999</v>
      </c>
      <c r="E21" s="73"/>
      <c r="F21" s="74"/>
    </row>
    <row r="22" spans="1:6" x14ac:dyDescent="0.3">
      <c r="A22" s="75" t="s">
        <v>66</v>
      </c>
      <c r="B22" s="55">
        <v>1.05</v>
      </c>
      <c r="C22" s="60">
        <v>0.219</v>
      </c>
      <c r="D22" s="72">
        <f t="shared" si="0"/>
        <v>0.61199999999999999</v>
      </c>
      <c r="E22" s="73">
        <f>$E$3*LOG($C$16/C22)</f>
        <v>-9.7704328261277524</v>
      </c>
      <c r="F22" s="74">
        <v>-9.5</v>
      </c>
    </row>
    <row r="23" spans="1:6" ht="13.5" thickBot="1" x14ac:dyDescent="0.35">
      <c r="A23" s="81" t="s">
        <v>67</v>
      </c>
      <c r="B23" s="82">
        <v>1.05</v>
      </c>
      <c r="C23" s="68">
        <v>0.308</v>
      </c>
      <c r="D23" s="83">
        <f t="shared" si="0"/>
        <v>0.434</v>
      </c>
      <c r="E23" s="73">
        <f>$E$3*LOG($C$16/C23)</f>
        <v>-14.806057282578834</v>
      </c>
      <c r="F23" s="84">
        <v>-15</v>
      </c>
    </row>
    <row r="24" spans="1:6" x14ac:dyDescent="0.3">
      <c r="A24" s="75" t="s">
        <v>68</v>
      </c>
      <c r="B24" s="85">
        <v>1.3149999999999999</v>
      </c>
      <c r="C24" s="73">
        <v>0.109</v>
      </c>
      <c r="D24" s="72">
        <f t="shared" si="0"/>
        <v>1.097</v>
      </c>
      <c r="E24" s="73">
        <f>$E$3*LOG($C$25/C24)</f>
        <v>2.9384548628997136</v>
      </c>
      <c r="F24" s="86">
        <v>3</v>
      </c>
    </row>
    <row r="25" spans="1:6" x14ac:dyDescent="0.3">
      <c r="A25" s="75" t="s">
        <v>69</v>
      </c>
      <c r="B25" s="85">
        <v>1.3149999999999999</v>
      </c>
      <c r="C25" s="73">
        <v>0.13300000000000001</v>
      </c>
      <c r="D25" s="72">
        <f t="shared" si="0"/>
        <v>1.0489999999999999</v>
      </c>
      <c r="E25" s="73">
        <f>$E$3*LOG($C$25/C25)</f>
        <v>0</v>
      </c>
      <c r="F25" s="87">
        <v>0</v>
      </c>
    </row>
    <row r="26" spans="1:6" x14ac:dyDescent="0.3">
      <c r="A26" s="75" t="s">
        <v>70</v>
      </c>
      <c r="B26" s="85">
        <v>1.3149999999999999</v>
      </c>
      <c r="C26" s="73">
        <v>0.13300000000000001</v>
      </c>
      <c r="D26" s="72">
        <f t="shared" si="0"/>
        <v>1.0489999999999999</v>
      </c>
      <c r="E26" s="73"/>
      <c r="F26" s="88"/>
    </row>
    <row r="27" spans="1:6" x14ac:dyDescent="0.3">
      <c r="A27" s="75" t="s">
        <v>71</v>
      </c>
      <c r="B27" s="85">
        <v>1.3149999999999999</v>
      </c>
      <c r="C27" s="73">
        <v>0.13300000000000001</v>
      </c>
      <c r="D27" s="72">
        <f t="shared" si="0"/>
        <v>1.0489999999999999</v>
      </c>
      <c r="E27" s="73"/>
      <c r="F27" s="88"/>
    </row>
    <row r="28" spans="1:6" x14ac:dyDescent="0.3">
      <c r="A28" s="75" t="s">
        <v>72</v>
      </c>
      <c r="B28" s="85">
        <v>1.3149999999999999</v>
      </c>
      <c r="C28" s="73">
        <v>0.17899999999999999</v>
      </c>
      <c r="D28" s="72">
        <f t="shared" si="0"/>
        <v>0.95699999999999996</v>
      </c>
      <c r="E28" s="73">
        <f>$E$3*LOG($C$25/C28)</f>
        <v>-4.3860472604354506</v>
      </c>
      <c r="F28" s="87">
        <v>-4.5</v>
      </c>
    </row>
    <row r="29" spans="1:6" x14ac:dyDescent="0.3">
      <c r="A29" s="75" t="s">
        <v>73</v>
      </c>
      <c r="B29" s="85">
        <v>1.3149999999999999</v>
      </c>
      <c r="C29" s="73">
        <v>0.17899999999999999</v>
      </c>
      <c r="D29" s="72">
        <f t="shared" si="0"/>
        <v>0.95699999999999996</v>
      </c>
      <c r="E29" s="73"/>
      <c r="F29" s="88"/>
    </row>
    <row r="30" spans="1:6" x14ac:dyDescent="0.3">
      <c r="A30" s="75" t="s">
        <v>74</v>
      </c>
      <c r="B30" s="85">
        <v>1.3149999999999999</v>
      </c>
      <c r="C30" s="73">
        <v>0.17899999999999999</v>
      </c>
      <c r="D30" s="72">
        <f t="shared" si="0"/>
        <v>0.95699999999999996</v>
      </c>
      <c r="E30" s="73"/>
      <c r="F30" s="88"/>
    </row>
    <row r="31" spans="1:6" x14ac:dyDescent="0.3">
      <c r="A31" s="75" t="s">
        <v>75</v>
      </c>
      <c r="B31" s="85">
        <v>1.3149999999999999</v>
      </c>
      <c r="C31" s="73">
        <v>0.25</v>
      </c>
      <c r="D31" s="72">
        <f t="shared" si="0"/>
        <v>0.81499999999999995</v>
      </c>
      <c r="E31" s="73">
        <f>$E$3*LOG($C$25/C31)</f>
        <v>-9.3190045019683616</v>
      </c>
      <c r="F31" s="87">
        <v>-9.5</v>
      </c>
    </row>
    <row r="32" spans="1:6" ht="13.5" thickBot="1" x14ac:dyDescent="0.35">
      <c r="A32" s="75" t="s">
        <v>76</v>
      </c>
      <c r="B32" s="85">
        <v>1.3149999999999999</v>
      </c>
      <c r="C32" s="73">
        <v>0.35799999999999998</v>
      </c>
      <c r="D32" s="72">
        <f t="shared" si="0"/>
        <v>0.59899999999999998</v>
      </c>
      <c r="E32" s="73">
        <f>$E$3*LOG($C$25/C32)</f>
        <v>-14.621067113010811</v>
      </c>
      <c r="F32" s="87">
        <v>-15.5</v>
      </c>
    </row>
    <row r="33" spans="1:6" x14ac:dyDescent="0.3">
      <c r="A33" s="71" t="s">
        <v>77</v>
      </c>
      <c r="B33" s="89">
        <v>1.9</v>
      </c>
      <c r="C33" s="63">
        <v>0.109</v>
      </c>
      <c r="D33" s="79">
        <f t="shared" si="0"/>
        <v>1.6819999999999999</v>
      </c>
      <c r="E33" s="73">
        <f>$E$3*LOG($C$34/C33)</f>
        <v>4.2140111460079428</v>
      </c>
      <c r="F33" s="80">
        <v>4</v>
      </c>
    </row>
    <row r="34" spans="1:6" x14ac:dyDescent="0.3">
      <c r="A34" s="75" t="s">
        <v>78</v>
      </c>
      <c r="B34" s="85">
        <v>1.9</v>
      </c>
      <c r="C34" s="73">
        <v>0.14499999999999999</v>
      </c>
      <c r="D34" s="72">
        <f t="shared" si="0"/>
        <v>1.61</v>
      </c>
      <c r="E34" s="73">
        <f>$E$3*LOG($C$34/C34)</f>
        <v>0</v>
      </c>
      <c r="F34" s="87">
        <v>0</v>
      </c>
    </row>
    <row r="35" spans="1:6" x14ac:dyDescent="0.3">
      <c r="A35" s="75" t="s">
        <v>79</v>
      </c>
      <c r="B35" s="85">
        <v>1.9</v>
      </c>
      <c r="C35" s="73">
        <v>0.14499999999999999</v>
      </c>
      <c r="D35" s="72">
        <f t="shared" si="0"/>
        <v>1.61</v>
      </c>
      <c r="E35" s="73"/>
      <c r="F35" s="88"/>
    </row>
    <row r="36" spans="1:6" x14ac:dyDescent="0.3">
      <c r="A36" s="75" t="s">
        <v>80</v>
      </c>
      <c r="B36" s="85">
        <v>1.9</v>
      </c>
      <c r="C36" s="73">
        <v>0.14499999999999999</v>
      </c>
      <c r="D36" s="72">
        <f t="shared" si="0"/>
        <v>1.61</v>
      </c>
      <c r="E36" s="73"/>
      <c r="F36" s="88"/>
    </row>
    <row r="37" spans="1:6" x14ac:dyDescent="0.3">
      <c r="A37" s="75" t="s">
        <v>81</v>
      </c>
      <c r="B37" s="85">
        <v>1.9</v>
      </c>
      <c r="C37" s="73">
        <v>0.2</v>
      </c>
      <c r="D37" s="72">
        <f t="shared" si="0"/>
        <v>1.5</v>
      </c>
      <c r="E37" s="73">
        <f>$E$3*LOG($C$34/C37)</f>
        <v>-4.7485077765862167</v>
      </c>
      <c r="F37" s="88">
        <v>-4.5</v>
      </c>
    </row>
    <row r="38" spans="1:6" x14ac:dyDescent="0.3">
      <c r="A38" s="75" t="s">
        <v>82</v>
      </c>
      <c r="B38" s="85">
        <v>1.9</v>
      </c>
      <c r="C38" s="73">
        <v>0.2</v>
      </c>
      <c r="D38" s="72">
        <f t="shared" si="0"/>
        <v>1.5</v>
      </c>
      <c r="E38" s="73"/>
      <c r="F38" s="88"/>
    </row>
    <row r="39" spans="1:6" x14ac:dyDescent="0.3">
      <c r="A39" s="75" t="s">
        <v>83</v>
      </c>
      <c r="B39" s="85">
        <v>1.9</v>
      </c>
      <c r="C39" s="73">
        <v>0.2</v>
      </c>
      <c r="D39" s="72">
        <f t="shared" si="0"/>
        <v>1.5</v>
      </c>
      <c r="E39" s="73"/>
      <c r="F39" s="88"/>
    </row>
    <row r="40" spans="1:6" x14ac:dyDescent="0.3">
      <c r="A40" s="75" t="s">
        <v>84</v>
      </c>
      <c r="B40" s="85">
        <v>1.9</v>
      </c>
      <c r="C40" s="73">
        <v>0.28100000000000003</v>
      </c>
      <c r="D40" s="72">
        <f t="shared" si="0"/>
        <v>1.3380000000000001</v>
      </c>
      <c r="E40" s="73">
        <f>$E$3*LOG($C$34/C40)</f>
        <v>-9.7695028007835738</v>
      </c>
      <c r="F40" s="88">
        <v>-9.5</v>
      </c>
    </row>
    <row r="41" spans="1:6" ht="13.5" thickBot="1" x14ac:dyDescent="0.35">
      <c r="A41" s="81" t="s">
        <v>85</v>
      </c>
      <c r="B41" s="90">
        <v>1.9</v>
      </c>
      <c r="C41" s="91">
        <v>0.4</v>
      </c>
      <c r="D41" s="83">
        <f t="shared" si="0"/>
        <v>1.1000000000000001</v>
      </c>
      <c r="E41" s="73">
        <f>$E$3*LOG($C$34/C41)</f>
        <v>-14.983527629161577</v>
      </c>
      <c r="F41" s="92">
        <v>-15</v>
      </c>
    </row>
    <row r="42" spans="1:6" x14ac:dyDescent="0.3">
      <c r="A42" s="75" t="s">
        <v>86</v>
      </c>
      <c r="B42" s="85">
        <v>2.375</v>
      </c>
      <c r="C42" s="73">
        <v>0.109</v>
      </c>
      <c r="D42" s="72">
        <f t="shared" si="0"/>
        <v>2.157</v>
      </c>
      <c r="E42" s="73">
        <f>$E$3*LOG($C$43/C42)</f>
        <v>5.1032035784585403</v>
      </c>
      <c r="F42" s="93">
        <v>5</v>
      </c>
    </row>
    <row r="43" spans="1:6" x14ac:dyDescent="0.3">
      <c r="A43" s="75" t="s">
        <v>87</v>
      </c>
      <c r="B43" s="85">
        <v>2.375</v>
      </c>
      <c r="C43" s="73">
        <v>0.154</v>
      </c>
      <c r="D43" s="72">
        <f t="shared" si="0"/>
        <v>2.0670000000000002</v>
      </c>
      <c r="E43" s="73">
        <f>$E$3*LOG($C$43/C43)</f>
        <v>0</v>
      </c>
      <c r="F43" s="87">
        <v>0</v>
      </c>
    </row>
    <row r="44" spans="1:6" x14ac:dyDescent="0.3">
      <c r="A44" s="75" t="s">
        <v>88</v>
      </c>
      <c r="B44" s="85">
        <v>2.375</v>
      </c>
      <c r="C44" s="73">
        <v>0.154</v>
      </c>
      <c r="D44" s="72">
        <f t="shared" si="0"/>
        <v>2.0670000000000002</v>
      </c>
      <c r="E44" s="73"/>
      <c r="F44" s="88"/>
    </row>
    <row r="45" spans="1:6" x14ac:dyDescent="0.3">
      <c r="A45" s="75" t="s">
        <v>89</v>
      </c>
      <c r="B45" s="85">
        <v>2.375</v>
      </c>
      <c r="C45" s="73">
        <v>0.154</v>
      </c>
      <c r="D45" s="72">
        <f t="shared" si="0"/>
        <v>2.0670000000000002</v>
      </c>
      <c r="E45" s="73"/>
      <c r="F45" s="88"/>
    </row>
    <row r="46" spans="1:6" x14ac:dyDescent="0.3">
      <c r="A46" s="75" t="s">
        <v>90</v>
      </c>
      <c r="B46" s="85">
        <v>2.375</v>
      </c>
      <c r="C46" s="73">
        <v>0.218</v>
      </c>
      <c r="D46" s="72">
        <f t="shared" si="0"/>
        <v>1.9390000000000001</v>
      </c>
      <c r="E46" s="73">
        <f>$E$3*LOG($C$43/C46)</f>
        <v>-5.1318162741168205</v>
      </c>
      <c r="F46" s="87">
        <v>-5</v>
      </c>
    </row>
    <row r="47" spans="1:6" x14ac:dyDescent="0.3">
      <c r="A47" s="75" t="s">
        <v>91</v>
      </c>
      <c r="B47" s="85">
        <v>2.375</v>
      </c>
      <c r="C47" s="73">
        <v>0.218</v>
      </c>
      <c r="D47" s="72">
        <f t="shared" si="0"/>
        <v>1.9390000000000001</v>
      </c>
      <c r="E47" s="73"/>
      <c r="F47" s="88"/>
    </row>
    <row r="48" spans="1:6" x14ac:dyDescent="0.3">
      <c r="A48" s="75" t="s">
        <v>92</v>
      </c>
      <c r="B48" s="85">
        <v>2.375</v>
      </c>
      <c r="C48" s="73">
        <v>0.218</v>
      </c>
      <c r="D48" s="72">
        <f t="shared" si="0"/>
        <v>1.9390000000000001</v>
      </c>
      <c r="E48" s="73"/>
      <c r="F48" s="88"/>
    </row>
    <row r="49" spans="1:6" x14ac:dyDescent="0.3">
      <c r="A49" s="75" t="s">
        <v>93</v>
      </c>
      <c r="B49" s="85">
        <v>2.375</v>
      </c>
      <c r="C49" s="73">
        <v>0.34399999999999997</v>
      </c>
      <c r="D49" s="72">
        <f t="shared" si="0"/>
        <v>1.6870000000000001</v>
      </c>
      <c r="E49" s="73">
        <f>$E$3*LOG($C$43/C49)</f>
        <v>-11.86728253899228</v>
      </c>
      <c r="F49" s="87">
        <v>-11.5</v>
      </c>
    </row>
    <row r="50" spans="1:6" ht="13.5" thickBot="1" x14ac:dyDescent="0.35">
      <c r="A50" s="75" t="s">
        <v>94</v>
      </c>
      <c r="B50" s="85">
        <v>2.375</v>
      </c>
      <c r="C50" s="73">
        <v>0.436</v>
      </c>
      <c r="D50" s="72">
        <f t="shared" si="0"/>
        <v>1.5029999999999999</v>
      </c>
      <c r="E50" s="73">
        <f>$E$3*LOG($C$43/C50)</f>
        <v>-15.366836126692181</v>
      </c>
      <c r="F50" s="87">
        <v>-15.5</v>
      </c>
    </row>
    <row r="51" spans="1:6" x14ac:dyDescent="0.3">
      <c r="A51" s="71" t="s">
        <v>95</v>
      </c>
      <c r="B51" s="89">
        <v>2.875</v>
      </c>
      <c r="C51" s="63">
        <v>0.12</v>
      </c>
      <c r="D51" s="79">
        <f t="shared" si="0"/>
        <v>2.6349999999999998</v>
      </c>
      <c r="E51" s="73">
        <f>$E$3*LOG($C$52/C51)</f>
        <v>7.7627029234299973</v>
      </c>
      <c r="F51" s="80">
        <v>8</v>
      </c>
    </row>
    <row r="52" spans="1:6" x14ac:dyDescent="0.3">
      <c r="A52" s="75" t="s">
        <v>96</v>
      </c>
      <c r="B52" s="85">
        <v>2.875</v>
      </c>
      <c r="C52" s="73">
        <v>0.20300000000000001</v>
      </c>
      <c r="D52" s="72">
        <f t="shared" si="0"/>
        <v>2.4689999999999999</v>
      </c>
      <c r="E52" s="73">
        <f>$E$3*LOG($C$52/C52)</f>
        <v>0</v>
      </c>
      <c r="F52" s="87">
        <v>0</v>
      </c>
    </row>
    <row r="53" spans="1:6" x14ac:dyDescent="0.3">
      <c r="A53" s="75" t="s">
        <v>97</v>
      </c>
      <c r="B53" s="85">
        <v>2.875</v>
      </c>
      <c r="C53" s="73">
        <v>0.20300000000000001</v>
      </c>
      <c r="D53" s="72">
        <f t="shared" si="0"/>
        <v>2.4689999999999999</v>
      </c>
      <c r="E53" s="73"/>
      <c r="F53" s="88"/>
    </row>
    <row r="54" spans="1:6" x14ac:dyDescent="0.3">
      <c r="A54" s="75" t="s">
        <v>98</v>
      </c>
      <c r="B54" s="85">
        <v>2.875</v>
      </c>
      <c r="C54" s="73">
        <v>0.20300000000000001</v>
      </c>
      <c r="D54" s="72">
        <f t="shared" si="0"/>
        <v>2.4689999999999999</v>
      </c>
      <c r="E54" s="73"/>
      <c r="F54" s="88"/>
    </row>
    <row r="55" spans="1:6" x14ac:dyDescent="0.3">
      <c r="A55" s="75" t="s">
        <v>99</v>
      </c>
      <c r="B55" s="85">
        <v>2.875</v>
      </c>
      <c r="C55" s="73">
        <v>0.27600000000000002</v>
      </c>
      <c r="D55" s="72">
        <f t="shared" si="0"/>
        <v>2.323</v>
      </c>
      <c r="E55" s="73">
        <f>$E$3*LOG($C$52/C55)</f>
        <v>-4.5360435011681641</v>
      </c>
      <c r="F55" s="88">
        <v>-4.5</v>
      </c>
    </row>
    <row r="56" spans="1:6" x14ac:dyDescent="0.3">
      <c r="A56" s="75" t="s">
        <v>100</v>
      </c>
      <c r="B56" s="85">
        <v>2.875</v>
      </c>
      <c r="C56" s="73">
        <v>0.27600000000000002</v>
      </c>
      <c r="D56" s="72">
        <f t="shared" si="0"/>
        <v>2.323</v>
      </c>
      <c r="E56" s="73"/>
      <c r="F56" s="88"/>
    </row>
    <row r="57" spans="1:6" x14ac:dyDescent="0.3">
      <c r="A57" s="75" t="s">
        <v>101</v>
      </c>
      <c r="B57" s="85">
        <v>2.875</v>
      </c>
      <c r="C57" s="73">
        <v>0.27600000000000002</v>
      </c>
      <c r="D57" s="72">
        <f t="shared" si="0"/>
        <v>2.323</v>
      </c>
      <c r="E57" s="73"/>
      <c r="F57" s="88"/>
    </row>
    <row r="58" spans="1:6" x14ac:dyDescent="0.3">
      <c r="A58" s="75" t="s">
        <v>102</v>
      </c>
      <c r="B58" s="85">
        <v>2.875</v>
      </c>
      <c r="C58" s="73">
        <v>0.375</v>
      </c>
      <c r="D58" s="72">
        <f t="shared" si="0"/>
        <v>2.125</v>
      </c>
      <c r="E58" s="73">
        <f>$E$3*LOG($C$52/C58)</f>
        <v>-9.0621978136932029</v>
      </c>
      <c r="F58" s="88">
        <v>-9</v>
      </c>
    </row>
    <row r="59" spans="1:6" ht="13.5" thickBot="1" x14ac:dyDescent="0.35">
      <c r="A59" s="81" t="s">
        <v>103</v>
      </c>
      <c r="B59" s="90">
        <v>2.875</v>
      </c>
      <c r="C59" s="91">
        <v>0.55200000000000005</v>
      </c>
      <c r="D59" s="83">
        <f t="shared" si="0"/>
        <v>1.7709999999999999</v>
      </c>
      <c r="E59" s="73">
        <f>$E$3*LOG($C$52/C59)</f>
        <v>-14.771063353743525</v>
      </c>
      <c r="F59" s="92">
        <v>-15</v>
      </c>
    </row>
    <row r="60" spans="1:6" x14ac:dyDescent="0.3">
      <c r="A60" s="75" t="s">
        <v>104</v>
      </c>
      <c r="B60" s="85">
        <v>3.5</v>
      </c>
      <c r="C60" s="73">
        <v>0.12</v>
      </c>
      <c r="D60" s="72">
        <f t="shared" si="0"/>
        <v>3.26</v>
      </c>
      <c r="E60" s="73">
        <f>$E$3*LOG($C$61/C60)</f>
        <v>8.6792651735124071</v>
      </c>
      <c r="F60" s="93">
        <v>8.5</v>
      </c>
    </row>
    <row r="61" spans="1:6" x14ac:dyDescent="0.3">
      <c r="A61" s="75" t="s">
        <v>105</v>
      </c>
      <c r="B61" s="85">
        <v>3.5</v>
      </c>
      <c r="C61" s="73">
        <v>0.216</v>
      </c>
      <c r="D61" s="72">
        <f t="shared" si="0"/>
        <v>3.0680000000000001</v>
      </c>
      <c r="E61" s="73">
        <f>$E$3*LOG($C$61/C61)</f>
        <v>0</v>
      </c>
      <c r="F61" s="87">
        <v>0</v>
      </c>
    </row>
    <row r="62" spans="1:6" x14ac:dyDescent="0.3">
      <c r="A62" s="75" t="s">
        <v>106</v>
      </c>
      <c r="B62" s="85">
        <v>3.5</v>
      </c>
      <c r="C62" s="73">
        <v>0.216</v>
      </c>
      <c r="D62" s="72">
        <f t="shared" si="0"/>
        <v>3.0680000000000001</v>
      </c>
      <c r="E62" s="73"/>
      <c r="F62" s="88"/>
    </row>
    <row r="63" spans="1:6" x14ac:dyDescent="0.3">
      <c r="A63" s="75" t="s">
        <v>107</v>
      </c>
      <c r="B63" s="85">
        <v>3.5</v>
      </c>
      <c r="C63" s="73">
        <v>0.216</v>
      </c>
      <c r="D63" s="72">
        <f t="shared" si="0"/>
        <v>3.0680000000000001</v>
      </c>
      <c r="E63" s="73"/>
      <c r="F63" s="88"/>
    </row>
    <row r="64" spans="1:6" x14ac:dyDescent="0.3">
      <c r="A64" s="75" t="s">
        <v>108</v>
      </c>
      <c r="B64" s="85">
        <v>3.5</v>
      </c>
      <c r="C64" s="73">
        <v>0.3</v>
      </c>
      <c r="D64" s="72">
        <f t="shared" si="0"/>
        <v>2.9</v>
      </c>
      <c r="E64" s="73">
        <f>$E$3*LOG($C$61/C64)</f>
        <v>-4.850695121336873</v>
      </c>
      <c r="F64" s="87">
        <v>-4.5</v>
      </c>
    </row>
    <row r="65" spans="1:6" x14ac:dyDescent="0.3">
      <c r="A65" s="75" t="s">
        <v>109</v>
      </c>
      <c r="B65" s="85">
        <v>3.5</v>
      </c>
      <c r="C65" s="73">
        <v>0.3</v>
      </c>
      <c r="D65" s="72">
        <f t="shared" si="0"/>
        <v>2.9</v>
      </c>
      <c r="E65" s="73"/>
      <c r="F65" s="88"/>
    </row>
    <row r="66" spans="1:6" x14ac:dyDescent="0.3">
      <c r="A66" s="75" t="s">
        <v>110</v>
      </c>
      <c r="B66" s="85">
        <v>3.5</v>
      </c>
      <c r="C66" s="73">
        <v>0.3</v>
      </c>
      <c r="D66" s="72">
        <f t="shared" si="0"/>
        <v>2.9</v>
      </c>
      <c r="E66" s="73"/>
      <c r="F66" s="88"/>
    </row>
    <row r="67" spans="1:6" x14ac:dyDescent="0.3">
      <c r="A67" s="75" t="s">
        <v>111</v>
      </c>
      <c r="B67" s="85">
        <v>3.5</v>
      </c>
      <c r="C67" s="73">
        <v>0.438</v>
      </c>
      <c r="D67" s="72">
        <f t="shared" si="0"/>
        <v>2.6240000000000001</v>
      </c>
      <c r="E67" s="73">
        <f>$E$3*LOG($C$61/C67)</f>
        <v>-10.438692218007736</v>
      </c>
      <c r="F67" s="87">
        <v>-10</v>
      </c>
    </row>
    <row r="68" spans="1:6" ht="13.5" thickBot="1" x14ac:dyDescent="0.35">
      <c r="A68" s="75" t="s">
        <v>112</v>
      </c>
      <c r="B68" s="90">
        <v>3.5</v>
      </c>
      <c r="C68" s="91">
        <v>0.6</v>
      </c>
      <c r="D68" s="83">
        <f t="shared" si="0"/>
        <v>2.2999999999999998</v>
      </c>
      <c r="E68" s="73">
        <f>$E$3*LOG($C$61/C68)</f>
        <v>-15.085714973912232</v>
      </c>
      <c r="F68" s="87">
        <v>-15</v>
      </c>
    </row>
    <row r="69" spans="1:6" x14ac:dyDescent="0.3">
      <c r="A69" s="71" t="s">
        <v>113</v>
      </c>
      <c r="B69" s="89">
        <v>4.5</v>
      </c>
      <c r="C69" s="63">
        <v>0.12</v>
      </c>
      <c r="D69" s="79">
        <f t="shared" si="0"/>
        <v>4.26</v>
      </c>
      <c r="E69" s="73">
        <f>$E$3*LOG($C$70/C69)</f>
        <v>10.049281398724286</v>
      </c>
      <c r="F69" s="94">
        <v>10</v>
      </c>
    </row>
    <row r="70" spans="1:6" x14ac:dyDescent="0.3">
      <c r="A70" s="75" t="s">
        <v>114</v>
      </c>
      <c r="B70" s="85">
        <v>4.5</v>
      </c>
      <c r="C70" s="73">
        <v>0.23699999999999999</v>
      </c>
      <c r="D70" s="72">
        <f t="shared" ref="D70:D133" si="1">ROUND(B70-2*C70,3)</f>
        <v>4.0259999999999998</v>
      </c>
      <c r="E70" s="73">
        <f>$E$3*LOG($C$70/C70)</f>
        <v>0</v>
      </c>
      <c r="F70" s="87">
        <v>0</v>
      </c>
    </row>
    <row r="71" spans="1:6" x14ac:dyDescent="0.3">
      <c r="A71" s="75" t="s">
        <v>115</v>
      </c>
      <c r="B71" s="85">
        <v>4.5</v>
      </c>
      <c r="C71" s="73">
        <v>0.23699999999999999</v>
      </c>
      <c r="D71" s="72">
        <f t="shared" si="1"/>
        <v>4.0259999999999998</v>
      </c>
      <c r="E71" s="73"/>
      <c r="F71" s="88"/>
    </row>
    <row r="72" spans="1:6" x14ac:dyDescent="0.3">
      <c r="A72" s="75" t="s">
        <v>116</v>
      </c>
      <c r="B72" s="85">
        <v>4.5</v>
      </c>
      <c r="C72" s="73">
        <v>0.23699999999999999</v>
      </c>
      <c r="D72" s="72">
        <f t="shared" si="1"/>
        <v>4.0259999999999998</v>
      </c>
      <c r="E72" s="73"/>
      <c r="F72" s="88"/>
    </row>
    <row r="73" spans="1:6" x14ac:dyDescent="0.3">
      <c r="A73" s="75" t="s">
        <v>117</v>
      </c>
      <c r="B73" s="85">
        <v>4.5</v>
      </c>
      <c r="C73" s="73">
        <v>0.33700000000000002</v>
      </c>
      <c r="D73" s="72">
        <f t="shared" si="1"/>
        <v>3.8260000000000001</v>
      </c>
      <c r="E73" s="73">
        <f>$E$3*LOG($C$70/C73)</f>
        <v>-5.197972865281983</v>
      </c>
      <c r="F73" s="87">
        <v>-5</v>
      </c>
    </row>
    <row r="74" spans="1:6" x14ac:dyDescent="0.3">
      <c r="A74" s="75" t="s">
        <v>118</v>
      </c>
      <c r="B74" s="85">
        <v>4.5</v>
      </c>
      <c r="C74" s="73">
        <v>0.33700000000000002</v>
      </c>
      <c r="D74" s="72">
        <f t="shared" si="1"/>
        <v>3.8260000000000001</v>
      </c>
      <c r="E74" s="73"/>
      <c r="F74" s="88"/>
    </row>
    <row r="75" spans="1:6" x14ac:dyDescent="0.3">
      <c r="A75" s="75" t="s">
        <v>119</v>
      </c>
      <c r="B75" s="85">
        <v>4.5</v>
      </c>
      <c r="C75" s="73">
        <v>0.33700000000000002</v>
      </c>
      <c r="D75" s="72">
        <f t="shared" si="1"/>
        <v>3.8260000000000001</v>
      </c>
      <c r="E75" s="73"/>
      <c r="F75" s="88"/>
    </row>
    <row r="76" spans="1:6" x14ac:dyDescent="0.3">
      <c r="A76" s="75" t="s">
        <v>120</v>
      </c>
      <c r="B76" s="85">
        <v>4.5</v>
      </c>
      <c r="C76" s="73">
        <v>0.438</v>
      </c>
      <c r="D76" s="72">
        <f t="shared" si="1"/>
        <v>3.6240000000000001</v>
      </c>
      <c r="E76" s="73">
        <f>$E$3*LOG($C$70/C76)</f>
        <v>-9.0686759927958533</v>
      </c>
      <c r="F76" s="87">
        <v>-8.5</v>
      </c>
    </row>
    <row r="77" spans="1:6" x14ac:dyDescent="0.3">
      <c r="A77" s="75" t="s">
        <v>121</v>
      </c>
      <c r="B77" s="85">
        <v>4.5</v>
      </c>
      <c r="C77" s="73">
        <v>0.53100000000000003</v>
      </c>
      <c r="D77" s="72">
        <f t="shared" si="1"/>
        <v>3.4380000000000002</v>
      </c>
      <c r="E77" s="73">
        <f>$E$3*LOG($C$70/C77)</f>
        <v>-11.91176995242642</v>
      </c>
      <c r="F77" s="87">
        <v>-11.5</v>
      </c>
    </row>
    <row r="78" spans="1:6" ht="13.5" thickBot="1" x14ac:dyDescent="0.35">
      <c r="A78" s="81" t="s">
        <v>122</v>
      </c>
      <c r="B78" s="90">
        <v>4.5</v>
      </c>
      <c r="C78" s="91">
        <v>0.67400000000000004</v>
      </c>
      <c r="D78" s="83">
        <f t="shared" si="1"/>
        <v>3.1520000000000001</v>
      </c>
      <c r="E78" s="73">
        <f>$E$3*LOG($C$70/C78)</f>
        <v>-15.432992717857344</v>
      </c>
      <c r="F78" s="95">
        <v>-15</v>
      </c>
    </row>
    <row r="79" spans="1:6" x14ac:dyDescent="0.3">
      <c r="A79" s="75" t="s">
        <v>123</v>
      </c>
      <c r="B79" s="85">
        <v>5.5629999999999997</v>
      </c>
      <c r="C79" s="73">
        <v>0.13400000000000001</v>
      </c>
      <c r="D79" s="72">
        <f t="shared" si="1"/>
        <v>5.2949999999999999</v>
      </c>
      <c r="E79" s="73">
        <f>$E$3*LOG($C$80/C79)</f>
        <v>9.6735068583463661</v>
      </c>
      <c r="F79" s="88">
        <v>9.5</v>
      </c>
    </row>
    <row r="80" spans="1:6" x14ac:dyDescent="0.3">
      <c r="A80" s="75" t="s">
        <v>124</v>
      </c>
      <c r="B80" s="85">
        <v>5.5629999999999997</v>
      </c>
      <c r="C80" s="73">
        <v>0.25800000000000001</v>
      </c>
      <c r="D80" s="72">
        <f t="shared" si="1"/>
        <v>5.0469999999999997</v>
      </c>
      <c r="E80" s="73">
        <f>$E$3*LOG($C$80/C80)</f>
        <v>0</v>
      </c>
      <c r="F80" s="87">
        <v>0</v>
      </c>
    </row>
    <row r="81" spans="1:6" x14ac:dyDescent="0.3">
      <c r="A81" s="75" t="s">
        <v>125</v>
      </c>
      <c r="B81" s="85">
        <v>5.5629999999999997</v>
      </c>
      <c r="C81" s="73">
        <v>0.25800000000000001</v>
      </c>
      <c r="D81" s="72">
        <f t="shared" si="1"/>
        <v>5.0469999999999997</v>
      </c>
      <c r="E81" s="73"/>
      <c r="F81" s="88"/>
    </row>
    <row r="82" spans="1:6" x14ac:dyDescent="0.3">
      <c r="A82" s="75" t="s">
        <v>126</v>
      </c>
      <c r="B82" s="85">
        <v>5.5629999999999997</v>
      </c>
      <c r="C82" s="73">
        <v>0.25800000000000001</v>
      </c>
      <c r="D82" s="72">
        <f t="shared" si="1"/>
        <v>5.0469999999999997</v>
      </c>
      <c r="E82" s="73"/>
      <c r="F82" s="88"/>
    </row>
    <row r="83" spans="1:6" x14ac:dyDescent="0.3">
      <c r="A83" s="75" t="s">
        <v>127</v>
      </c>
      <c r="B83" s="85">
        <v>5.5629999999999997</v>
      </c>
      <c r="C83" s="73">
        <v>0.375</v>
      </c>
      <c r="D83" s="72">
        <f t="shared" si="1"/>
        <v>4.8129999999999997</v>
      </c>
      <c r="E83" s="73">
        <f>$E$3*LOG($C$80/C83)</f>
        <v>-5.5219930999926143</v>
      </c>
      <c r="F83" s="88">
        <v>-5.5</v>
      </c>
    </row>
    <row r="84" spans="1:6" x14ac:dyDescent="0.3">
      <c r="A84" s="75" t="s">
        <v>128</v>
      </c>
      <c r="B84" s="85">
        <v>5.5629999999999997</v>
      </c>
      <c r="C84" s="73">
        <v>0.375</v>
      </c>
      <c r="D84" s="72">
        <f t="shared" si="1"/>
        <v>4.8129999999999997</v>
      </c>
      <c r="E84" s="73"/>
      <c r="F84" s="88"/>
    </row>
    <row r="85" spans="1:6" x14ac:dyDescent="0.3">
      <c r="A85" s="75" t="s">
        <v>129</v>
      </c>
      <c r="B85" s="85">
        <v>5.5629999999999997</v>
      </c>
      <c r="C85" s="73">
        <v>0.375</v>
      </c>
      <c r="D85" s="72">
        <f t="shared" si="1"/>
        <v>4.8129999999999997</v>
      </c>
      <c r="E85" s="73"/>
      <c r="F85" s="88"/>
    </row>
    <row r="86" spans="1:6" x14ac:dyDescent="0.3">
      <c r="A86" s="75" t="s">
        <v>130</v>
      </c>
      <c r="B86" s="85">
        <v>5.5629999999999997</v>
      </c>
      <c r="C86" s="73">
        <v>0.5</v>
      </c>
      <c r="D86" s="72">
        <f t="shared" si="1"/>
        <v>4.5629999999999997</v>
      </c>
      <c r="E86" s="73">
        <f>$E$3*LOG($C$80/C86)</f>
        <v>-9.7699101446748138</v>
      </c>
      <c r="F86" s="88">
        <v>-10</v>
      </c>
    </row>
    <row r="87" spans="1:6" x14ac:dyDescent="0.3">
      <c r="A87" s="75" t="s">
        <v>131</v>
      </c>
      <c r="B87" s="85">
        <v>5.5629999999999997</v>
      </c>
      <c r="C87" s="73">
        <v>0.625</v>
      </c>
      <c r="D87" s="72">
        <f t="shared" si="1"/>
        <v>4.3129999999999997</v>
      </c>
      <c r="E87" s="73">
        <f>$E$3*LOG($C$80/C87)</f>
        <v>-13.064850586948731</v>
      </c>
      <c r="F87" s="88">
        <v>-13</v>
      </c>
    </row>
    <row r="88" spans="1:6" ht="13.5" thickBot="1" x14ac:dyDescent="0.35">
      <c r="A88" s="75" t="s">
        <v>132</v>
      </c>
      <c r="B88" s="85">
        <v>5.5629999999999997</v>
      </c>
      <c r="C88" s="73">
        <v>0.75</v>
      </c>
      <c r="D88" s="72">
        <f t="shared" si="1"/>
        <v>4.0629999999999997</v>
      </c>
      <c r="E88" s="73">
        <f>$E$3*LOG($C$80/C88)</f>
        <v>-15.757012952567976</v>
      </c>
      <c r="F88" s="88">
        <v>-16</v>
      </c>
    </row>
    <row r="89" spans="1:6" x14ac:dyDescent="0.3">
      <c r="A89" s="71" t="s">
        <v>133</v>
      </c>
      <c r="B89" s="89">
        <v>6.625</v>
      </c>
      <c r="C89" s="63">
        <v>0.13400000000000001</v>
      </c>
      <c r="D89" s="79">
        <f t="shared" si="1"/>
        <v>6.3570000000000002</v>
      </c>
      <c r="E89" s="73">
        <f>$E$3*LOG($C$90/C89)</f>
        <v>10.881809921231996</v>
      </c>
      <c r="F89" s="94">
        <v>11</v>
      </c>
    </row>
    <row r="90" spans="1:6" x14ac:dyDescent="0.3">
      <c r="A90" s="75" t="s">
        <v>134</v>
      </c>
      <c r="B90" s="85">
        <v>6.625</v>
      </c>
      <c r="C90" s="73">
        <v>0.28000000000000003</v>
      </c>
      <c r="D90" s="72">
        <f t="shared" si="1"/>
        <v>6.0650000000000004</v>
      </c>
      <c r="E90" s="73">
        <f>$E$3*LOG($C$90/C90)</f>
        <v>0</v>
      </c>
      <c r="F90" s="87">
        <v>0</v>
      </c>
    </row>
    <row r="91" spans="1:6" x14ac:dyDescent="0.3">
      <c r="A91" s="75" t="s">
        <v>135</v>
      </c>
      <c r="B91" s="85">
        <v>6.625</v>
      </c>
      <c r="C91" s="73">
        <v>0.28000000000000003</v>
      </c>
      <c r="D91" s="72">
        <f t="shared" si="1"/>
        <v>6.0650000000000004</v>
      </c>
      <c r="E91" s="73"/>
      <c r="F91" s="88"/>
    </row>
    <row r="92" spans="1:6" x14ac:dyDescent="0.3">
      <c r="A92" s="75" t="s">
        <v>136</v>
      </c>
      <c r="B92" s="85">
        <v>6.625</v>
      </c>
      <c r="C92" s="73">
        <v>0.28000000000000003</v>
      </c>
      <c r="D92" s="72">
        <f t="shared" si="1"/>
        <v>6.0650000000000004</v>
      </c>
      <c r="E92" s="73"/>
      <c r="F92" s="88"/>
    </row>
    <row r="93" spans="1:6" x14ac:dyDescent="0.3">
      <c r="A93" s="75" t="s">
        <v>137</v>
      </c>
      <c r="B93" s="85">
        <v>6.625</v>
      </c>
      <c r="C93" s="73">
        <v>0.432</v>
      </c>
      <c r="D93" s="72">
        <f t="shared" si="1"/>
        <v>5.7610000000000001</v>
      </c>
      <c r="E93" s="73">
        <f>$E$3*LOG($C$90/C93)</f>
        <v>-6.4030743260715557</v>
      </c>
      <c r="F93" s="87">
        <v>-6</v>
      </c>
    </row>
    <row r="94" spans="1:6" x14ac:dyDescent="0.3">
      <c r="A94" s="75" t="s">
        <v>138</v>
      </c>
      <c r="B94" s="85">
        <v>6.625</v>
      </c>
      <c r="C94" s="73">
        <v>0.432</v>
      </c>
      <c r="D94" s="72">
        <f t="shared" si="1"/>
        <v>5.7610000000000001</v>
      </c>
      <c r="E94" s="73"/>
      <c r="F94" s="88"/>
    </row>
    <row r="95" spans="1:6" x14ac:dyDescent="0.3">
      <c r="A95" s="75" t="s">
        <v>139</v>
      </c>
      <c r="B95" s="85">
        <v>6.625</v>
      </c>
      <c r="C95" s="73">
        <v>0.432</v>
      </c>
      <c r="D95" s="72">
        <f t="shared" si="1"/>
        <v>5.7610000000000001</v>
      </c>
      <c r="E95" s="73"/>
      <c r="F95" s="88"/>
    </row>
    <row r="96" spans="1:6" x14ac:dyDescent="0.3">
      <c r="A96" s="75" t="s">
        <v>140</v>
      </c>
      <c r="B96" s="85">
        <v>6.625</v>
      </c>
      <c r="C96" s="73">
        <v>0.56200000000000006</v>
      </c>
      <c r="D96" s="72">
        <f t="shared" si="1"/>
        <v>5.5010000000000003</v>
      </c>
      <c r="E96" s="73">
        <f>$E$3*LOG($C$90/C96)</f>
        <v>-10.287661663712623</v>
      </c>
      <c r="F96" s="87">
        <v>-9.5</v>
      </c>
    </row>
    <row r="97" spans="1:6" x14ac:dyDescent="0.3">
      <c r="A97" s="75" t="s">
        <v>141</v>
      </c>
      <c r="B97" s="85">
        <v>6.625</v>
      </c>
      <c r="C97" s="73">
        <v>0.71899999999999997</v>
      </c>
      <c r="D97" s="72">
        <f t="shared" si="1"/>
        <v>5.1870000000000003</v>
      </c>
      <c r="E97" s="73">
        <f>$E$3*LOG($C$90/C97)</f>
        <v>-13.925409207382552</v>
      </c>
      <c r="F97" s="87">
        <v>-13</v>
      </c>
    </row>
    <row r="98" spans="1:6" ht="13.5" thickBot="1" x14ac:dyDescent="0.35">
      <c r="A98" s="81" t="s">
        <v>142</v>
      </c>
      <c r="B98" s="90">
        <v>6.625</v>
      </c>
      <c r="C98" s="91">
        <v>0.86399999999999999</v>
      </c>
      <c r="D98" s="83">
        <f t="shared" si="1"/>
        <v>4.8970000000000002</v>
      </c>
      <c r="E98" s="73">
        <f>$E$3*LOG($C$90/C98)</f>
        <v>-16.638094178646917</v>
      </c>
      <c r="F98" s="95">
        <v>-16</v>
      </c>
    </row>
    <row r="99" spans="1:6" x14ac:dyDescent="0.3">
      <c r="A99" s="75" t="s">
        <v>143</v>
      </c>
      <c r="B99" s="89">
        <v>8.625</v>
      </c>
      <c r="C99" s="63">
        <v>0.14799999999999999</v>
      </c>
      <c r="D99" s="79">
        <f t="shared" si="1"/>
        <v>8.3290000000000006</v>
      </c>
      <c r="E99" s="73">
        <f>$E$4*LOG($C$102/C99)</f>
        <v>10.803013001627955</v>
      </c>
      <c r="F99" s="93">
        <v>11</v>
      </c>
    </row>
    <row r="100" spans="1:6" x14ac:dyDescent="0.3">
      <c r="A100" s="75" t="s">
        <v>144</v>
      </c>
      <c r="B100" s="85">
        <v>8.625</v>
      </c>
      <c r="C100" s="73">
        <v>0.25</v>
      </c>
      <c r="D100" s="72">
        <f t="shared" si="1"/>
        <v>8.125</v>
      </c>
      <c r="E100" s="73">
        <f>$E$4*LOG($C$102/C100)</f>
        <v>3.5173076167613857</v>
      </c>
      <c r="F100" s="96">
        <v>3.5</v>
      </c>
    </row>
    <row r="101" spans="1:6" x14ac:dyDescent="0.3">
      <c r="A101" s="75" t="s">
        <v>145</v>
      </c>
      <c r="B101" s="85">
        <v>8.625</v>
      </c>
      <c r="C101" s="73">
        <v>0.27700000000000002</v>
      </c>
      <c r="D101" s="72">
        <f t="shared" si="1"/>
        <v>8.0709999999999997</v>
      </c>
      <c r="E101" s="73">
        <f>$E$4*LOG($C$102/C101)</f>
        <v>2.0920352842042336</v>
      </c>
      <c r="F101" s="96">
        <v>2</v>
      </c>
    </row>
    <row r="102" spans="1:6" x14ac:dyDescent="0.3">
      <c r="A102" s="75" t="s">
        <v>146</v>
      </c>
      <c r="B102" s="85">
        <v>8.625</v>
      </c>
      <c r="C102" s="73">
        <v>0.32200000000000001</v>
      </c>
      <c r="D102" s="72">
        <f t="shared" si="1"/>
        <v>7.9809999999999999</v>
      </c>
      <c r="E102" s="73">
        <f>$E$4*LOG($C$102/C102)</f>
        <v>0</v>
      </c>
      <c r="F102" s="87">
        <v>0</v>
      </c>
    </row>
    <row r="103" spans="1:6" x14ac:dyDescent="0.3">
      <c r="A103" s="75" t="s">
        <v>147</v>
      </c>
      <c r="B103" s="85">
        <v>8.625</v>
      </c>
      <c r="C103" s="73">
        <v>0.32200000000000001</v>
      </c>
      <c r="D103" s="72">
        <f t="shared" si="1"/>
        <v>7.9809999999999999</v>
      </c>
      <c r="E103" s="73"/>
      <c r="F103" s="88"/>
    </row>
    <row r="104" spans="1:6" x14ac:dyDescent="0.3">
      <c r="A104" s="75" t="s">
        <v>148</v>
      </c>
      <c r="B104" s="85">
        <v>8.625</v>
      </c>
      <c r="C104" s="73">
        <v>0.32200000000000001</v>
      </c>
      <c r="D104" s="72">
        <f t="shared" si="1"/>
        <v>7.9809999999999999</v>
      </c>
      <c r="E104" s="73"/>
      <c r="F104" s="88"/>
    </row>
    <row r="105" spans="1:6" x14ac:dyDescent="0.3">
      <c r="A105" s="75" t="s">
        <v>149</v>
      </c>
      <c r="B105" s="85">
        <v>8.625</v>
      </c>
      <c r="C105" s="73">
        <v>0.40600000000000003</v>
      </c>
      <c r="D105" s="72">
        <f t="shared" si="1"/>
        <v>7.8129999999999997</v>
      </c>
      <c r="E105" s="73">
        <f>$E$4*LOG($C$102/C105)</f>
        <v>-3.2214451802036241</v>
      </c>
      <c r="F105" s="87">
        <v>-3</v>
      </c>
    </row>
    <row r="106" spans="1:6" x14ac:dyDescent="0.3">
      <c r="A106" s="75" t="s">
        <v>150</v>
      </c>
      <c r="B106" s="85">
        <v>8.625</v>
      </c>
      <c r="C106" s="73">
        <v>0.5</v>
      </c>
      <c r="D106" s="72">
        <f t="shared" si="1"/>
        <v>7.625</v>
      </c>
      <c r="E106" s="73">
        <f>$E$4*LOG($C$102/C106)</f>
        <v>-6.1156522444860126</v>
      </c>
      <c r="F106" s="87">
        <v>-6</v>
      </c>
    </row>
    <row r="107" spans="1:6" x14ac:dyDescent="0.3">
      <c r="A107" s="75" t="s">
        <v>151</v>
      </c>
      <c r="B107" s="85">
        <v>8.625</v>
      </c>
      <c r="C107" s="73">
        <v>0.5</v>
      </c>
      <c r="D107" s="72">
        <f t="shared" si="1"/>
        <v>7.625</v>
      </c>
      <c r="E107" s="73"/>
      <c r="F107" s="88"/>
    </row>
    <row r="108" spans="1:6" x14ac:dyDescent="0.3">
      <c r="A108" s="75" t="s">
        <v>152</v>
      </c>
      <c r="B108" s="85">
        <v>8.625</v>
      </c>
      <c r="C108" s="73">
        <v>0.5</v>
      </c>
      <c r="D108" s="72">
        <f t="shared" si="1"/>
        <v>7.625</v>
      </c>
      <c r="E108" s="73"/>
      <c r="F108" s="88"/>
    </row>
    <row r="109" spans="1:6" x14ac:dyDescent="0.3">
      <c r="A109" s="75" t="s">
        <v>153</v>
      </c>
      <c r="B109" s="85">
        <v>8.625</v>
      </c>
      <c r="C109" s="73">
        <v>0.59399999999999997</v>
      </c>
      <c r="D109" s="72">
        <f t="shared" si="1"/>
        <v>7.4370000000000003</v>
      </c>
      <c r="E109" s="73">
        <f>$E$4*LOG($C$102/C109)</f>
        <v>-8.5097783451316023</v>
      </c>
      <c r="F109" s="87">
        <v>-8.5</v>
      </c>
    </row>
    <row r="110" spans="1:6" x14ac:dyDescent="0.3">
      <c r="A110" s="75" t="s">
        <v>154</v>
      </c>
      <c r="B110" s="85">
        <v>8.625</v>
      </c>
      <c r="C110" s="73">
        <v>0.71899999999999997</v>
      </c>
      <c r="D110" s="72">
        <f t="shared" si="1"/>
        <v>7.1870000000000003</v>
      </c>
      <c r="E110" s="73">
        <f>$E$4*LOG($C$102/C110)</f>
        <v>-11.163936597985655</v>
      </c>
      <c r="F110" s="87">
        <v>-11</v>
      </c>
    </row>
    <row r="111" spans="1:6" x14ac:dyDescent="0.3">
      <c r="A111" s="75" t="s">
        <v>155</v>
      </c>
      <c r="B111" s="85">
        <v>8.625</v>
      </c>
      <c r="C111" s="73">
        <v>0.81200000000000006</v>
      </c>
      <c r="D111" s="72">
        <f t="shared" si="1"/>
        <v>7.0010000000000003</v>
      </c>
      <c r="E111" s="73">
        <f>$E$4*LOG($C$102/C111)</f>
        <v>-12.854405041451022</v>
      </c>
      <c r="F111" s="87">
        <v>-13</v>
      </c>
    </row>
    <row r="112" spans="1:6" x14ac:dyDescent="0.3">
      <c r="A112" s="75" t="s">
        <v>156</v>
      </c>
      <c r="B112" s="85">
        <v>8.625</v>
      </c>
      <c r="C112" s="73">
        <v>0.875</v>
      </c>
      <c r="D112" s="72">
        <f t="shared" si="1"/>
        <v>6.875</v>
      </c>
      <c r="E112" s="73">
        <f>$E$4*LOG($C$102/C112)</f>
        <v>-13.892869802447436</v>
      </c>
      <c r="F112" s="87">
        <v>-14</v>
      </c>
    </row>
    <row r="113" spans="1:6" ht="13.5" thickBot="1" x14ac:dyDescent="0.35">
      <c r="A113" s="75" t="s">
        <v>157</v>
      </c>
      <c r="B113" s="90">
        <v>8.625</v>
      </c>
      <c r="C113" s="91">
        <v>0.90600000000000003</v>
      </c>
      <c r="D113" s="83">
        <f t="shared" si="1"/>
        <v>6.8129999999999997</v>
      </c>
      <c r="E113" s="73">
        <f>$E$4*LOG($C$102/C113)</f>
        <v>-14.376714431391431</v>
      </c>
      <c r="F113" s="87">
        <v>-14.5</v>
      </c>
    </row>
    <row r="114" spans="1:6" x14ac:dyDescent="0.3">
      <c r="A114" s="71" t="s">
        <v>158</v>
      </c>
      <c r="B114" s="89">
        <v>10.75</v>
      </c>
      <c r="C114" s="63">
        <v>0.16500000000000001</v>
      </c>
      <c r="D114" s="79">
        <f t="shared" si="1"/>
        <v>10.42</v>
      </c>
      <c r="E114" s="73">
        <f>$E$4*LOG($C$117/C114)</f>
        <v>11.033885447762188</v>
      </c>
      <c r="F114" s="94">
        <v>11</v>
      </c>
    </row>
    <row r="115" spans="1:6" x14ac:dyDescent="0.3">
      <c r="A115" s="75" t="s">
        <v>159</v>
      </c>
      <c r="B115" s="85">
        <v>10.75</v>
      </c>
      <c r="C115" s="73">
        <v>0.25</v>
      </c>
      <c r="D115" s="72">
        <f t="shared" si="1"/>
        <v>10.25</v>
      </c>
      <c r="E115" s="73">
        <f>$E$4*LOG($C$117/C115)</f>
        <v>5.2592913851019869</v>
      </c>
      <c r="F115" s="86">
        <v>5</v>
      </c>
    </row>
    <row r="116" spans="1:6" x14ac:dyDescent="0.3">
      <c r="A116" s="75" t="s">
        <v>160</v>
      </c>
      <c r="B116" s="85">
        <v>10.75</v>
      </c>
      <c r="C116" s="73">
        <v>0.307</v>
      </c>
      <c r="D116" s="72">
        <f t="shared" si="1"/>
        <v>10.135999999999999</v>
      </c>
      <c r="E116" s="73">
        <f>$E$4*LOG($C$117/C116)</f>
        <v>2.4049436473372241</v>
      </c>
      <c r="F116" s="86">
        <v>2.5</v>
      </c>
    </row>
    <row r="117" spans="1:6" x14ac:dyDescent="0.3">
      <c r="A117" s="75" t="s">
        <v>161</v>
      </c>
      <c r="B117" s="85">
        <v>10.75</v>
      </c>
      <c r="C117" s="73">
        <v>0.36499999999999999</v>
      </c>
      <c r="D117" s="72">
        <f t="shared" si="1"/>
        <v>10.02</v>
      </c>
      <c r="E117" s="73">
        <f>$E$4*LOG($C$117/C117)</f>
        <v>0</v>
      </c>
      <c r="F117" s="87">
        <v>0</v>
      </c>
    </row>
    <row r="118" spans="1:6" x14ac:dyDescent="0.3">
      <c r="A118" s="75" t="s">
        <v>162</v>
      </c>
      <c r="B118" s="85">
        <v>10.75</v>
      </c>
      <c r="C118" s="73">
        <v>0.36499999999999999</v>
      </c>
      <c r="D118" s="72">
        <f t="shared" si="1"/>
        <v>10.02</v>
      </c>
      <c r="E118" s="73"/>
      <c r="F118" s="88"/>
    </row>
    <row r="119" spans="1:6" x14ac:dyDescent="0.3">
      <c r="A119" s="75" t="s">
        <v>163</v>
      </c>
      <c r="B119" s="85">
        <v>10.75</v>
      </c>
      <c r="C119" s="73">
        <v>0.36499999999999999</v>
      </c>
      <c r="D119" s="72">
        <f t="shared" si="1"/>
        <v>10.02</v>
      </c>
      <c r="E119" s="73"/>
      <c r="F119" s="88"/>
    </row>
    <row r="120" spans="1:6" x14ac:dyDescent="0.3">
      <c r="A120" s="75" t="s">
        <v>164</v>
      </c>
      <c r="B120" s="85">
        <v>10.75</v>
      </c>
      <c r="C120" s="73">
        <v>0.5</v>
      </c>
      <c r="D120" s="72">
        <f t="shared" si="1"/>
        <v>9.75</v>
      </c>
      <c r="E120" s="73">
        <f>$E$4*LOG($C$117/C120)</f>
        <v>-4.3736684761454114</v>
      </c>
      <c r="F120" s="87">
        <v>-4.5</v>
      </c>
    </row>
    <row r="121" spans="1:6" x14ac:dyDescent="0.3">
      <c r="A121" s="75" t="s">
        <v>165</v>
      </c>
      <c r="B121" s="85">
        <v>10.75</v>
      </c>
      <c r="C121" s="73">
        <v>0.5</v>
      </c>
      <c r="D121" s="72">
        <f t="shared" si="1"/>
        <v>9.75</v>
      </c>
      <c r="E121" s="73"/>
      <c r="F121" s="88"/>
    </row>
    <row r="122" spans="1:6" x14ac:dyDescent="0.3">
      <c r="A122" s="75" t="s">
        <v>166</v>
      </c>
      <c r="B122" s="85">
        <v>10.75</v>
      </c>
      <c r="C122" s="73">
        <v>0.5</v>
      </c>
      <c r="D122" s="72">
        <f t="shared" si="1"/>
        <v>9.75</v>
      </c>
      <c r="E122" s="73"/>
      <c r="F122" s="88"/>
    </row>
    <row r="123" spans="1:6" x14ac:dyDescent="0.3">
      <c r="A123" s="75" t="s">
        <v>167</v>
      </c>
      <c r="B123" s="85">
        <v>10.75</v>
      </c>
      <c r="C123" s="73">
        <v>0.59399999999999997</v>
      </c>
      <c r="D123" s="72">
        <f t="shared" si="1"/>
        <v>9.5619999999999994</v>
      </c>
      <c r="E123" s="73">
        <f>$E$4*LOG($C$117/C123)</f>
        <v>-6.7677945767910019</v>
      </c>
      <c r="F123" s="87">
        <v>-6.5</v>
      </c>
    </row>
    <row r="124" spans="1:6" x14ac:dyDescent="0.3">
      <c r="A124" s="75" t="s">
        <v>168</v>
      </c>
      <c r="B124" s="85">
        <v>10.75</v>
      </c>
      <c r="C124" s="73">
        <v>0.71899999999999997</v>
      </c>
      <c r="D124" s="72">
        <f t="shared" si="1"/>
        <v>9.3119999999999994</v>
      </c>
      <c r="E124" s="73">
        <f>$E$4*LOG($C$117/C124)</f>
        <v>-9.4219528296450505</v>
      </c>
      <c r="F124" s="87">
        <v>-9.5</v>
      </c>
    </row>
    <row r="125" spans="1:6" x14ac:dyDescent="0.3">
      <c r="A125" s="75" t="s">
        <v>169</v>
      </c>
      <c r="B125" s="85">
        <v>10.75</v>
      </c>
      <c r="C125" s="73">
        <v>0.84399999999999997</v>
      </c>
      <c r="D125" s="72">
        <f t="shared" si="1"/>
        <v>9.0619999999999994</v>
      </c>
      <c r="E125" s="73">
        <f>$E$4*LOG($C$117/C125)</f>
        <v>-11.649586629413772</v>
      </c>
      <c r="F125" s="87">
        <v>-11.5</v>
      </c>
    </row>
    <row r="126" spans="1:6" x14ac:dyDescent="0.3">
      <c r="A126" s="75" t="s">
        <v>170</v>
      </c>
      <c r="B126" s="85">
        <v>10.75</v>
      </c>
      <c r="C126" s="73">
        <v>1</v>
      </c>
      <c r="D126" s="72">
        <f t="shared" si="1"/>
        <v>8.75</v>
      </c>
      <c r="E126" s="73">
        <f>$E$4*LOG($C$117/C126)</f>
        <v>-14.00662833739281</v>
      </c>
      <c r="F126" s="87">
        <v>-14</v>
      </c>
    </row>
    <row r="127" spans="1:6" x14ac:dyDescent="0.3">
      <c r="A127" s="75" t="s">
        <v>171</v>
      </c>
      <c r="B127" s="85">
        <v>10.75</v>
      </c>
      <c r="C127" s="73">
        <v>1</v>
      </c>
      <c r="D127" s="72">
        <f t="shared" si="1"/>
        <v>8.75</v>
      </c>
      <c r="E127" s="73"/>
      <c r="F127" s="88"/>
    </row>
    <row r="128" spans="1:6" ht="13.5" thickBot="1" x14ac:dyDescent="0.35">
      <c r="A128" s="81" t="s">
        <v>172</v>
      </c>
      <c r="B128" s="90">
        <v>10.75</v>
      </c>
      <c r="C128" s="91">
        <v>1.125</v>
      </c>
      <c r="D128" s="83">
        <f t="shared" si="1"/>
        <v>8.5</v>
      </c>
      <c r="E128" s="73">
        <f>$E$4*LOG($C$117/C128)</f>
        <v>-15.643509055709012</v>
      </c>
      <c r="F128" s="95">
        <v>-15.5</v>
      </c>
    </row>
    <row r="129" spans="1:6" x14ac:dyDescent="0.3">
      <c r="A129" s="75" t="s">
        <v>173</v>
      </c>
      <c r="B129" s="89">
        <v>12.75</v>
      </c>
      <c r="C129" s="63">
        <v>0.18</v>
      </c>
      <c r="D129" s="79">
        <f t="shared" si="1"/>
        <v>12.39</v>
      </c>
      <c r="E129" s="73">
        <f>$E$4*LOG($C$132/C129)</f>
        <v>10.20028040398121</v>
      </c>
      <c r="F129" s="93">
        <v>10</v>
      </c>
    </row>
    <row r="130" spans="1:6" x14ac:dyDescent="0.3">
      <c r="A130" s="75" t="s">
        <v>174</v>
      </c>
      <c r="B130" s="85">
        <v>12.75</v>
      </c>
      <c r="C130" s="73">
        <v>0.25</v>
      </c>
      <c r="D130" s="72">
        <f t="shared" si="1"/>
        <v>12.25</v>
      </c>
      <c r="E130" s="73">
        <f>$E$4*LOG($C$132/C130)</f>
        <v>5.6349202897817996</v>
      </c>
      <c r="F130" s="86">
        <v>5.5</v>
      </c>
    </row>
    <row r="131" spans="1:6" x14ac:dyDescent="0.3">
      <c r="A131" s="75" t="s">
        <v>175</v>
      </c>
      <c r="B131" s="85">
        <v>12.75</v>
      </c>
      <c r="C131" s="73">
        <v>0.33</v>
      </c>
      <c r="D131" s="72">
        <f t="shared" si="1"/>
        <v>12.09</v>
      </c>
      <c r="E131" s="73">
        <f>$E$4*LOG($C$132/C131)</f>
        <v>1.7765544911946025</v>
      </c>
      <c r="F131" s="86">
        <v>1.5</v>
      </c>
    </row>
    <row r="132" spans="1:6" x14ac:dyDescent="0.3">
      <c r="A132" s="75" t="s">
        <v>176</v>
      </c>
      <c r="B132" s="85">
        <v>12.75</v>
      </c>
      <c r="C132" s="73">
        <v>0.375</v>
      </c>
      <c r="D132" s="72">
        <f t="shared" si="1"/>
        <v>12</v>
      </c>
      <c r="E132" s="73">
        <f>$E$4*LOG($C$132/C132)</f>
        <v>0</v>
      </c>
      <c r="F132" s="87">
        <v>0</v>
      </c>
    </row>
    <row r="133" spans="1:6" x14ac:dyDescent="0.3">
      <c r="A133" s="75" t="s">
        <v>177</v>
      </c>
      <c r="B133" s="85">
        <v>12.75</v>
      </c>
      <c r="C133" s="73">
        <v>0.375</v>
      </c>
      <c r="D133" s="72">
        <f t="shared" si="1"/>
        <v>12</v>
      </c>
      <c r="E133" s="73"/>
      <c r="F133" s="88"/>
    </row>
    <row r="134" spans="1:6" x14ac:dyDescent="0.3">
      <c r="A134" s="75" t="s">
        <v>178</v>
      </c>
      <c r="B134" s="85">
        <v>12.75</v>
      </c>
      <c r="C134" s="73">
        <v>0.40600000000000003</v>
      </c>
      <c r="D134" s="72">
        <f t="shared" ref="D134:D197" si="2">ROUND(B134-2*C134,3)</f>
        <v>11.938000000000001</v>
      </c>
      <c r="E134" s="73">
        <f>$E$4*LOG($C$132/C134)</f>
        <v>-1.1038325071832096</v>
      </c>
      <c r="F134" s="87">
        <v>-1</v>
      </c>
    </row>
    <row r="135" spans="1:6" x14ac:dyDescent="0.3">
      <c r="A135" s="75" t="s">
        <v>179</v>
      </c>
      <c r="B135" s="85">
        <v>12.75</v>
      </c>
      <c r="C135" s="73">
        <v>0.5</v>
      </c>
      <c r="D135" s="72">
        <f t="shared" si="2"/>
        <v>11.75</v>
      </c>
      <c r="E135" s="73">
        <f>$E$4*LOG($C$132/C135)</f>
        <v>-3.9980395714655983</v>
      </c>
      <c r="F135" s="87">
        <v>-4</v>
      </c>
    </row>
    <row r="136" spans="1:6" x14ac:dyDescent="0.3">
      <c r="A136" s="75" t="s">
        <v>180</v>
      </c>
      <c r="B136" s="85">
        <v>12.75</v>
      </c>
      <c r="C136" s="73">
        <v>0.5</v>
      </c>
      <c r="D136" s="72">
        <f t="shared" si="2"/>
        <v>11.75</v>
      </c>
      <c r="E136" s="73"/>
      <c r="F136" s="88"/>
    </row>
    <row r="137" spans="1:6" x14ac:dyDescent="0.3">
      <c r="A137" s="75" t="s">
        <v>181</v>
      </c>
      <c r="B137" s="85">
        <v>12.75</v>
      </c>
      <c r="C137" s="73">
        <v>0.56200000000000006</v>
      </c>
      <c r="D137" s="72">
        <f t="shared" si="2"/>
        <v>11.625999999999999</v>
      </c>
      <c r="E137" s="73">
        <f>$E$4*LOG($C$132/C137)</f>
        <v>-5.6225615309229537</v>
      </c>
      <c r="F137" s="87">
        <v>-5.5</v>
      </c>
    </row>
    <row r="138" spans="1:6" x14ac:dyDescent="0.3">
      <c r="A138" s="75" t="s">
        <v>182</v>
      </c>
      <c r="B138" s="85">
        <v>12.75</v>
      </c>
      <c r="C138" s="73">
        <v>0.68799999999999994</v>
      </c>
      <c r="D138" s="72">
        <f t="shared" si="2"/>
        <v>11.374000000000001</v>
      </c>
      <c r="E138" s="73">
        <f>$E$4*LOG($C$132/C138)</f>
        <v>-8.4338294562493559</v>
      </c>
      <c r="F138" s="87">
        <v>-8</v>
      </c>
    </row>
    <row r="139" spans="1:6" x14ac:dyDescent="0.3">
      <c r="A139" s="75" t="s">
        <v>183</v>
      </c>
      <c r="B139" s="85">
        <v>12.75</v>
      </c>
      <c r="C139" s="73">
        <v>0.84399999999999997</v>
      </c>
      <c r="D139" s="72">
        <f t="shared" si="2"/>
        <v>11.061999999999999</v>
      </c>
      <c r="E139" s="73">
        <f>$E$4*LOG($C$132/C139)</f>
        <v>-11.273957724733958</v>
      </c>
      <c r="F139" s="87">
        <v>-11</v>
      </c>
    </row>
    <row r="140" spans="1:6" x14ac:dyDescent="0.3">
      <c r="A140" s="75" t="s">
        <v>184</v>
      </c>
      <c r="B140" s="85">
        <v>12.75</v>
      </c>
      <c r="C140" s="73">
        <v>1</v>
      </c>
      <c r="D140" s="72">
        <f t="shared" si="2"/>
        <v>10.75</v>
      </c>
      <c r="E140" s="73">
        <f>$E$4*LOG($C$132/C140)</f>
        <v>-13.630999432712997</v>
      </c>
      <c r="F140" s="87">
        <v>-13.5</v>
      </c>
    </row>
    <row r="141" spans="1:6" x14ac:dyDescent="0.3">
      <c r="A141" s="75" t="s">
        <v>185</v>
      </c>
      <c r="B141" s="85">
        <v>12.75</v>
      </c>
      <c r="C141" s="73">
        <v>1</v>
      </c>
      <c r="D141" s="72">
        <f t="shared" si="2"/>
        <v>10.75</v>
      </c>
      <c r="E141" s="73"/>
      <c r="F141" s="88"/>
    </row>
    <row r="142" spans="1:6" x14ac:dyDescent="0.3">
      <c r="A142" s="75" t="s">
        <v>186</v>
      </c>
      <c r="B142" s="85">
        <v>12.75</v>
      </c>
      <c r="C142" s="73">
        <v>1.125</v>
      </c>
      <c r="D142" s="72">
        <f t="shared" si="2"/>
        <v>10.5</v>
      </c>
      <c r="E142" s="73">
        <f>$E$4*LOG($C$132/C142)</f>
        <v>-15.267880151029198</v>
      </c>
      <c r="F142" s="87">
        <v>-15</v>
      </c>
    </row>
    <row r="143" spans="1:6" ht="13.5" thickBot="1" x14ac:dyDescent="0.35">
      <c r="A143" s="75" t="s">
        <v>187</v>
      </c>
      <c r="B143" s="90">
        <v>12.75</v>
      </c>
      <c r="C143" s="91">
        <v>1.3120000000000001</v>
      </c>
      <c r="D143" s="83">
        <f t="shared" si="2"/>
        <v>10.125999999999999</v>
      </c>
      <c r="E143" s="73">
        <f>$E$4*LOG($C$132/C143)</f>
        <v>-17.404882153981525</v>
      </c>
      <c r="F143" s="87">
        <v>-17.5</v>
      </c>
    </row>
    <row r="144" spans="1:6" x14ac:dyDescent="0.3">
      <c r="A144" s="71" t="s">
        <v>188</v>
      </c>
      <c r="B144" s="89">
        <v>14</v>
      </c>
      <c r="C144" s="63">
        <v>0.188</v>
      </c>
      <c r="D144" s="79">
        <f t="shared" si="2"/>
        <v>13.624000000000001</v>
      </c>
      <c r="E144" s="73">
        <f>$E$4*LOG($C$147/C144)</f>
        <v>9.595949390849249</v>
      </c>
      <c r="F144" s="94">
        <v>9.5</v>
      </c>
    </row>
    <row r="145" spans="1:6" x14ac:dyDescent="0.3">
      <c r="A145" s="75" t="s">
        <v>189</v>
      </c>
      <c r="B145" s="85">
        <v>14</v>
      </c>
      <c r="C145" s="73">
        <v>0.25</v>
      </c>
      <c r="D145" s="72">
        <f t="shared" si="2"/>
        <v>13.5</v>
      </c>
      <c r="E145" s="73">
        <f>$E$4*LOG($C$147/C145)</f>
        <v>5.6349202897817996</v>
      </c>
      <c r="F145" s="86">
        <v>5.5</v>
      </c>
    </row>
    <row r="146" spans="1:6" x14ac:dyDescent="0.3">
      <c r="A146" s="75" t="s">
        <v>190</v>
      </c>
      <c r="B146" s="85">
        <v>14</v>
      </c>
      <c r="C146" s="73">
        <v>0.312</v>
      </c>
      <c r="D146" s="72">
        <f t="shared" si="2"/>
        <v>13.375999999999999</v>
      </c>
      <c r="E146" s="73">
        <f>$E$4*LOG($C$147/C146)</f>
        <v>2.5560535586968332</v>
      </c>
      <c r="F146" s="86">
        <v>2.5</v>
      </c>
    </row>
    <row r="147" spans="1:6" x14ac:dyDescent="0.3">
      <c r="A147" s="75" t="s">
        <v>191</v>
      </c>
      <c r="B147" s="85">
        <v>14</v>
      </c>
      <c r="C147" s="73">
        <v>0.375</v>
      </c>
      <c r="D147" s="72">
        <f t="shared" si="2"/>
        <v>13.25</v>
      </c>
      <c r="E147" s="73">
        <f>$E$4*LOG($C$147/C147)</f>
        <v>0</v>
      </c>
      <c r="F147" s="87">
        <v>0</v>
      </c>
    </row>
    <row r="148" spans="1:6" x14ac:dyDescent="0.3">
      <c r="A148" s="75" t="s">
        <v>192</v>
      </c>
      <c r="B148" s="85">
        <v>14</v>
      </c>
      <c r="C148" s="73">
        <v>0.375</v>
      </c>
      <c r="D148" s="72">
        <f t="shared" si="2"/>
        <v>13.25</v>
      </c>
      <c r="E148" s="73"/>
      <c r="F148" s="88"/>
    </row>
    <row r="149" spans="1:6" x14ac:dyDescent="0.3">
      <c r="A149" s="75" t="s">
        <v>193</v>
      </c>
      <c r="B149" s="85">
        <v>14</v>
      </c>
      <c r="C149" s="73">
        <v>0.438</v>
      </c>
      <c r="D149" s="72">
        <f t="shared" si="2"/>
        <v>13.124000000000001</v>
      </c>
      <c r="E149" s="73">
        <f t="shared" ref="E149:E156" si="3">$E$4*LOG($C$147/C149)</f>
        <v>-2.1581709688441824</v>
      </c>
      <c r="F149" s="87">
        <v>-2</v>
      </c>
    </row>
    <row r="150" spans="1:6" x14ac:dyDescent="0.3">
      <c r="A150" s="75" t="s">
        <v>194</v>
      </c>
      <c r="B150" s="85">
        <v>14</v>
      </c>
      <c r="C150" s="73">
        <v>0.5</v>
      </c>
      <c r="D150" s="72">
        <f t="shared" si="2"/>
        <v>13</v>
      </c>
      <c r="E150" s="73">
        <f t="shared" si="3"/>
        <v>-3.9980395714655983</v>
      </c>
      <c r="F150" s="87">
        <v>-4</v>
      </c>
    </row>
    <row r="151" spans="1:6" x14ac:dyDescent="0.3">
      <c r="A151" s="75" t="s">
        <v>195</v>
      </c>
      <c r="B151" s="85">
        <v>14</v>
      </c>
      <c r="C151" s="73">
        <v>0.59399999999999997</v>
      </c>
      <c r="D151" s="72">
        <f t="shared" si="2"/>
        <v>12.811999999999999</v>
      </c>
      <c r="E151" s="73">
        <f t="shared" si="3"/>
        <v>-6.3921656721111884</v>
      </c>
      <c r="F151" s="87">
        <v>-6</v>
      </c>
    </row>
    <row r="152" spans="1:6" x14ac:dyDescent="0.3">
      <c r="A152" s="75" t="s">
        <v>196</v>
      </c>
      <c r="B152" s="85">
        <v>14</v>
      </c>
      <c r="C152" s="73">
        <v>0.75</v>
      </c>
      <c r="D152" s="72">
        <f t="shared" si="2"/>
        <v>12.5</v>
      </c>
      <c r="E152" s="73">
        <f t="shared" si="3"/>
        <v>-9.6329598612473983</v>
      </c>
      <c r="F152" s="87">
        <v>-9.5</v>
      </c>
    </row>
    <row r="153" spans="1:6" x14ac:dyDescent="0.3">
      <c r="A153" s="75" t="s">
        <v>197</v>
      </c>
      <c r="B153" s="85">
        <v>14</v>
      </c>
      <c r="C153" s="73">
        <v>0.93799999999999994</v>
      </c>
      <c r="D153" s="72">
        <f t="shared" si="2"/>
        <v>12.124000000000001</v>
      </c>
      <c r="E153" s="73">
        <f t="shared" si="3"/>
        <v>-12.741490260843058</v>
      </c>
      <c r="F153" s="87">
        <v>-12.5</v>
      </c>
    </row>
    <row r="154" spans="1:6" x14ac:dyDescent="0.3">
      <c r="A154" s="75" t="s">
        <v>198</v>
      </c>
      <c r="B154" s="85">
        <v>14</v>
      </c>
      <c r="C154" s="73">
        <v>1.0940000000000001</v>
      </c>
      <c r="D154" s="72">
        <f t="shared" si="2"/>
        <v>11.811999999999999</v>
      </c>
      <c r="E154" s="73">
        <f t="shared" si="3"/>
        <v>-14.87955373663018</v>
      </c>
      <c r="F154" s="87">
        <v>-14.5</v>
      </c>
    </row>
    <row r="155" spans="1:6" x14ac:dyDescent="0.3">
      <c r="A155" s="75" t="s">
        <v>199</v>
      </c>
      <c r="B155" s="85">
        <v>14</v>
      </c>
      <c r="C155" s="73">
        <v>1.25</v>
      </c>
      <c r="D155" s="72">
        <f t="shared" si="2"/>
        <v>11.5</v>
      </c>
      <c r="E155" s="73">
        <f t="shared" si="3"/>
        <v>-16.732119848970804</v>
      </c>
      <c r="F155" s="87">
        <v>-16.5</v>
      </c>
    </row>
    <row r="156" spans="1:6" ht="13.5" thickBot="1" x14ac:dyDescent="0.35">
      <c r="A156" s="81" t="s">
        <v>200</v>
      </c>
      <c r="B156" s="90">
        <v>14</v>
      </c>
      <c r="C156" s="91">
        <v>1.4059999999999999</v>
      </c>
      <c r="D156" s="83">
        <f t="shared" si="2"/>
        <v>11.188000000000001</v>
      </c>
      <c r="E156" s="73">
        <f t="shared" si="3"/>
        <v>-18.36652969459476</v>
      </c>
      <c r="F156" s="95">
        <v>-18</v>
      </c>
    </row>
    <row r="157" spans="1:6" x14ac:dyDescent="0.3">
      <c r="A157" s="75" t="s">
        <v>201</v>
      </c>
      <c r="B157" s="89">
        <v>16</v>
      </c>
      <c r="C157" s="63">
        <v>0.188</v>
      </c>
      <c r="D157" s="79">
        <f t="shared" si="2"/>
        <v>15.624000000000001</v>
      </c>
      <c r="E157" s="73">
        <f>$E$4*LOG($C$160/C157)</f>
        <v>9.595949390849249</v>
      </c>
      <c r="F157" s="93">
        <v>9.5</v>
      </c>
    </row>
    <row r="158" spans="1:6" x14ac:dyDescent="0.3">
      <c r="A158" s="75" t="s">
        <v>202</v>
      </c>
      <c r="B158" s="85">
        <v>16</v>
      </c>
      <c r="C158" s="73">
        <v>0.25</v>
      </c>
      <c r="D158" s="72">
        <f t="shared" si="2"/>
        <v>15.5</v>
      </c>
      <c r="E158" s="73">
        <f>$E$4*LOG($C$160/C158)</f>
        <v>5.6349202897817996</v>
      </c>
      <c r="F158" s="86">
        <v>5.5</v>
      </c>
    </row>
    <row r="159" spans="1:6" x14ac:dyDescent="0.3">
      <c r="A159" s="75" t="s">
        <v>203</v>
      </c>
      <c r="B159" s="85">
        <v>16</v>
      </c>
      <c r="C159" s="73">
        <v>0.312</v>
      </c>
      <c r="D159" s="72">
        <f t="shared" si="2"/>
        <v>15.375999999999999</v>
      </c>
      <c r="E159" s="73">
        <f>$E$4*LOG($C$160/C159)</f>
        <v>2.5560535586968332</v>
      </c>
      <c r="F159" s="86">
        <v>2.5</v>
      </c>
    </row>
    <row r="160" spans="1:6" x14ac:dyDescent="0.3">
      <c r="A160" s="75" t="s">
        <v>204</v>
      </c>
      <c r="B160" s="85">
        <v>16</v>
      </c>
      <c r="C160" s="73">
        <v>0.375</v>
      </c>
      <c r="D160" s="72">
        <f t="shared" si="2"/>
        <v>15.25</v>
      </c>
      <c r="E160" s="73">
        <f>$E$4*LOG($C$160/C160)</f>
        <v>0</v>
      </c>
      <c r="F160" s="87">
        <v>0</v>
      </c>
    </row>
    <row r="161" spans="1:6" x14ac:dyDescent="0.3">
      <c r="A161" s="75" t="s">
        <v>205</v>
      </c>
      <c r="B161" s="85">
        <v>16</v>
      </c>
      <c r="C161" s="73">
        <v>0.375</v>
      </c>
      <c r="D161" s="72">
        <f t="shared" si="2"/>
        <v>15.25</v>
      </c>
      <c r="E161" s="73"/>
      <c r="F161" s="88"/>
    </row>
    <row r="162" spans="1:6" x14ac:dyDescent="0.3">
      <c r="A162" s="75" t="s">
        <v>206</v>
      </c>
      <c r="B162" s="85">
        <v>16</v>
      </c>
      <c r="C162" s="73">
        <v>0.5</v>
      </c>
      <c r="D162" s="72">
        <f t="shared" si="2"/>
        <v>15</v>
      </c>
      <c r="E162" s="73">
        <f>$E$4*LOG($C$160/C162)</f>
        <v>-3.9980395714655983</v>
      </c>
      <c r="F162" s="87">
        <v>-4</v>
      </c>
    </row>
    <row r="163" spans="1:6" x14ac:dyDescent="0.3">
      <c r="A163" s="75" t="s">
        <v>207</v>
      </c>
      <c r="B163" s="85">
        <v>16</v>
      </c>
      <c r="C163" s="73">
        <v>0.5</v>
      </c>
      <c r="D163" s="72">
        <f t="shared" si="2"/>
        <v>15</v>
      </c>
      <c r="E163" s="73"/>
      <c r="F163" s="88"/>
    </row>
    <row r="164" spans="1:6" x14ac:dyDescent="0.3">
      <c r="A164" s="75" t="s">
        <v>208</v>
      </c>
      <c r="B164" s="85">
        <v>16</v>
      </c>
      <c r="C164" s="73">
        <v>0.65600000000000003</v>
      </c>
      <c r="D164" s="72">
        <f t="shared" si="2"/>
        <v>14.688000000000001</v>
      </c>
      <c r="E164" s="73">
        <f t="shared" ref="E164:E169" si="4">$E$4*LOG($C$160/C164)</f>
        <v>-7.7719222927341249</v>
      </c>
      <c r="F164" s="87">
        <v>-7.5</v>
      </c>
    </row>
    <row r="165" spans="1:6" x14ac:dyDescent="0.3">
      <c r="A165" s="75" t="s">
        <v>209</v>
      </c>
      <c r="B165" s="85">
        <v>16</v>
      </c>
      <c r="C165" s="73">
        <v>0.84399999999999997</v>
      </c>
      <c r="D165" s="72">
        <f t="shared" si="2"/>
        <v>14.311999999999999</v>
      </c>
      <c r="E165" s="73">
        <f t="shared" si="4"/>
        <v>-11.273957724733958</v>
      </c>
      <c r="F165" s="87">
        <v>-11</v>
      </c>
    </row>
    <row r="166" spans="1:6" x14ac:dyDescent="0.3">
      <c r="A166" s="75" t="s">
        <v>210</v>
      </c>
      <c r="B166" s="85">
        <v>16</v>
      </c>
      <c r="C166" s="73">
        <v>1.0309999999999999</v>
      </c>
      <c r="D166" s="72">
        <f t="shared" si="2"/>
        <v>13.938000000000001</v>
      </c>
      <c r="E166" s="73">
        <f t="shared" si="4"/>
        <v>-14.055276721785525</v>
      </c>
      <c r="F166" s="87">
        <v>-13.5</v>
      </c>
    </row>
    <row r="167" spans="1:6" x14ac:dyDescent="0.3">
      <c r="A167" s="75" t="s">
        <v>211</v>
      </c>
      <c r="B167" s="85">
        <v>16</v>
      </c>
      <c r="C167" s="73">
        <v>1.2190000000000001</v>
      </c>
      <c r="D167" s="72">
        <f t="shared" si="2"/>
        <v>13.561999999999999</v>
      </c>
      <c r="E167" s="73">
        <f t="shared" si="4"/>
        <v>-16.383118012501221</v>
      </c>
      <c r="F167" s="87">
        <v>-16</v>
      </c>
    </row>
    <row r="168" spans="1:6" x14ac:dyDescent="0.3">
      <c r="A168" s="75" t="s">
        <v>212</v>
      </c>
      <c r="B168" s="85">
        <v>16</v>
      </c>
      <c r="C168" s="73">
        <v>1.4379999999999999</v>
      </c>
      <c r="D168" s="72">
        <f t="shared" si="2"/>
        <v>13.124000000000001</v>
      </c>
      <c r="E168" s="73">
        <f t="shared" si="4"/>
        <v>-18.67928378621264</v>
      </c>
      <c r="F168" s="87">
        <v>-18.5</v>
      </c>
    </row>
    <row r="169" spans="1:6" ht="13.5" thickBot="1" x14ac:dyDescent="0.35">
      <c r="A169" s="75" t="s">
        <v>213</v>
      </c>
      <c r="B169" s="90">
        <v>16</v>
      </c>
      <c r="C169" s="91">
        <v>1.5940000000000001</v>
      </c>
      <c r="D169" s="83">
        <f t="shared" si="2"/>
        <v>12.811999999999999</v>
      </c>
      <c r="E169" s="73">
        <f t="shared" si="4"/>
        <v>-20.110625578635993</v>
      </c>
      <c r="F169" s="87">
        <v>-20</v>
      </c>
    </row>
    <row r="170" spans="1:6" x14ac:dyDescent="0.3">
      <c r="A170" s="71" t="s">
        <v>214</v>
      </c>
      <c r="B170" s="85">
        <v>18</v>
      </c>
      <c r="C170" s="73">
        <v>0.188</v>
      </c>
      <c r="D170" s="72">
        <f t="shared" si="2"/>
        <v>17.623999999999999</v>
      </c>
      <c r="E170" s="73">
        <f t="shared" ref="E170:E182" si="5">$E$4*LOG($C$173/C170)</f>
        <v>9.595949390849249</v>
      </c>
      <c r="F170" s="94">
        <v>9.5</v>
      </c>
    </row>
    <row r="171" spans="1:6" x14ac:dyDescent="0.3">
      <c r="A171" s="75" t="s">
        <v>215</v>
      </c>
      <c r="B171" s="85">
        <v>18</v>
      </c>
      <c r="C171" s="73">
        <v>0.25</v>
      </c>
      <c r="D171" s="72">
        <f t="shared" si="2"/>
        <v>17.5</v>
      </c>
      <c r="E171" s="73">
        <f t="shared" si="5"/>
        <v>5.6349202897817996</v>
      </c>
      <c r="F171" s="86">
        <v>5.5</v>
      </c>
    </row>
    <row r="172" spans="1:6" x14ac:dyDescent="0.3">
      <c r="A172" s="75" t="s">
        <v>216</v>
      </c>
      <c r="B172" s="85">
        <v>18</v>
      </c>
      <c r="C172" s="73">
        <v>0.312</v>
      </c>
      <c r="D172" s="72">
        <f t="shared" si="2"/>
        <v>17.376000000000001</v>
      </c>
      <c r="E172" s="73">
        <f t="shared" si="5"/>
        <v>2.5560535586968332</v>
      </c>
      <c r="F172" s="87">
        <v>2.5</v>
      </c>
    </row>
    <row r="173" spans="1:6" x14ac:dyDescent="0.3">
      <c r="A173" s="75" t="s">
        <v>217</v>
      </c>
      <c r="B173" s="85">
        <v>18</v>
      </c>
      <c r="C173" s="73">
        <v>0.375</v>
      </c>
      <c r="D173" s="72">
        <f t="shared" si="2"/>
        <v>17.25</v>
      </c>
      <c r="E173" s="73">
        <f t="shared" si="5"/>
        <v>0</v>
      </c>
      <c r="F173" s="87">
        <v>0</v>
      </c>
    </row>
    <row r="174" spans="1:6" x14ac:dyDescent="0.3">
      <c r="A174" s="75" t="s">
        <v>218</v>
      </c>
      <c r="B174" s="85">
        <v>18</v>
      </c>
      <c r="C174" s="73">
        <v>0.438</v>
      </c>
      <c r="D174" s="72">
        <f t="shared" si="2"/>
        <v>17.123999999999999</v>
      </c>
      <c r="E174" s="73">
        <f t="shared" si="5"/>
        <v>-2.1581709688441824</v>
      </c>
      <c r="F174" s="87">
        <v>-2</v>
      </c>
    </row>
    <row r="175" spans="1:6" x14ac:dyDescent="0.3">
      <c r="A175" s="75" t="s">
        <v>219</v>
      </c>
      <c r="B175" s="85">
        <v>18</v>
      </c>
      <c r="C175" s="73">
        <v>0.5</v>
      </c>
      <c r="D175" s="72">
        <f t="shared" si="2"/>
        <v>17</v>
      </c>
      <c r="E175" s="73">
        <f t="shared" si="5"/>
        <v>-3.9980395714655983</v>
      </c>
      <c r="F175" s="87">
        <v>-4</v>
      </c>
    </row>
    <row r="176" spans="1:6" x14ac:dyDescent="0.3">
      <c r="A176" s="75" t="s">
        <v>220</v>
      </c>
      <c r="B176" s="85">
        <v>18</v>
      </c>
      <c r="C176" s="73">
        <v>0.56200000000000006</v>
      </c>
      <c r="D176" s="72">
        <f t="shared" si="2"/>
        <v>16.876000000000001</v>
      </c>
      <c r="E176" s="73">
        <f t="shared" si="5"/>
        <v>-5.6225615309229537</v>
      </c>
      <c r="F176" s="87">
        <v>-5.5</v>
      </c>
    </row>
    <row r="177" spans="1:6" x14ac:dyDescent="0.3">
      <c r="A177" s="75" t="s">
        <v>221</v>
      </c>
      <c r="B177" s="85">
        <v>18</v>
      </c>
      <c r="C177" s="73">
        <v>0.75</v>
      </c>
      <c r="D177" s="72">
        <f t="shared" si="2"/>
        <v>16.5</v>
      </c>
      <c r="E177" s="73">
        <f t="shared" si="5"/>
        <v>-9.6329598612473983</v>
      </c>
      <c r="F177" s="87">
        <v>-9.5</v>
      </c>
    </row>
    <row r="178" spans="1:6" x14ac:dyDescent="0.3">
      <c r="A178" s="75" t="s">
        <v>222</v>
      </c>
      <c r="B178" s="85">
        <v>18</v>
      </c>
      <c r="C178" s="73">
        <v>0.93799999999999994</v>
      </c>
      <c r="D178" s="72">
        <f t="shared" si="2"/>
        <v>16.123999999999999</v>
      </c>
      <c r="E178" s="73">
        <f t="shared" si="5"/>
        <v>-12.741490260843058</v>
      </c>
      <c r="F178" s="87">
        <v>-12.5</v>
      </c>
    </row>
    <row r="179" spans="1:6" x14ac:dyDescent="0.3">
      <c r="A179" s="75" t="s">
        <v>223</v>
      </c>
      <c r="B179" s="85">
        <v>18</v>
      </c>
      <c r="C179" s="73">
        <v>1.1559999999999999</v>
      </c>
      <c r="D179" s="72">
        <f t="shared" si="2"/>
        <v>15.688000000000001</v>
      </c>
      <c r="E179" s="73">
        <f t="shared" si="5"/>
        <v>-15.645650123417324</v>
      </c>
      <c r="F179" s="87">
        <v>-15.5</v>
      </c>
    </row>
    <row r="180" spans="1:6" x14ac:dyDescent="0.3">
      <c r="A180" s="75" t="s">
        <v>224</v>
      </c>
      <c r="B180" s="85">
        <v>18</v>
      </c>
      <c r="C180" s="73">
        <v>1.375</v>
      </c>
      <c r="D180" s="72">
        <f t="shared" si="2"/>
        <v>15.25</v>
      </c>
      <c r="E180" s="73">
        <f t="shared" si="5"/>
        <v>-18.056685774034005</v>
      </c>
      <c r="F180" s="87">
        <v>-17.5</v>
      </c>
    </row>
    <row r="181" spans="1:6" x14ac:dyDescent="0.3">
      <c r="A181" s="75" t="s">
        <v>225</v>
      </c>
      <c r="B181" s="85">
        <v>18</v>
      </c>
      <c r="C181" s="73">
        <v>1.5620000000000001</v>
      </c>
      <c r="D181" s="72">
        <f t="shared" si="2"/>
        <v>14.875999999999999</v>
      </c>
      <c r="E181" s="73">
        <f t="shared" si="5"/>
        <v>-19.828792378034006</v>
      </c>
      <c r="F181" s="87">
        <v>-19.5</v>
      </c>
    </row>
    <row r="182" spans="1:6" ht="13.5" thickBot="1" x14ac:dyDescent="0.35">
      <c r="A182" s="81" t="s">
        <v>226</v>
      </c>
      <c r="B182" s="85">
        <v>18</v>
      </c>
      <c r="C182" s="73">
        <v>1.7809999999999999</v>
      </c>
      <c r="D182" s="72">
        <f t="shared" si="2"/>
        <v>14.438000000000001</v>
      </c>
      <c r="E182" s="73">
        <f t="shared" si="5"/>
        <v>-21.652244855536789</v>
      </c>
      <c r="F182" s="95">
        <v>-21.5</v>
      </c>
    </row>
    <row r="183" spans="1:6" x14ac:dyDescent="0.3">
      <c r="A183" s="75" t="s">
        <v>227</v>
      </c>
      <c r="B183" s="89">
        <v>20</v>
      </c>
      <c r="C183" s="63">
        <v>0.218</v>
      </c>
      <c r="D183" s="79">
        <f t="shared" si="2"/>
        <v>19.564</v>
      </c>
      <c r="E183" s="73">
        <f>$E$5*LOG($C$185/C183)</f>
        <v>7.3028179978165353</v>
      </c>
      <c r="F183" s="94">
        <v>7.5</v>
      </c>
    </row>
    <row r="184" spans="1:6" x14ac:dyDescent="0.3">
      <c r="A184" s="75" t="s">
        <v>228</v>
      </c>
      <c r="B184" s="85">
        <v>20</v>
      </c>
      <c r="C184" s="73">
        <v>0.25</v>
      </c>
      <c r="D184" s="72">
        <f t="shared" si="2"/>
        <v>19.5</v>
      </c>
      <c r="E184" s="73">
        <f>$E$5*LOG($C$185/C184)</f>
        <v>5.4588290307261182</v>
      </c>
      <c r="F184" s="86">
        <v>5.5</v>
      </c>
    </row>
    <row r="185" spans="1:6" x14ac:dyDescent="0.3">
      <c r="A185" s="75" t="s">
        <v>229</v>
      </c>
      <c r="B185" s="85">
        <v>20</v>
      </c>
      <c r="C185" s="73">
        <v>0.375</v>
      </c>
      <c r="D185" s="72">
        <f t="shared" si="2"/>
        <v>19.25</v>
      </c>
      <c r="E185" s="73">
        <f>$E$5*LOG($C$185/C185)</f>
        <v>0</v>
      </c>
      <c r="F185" s="87">
        <v>0</v>
      </c>
    </row>
    <row r="186" spans="1:6" x14ac:dyDescent="0.3">
      <c r="A186" s="75" t="s">
        <v>230</v>
      </c>
      <c r="B186" s="85">
        <v>20</v>
      </c>
      <c r="C186" s="73">
        <v>0.375</v>
      </c>
      <c r="D186" s="72">
        <f t="shared" si="2"/>
        <v>19.25</v>
      </c>
      <c r="E186" s="73"/>
      <c r="F186" s="88"/>
    </row>
    <row r="187" spans="1:6" x14ac:dyDescent="0.3">
      <c r="A187" s="75" t="s">
        <v>231</v>
      </c>
      <c r="B187" s="85">
        <v>20</v>
      </c>
      <c r="C187" s="73">
        <v>0.5</v>
      </c>
      <c r="D187" s="72">
        <f t="shared" si="2"/>
        <v>19</v>
      </c>
      <c r="E187" s="73">
        <f>$E$5*LOG($C$185/C187)</f>
        <v>-3.8731008348572984</v>
      </c>
      <c r="F187" s="87">
        <v>-4</v>
      </c>
    </row>
    <row r="188" spans="1:6" x14ac:dyDescent="0.3">
      <c r="A188" s="75" t="s">
        <v>232</v>
      </c>
      <c r="B188" s="85">
        <v>20</v>
      </c>
      <c r="C188" s="73">
        <v>0.5</v>
      </c>
      <c r="D188" s="72">
        <f t="shared" si="2"/>
        <v>19</v>
      </c>
      <c r="E188" s="73"/>
      <c r="F188" s="88"/>
    </row>
    <row r="189" spans="1:6" x14ac:dyDescent="0.3">
      <c r="A189" s="75" t="s">
        <v>233</v>
      </c>
      <c r="B189" s="85">
        <v>20</v>
      </c>
      <c r="C189" s="73">
        <v>0.59399999999999997</v>
      </c>
      <c r="D189" s="72">
        <f t="shared" si="2"/>
        <v>18.812000000000001</v>
      </c>
      <c r="E189" s="73">
        <f t="shared" ref="E189:E195" si="6">$E$5*LOG($C$185/C189)</f>
        <v>-6.1924104948577137</v>
      </c>
      <c r="F189" s="87">
        <v>-6</v>
      </c>
    </row>
    <row r="190" spans="1:6" x14ac:dyDescent="0.3">
      <c r="A190" s="75" t="s">
        <v>234</v>
      </c>
      <c r="B190" s="85">
        <v>20</v>
      </c>
      <c r="C190" s="73">
        <v>0.81200000000000006</v>
      </c>
      <c r="D190" s="72">
        <f t="shared" si="2"/>
        <v>18.376000000000001</v>
      </c>
      <c r="E190" s="73">
        <f t="shared" si="6"/>
        <v>-10.401267606917152</v>
      </c>
      <c r="F190" s="87">
        <v>-10.5</v>
      </c>
    </row>
    <row r="191" spans="1:6" x14ac:dyDescent="0.3">
      <c r="A191" s="75" t="s">
        <v>235</v>
      </c>
      <c r="B191" s="85">
        <v>20</v>
      </c>
      <c r="C191" s="73">
        <v>1.0309999999999999</v>
      </c>
      <c r="D191" s="72">
        <f t="shared" si="2"/>
        <v>17.937999999999999</v>
      </c>
      <c r="E191" s="73">
        <f t="shared" si="6"/>
        <v>-13.616049324229728</v>
      </c>
      <c r="F191" s="87">
        <v>-13.5</v>
      </c>
    </row>
    <row r="192" spans="1:6" x14ac:dyDescent="0.3">
      <c r="A192" s="75" t="s">
        <v>236</v>
      </c>
      <c r="B192" s="85">
        <v>20</v>
      </c>
      <c r="C192" s="73">
        <v>1.2809999999999999</v>
      </c>
      <c r="D192" s="72">
        <f t="shared" si="2"/>
        <v>17.437999999999999</v>
      </c>
      <c r="E192" s="73">
        <f t="shared" si="6"/>
        <v>-16.539053722525992</v>
      </c>
      <c r="F192" s="87">
        <v>-16.5</v>
      </c>
    </row>
    <row r="193" spans="1:6" x14ac:dyDescent="0.3">
      <c r="A193" s="75" t="s">
        <v>237</v>
      </c>
      <c r="B193" s="85">
        <v>20</v>
      </c>
      <c r="C193" s="73">
        <v>1.5</v>
      </c>
      <c r="D193" s="72">
        <f t="shared" si="2"/>
        <v>17</v>
      </c>
      <c r="E193" s="73">
        <f t="shared" si="6"/>
        <v>-18.663859731166834</v>
      </c>
      <c r="F193" s="87">
        <v>-19</v>
      </c>
    </row>
    <row r="194" spans="1:6" x14ac:dyDescent="0.3">
      <c r="A194" s="75" t="s">
        <v>238</v>
      </c>
      <c r="B194" s="85">
        <v>20</v>
      </c>
      <c r="C194" s="73">
        <v>1.75</v>
      </c>
      <c r="D194" s="72">
        <f t="shared" si="2"/>
        <v>16.5</v>
      </c>
      <c r="E194" s="73">
        <f t="shared" si="6"/>
        <v>-20.739210209715843</v>
      </c>
      <c r="F194" s="87">
        <v>-21</v>
      </c>
    </row>
    <row r="195" spans="1:6" ht="13.5" thickBot="1" x14ac:dyDescent="0.35">
      <c r="A195" s="75" t="s">
        <v>239</v>
      </c>
      <c r="B195" s="90">
        <v>20</v>
      </c>
      <c r="C195" s="91">
        <v>1.9690000000000001</v>
      </c>
      <c r="D195" s="83">
        <f t="shared" si="2"/>
        <v>16.062000000000001</v>
      </c>
      <c r="E195" s="73">
        <f t="shared" si="6"/>
        <v>-22.326647900722381</v>
      </c>
      <c r="F195" s="95">
        <v>-22.5</v>
      </c>
    </row>
    <row r="196" spans="1:6" x14ac:dyDescent="0.3">
      <c r="A196" s="71" t="s">
        <v>240</v>
      </c>
      <c r="B196" s="85">
        <v>22</v>
      </c>
      <c r="C196" s="73">
        <v>0.218</v>
      </c>
      <c r="D196" s="72">
        <f t="shared" si="2"/>
        <v>21.564</v>
      </c>
      <c r="E196" s="73">
        <f>$E$5*LOG($C$198/C196)</f>
        <v>7.3028179978165353</v>
      </c>
      <c r="F196" s="93">
        <v>7.5</v>
      </c>
    </row>
    <row r="197" spans="1:6" x14ac:dyDescent="0.3">
      <c r="A197" s="75" t="s">
        <v>241</v>
      </c>
      <c r="B197" s="85">
        <v>22</v>
      </c>
      <c r="C197" s="73">
        <v>0.25</v>
      </c>
      <c r="D197" s="72">
        <f t="shared" si="2"/>
        <v>21.5</v>
      </c>
      <c r="E197" s="73">
        <f>$E$5*LOG($C$198/C197)</f>
        <v>5.4588290307261182</v>
      </c>
      <c r="F197" s="93">
        <v>5.5</v>
      </c>
    </row>
    <row r="198" spans="1:6" x14ac:dyDescent="0.3">
      <c r="A198" s="75" t="s">
        <v>242</v>
      </c>
      <c r="B198" s="85">
        <v>22</v>
      </c>
      <c r="C198" s="73">
        <v>0.375</v>
      </c>
      <c r="D198" s="72">
        <f t="shared" ref="D198:D256" si="7">ROUND(B198-2*C198,3)</f>
        <v>21.25</v>
      </c>
      <c r="E198" s="73">
        <f>$E$5*LOG($C$198/C198)</f>
        <v>0</v>
      </c>
      <c r="F198" s="76">
        <v>0</v>
      </c>
    </row>
    <row r="199" spans="1:6" x14ac:dyDescent="0.3">
      <c r="A199" s="75" t="s">
        <v>243</v>
      </c>
      <c r="B199" s="85">
        <v>22</v>
      </c>
      <c r="C199" s="73">
        <v>0.375</v>
      </c>
      <c r="D199" s="72">
        <f t="shared" si="7"/>
        <v>21.25</v>
      </c>
      <c r="E199" s="73"/>
      <c r="F199" s="74"/>
    </row>
    <row r="200" spans="1:6" x14ac:dyDescent="0.3">
      <c r="A200" s="75" t="s">
        <v>244</v>
      </c>
      <c r="B200" s="85">
        <v>22</v>
      </c>
      <c r="C200" s="73">
        <v>0.5</v>
      </c>
      <c r="D200" s="72">
        <f t="shared" si="7"/>
        <v>21</v>
      </c>
      <c r="E200" s="73">
        <f>$E$5*LOG($C$198/C200)</f>
        <v>-3.8731008348572984</v>
      </c>
      <c r="F200" s="76">
        <v>-4</v>
      </c>
    </row>
    <row r="201" spans="1:6" x14ac:dyDescent="0.3">
      <c r="A201" s="75" t="s">
        <v>245</v>
      </c>
      <c r="B201" s="85">
        <v>22</v>
      </c>
      <c r="C201" s="73">
        <v>0.5</v>
      </c>
      <c r="D201" s="72">
        <f t="shared" si="7"/>
        <v>21</v>
      </c>
      <c r="E201" s="73"/>
      <c r="F201" s="74"/>
    </row>
    <row r="202" spans="1:6" x14ac:dyDescent="0.3">
      <c r="A202" s="75" t="s">
        <v>246</v>
      </c>
      <c r="B202" s="85">
        <v>22</v>
      </c>
      <c r="C202" s="73">
        <v>0.875</v>
      </c>
      <c r="D202" s="72">
        <f t="shared" si="7"/>
        <v>20.25</v>
      </c>
      <c r="E202" s="73">
        <f t="shared" ref="E202:E207" si="8">$E$5*LOG($C$198/C202)</f>
        <v>-11.407280344132428</v>
      </c>
      <c r="F202" s="76">
        <v>-11.5</v>
      </c>
    </row>
    <row r="203" spans="1:6" x14ac:dyDescent="0.3">
      <c r="A203" s="75" t="s">
        <v>247</v>
      </c>
      <c r="B203" s="85">
        <v>22</v>
      </c>
      <c r="C203" s="73">
        <v>1.125</v>
      </c>
      <c r="D203" s="72">
        <f t="shared" si="7"/>
        <v>19.75</v>
      </c>
      <c r="E203" s="73">
        <f t="shared" si="8"/>
        <v>-14.790758896309535</v>
      </c>
      <c r="F203" s="76">
        <v>-15</v>
      </c>
    </row>
    <row r="204" spans="1:6" x14ac:dyDescent="0.3">
      <c r="A204" s="75" t="s">
        <v>248</v>
      </c>
      <c r="B204" s="85">
        <v>22</v>
      </c>
      <c r="C204" s="73">
        <v>1.375</v>
      </c>
      <c r="D204" s="72">
        <f t="shared" si="7"/>
        <v>19.25</v>
      </c>
      <c r="E204" s="73">
        <f t="shared" si="8"/>
        <v>-17.492414343595442</v>
      </c>
      <c r="F204" s="76">
        <v>-17.5</v>
      </c>
    </row>
    <row r="205" spans="1:6" x14ac:dyDescent="0.3">
      <c r="A205" s="75" t="s">
        <v>249</v>
      </c>
      <c r="B205" s="85">
        <v>22</v>
      </c>
      <c r="C205" s="73">
        <v>1.625</v>
      </c>
      <c r="D205" s="72">
        <f t="shared" si="7"/>
        <v>18.75</v>
      </c>
      <c r="E205" s="73">
        <f t="shared" si="8"/>
        <v>-19.741485025202405</v>
      </c>
      <c r="F205" s="76">
        <v>-20</v>
      </c>
    </row>
    <row r="206" spans="1:6" x14ac:dyDescent="0.3">
      <c r="A206" s="75" t="s">
        <v>250</v>
      </c>
      <c r="B206" s="85">
        <v>22</v>
      </c>
      <c r="C206" s="73">
        <v>1.875</v>
      </c>
      <c r="D206" s="72">
        <f t="shared" si="7"/>
        <v>18.25</v>
      </c>
      <c r="E206" s="73">
        <f t="shared" si="8"/>
        <v>-21.668070134416581</v>
      </c>
      <c r="F206" s="76">
        <v>-21.7</v>
      </c>
    </row>
    <row r="207" spans="1:6" ht="13.5" thickBot="1" x14ac:dyDescent="0.35">
      <c r="A207" s="81" t="s">
        <v>251</v>
      </c>
      <c r="B207" s="85">
        <v>22</v>
      </c>
      <c r="C207" s="73">
        <v>2.125</v>
      </c>
      <c r="D207" s="72">
        <f t="shared" si="7"/>
        <v>17.75</v>
      </c>
      <c r="E207" s="73">
        <f t="shared" si="8"/>
        <v>-23.353157666416955</v>
      </c>
      <c r="F207" s="76">
        <v>-23.5</v>
      </c>
    </row>
    <row r="208" spans="1:6" x14ac:dyDescent="0.3">
      <c r="A208" s="75" t="s">
        <v>252</v>
      </c>
      <c r="B208" s="89">
        <v>24</v>
      </c>
      <c r="C208" s="63">
        <v>0.25</v>
      </c>
      <c r="D208" s="79">
        <f t="shared" si="7"/>
        <v>23.5</v>
      </c>
      <c r="E208" s="73">
        <f>$E$5*LOG($C$210/C208)</f>
        <v>5.4588290307261182</v>
      </c>
      <c r="F208" s="97">
        <v>5.5</v>
      </c>
    </row>
    <row r="209" spans="1:6" x14ac:dyDescent="0.3">
      <c r="A209" s="75" t="s">
        <v>253</v>
      </c>
      <c r="B209" s="85">
        <v>24</v>
      </c>
      <c r="C209" s="73">
        <v>0.25</v>
      </c>
      <c r="D209" s="72">
        <f t="shared" si="7"/>
        <v>23.5</v>
      </c>
      <c r="E209" s="73"/>
      <c r="F209" s="88"/>
    </row>
    <row r="210" spans="1:6" x14ac:dyDescent="0.3">
      <c r="A210" s="75" t="s">
        <v>254</v>
      </c>
      <c r="B210" s="85">
        <v>24</v>
      </c>
      <c r="C210" s="73">
        <v>0.375</v>
      </c>
      <c r="D210" s="72">
        <f t="shared" si="7"/>
        <v>23.25</v>
      </c>
      <c r="E210" s="73">
        <f>$E$5*LOG($C$210/C210)</f>
        <v>0</v>
      </c>
      <c r="F210" s="87">
        <v>0</v>
      </c>
    </row>
    <row r="211" spans="1:6" x14ac:dyDescent="0.3">
      <c r="A211" s="75" t="s">
        <v>255</v>
      </c>
      <c r="B211" s="85">
        <v>24</v>
      </c>
      <c r="C211" s="73">
        <v>0.375</v>
      </c>
      <c r="D211" s="72">
        <f t="shared" si="7"/>
        <v>23.25</v>
      </c>
      <c r="E211" s="73"/>
      <c r="F211" s="88"/>
    </row>
    <row r="212" spans="1:6" x14ac:dyDescent="0.3">
      <c r="A212" s="75" t="s">
        <v>256</v>
      </c>
      <c r="B212" s="85">
        <v>24</v>
      </c>
      <c r="C212" s="73">
        <v>0.5</v>
      </c>
      <c r="D212" s="72">
        <f t="shared" si="7"/>
        <v>23</v>
      </c>
      <c r="E212" s="73">
        <f t="shared" ref="E212:E220" si="9">$E$5*LOG($C$210/C212)</f>
        <v>-3.8731008348572984</v>
      </c>
      <c r="F212" s="87">
        <v>-4</v>
      </c>
    </row>
    <row r="213" spans="1:6" x14ac:dyDescent="0.3">
      <c r="A213" s="75" t="s">
        <v>257</v>
      </c>
      <c r="B213" s="85">
        <v>24</v>
      </c>
      <c r="C213" s="73">
        <v>0.56200000000000006</v>
      </c>
      <c r="D213" s="72">
        <f t="shared" si="7"/>
        <v>22.876000000000001</v>
      </c>
      <c r="E213" s="73">
        <f t="shared" si="9"/>
        <v>-5.4468564830816115</v>
      </c>
      <c r="F213" s="87">
        <v>-5.5</v>
      </c>
    </row>
    <row r="214" spans="1:6" x14ac:dyDescent="0.3">
      <c r="A214" s="75" t="s">
        <v>258</v>
      </c>
      <c r="B214" s="85">
        <v>24</v>
      </c>
      <c r="C214" s="73">
        <v>0.68799999999999994</v>
      </c>
      <c r="D214" s="72">
        <f t="shared" si="7"/>
        <v>22.623999999999999</v>
      </c>
      <c r="E214" s="73">
        <f t="shared" si="9"/>
        <v>-8.1702722857415644</v>
      </c>
      <c r="F214" s="87">
        <v>-8</v>
      </c>
    </row>
    <row r="215" spans="1:6" x14ac:dyDescent="0.3">
      <c r="A215" s="75" t="s">
        <v>259</v>
      </c>
      <c r="B215" s="85">
        <v>24</v>
      </c>
      <c r="C215" s="73">
        <v>0.96899999999999997</v>
      </c>
      <c r="D215" s="72">
        <f t="shared" si="7"/>
        <v>22.062000000000001</v>
      </c>
      <c r="E215" s="73">
        <f t="shared" si="9"/>
        <v>-12.78106778901444</v>
      </c>
      <c r="F215" s="87">
        <v>-12.5</v>
      </c>
    </row>
    <row r="216" spans="1:6" x14ac:dyDescent="0.3">
      <c r="A216" s="75" t="s">
        <v>260</v>
      </c>
      <c r="B216" s="85">
        <v>24</v>
      </c>
      <c r="C216" s="73">
        <v>1.2190000000000001</v>
      </c>
      <c r="D216" s="72">
        <f t="shared" si="7"/>
        <v>21.562000000000001</v>
      </c>
      <c r="E216" s="73">
        <f t="shared" si="9"/>
        <v>-15.871145574610559</v>
      </c>
      <c r="F216" s="87">
        <v>-16</v>
      </c>
    </row>
    <row r="217" spans="1:6" x14ac:dyDescent="0.3">
      <c r="A217" s="75" t="s">
        <v>261</v>
      </c>
      <c r="B217" s="85">
        <v>24</v>
      </c>
      <c r="C217" s="73">
        <v>1.5309999999999999</v>
      </c>
      <c r="D217" s="72">
        <f t="shared" si="7"/>
        <v>20.937999999999999</v>
      </c>
      <c r="E217" s="73">
        <f t="shared" si="9"/>
        <v>-18.939261612086806</v>
      </c>
      <c r="F217" s="87">
        <v>-19</v>
      </c>
    </row>
    <row r="218" spans="1:6" x14ac:dyDescent="0.3">
      <c r="A218" s="75" t="s">
        <v>262</v>
      </c>
      <c r="B218" s="85">
        <v>24</v>
      </c>
      <c r="C218" s="73">
        <v>1.8120000000000001</v>
      </c>
      <c r="D218" s="72">
        <f t="shared" si="7"/>
        <v>20.376000000000001</v>
      </c>
      <c r="E218" s="73">
        <f t="shared" si="9"/>
        <v>-21.207934694005338</v>
      </c>
      <c r="F218" s="87">
        <v>-21.5</v>
      </c>
    </row>
    <row r="219" spans="1:6" x14ac:dyDescent="0.3">
      <c r="A219" s="75" t="s">
        <v>263</v>
      </c>
      <c r="B219" s="85">
        <v>24</v>
      </c>
      <c r="C219" s="73">
        <v>2.0619999999999998</v>
      </c>
      <c r="D219" s="72">
        <f t="shared" si="7"/>
        <v>19.876000000000001</v>
      </c>
      <c r="E219" s="73">
        <f t="shared" si="9"/>
        <v>-22.947979189813143</v>
      </c>
      <c r="F219" s="87">
        <v>-23</v>
      </c>
    </row>
    <row r="220" spans="1:6" ht="13.5" thickBot="1" x14ac:dyDescent="0.35">
      <c r="A220" s="75" t="s">
        <v>264</v>
      </c>
      <c r="B220" s="90">
        <v>24</v>
      </c>
      <c r="C220" s="91">
        <v>2.3439999999999999</v>
      </c>
      <c r="D220" s="83">
        <f t="shared" si="7"/>
        <v>19.312000000000001</v>
      </c>
      <c r="E220" s="73">
        <f t="shared" si="9"/>
        <v>-24.673716528168359</v>
      </c>
      <c r="F220" s="95">
        <v>-25</v>
      </c>
    </row>
    <row r="221" spans="1:6" x14ac:dyDescent="0.3">
      <c r="A221" s="71" t="s">
        <v>265</v>
      </c>
      <c r="B221" s="85">
        <v>26</v>
      </c>
      <c r="C221" s="73">
        <v>0.312</v>
      </c>
      <c r="D221" s="72">
        <f t="shared" si="7"/>
        <v>25.376000000000001</v>
      </c>
      <c r="E221" s="73">
        <f>$E$5*LOG($C$222/C221)</f>
        <v>2.4761768849875572</v>
      </c>
      <c r="F221" s="76">
        <v>2.5</v>
      </c>
    </row>
    <row r="222" spans="1:6" x14ac:dyDescent="0.3">
      <c r="A222" s="75" t="s">
        <v>266</v>
      </c>
      <c r="B222" s="85">
        <v>26</v>
      </c>
      <c r="C222" s="73">
        <v>0.375</v>
      </c>
      <c r="D222" s="72">
        <f t="shared" si="7"/>
        <v>25.25</v>
      </c>
      <c r="E222" s="73">
        <f>$E$5*LOG($C$222/C222)</f>
        <v>0</v>
      </c>
      <c r="F222" s="76">
        <v>0</v>
      </c>
    </row>
    <row r="223" spans="1:6" x14ac:dyDescent="0.3">
      <c r="A223" s="75" t="s">
        <v>267</v>
      </c>
      <c r="B223" s="85">
        <v>26</v>
      </c>
      <c r="C223" s="73">
        <v>0.5</v>
      </c>
      <c r="D223" s="72">
        <f t="shared" si="7"/>
        <v>25</v>
      </c>
      <c r="E223" s="73">
        <f>$E$5*LOG($C$222/C223)</f>
        <v>-3.8731008348572984</v>
      </c>
      <c r="F223" s="76">
        <v>-4</v>
      </c>
    </row>
    <row r="224" spans="1:6" ht="13.5" thickBot="1" x14ac:dyDescent="0.35">
      <c r="A224" s="81" t="s">
        <v>268</v>
      </c>
      <c r="B224" s="85">
        <v>26</v>
      </c>
      <c r="C224" s="73">
        <v>0.5</v>
      </c>
      <c r="D224" s="72">
        <f t="shared" si="7"/>
        <v>25</v>
      </c>
      <c r="E224" s="73"/>
      <c r="F224" s="74"/>
    </row>
    <row r="225" spans="1:6" x14ac:dyDescent="0.3">
      <c r="A225" s="75" t="s">
        <v>269</v>
      </c>
      <c r="B225" s="89">
        <v>28</v>
      </c>
      <c r="C225" s="63">
        <v>0.312</v>
      </c>
      <c r="D225" s="79">
        <f t="shared" si="7"/>
        <v>27.376000000000001</v>
      </c>
      <c r="E225" s="73">
        <f>$E$5*LOG($C$226/C225)</f>
        <v>2.4761768849875572</v>
      </c>
      <c r="F225" s="98">
        <v>2.5</v>
      </c>
    </row>
    <row r="226" spans="1:6" x14ac:dyDescent="0.3">
      <c r="A226" s="75" t="s">
        <v>270</v>
      </c>
      <c r="B226" s="85">
        <v>28</v>
      </c>
      <c r="C226" s="73">
        <v>0.375</v>
      </c>
      <c r="D226" s="72">
        <f t="shared" si="7"/>
        <v>27.25</v>
      </c>
      <c r="E226" s="73">
        <f>$E$5*LOG($C$226/C226)</f>
        <v>0</v>
      </c>
      <c r="F226" s="76">
        <v>0</v>
      </c>
    </row>
    <row r="227" spans="1:6" x14ac:dyDescent="0.3">
      <c r="A227" s="75" t="s">
        <v>271</v>
      </c>
      <c r="B227" s="85">
        <v>28</v>
      </c>
      <c r="C227" s="73">
        <v>0.5</v>
      </c>
      <c r="D227" s="72">
        <f t="shared" si="7"/>
        <v>27</v>
      </c>
      <c r="E227" s="73">
        <f>$E$5*LOG($C$226/C227)</f>
        <v>-3.8731008348572984</v>
      </c>
      <c r="F227" s="76">
        <v>-4</v>
      </c>
    </row>
    <row r="228" spans="1:6" x14ac:dyDescent="0.3">
      <c r="A228" s="75" t="s">
        <v>272</v>
      </c>
      <c r="B228" s="85">
        <v>28</v>
      </c>
      <c r="C228" s="73">
        <v>0.5</v>
      </c>
      <c r="D228" s="72">
        <f t="shared" si="7"/>
        <v>27</v>
      </c>
      <c r="E228" s="73"/>
      <c r="F228" s="74"/>
    </row>
    <row r="229" spans="1:6" ht="13.5" thickBot="1" x14ac:dyDescent="0.35">
      <c r="A229" s="75" t="s">
        <v>273</v>
      </c>
      <c r="B229" s="90">
        <v>28</v>
      </c>
      <c r="C229" s="91">
        <v>0.625</v>
      </c>
      <c r="D229" s="83">
        <f t="shared" si="7"/>
        <v>26.75</v>
      </c>
      <c r="E229" s="73">
        <f>$E$5*LOG($C$226/C229)</f>
        <v>-6.8773112381070485</v>
      </c>
      <c r="F229" s="99">
        <v>-7</v>
      </c>
    </row>
    <row r="230" spans="1:6" x14ac:dyDescent="0.3">
      <c r="A230" s="71" t="s">
        <v>274</v>
      </c>
      <c r="B230" s="85">
        <v>30</v>
      </c>
      <c r="C230" s="73">
        <v>0.312</v>
      </c>
      <c r="D230" s="72">
        <f t="shared" si="7"/>
        <v>29.376000000000001</v>
      </c>
      <c r="E230" s="73">
        <f>$E$5*LOG($C$232/C230)</f>
        <v>2.4761768849875572</v>
      </c>
      <c r="F230" s="87">
        <v>2.5</v>
      </c>
    </row>
    <row r="231" spans="1:6" x14ac:dyDescent="0.3">
      <c r="A231" s="75" t="s">
        <v>275</v>
      </c>
      <c r="B231" s="85">
        <v>30</v>
      </c>
      <c r="C231" s="73">
        <v>0.312</v>
      </c>
      <c r="D231" s="72">
        <f t="shared" si="7"/>
        <v>29.376000000000001</v>
      </c>
      <c r="E231" s="73"/>
      <c r="F231" s="88"/>
    </row>
    <row r="232" spans="1:6" x14ac:dyDescent="0.3">
      <c r="A232" s="75" t="s">
        <v>276</v>
      </c>
      <c r="B232" s="85">
        <v>30</v>
      </c>
      <c r="C232" s="73">
        <v>0.375</v>
      </c>
      <c r="D232" s="72">
        <f t="shared" si="7"/>
        <v>29.25</v>
      </c>
      <c r="E232" s="73">
        <f>$E$5*LOG($C$232/C232)</f>
        <v>0</v>
      </c>
      <c r="F232" s="87">
        <v>0</v>
      </c>
    </row>
    <row r="233" spans="1:6" x14ac:dyDescent="0.3">
      <c r="A233" s="75" t="s">
        <v>277</v>
      </c>
      <c r="B233" s="85">
        <v>30</v>
      </c>
      <c r="C233" s="73">
        <v>0.5</v>
      </c>
      <c r="D233" s="72">
        <f t="shared" si="7"/>
        <v>29</v>
      </c>
      <c r="E233" s="73">
        <f>$E$5*LOG($C$232/C233)</f>
        <v>-3.8731008348572984</v>
      </c>
      <c r="F233" s="87">
        <v>-4</v>
      </c>
    </row>
    <row r="234" spans="1:6" x14ac:dyDescent="0.3">
      <c r="A234" s="75" t="s">
        <v>278</v>
      </c>
      <c r="B234" s="85">
        <v>30</v>
      </c>
      <c r="C234" s="73">
        <v>0.5</v>
      </c>
      <c r="D234" s="72">
        <f t="shared" si="7"/>
        <v>29</v>
      </c>
      <c r="E234" s="73"/>
      <c r="F234" s="88"/>
    </row>
    <row r="235" spans="1:6" ht="13.5" thickBot="1" x14ac:dyDescent="0.35">
      <c r="A235" s="81" t="s">
        <v>279</v>
      </c>
      <c r="B235" s="85">
        <v>30</v>
      </c>
      <c r="C235" s="73">
        <v>0.625</v>
      </c>
      <c r="D235" s="72">
        <f t="shared" si="7"/>
        <v>28.75</v>
      </c>
      <c r="E235" s="73">
        <f>$E$5*LOG($C$232/C235)</f>
        <v>-6.8773112381070485</v>
      </c>
      <c r="F235" s="87">
        <v>-7</v>
      </c>
    </row>
    <row r="236" spans="1:6" x14ac:dyDescent="0.3">
      <c r="A236" s="75" t="s">
        <v>280</v>
      </c>
      <c r="B236" s="89">
        <v>32</v>
      </c>
      <c r="C236" s="63">
        <v>0.312</v>
      </c>
      <c r="D236" s="79">
        <f t="shared" si="7"/>
        <v>31.376000000000001</v>
      </c>
      <c r="E236" s="73">
        <f>$E$5*LOG($C$237/C236)</f>
        <v>2.4761768849875572</v>
      </c>
      <c r="F236" s="98">
        <v>2.5</v>
      </c>
    </row>
    <row r="237" spans="1:6" x14ac:dyDescent="0.3">
      <c r="A237" s="75" t="s">
        <v>281</v>
      </c>
      <c r="B237" s="85">
        <v>32</v>
      </c>
      <c r="C237" s="73">
        <v>0.375</v>
      </c>
      <c r="D237" s="72">
        <f t="shared" si="7"/>
        <v>31.25</v>
      </c>
      <c r="E237" s="73"/>
      <c r="F237" s="76">
        <v>0</v>
      </c>
    </row>
    <row r="238" spans="1:6" x14ac:dyDescent="0.3">
      <c r="A238" s="75" t="s">
        <v>282</v>
      </c>
      <c r="B238" s="85">
        <v>32</v>
      </c>
      <c r="C238" s="73">
        <v>0.5</v>
      </c>
      <c r="D238" s="72">
        <f t="shared" si="7"/>
        <v>31</v>
      </c>
      <c r="E238" s="73">
        <f>$E$5*LOG($C$237/C238)</f>
        <v>-3.8731008348572984</v>
      </c>
      <c r="F238" s="76">
        <v>-4</v>
      </c>
    </row>
    <row r="239" spans="1:6" x14ac:dyDescent="0.3">
      <c r="A239" s="75" t="s">
        <v>283</v>
      </c>
      <c r="B239" s="85">
        <v>32</v>
      </c>
      <c r="C239" s="73">
        <v>0.5</v>
      </c>
      <c r="D239" s="72">
        <f t="shared" si="7"/>
        <v>31</v>
      </c>
      <c r="E239" s="73"/>
      <c r="F239" s="74"/>
    </row>
    <row r="240" spans="1:6" x14ac:dyDescent="0.3">
      <c r="A240" s="75" t="s">
        <v>284</v>
      </c>
      <c r="B240" s="85">
        <v>32</v>
      </c>
      <c r="C240" s="73">
        <v>0.625</v>
      </c>
      <c r="D240" s="72">
        <f t="shared" si="7"/>
        <v>30.75</v>
      </c>
      <c r="E240" s="73">
        <f>$E$5*LOG($C$237/C240)</f>
        <v>-6.8773112381070485</v>
      </c>
      <c r="F240" s="76">
        <v>-7</v>
      </c>
    </row>
    <row r="241" spans="1:10" ht="13.5" thickBot="1" x14ac:dyDescent="0.35">
      <c r="A241" s="75" t="s">
        <v>285</v>
      </c>
      <c r="B241" s="90">
        <v>32</v>
      </c>
      <c r="C241" s="91">
        <v>0.68799999999999994</v>
      </c>
      <c r="D241" s="83">
        <f t="shared" si="7"/>
        <v>30.623999999999999</v>
      </c>
      <c r="E241" s="73">
        <f>$E$5*LOG($C$237/C241)</f>
        <v>-8.1702722857415644</v>
      </c>
      <c r="F241" s="99">
        <v>-8</v>
      </c>
    </row>
    <row r="242" spans="1:10" x14ac:dyDescent="0.3">
      <c r="A242" s="71" t="s">
        <v>286</v>
      </c>
      <c r="B242" s="85">
        <v>34</v>
      </c>
      <c r="C242" s="73">
        <v>0.34399999999999997</v>
      </c>
      <c r="D242" s="72">
        <f t="shared" si="7"/>
        <v>33.311999999999998</v>
      </c>
      <c r="E242" s="73">
        <f>$E$5*LOG($C$243/C242)</f>
        <v>1.1616575798418529</v>
      </c>
      <c r="F242" s="93">
        <v>1</v>
      </c>
    </row>
    <row r="243" spans="1:10" x14ac:dyDescent="0.3">
      <c r="A243" s="75" t="s">
        <v>287</v>
      </c>
      <c r="B243" s="85">
        <v>34</v>
      </c>
      <c r="C243" s="73">
        <v>0.375</v>
      </c>
      <c r="D243" s="72">
        <f t="shared" si="7"/>
        <v>33.25</v>
      </c>
      <c r="E243" s="73">
        <f>$E$5*LOG($C$243/C243)</f>
        <v>0</v>
      </c>
      <c r="F243" s="76">
        <v>0</v>
      </c>
    </row>
    <row r="244" spans="1:10" x14ac:dyDescent="0.3">
      <c r="A244" s="75" t="s">
        <v>288</v>
      </c>
      <c r="B244" s="85">
        <v>34</v>
      </c>
      <c r="C244" s="73">
        <v>0.5</v>
      </c>
      <c r="D244" s="72">
        <f t="shared" si="7"/>
        <v>33</v>
      </c>
      <c r="E244" s="73">
        <f>$E$5*LOG($C$243/C244)</f>
        <v>-3.8731008348572984</v>
      </c>
      <c r="F244" s="76">
        <v>-4</v>
      </c>
    </row>
    <row r="245" spans="1:10" x14ac:dyDescent="0.3">
      <c r="A245" s="75" t="s">
        <v>289</v>
      </c>
      <c r="B245" s="85">
        <v>34</v>
      </c>
      <c r="C245" s="73">
        <v>0.5</v>
      </c>
      <c r="D245" s="72">
        <f t="shared" si="7"/>
        <v>33</v>
      </c>
      <c r="E245" s="73"/>
      <c r="F245" s="74"/>
    </row>
    <row r="246" spans="1:10" x14ac:dyDescent="0.3">
      <c r="A246" s="75" t="s">
        <v>290</v>
      </c>
      <c r="B246" s="85">
        <v>34</v>
      </c>
      <c r="C246" s="73">
        <v>0.625</v>
      </c>
      <c r="D246" s="72">
        <f t="shared" si="7"/>
        <v>32.75</v>
      </c>
      <c r="E246" s="73">
        <f>$E$5*LOG($C$243/C246)</f>
        <v>-6.8773112381070485</v>
      </c>
      <c r="F246" s="76">
        <v>-7</v>
      </c>
    </row>
    <row r="247" spans="1:10" ht="13.5" thickBot="1" x14ac:dyDescent="0.35">
      <c r="A247" s="81" t="s">
        <v>291</v>
      </c>
      <c r="B247" s="85">
        <v>34</v>
      </c>
      <c r="C247" s="73">
        <v>0.68799999999999994</v>
      </c>
      <c r="D247" s="72">
        <f t="shared" si="7"/>
        <v>32.624000000000002</v>
      </c>
      <c r="E247" s="73">
        <f>$E$5*LOG($C$243/C247)</f>
        <v>-8.1702722857415644</v>
      </c>
      <c r="F247" s="76">
        <v>-8</v>
      </c>
    </row>
    <row r="248" spans="1:10" x14ac:dyDescent="0.3">
      <c r="A248" s="75" t="s">
        <v>292</v>
      </c>
      <c r="B248" s="89">
        <v>36</v>
      </c>
      <c r="C248" s="63">
        <v>0.312</v>
      </c>
      <c r="D248" s="79">
        <f t="shared" si="7"/>
        <v>35.375999999999998</v>
      </c>
      <c r="E248" s="73">
        <f>$E$5*LOG($C$249/C248)</f>
        <v>2.4761768849875572</v>
      </c>
      <c r="F248" s="100">
        <v>2.5</v>
      </c>
    </row>
    <row r="249" spans="1:10" x14ac:dyDescent="0.3">
      <c r="A249" s="75" t="s">
        <v>293</v>
      </c>
      <c r="B249" s="85">
        <v>36</v>
      </c>
      <c r="C249" s="73">
        <v>0.375</v>
      </c>
      <c r="D249" s="72">
        <f t="shared" si="7"/>
        <v>35.25</v>
      </c>
      <c r="E249" s="73">
        <f>$E$5*LOG($C$249/C249)</f>
        <v>0</v>
      </c>
      <c r="F249" s="87">
        <v>0</v>
      </c>
    </row>
    <row r="250" spans="1:10" x14ac:dyDescent="0.3">
      <c r="A250" s="75" t="s">
        <v>294</v>
      </c>
      <c r="B250" s="85">
        <v>36</v>
      </c>
      <c r="C250" s="73">
        <v>0.5</v>
      </c>
      <c r="D250" s="72">
        <f t="shared" si="7"/>
        <v>35</v>
      </c>
      <c r="E250" s="73">
        <f>$E$5*LOG($C$249/C250)</f>
        <v>-3.8731008348572984</v>
      </c>
      <c r="F250" s="87">
        <v>-4</v>
      </c>
    </row>
    <row r="251" spans="1:10" x14ac:dyDescent="0.3">
      <c r="A251" s="75" t="s">
        <v>295</v>
      </c>
      <c r="B251" s="85">
        <v>36</v>
      </c>
      <c r="C251" s="73">
        <v>0.5</v>
      </c>
      <c r="D251" s="72">
        <f t="shared" si="7"/>
        <v>35</v>
      </c>
      <c r="E251" s="73"/>
      <c r="F251" s="88"/>
    </row>
    <row r="252" spans="1:10" x14ac:dyDescent="0.3">
      <c r="A252" s="75" t="s">
        <v>296</v>
      </c>
      <c r="B252" s="85">
        <v>36</v>
      </c>
      <c r="C252" s="73">
        <v>0.625</v>
      </c>
      <c r="D252" s="72">
        <f t="shared" si="7"/>
        <v>34.75</v>
      </c>
      <c r="E252" s="73">
        <f>$E$5*LOG($C$249/C252)</f>
        <v>-6.8773112381070485</v>
      </c>
      <c r="F252" s="87">
        <v>-7</v>
      </c>
    </row>
    <row r="253" spans="1:10" ht="13.5" thickBot="1" x14ac:dyDescent="0.35">
      <c r="A253" s="75" t="s">
        <v>297</v>
      </c>
      <c r="B253" s="90">
        <v>36</v>
      </c>
      <c r="C253" s="91">
        <v>0.75</v>
      </c>
      <c r="D253" s="83">
        <f t="shared" si="7"/>
        <v>34.5</v>
      </c>
      <c r="E253" s="73">
        <f>$E$5*LOG($C$249/C253)</f>
        <v>-9.3319298655834171</v>
      </c>
      <c r="F253" s="95">
        <v>-9</v>
      </c>
    </row>
    <row r="254" spans="1:10" x14ac:dyDescent="0.3">
      <c r="A254" s="71" t="s">
        <v>298</v>
      </c>
      <c r="B254" s="89">
        <v>42</v>
      </c>
      <c r="C254" s="63">
        <v>0.375</v>
      </c>
      <c r="D254" s="79">
        <f t="shared" si="7"/>
        <v>41.25</v>
      </c>
      <c r="E254" s="73">
        <f>$E$5*LOG($C$254/C254)</f>
        <v>0</v>
      </c>
      <c r="F254" s="100">
        <v>0</v>
      </c>
    </row>
    <row r="255" spans="1:10" x14ac:dyDescent="0.3">
      <c r="A255" s="75" t="s">
        <v>299</v>
      </c>
      <c r="B255" s="85">
        <v>42</v>
      </c>
      <c r="C255" s="73">
        <v>0.5</v>
      </c>
      <c r="D255" s="72">
        <f t="shared" si="7"/>
        <v>41</v>
      </c>
      <c r="E255" s="73">
        <f>$E$5*LOG($C$254/C255)</f>
        <v>-3.8731008348572984</v>
      </c>
      <c r="F255" s="87">
        <v>-4</v>
      </c>
    </row>
    <row r="256" spans="1:10" ht="13.5" thickBot="1" x14ac:dyDescent="0.35">
      <c r="A256" s="81" t="s">
        <v>300</v>
      </c>
      <c r="B256" s="90">
        <v>42</v>
      </c>
      <c r="C256" s="91">
        <v>0.5</v>
      </c>
      <c r="D256" s="83">
        <f t="shared" si="7"/>
        <v>41</v>
      </c>
      <c r="E256" s="73"/>
      <c r="F256" s="92"/>
      <c r="G256" s="56"/>
      <c r="H256" s="56"/>
      <c r="I256" s="56"/>
      <c r="J256" s="56"/>
    </row>
    <row r="257" spans="1:10" x14ac:dyDescent="0.3">
      <c r="D257" s="101"/>
      <c r="E257" s="101"/>
      <c r="G257" s="56"/>
      <c r="H257" s="56"/>
      <c r="I257" s="56"/>
      <c r="J257" s="56"/>
    </row>
    <row r="258" spans="1:10" x14ac:dyDescent="0.3">
      <c r="A258" s="102"/>
      <c r="B258" s="102"/>
      <c r="C258" s="102"/>
      <c r="D258" s="101"/>
      <c r="E258" s="101"/>
      <c r="G258" s="56"/>
      <c r="H258" s="56"/>
      <c r="I258" s="56"/>
      <c r="J258" s="56"/>
    </row>
    <row r="259" spans="1:10" x14ac:dyDescent="0.3">
      <c r="D259" s="101"/>
      <c r="E259" s="101"/>
      <c r="G259" s="56"/>
      <c r="H259" s="56"/>
      <c r="I259" s="56"/>
      <c r="J259" s="56"/>
    </row>
    <row r="260" spans="1:10" x14ac:dyDescent="0.3">
      <c r="A260" s="103" t="s">
        <v>301</v>
      </c>
      <c r="D260" s="101"/>
      <c r="E260" s="101"/>
      <c r="G260" s="56"/>
      <c r="H260" s="56"/>
      <c r="I260" s="56"/>
      <c r="J260" s="56"/>
    </row>
    <row r="261" spans="1:10" x14ac:dyDescent="0.3">
      <c r="A261" s="103"/>
      <c r="B261" s="57" t="s">
        <v>302</v>
      </c>
      <c r="D261" s="101"/>
      <c r="E261" s="101"/>
      <c r="G261" s="56"/>
      <c r="H261" s="56"/>
      <c r="I261" s="56"/>
      <c r="J261" s="56"/>
    </row>
    <row r="262" spans="1:10" x14ac:dyDescent="0.3">
      <c r="A262" s="103" t="s">
        <v>303</v>
      </c>
      <c r="D262" s="101"/>
      <c r="E262" s="101"/>
      <c r="G262" s="56"/>
      <c r="H262" s="56"/>
      <c r="I262" s="56"/>
      <c r="J262" s="56"/>
    </row>
    <row r="263" spans="1:10" x14ac:dyDescent="0.3">
      <c r="A263" s="103"/>
      <c r="B263" s="57" t="s">
        <v>304</v>
      </c>
      <c r="D263" s="101"/>
      <c r="E263" s="101"/>
      <c r="G263" s="56"/>
      <c r="H263" s="56"/>
      <c r="I263" s="56"/>
      <c r="J263" s="56"/>
    </row>
    <row r="264" spans="1:10" x14ac:dyDescent="0.3">
      <c r="A264" s="102"/>
      <c r="B264" s="57" t="s">
        <v>305</v>
      </c>
      <c r="C264" s="102"/>
      <c r="D264" s="101"/>
      <c r="E264" s="101"/>
      <c r="G264" s="56"/>
      <c r="H264" s="56"/>
      <c r="I264" s="56"/>
      <c r="J264" s="56"/>
    </row>
    <row r="265" spans="1:10" x14ac:dyDescent="0.3">
      <c r="A265" s="103"/>
      <c r="D265" s="101"/>
      <c r="E265" s="101"/>
      <c r="G265" s="56"/>
      <c r="H265" s="56"/>
      <c r="I265" s="56"/>
      <c r="J265" s="56"/>
    </row>
    <row r="266" spans="1:10" x14ac:dyDescent="0.3">
      <c r="A266" s="103"/>
      <c r="D266" s="101"/>
      <c r="E266" s="101"/>
      <c r="G266" s="56"/>
      <c r="H266" s="56"/>
      <c r="I266" s="56"/>
      <c r="J266" s="56"/>
    </row>
    <row r="267" spans="1:10" x14ac:dyDescent="0.3">
      <c r="A267" s="103"/>
      <c r="D267" s="101"/>
      <c r="E267" s="101"/>
      <c r="G267" s="56"/>
      <c r="H267" s="56"/>
      <c r="I267" s="56"/>
      <c r="J267" s="56"/>
    </row>
    <row r="268" spans="1:10" x14ac:dyDescent="0.3">
      <c r="A268" s="103"/>
      <c r="D268" s="101"/>
      <c r="E268" s="101"/>
      <c r="G268" s="56"/>
      <c r="H268" s="56"/>
      <c r="I268" s="56"/>
      <c r="J268" s="56"/>
    </row>
    <row r="269" spans="1:10" x14ac:dyDescent="0.3">
      <c r="A269" s="102"/>
      <c r="B269" s="102"/>
      <c r="C269" s="102"/>
      <c r="D269" s="101"/>
      <c r="E269" s="101"/>
      <c r="G269" s="56"/>
      <c r="H269" s="56"/>
      <c r="I269" s="56"/>
      <c r="J269" s="56"/>
    </row>
    <row r="270" spans="1:10" x14ac:dyDescent="0.3">
      <c r="A270" s="103"/>
      <c r="D270" s="101"/>
      <c r="E270" s="101"/>
      <c r="G270" s="56"/>
      <c r="H270" s="56"/>
      <c r="I270" s="56"/>
      <c r="J270" s="56"/>
    </row>
    <row r="271" spans="1:10" x14ac:dyDescent="0.3">
      <c r="A271" s="103"/>
      <c r="D271" s="101"/>
      <c r="E271" s="101"/>
      <c r="G271" s="56"/>
      <c r="H271" s="56"/>
      <c r="I271" s="56"/>
      <c r="J271" s="56"/>
    </row>
    <row r="272" spans="1:10" x14ac:dyDescent="0.3">
      <c r="A272" s="103"/>
      <c r="D272" s="101"/>
      <c r="E272" s="101"/>
      <c r="G272" s="56"/>
      <c r="H272" s="56"/>
      <c r="I272" s="56"/>
      <c r="J272" s="56"/>
    </row>
    <row r="273" spans="1:10" x14ac:dyDescent="0.3">
      <c r="A273" s="103"/>
      <c r="D273" s="101"/>
      <c r="E273" s="101"/>
      <c r="G273" s="56"/>
      <c r="H273" s="56"/>
      <c r="I273" s="56"/>
      <c r="J273" s="56"/>
    </row>
    <row r="274" spans="1:10" x14ac:dyDescent="0.3">
      <c r="A274" s="103"/>
      <c r="D274" s="101"/>
      <c r="E274" s="101"/>
      <c r="G274" s="56"/>
      <c r="H274" s="56"/>
      <c r="I274" s="56"/>
      <c r="J274" s="56"/>
    </row>
    <row r="275" spans="1:10" x14ac:dyDescent="0.3">
      <c r="A275" s="103"/>
    </row>
    <row r="276" spans="1:10" x14ac:dyDescent="0.3">
      <c r="A276" s="103"/>
    </row>
    <row r="277" spans="1:10" x14ac:dyDescent="0.3">
      <c r="A277" s="103"/>
    </row>
    <row r="278" spans="1:10" x14ac:dyDescent="0.3">
      <c r="A278" s="103"/>
    </row>
    <row r="279" spans="1:10" x14ac:dyDescent="0.3">
      <c r="A279" s="103"/>
    </row>
    <row r="280" spans="1:10" x14ac:dyDescent="0.3">
      <c r="A280" s="103"/>
    </row>
    <row r="281" spans="1:10" x14ac:dyDescent="0.3">
      <c r="A281" s="103"/>
    </row>
    <row r="282" spans="1:10" x14ac:dyDescent="0.3">
      <c r="A282" s="103"/>
    </row>
    <row r="283" spans="1:10" x14ac:dyDescent="0.3">
      <c r="A283" s="103"/>
    </row>
    <row r="284" spans="1:10" x14ac:dyDescent="0.3">
      <c r="A284" s="103"/>
    </row>
    <row r="285" spans="1:10" x14ac:dyDescent="0.3">
      <c r="A285" s="103"/>
    </row>
    <row r="286" spans="1:10" x14ac:dyDescent="0.3">
      <c r="A286" s="103"/>
    </row>
    <row r="287" spans="1:10" x14ac:dyDescent="0.3">
      <c r="A287" s="103"/>
    </row>
    <row r="288" spans="1:10" x14ac:dyDescent="0.3">
      <c r="A288" s="103"/>
    </row>
    <row r="289" spans="1:1" x14ac:dyDescent="0.3">
      <c r="A289" s="103"/>
    </row>
    <row r="290" spans="1:1" x14ac:dyDescent="0.3">
      <c r="A290" s="103"/>
    </row>
    <row r="291" spans="1:1" x14ac:dyDescent="0.3">
      <c r="A291" s="103"/>
    </row>
    <row r="292" spans="1:1" x14ac:dyDescent="0.3">
      <c r="A292" s="103"/>
    </row>
    <row r="293" spans="1:1" x14ac:dyDescent="0.3">
      <c r="A293" s="103"/>
    </row>
    <row r="294" spans="1:1" x14ac:dyDescent="0.3">
      <c r="A294" s="103"/>
    </row>
    <row r="295" spans="1:1" x14ac:dyDescent="0.3">
      <c r="A295" s="103"/>
    </row>
    <row r="296" spans="1:1" x14ac:dyDescent="0.3">
      <c r="A296" s="103"/>
    </row>
    <row r="297" spans="1:1" x14ac:dyDescent="0.3">
      <c r="A297" s="103"/>
    </row>
    <row r="298" spans="1:1" x14ac:dyDescent="0.3">
      <c r="A298" s="103"/>
    </row>
    <row r="299" spans="1:1" x14ac:dyDescent="0.3">
      <c r="A299" s="103"/>
    </row>
    <row r="300" spans="1:1" x14ac:dyDescent="0.3">
      <c r="A300" s="103"/>
    </row>
    <row r="301" spans="1:1" x14ac:dyDescent="0.3">
      <c r="A301" s="103"/>
    </row>
    <row r="302" spans="1:1" x14ac:dyDescent="0.3">
      <c r="A302" s="103"/>
    </row>
  </sheetData>
  <phoneticPr fontId="22" type="noConversion"/>
  <pageMargins left="0.75" right="0.75" top="1" bottom="1" header="0.5" footer="0.5"/>
  <pageSetup orientation="portrait" r:id="rId1"/>
  <headerFooter alignWithMargins="0"/>
  <customProperties>
    <customPr name="BudgetSheetCodeName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transitionEvaluation="1" codeName="Sheet5">
    <tabColor indexed="22"/>
  </sheetPr>
  <dimension ref="A1:R90"/>
  <sheetViews>
    <sheetView showGridLines="0" workbookViewId="0">
      <selection activeCell="O25" sqref="O25"/>
    </sheetView>
  </sheetViews>
  <sheetFormatPr defaultColWidth="11.26953125" defaultRowHeight="11.5" x14ac:dyDescent="0.25"/>
  <cols>
    <col min="1" max="1" width="37.7265625" style="105" customWidth="1"/>
    <col min="2" max="12" width="8.7265625" style="104" customWidth="1"/>
    <col min="13" max="16384" width="11.26953125" style="105"/>
  </cols>
  <sheetData>
    <row r="1" spans="1:12" ht="15.5" x14ac:dyDescent="0.35">
      <c r="A1" s="2" t="s">
        <v>8</v>
      </c>
    </row>
    <row r="2" spans="1:12" x14ac:dyDescent="0.25">
      <c r="B2" s="106">
        <v>2</v>
      </c>
      <c r="C2" s="106">
        <v>3</v>
      </c>
      <c r="D2" s="106">
        <v>4</v>
      </c>
      <c r="E2" s="106">
        <v>5</v>
      </c>
      <c r="F2" s="106">
        <v>6</v>
      </c>
      <c r="G2" s="106">
        <v>7</v>
      </c>
      <c r="H2" s="106">
        <v>8</v>
      </c>
      <c r="I2" s="106">
        <v>9</v>
      </c>
      <c r="J2" s="106">
        <v>10</v>
      </c>
      <c r="K2" s="106">
        <v>11</v>
      </c>
      <c r="L2" s="106">
        <v>12</v>
      </c>
    </row>
    <row r="3" spans="1:12" s="187" customFormat="1" ht="13" x14ac:dyDescent="0.3">
      <c r="A3" s="185" t="s">
        <v>9</v>
      </c>
      <c r="B3" s="186" t="s">
        <v>10</v>
      </c>
      <c r="C3" s="186" t="s">
        <v>11</v>
      </c>
      <c r="D3" s="186" t="s">
        <v>12</v>
      </c>
      <c r="E3" s="186" t="s">
        <v>13</v>
      </c>
      <c r="F3" s="186" t="s">
        <v>14</v>
      </c>
      <c r="G3" s="33" t="s">
        <v>15</v>
      </c>
      <c r="H3" s="186" t="s">
        <v>16</v>
      </c>
      <c r="I3" s="33" t="s">
        <v>17</v>
      </c>
      <c r="J3" s="33" t="s">
        <v>18</v>
      </c>
      <c r="K3" s="33" t="s">
        <v>19</v>
      </c>
      <c r="L3" s="33" t="s">
        <v>20</v>
      </c>
    </row>
    <row r="4" spans="1:12" s="187" customFormat="1" ht="12.5" x14ac:dyDescent="0.25">
      <c r="A4" s="187" t="s">
        <v>21</v>
      </c>
      <c r="B4" s="188">
        <v>1.24000248000496E-2</v>
      </c>
      <c r="C4" s="189">
        <v>1</v>
      </c>
      <c r="D4" s="189">
        <v>1</v>
      </c>
      <c r="E4" s="190">
        <v>0.09</v>
      </c>
      <c r="F4" s="189">
        <v>1</v>
      </c>
      <c r="G4" s="191">
        <v>2</v>
      </c>
      <c r="H4" s="190" t="s">
        <v>22</v>
      </c>
      <c r="I4" s="145">
        <v>-4.8</v>
      </c>
      <c r="J4" s="12">
        <v>0.1</v>
      </c>
      <c r="K4" s="191">
        <v>0</v>
      </c>
      <c r="L4" s="191">
        <v>1</v>
      </c>
    </row>
    <row r="5" spans="1:12" s="187" customFormat="1" ht="12.5" x14ac:dyDescent="0.25">
      <c r="A5" s="187" t="s">
        <v>23</v>
      </c>
      <c r="B5" s="188">
        <v>4.6500093000186003E-3</v>
      </c>
      <c r="C5" s="189">
        <v>1</v>
      </c>
      <c r="D5" s="189">
        <v>1</v>
      </c>
      <c r="E5" s="190">
        <v>0.09</v>
      </c>
      <c r="F5" s="189">
        <v>1</v>
      </c>
      <c r="G5" s="191">
        <v>2</v>
      </c>
      <c r="H5" s="190" t="s">
        <v>22</v>
      </c>
      <c r="I5" s="145">
        <v>-4.8</v>
      </c>
      <c r="J5" s="12">
        <v>0.1</v>
      </c>
      <c r="K5" s="191">
        <v>0</v>
      </c>
      <c r="L5" s="191">
        <v>1</v>
      </c>
    </row>
    <row r="6" spans="1:12" s="187" customFormat="1" ht="12.5" x14ac:dyDescent="0.25">
      <c r="A6" s="187" t="s">
        <v>24</v>
      </c>
      <c r="B6" s="188">
        <v>9.2999999999999992E-3</v>
      </c>
      <c r="C6" s="189">
        <v>0.8</v>
      </c>
      <c r="D6" s="189">
        <v>0.6</v>
      </c>
      <c r="E6" s="190">
        <v>0.41</v>
      </c>
      <c r="F6" s="189">
        <v>1</v>
      </c>
      <c r="G6" s="191">
        <v>1</v>
      </c>
      <c r="H6" s="190">
        <v>4</v>
      </c>
      <c r="I6" s="145">
        <v>-4.8</v>
      </c>
      <c r="J6" s="12">
        <v>0.1</v>
      </c>
      <c r="K6" s="191">
        <v>0</v>
      </c>
      <c r="L6" s="191">
        <v>1</v>
      </c>
    </row>
    <row r="7" spans="1:12" s="187" customFormat="1" ht="12.5" x14ac:dyDescent="0.25">
      <c r="A7" s="187" t="s">
        <v>25</v>
      </c>
      <c r="B7" s="188">
        <v>7.7500155000310008E-3</v>
      </c>
      <c r="C7" s="189">
        <v>1</v>
      </c>
      <c r="D7" s="189">
        <v>1</v>
      </c>
      <c r="E7" s="190">
        <v>0.09</v>
      </c>
      <c r="F7" s="189">
        <v>1</v>
      </c>
      <c r="G7" s="191">
        <v>2</v>
      </c>
      <c r="H7" s="190" t="s">
        <v>22</v>
      </c>
      <c r="I7" s="145">
        <v>-4.8</v>
      </c>
      <c r="J7" s="12">
        <v>0.1</v>
      </c>
      <c r="K7" s="191">
        <v>0</v>
      </c>
      <c r="L7" s="191">
        <v>1</v>
      </c>
    </row>
    <row r="8" spans="1:12" s="187" customFormat="1" ht="12.5" x14ac:dyDescent="0.25">
      <c r="A8" s="4" t="s">
        <v>26</v>
      </c>
      <c r="B8" s="188">
        <v>9.2999999999999992E-3</v>
      </c>
      <c r="C8" s="189">
        <v>0.95</v>
      </c>
      <c r="D8" s="189">
        <v>0.75</v>
      </c>
      <c r="E8" s="190">
        <v>0.09</v>
      </c>
      <c r="F8" s="189">
        <v>0.8</v>
      </c>
      <c r="G8" s="191">
        <v>1</v>
      </c>
      <c r="H8" s="190" t="s">
        <v>22</v>
      </c>
      <c r="I8" s="145">
        <v>-4.8</v>
      </c>
      <c r="J8" s="12">
        <v>0.1</v>
      </c>
      <c r="K8" s="191">
        <v>0</v>
      </c>
      <c r="L8" s="191">
        <v>1</v>
      </c>
    </row>
    <row r="9" spans="1:12" s="187" customFormat="1" ht="12.5" x14ac:dyDescent="0.25">
      <c r="A9" s="4" t="s">
        <v>27</v>
      </c>
      <c r="B9" s="188">
        <v>7.7999999999999996E-3</v>
      </c>
      <c r="C9" s="189">
        <v>0.95</v>
      </c>
      <c r="D9" s="189">
        <v>0.75</v>
      </c>
      <c r="E9" s="190">
        <v>0.09</v>
      </c>
      <c r="F9" s="189">
        <v>0.8</v>
      </c>
      <c r="G9" s="191">
        <v>1</v>
      </c>
      <c r="H9" s="190" t="s">
        <v>22</v>
      </c>
      <c r="I9" s="145">
        <v>-4.8</v>
      </c>
      <c r="J9" s="12">
        <v>0.1</v>
      </c>
      <c r="K9" s="191">
        <v>0</v>
      </c>
      <c r="L9" s="191">
        <v>1</v>
      </c>
    </row>
    <row r="10" spans="1:12" s="187" customFormat="1" ht="12.5" x14ac:dyDescent="0.25">
      <c r="A10" s="4" t="s">
        <v>28</v>
      </c>
      <c r="B10" s="188">
        <v>1.55E-2</v>
      </c>
      <c r="C10" s="189">
        <v>0.95</v>
      </c>
      <c r="D10" s="189">
        <v>0.75</v>
      </c>
      <c r="E10" s="190">
        <v>0.09</v>
      </c>
      <c r="F10" s="189">
        <v>0.8</v>
      </c>
      <c r="G10" s="191">
        <v>1</v>
      </c>
      <c r="H10" s="190" t="s">
        <v>22</v>
      </c>
      <c r="I10" s="145">
        <v>-4.8</v>
      </c>
      <c r="J10" s="12">
        <v>0.1</v>
      </c>
      <c r="K10" s="191">
        <v>0</v>
      </c>
      <c r="L10" s="191">
        <v>1</v>
      </c>
    </row>
    <row r="11" spans="1:12" s="187" customFormat="1" ht="12.5" x14ac:dyDescent="0.25">
      <c r="A11" s="4" t="s">
        <v>29</v>
      </c>
      <c r="B11" s="188">
        <v>1.24E-2</v>
      </c>
      <c r="C11" s="189">
        <v>0.95</v>
      </c>
      <c r="D11" s="189">
        <v>0.75</v>
      </c>
      <c r="E11" s="190">
        <v>0.09</v>
      </c>
      <c r="F11" s="189">
        <v>0.8</v>
      </c>
      <c r="G11" s="191">
        <v>1</v>
      </c>
      <c r="H11" s="190" t="s">
        <v>22</v>
      </c>
      <c r="I11" s="145">
        <v>-4.8</v>
      </c>
      <c r="J11" s="12">
        <v>0.1</v>
      </c>
      <c r="K11" s="191">
        <v>0</v>
      </c>
      <c r="L11" s="191">
        <v>1</v>
      </c>
    </row>
    <row r="12" spans="1:12" s="187" customFormat="1" ht="12.5" x14ac:dyDescent="0.25">
      <c r="A12" s="187" t="s">
        <v>30</v>
      </c>
      <c r="B12" s="188">
        <v>4.6500093000186003E-2</v>
      </c>
      <c r="C12" s="189">
        <v>0.55000000000000004</v>
      </c>
      <c r="D12" s="189">
        <v>0.2</v>
      </c>
      <c r="E12" s="190">
        <v>0.56999999999999995</v>
      </c>
      <c r="F12" s="189">
        <v>0.16</v>
      </c>
      <c r="G12" s="191">
        <v>1</v>
      </c>
      <c r="H12" s="190">
        <v>2</v>
      </c>
      <c r="I12" s="145">
        <v>-4.0999999999999996</v>
      </c>
      <c r="J12" s="12">
        <v>0.19</v>
      </c>
      <c r="K12" s="191">
        <v>0</v>
      </c>
      <c r="L12" s="191">
        <v>1</v>
      </c>
    </row>
    <row r="13" spans="1:12" s="187" customFormat="1" ht="12.5" x14ac:dyDescent="0.25">
      <c r="A13" s="187" t="s">
        <v>31</v>
      </c>
      <c r="B13" s="188">
        <v>4.6500093000186003E-2</v>
      </c>
      <c r="C13" s="189">
        <v>0.55000000000000004</v>
      </c>
      <c r="D13" s="189">
        <v>0.3</v>
      </c>
      <c r="E13" s="190">
        <v>0.98</v>
      </c>
      <c r="F13" s="189">
        <v>0.27</v>
      </c>
      <c r="G13" s="191">
        <v>1</v>
      </c>
      <c r="H13" s="190">
        <v>1</v>
      </c>
      <c r="I13" s="145">
        <v>-3.6</v>
      </c>
      <c r="J13" s="12">
        <v>0.18</v>
      </c>
      <c r="K13" s="191">
        <v>0</v>
      </c>
      <c r="L13" s="191">
        <v>1</v>
      </c>
    </row>
    <row r="14" spans="1:12" s="187" customFormat="1" ht="12.5" x14ac:dyDescent="0.25">
      <c r="A14" s="187" t="s">
        <v>32</v>
      </c>
      <c r="B14" s="188">
        <v>3.8750077500155002E-2</v>
      </c>
      <c r="C14" s="189">
        <v>0.85</v>
      </c>
      <c r="D14" s="189">
        <v>0.65</v>
      </c>
      <c r="E14" s="190">
        <v>0.42</v>
      </c>
      <c r="F14" s="189">
        <v>0.57999999999999996</v>
      </c>
      <c r="G14" s="191">
        <v>1</v>
      </c>
      <c r="H14" s="190">
        <v>2</v>
      </c>
      <c r="I14" s="145">
        <v>-3.6</v>
      </c>
      <c r="J14" s="12">
        <v>0.18</v>
      </c>
      <c r="K14" s="191">
        <v>0</v>
      </c>
      <c r="L14" s="191">
        <v>1</v>
      </c>
    </row>
    <row r="15" spans="1:12" s="187" customFormat="1" ht="12.5" x14ac:dyDescent="0.25">
      <c r="A15" s="187" t="s">
        <v>33</v>
      </c>
      <c r="B15" s="188">
        <v>1.7050034100068202E-2</v>
      </c>
      <c r="C15" s="189">
        <v>0.9</v>
      </c>
      <c r="D15" s="189">
        <v>0.72</v>
      </c>
      <c r="E15" s="190">
        <v>0.41</v>
      </c>
      <c r="F15" s="189">
        <v>0.95</v>
      </c>
      <c r="G15" s="191">
        <v>1</v>
      </c>
      <c r="H15" s="190">
        <v>4</v>
      </c>
      <c r="I15" s="145">
        <v>-4</v>
      </c>
      <c r="J15" s="12">
        <v>0.23</v>
      </c>
      <c r="K15" s="191">
        <v>0</v>
      </c>
      <c r="L15" s="191">
        <v>1</v>
      </c>
    </row>
    <row r="16" spans="1:12" s="187" customFormat="1" ht="12.5" x14ac:dyDescent="0.25">
      <c r="A16" s="187" t="s">
        <v>34</v>
      </c>
      <c r="B16" s="188">
        <v>1.7050034100068202E-2</v>
      </c>
      <c r="C16" s="189">
        <v>0.8</v>
      </c>
      <c r="D16" s="189">
        <v>0.55000000000000004</v>
      </c>
      <c r="E16" s="190">
        <v>0.41</v>
      </c>
      <c r="F16" s="189">
        <v>0.57999999999999996</v>
      </c>
      <c r="G16" s="191">
        <v>1</v>
      </c>
      <c r="H16" s="190">
        <v>4</v>
      </c>
      <c r="I16" s="145">
        <v>-4</v>
      </c>
      <c r="J16" s="12">
        <v>0.23</v>
      </c>
      <c r="K16" s="191">
        <v>0</v>
      </c>
      <c r="L16" s="191">
        <v>1</v>
      </c>
    </row>
    <row r="17" spans="1:12" s="187" customFormat="1" ht="12.5" x14ac:dyDescent="0.25">
      <c r="A17" s="187" t="s">
        <v>35</v>
      </c>
      <c r="B17" s="188">
        <v>1.47250294500589E-2</v>
      </c>
      <c r="C17" s="189">
        <v>0.9</v>
      </c>
      <c r="D17" s="189">
        <v>0.75</v>
      </c>
      <c r="E17" s="190">
        <v>0.41</v>
      </c>
      <c r="F17" s="189">
        <v>0.75</v>
      </c>
      <c r="G17" s="191">
        <v>1</v>
      </c>
      <c r="H17" s="190">
        <v>4</v>
      </c>
      <c r="I17" s="145">
        <v>-4</v>
      </c>
      <c r="J17" s="12">
        <v>0.23</v>
      </c>
      <c r="K17" s="191">
        <v>0</v>
      </c>
      <c r="L17" s="191">
        <v>1</v>
      </c>
    </row>
    <row r="18" spans="1:12" s="187" customFormat="1" ht="12.5" x14ac:dyDescent="0.25">
      <c r="A18" s="187" t="s">
        <v>36</v>
      </c>
      <c r="B18" s="188">
        <v>1.7050034100068202E-2</v>
      </c>
      <c r="C18" s="189">
        <v>0.9</v>
      </c>
      <c r="D18" s="189">
        <v>0.72</v>
      </c>
      <c r="E18" s="190">
        <f>1/H18^0.5</f>
        <v>1</v>
      </c>
      <c r="F18" s="189">
        <v>0.7</v>
      </c>
      <c r="G18" s="191">
        <v>1</v>
      </c>
      <c r="H18" s="190">
        <v>1</v>
      </c>
      <c r="I18" s="145">
        <v>-4</v>
      </c>
      <c r="J18" s="12">
        <v>0.23</v>
      </c>
      <c r="K18" s="191">
        <v>0</v>
      </c>
      <c r="L18" s="191">
        <v>1</v>
      </c>
    </row>
    <row r="19" spans="1:12" s="187" customFormat="1" ht="12.5" x14ac:dyDescent="0.25">
      <c r="A19" s="187" t="s">
        <v>37</v>
      </c>
      <c r="B19" s="188">
        <v>2.01500403000806E-2</v>
      </c>
      <c r="C19" s="189">
        <v>0.85</v>
      </c>
      <c r="D19" s="189">
        <v>0.7</v>
      </c>
      <c r="E19" s="190">
        <v>0.32</v>
      </c>
      <c r="F19" s="189">
        <v>0.65</v>
      </c>
      <c r="G19" s="191">
        <v>1</v>
      </c>
      <c r="H19" s="190">
        <v>8</v>
      </c>
      <c r="I19" s="145">
        <v>-4</v>
      </c>
      <c r="J19" s="12">
        <v>0.23</v>
      </c>
      <c r="K19" s="191">
        <v>0</v>
      </c>
      <c r="L19" s="191">
        <v>1</v>
      </c>
    </row>
    <row r="20" spans="1:12" s="187" customFormat="1" ht="12.5" x14ac:dyDescent="0.25">
      <c r="A20" s="187" t="s">
        <v>38</v>
      </c>
      <c r="B20" s="188">
        <v>1.9375038750077501E-2</v>
      </c>
      <c r="C20" s="189">
        <v>0.9</v>
      </c>
      <c r="D20" s="189">
        <v>0.75</v>
      </c>
      <c r="E20" s="190">
        <v>0.28000000000000003</v>
      </c>
      <c r="F20" s="189">
        <v>0.7</v>
      </c>
      <c r="G20" s="191">
        <v>1</v>
      </c>
      <c r="H20" s="190">
        <v>8</v>
      </c>
      <c r="I20" s="145">
        <v>-4</v>
      </c>
      <c r="J20" s="12">
        <v>0.23</v>
      </c>
      <c r="K20" s="191">
        <v>0</v>
      </c>
      <c r="L20" s="191">
        <v>1</v>
      </c>
    </row>
    <row r="21" spans="1:12" s="187" customFormat="1" ht="12.5" x14ac:dyDescent="0.25">
      <c r="A21" s="187" t="s">
        <v>39</v>
      </c>
      <c r="B21" s="188">
        <v>1.7050034100068202E-2</v>
      </c>
      <c r="C21" s="189">
        <v>0.9</v>
      </c>
      <c r="D21" s="189">
        <v>0.72</v>
      </c>
      <c r="E21" s="190">
        <f>1/H21^0.5</f>
        <v>1</v>
      </c>
      <c r="F21" s="189">
        <v>0.65</v>
      </c>
      <c r="G21" s="191">
        <v>1</v>
      </c>
      <c r="H21" s="190">
        <v>1</v>
      </c>
      <c r="I21" s="145">
        <v>-4</v>
      </c>
      <c r="J21" s="12">
        <v>0.23</v>
      </c>
      <c r="K21" s="191">
        <v>0</v>
      </c>
      <c r="L21" s="191">
        <v>1</v>
      </c>
    </row>
    <row r="22" spans="1:12" s="187" customFormat="1" ht="12.5" x14ac:dyDescent="0.25">
      <c r="A22" s="187" t="s">
        <v>40</v>
      </c>
      <c r="B22" s="188">
        <v>2.1700043400086803E-2</v>
      </c>
      <c r="C22" s="189">
        <v>0.9</v>
      </c>
      <c r="D22" s="189">
        <v>0.75</v>
      </c>
      <c r="E22" s="190">
        <v>0.41</v>
      </c>
      <c r="F22" s="189">
        <v>0.65</v>
      </c>
      <c r="G22" s="191">
        <v>1</v>
      </c>
      <c r="H22" s="190">
        <v>4</v>
      </c>
      <c r="I22" s="145">
        <v>-3.6</v>
      </c>
      <c r="J22" s="12">
        <v>0.1</v>
      </c>
      <c r="K22" s="191">
        <v>0</v>
      </c>
      <c r="L22" s="191">
        <v>1</v>
      </c>
    </row>
    <row r="23" spans="1:12" s="187" customFormat="1" ht="12.5" x14ac:dyDescent="0.25">
      <c r="A23" s="187" t="s">
        <v>41</v>
      </c>
      <c r="B23" s="188">
        <v>2.3250046500093002E-2</v>
      </c>
      <c r="C23" s="189">
        <v>0.8</v>
      </c>
      <c r="D23" s="189">
        <v>0.7</v>
      </c>
      <c r="E23" s="190">
        <v>0.41</v>
      </c>
      <c r="F23" s="189">
        <v>0.57999999999999996</v>
      </c>
      <c r="G23" s="191">
        <v>1</v>
      </c>
      <c r="H23" s="190">
        <v>4</v>
      </c>
      <c r="I23" s="145">
        <v>-3.6</v>
      </c>
      <c r="J23" s="12">
        <v>0.1</v>
      </c>
      <c r="K23" s="191">
        <v>0</v>
      </c>
      <c r="L23" s="191">
        <v>1</v>
      </c>
    </row>
    <row r="26" spans="1:12" ht="13" x14ac:dyDescent="0.3">
      <c r="A26" s="192" t="s">
        <v>861</v>
      </c>
      <c r="B26" s="183" t="s">
        <v>863</v>
      </c>
      <c r="C26" s="183" t="s">
        <v>864</v>
      </c>
      <c r="D26" s="225" t="s">
        <v>870</v>
      </c>
      <c r="E26" s="225"/>
      <c r="F26" s="225"/>
      <c r="G26" s="225"/>
      <c r="H26" s="225"/>
      <c r="I26" s="225"/>
      <c r="J26" s="225"/>
    </row>
    <row r="27" spans="1:12" ht="13" x14ac:dyDescent="0.3">
      <c r="A27" s="193" t="s">
        <v>862</v>
      </c>
      <c r="B27" s="104" t="s">
        <v>48</v>
      </c>
      <c r="C27" s="104" t="s">
        <v>555</v>
      </c>
      <c r="D27" s="183">
        <v>150</v>
      </c>
      <c r="E27" s="183">
        <v>300</v>
      </c>
      <c r="F27" s="183">
        <v>600</v>
      </c>
      <c r="G27" s="183">
        <v>900</v>
      </c>
      <c r="H27" s="183">
        <v>1500</v>
      </c>
      <c r="I27" s="183">
        <v>2500</v>
      </c>
      <c r="J27" s="183">
        <v>4500</v>
      </c>
    </row>
    <row r="28" spans="1:12" ht="13" x14ac:dyDescent="0.3">
      <c r="A28" s="8" t="s">
        <v>865</v>
      </c>
      <c r="B28" s="33">
        <v>0.5</v>
      </c>
      <c r="C28" s="183">
        <v>15</v>
      </c>
      <c r="D28" s="196">
        <v>12.7</v>
      </c>
      <c r="E28" s="196">
        <v>12.7</v>
      </c>
      <c r="F28" s="196">
        <v>12.7</v>
      </c>
      <c r="G28" s="196">
        <v>12.7</v>
      </c>
      <c r="H28" s="196">
        <v>12.7</v>
      </c>
      <c r="I28" s="196">
        <v>11.2</v>
      </c>
      <c r="J28" s="197">
        <v>7.5</v>
      </c>
    </row>
    <row r="29" spans="1:12" ht="13" x14ac:dyDescent="0.3">
      <c r="A29" s="8" t="s">
        <v>866</v>
      </c>
      <c r="B29" s="33">
        <v>0.75</v>
      </c>
      <c r="C29" s="183">
        <v>20</v>
      </c>
      <c r="D29" s="196">
        <v>19.100000000000001</v>
      </c>
      <c r="E29" s="196">
        <v>19.100000000000001</v>
      </c>
      <c r="F29" s="196">
        <v>19.100000000000001</v>
      </c>
      <c r="G29" s="196">
        <v>17.5</v>
      </c>
      <c r="H29" s="196">
        <v>17.5</v>
      </c>
      <c r="I29" s="196">
        <v>14.2</v>
      </c>
      <c r="J29" s="197">
        <v>9.3000000000000007</v>
      </c>
    </row>
    <row r="30" spans="1:12" ht="13" x14ac:dyDescent="0.3">
      <c r="A30" s="8" t="s">
        <v>728</v>
      </c>
      <c r="B30" s="33">
        <v>1</v>
      </c>
      <c r="C30" s="183">
        <v>25</v>
      </c>
      <c r="D30" s="196">
        <v>25.4</v>
      </c>
      <c r="E30" s="196">
        <v>25.4</v>
      </c>
      <c r="F30" s="196">
        <v>25.4</v>
      </c>
      <c r="G30" s="196">
        <v>22.1</v>
      </c>
      <c r="H30" s="196">
        <v>22.3</v>
      </c>
      <c r="I30" s="196">
        <v>19.100000000000001</v>
      </c>
      <c r="J30" s="197">
        <v>11.7</v>
      </c>
    </row>
    <row r="31" spans="1:12" ht="13" x14ac:dyDescent="0.3">
      <c r="A31" s="8" t="s">
        <v>867</v>
      </c>
      <c r="B31" s="33">
        <v>1.25</v>
      </c>
      <c r="C31" s="183">
        <v>32</v>
      </c>
      <c r="D31" s="196">
        <v>31.8</v>
      </c>
      <c r="E31" s="196">
        <v>31.8</v>
      </c>
      <c r="F31" s="196">
        <v>31.8</v>
      </c>
      <c r="G31" s="196">
        <v>28.4</v>
      </c>
      <c r="H31" s="196">
        <v>28.4</v>
      </c>
      <c r="I31" s="196">
        <v>25.4</v>
      </c>
      <c r="J31" s="197">
        <v>14.8</v>
      </c>
    </row>
    <row r="32" spans="1:12" ht="13" x14ac:dyDescent="0.3">
      <c r="A32" s="8" t="s">
        <v>868</v>
      </c>
      <c r="B32" s="33">
        <v>1.5</v>
      </c>
      <c r="C32" s="183">
        <v>40</v>
      </c>
      <c r="D32" s="196">
        <v>38.1</v>
      </c>
      <c r="E32" s="196">
        <v>38.1</v>
      </c>
      <c r="F32" s="196">
        <v>38.1</v>
      </c>
      <c r="G32" s="196">
        <v>34.799999999999997</v>
      </c>
      <c r="H32" s="196">
        <v>34.799999999999997</v>
      </c>
      <c r="I32" s="196">
        <v>28.4</v>
      </c>
      <c r="J32" s="197">
        <v>16.899999999999999</v>
      </c>
    </row>
    <row r="33" spans="1:18" ht="13" x14ac:dyDescent="0.3">
      <c r="A33" s="8" t="s">
        <v>730</v>
      </c>
      <c r="B33" s="33">
        <v>2</v>
      </c>
      <c r="C33" s="183">
        <v>50</v>
      </c>
      <c r="D33" s="196">
        <v>50.8</v>
      </c>
      <c r="E33" s="196">
        <v>50.8</v>
      </c>
      <c r="F33" s="196">
        <v>50.8</v>
      </c>
      <c r="G33" s="196">
        <v>47.5</v>
      </c>
      <c r="H33" s="196">
        <v>47.5</v>
      </c>
      <c r="I33" s="196">
        <v>38.1</v>
      </c>
      <c r="J33" s="197">
        <v>21.1</v>
      </c>
    </row>
    <row r="34" spans="1:18" ht="13" x14ac:dyDescent="0.3">
      <c r="A34" s="8" t="s">
        <v>869</v>
      </c>
      <c r="B34" s="33">
        <v>2.5</v>
      </c>
      <c r="C34" s="183">
        <v>65</v>
      </c>
      <c r="D34" s="196">
        <v>63.5</v>
      </c>
      <c r="E34" s="196">
        <v>63.5</v>
      </c>
      <c r="F34" s="196">
        <v>63.5</v>
      </c>
      <c r="G34" s="196">
        <v>57.2</v>
      </c>
      <c r="H34" s="196">
        <v>57.2</v>
      </c>
      <c r="I34" s="196">
        <v>47.5</v>
      </c>
      <c r="J34" s="197">
        <v>27</v>
      </c>
      <c r="M34" s="108"/>
      <c r="N34" s="107"/>
      <c r="O34" s="107"/>
      <c r="P34" s="109"/>
      <c r="Q34" s="107"/>
      <c r="R34" s="107"/>
    </row>
    <row r="35" spans="1:18" ht="13" x14ac:dyDescent="0.3">
      <c r="A35" s="8" t="s">
        <v>732</v>
      </c>
      <c r="B35" s="33">
        <v>3</v>
      </c>
      <c r="C35" s="183">
        <v>80</v>
      </c>
      <c r="D35" s="196">
        <v>76.2</v>
      </c>
      <c r="E35" s="196">
        <v>76.2</v>
      </c>
      <c r="F35" s="196">
        <v>76.2</v>
      </c>
      <c r="G35" s="196">
        <v>72.900000000000006</v>
      </c>
      <c r="H35" s="196">
        <v>69.900000000000006</v>
      </c>
      <c r="I35" s="196">
        <v>57.2</v>
      </c>
      <c r="J35" s="197">
        <v>32.9</v>
      </c>
    </row>
    <row r="36" spans="1:18" ht="13" x14ac:dyDescent="0.3">
      <c r="A36" s="8" t="s">
        <v>733</v>
      </c>
      <c r="B36" s="33">
        <v>4</v>
      </c>
      <c r="C36" s="183">
        <v>100</v>
      </c>
      <c r="D36" s="196">
        <v>101.6</v>
      </c>
      <c r="E36" s="196">
        <v>101.6</v>
      </c>
      <c r="F36" s="196">
        <v>101.6</v>
      </c>
      <c r="G36" s="196">
        <v>98.3</v>
      </c>
      <c r="H36" s="196">
        <v>91.9</v>
      </c>
      <c r="I36" s="196">
        <v>72.900000000000006</v>
      </c>
      <c r="J36" s="197">
        <v>42.3</v>
      </c>
    </row>
    <row r="37" spans="1:18" ht="13" x14ac:dyDescent="0.3">
      <c r="A37" s="8" t="s">
        <v>734</v>
      </c>
      <c r="B37" s="33">
        <v>5</v>
      </c>
      <c r="C37" s="183">
        <v>125</v>
      </c>
      <c r="D37" s="196">
        <v>127</v>
      </c>
      <c r="E37" s="196">
        <v>127</v>
      </c>
      <c r="F37" s="196">
        <v>127</v>
      </c>
      <c r="G37" s="196">
        <v>120.7</v>
      </c>
      <c r="H37" s="196">
        <v>111</v>
      </c>
      <c r="I37" s="196">
        <v>91.9</v>
      </c>
      <c r="J37" s="197">
        <v>51.3</v>
      </c>
    </row>
    <row r="38" spans="1:18" ht="13" x14ac:dyDescent="0.3">
      <c r="A38" s="8" t="s">
        <v>735</v>
      </c>
      <c r="B38" s="33">
        <v>6</v>
      </c>
      <c r="C38" s="183">
        <v>150</v>
      </c>
      <c r="D38" s="196">
        <v>152.4</v>
      </c>
      <c r="E38" s="196">
        <v>152.4</v>
      </c>
      <c r="F38" s="196">
        <v>152.4</v>
      </c>
      <c r="G38" s="196">
        <v>146.1</v>
      </c>
      <c r="H38" s="196">
        <v>136.4</v>
      </c>
      <c r="I38" s="196">
        <v>111</v>
      </c>
      <c r="J38" s="197">
        <v>62.3</v>
      </c>
    </row>
    <row r="39" spans="1:18" ht="13" x14ac:dyDescent="0.3">
      <c r="A39" s="8" t="s">
        <v>736</v>
      </c>
      <c r="B39" s="33">
        <v>8</v>
      </c>
      <c r="C39" s="183">
        <v>200</v>
      </c>
      <c r="D39" s="196">
        <v>203.2</v>
      </c>
      <c r="E39" s="196">
        <v>203.2</v>
      </c>
      <c r="F39" s="196">
        <v>199.9</v>
      </c>
      <c r="G39" s="196">
        <v>190.5</v>
      </c>
      <c r="H39" s="196">
        <v>177.8</v>
      </c>
      <c r="I39" s="196">
        <v>146.1</v>
      </c>
      <c r="J39" s="197">
        <v>81.099999999999994</v>
      </c>
    </row>
    <row r="40" spans="1:18" ht="13" x14ac:dyDescent="0.3">
      <c r="A40" s="8" t="s">
        <v>737</v>
      </c>
      <c r="B40" s="33">
        <v>10</v>
      </c>
      <c r="C40" s="183">
        <v>250</v>
      </c>
      <c r="D40" s="196">
        <v>254</v>
      </c>
      <c r="E40" s="196">
        <v>254</v>
      </c>
      <c r="F40" s="196">
        <v>247.7</v>
      </c>
      <c r="G40" s="196">
        <v>238</v>
      </c>
      <c r="H40" s="196">
        <v>222.3</v>
      </c>
      <c r="I40" s="196">
        <v>184.2</v>
      </c>
      <c r="J40" s="197">
        <v>109.2</v>
      </c>
    </row>
    <row r="41" spans="1:18" ht="13" x14ac:dyDescent="0.3">
      <c r="A41" s="8" t="s">
        <v>738</v>
      </c>
      <c r="B41" s="33">
        <v>12</v>
      </c>
      <c r="C41" s="183">
        <v>300</v>
      </c>
      <c r="D41" s="196">
        <v>304.8</v>
      </c>
      <c r="E41" s="196">
        <v>304.8</v>
      </c>
      <c r="F41" s="196">
        <v>298.5</v>
      </c>
      <c r="G41" s="196">
        <v>282.39999999999998</v>
      </c>
      <c r="H41" s="196">
        <v>263.39999999999998</v>
      </c>
      <c r="I41" s="196">
        <v>218.9</v>
      </c>
      <c r="J41" s="197">
        <v>129.5</v>
      </c>
    </row>
    <row r="42" spans="1:18" ht="13" x14ac:dyDescent="0.3">
      <c r="A42" s="8" t="s">
        <v>739</v>
      </c>
      <c r="B42" s="33">
        <v>14</v>
      </c>
      <c r="C42" s="183">
        <v>350</v>
      </c>
      <c r="D42" s="196">
        <v>336.6</v>
      </c>
      <c r="E42" s="196">
        <v>336.6</v>
      </c>
      <c r="F42" s="196">
        <v>326.89999999999998</v>
      </c>
      <c r="G42" s="196">
        <v>311.2</v>
      </c>
      <c r="H42" s="196">
        <v>288.8</v>
      </c>
      <c r="I42" s="196">
        <v>241.3</v>
      </c>
      <c r="J42" s="197">
        <v>142.19999999999999</v>
      </c>
    </row>
    <row r="43" spans="1:18" ht="13" x14ac:dyDescent="0.3">
      <c r="A43" s="8" t="s">
        <v>483</v>
      </c>
      <c r="B43" s="33">
        <v>16</v>
      </c>
      <c r="C43" s="183">
        <v>400</v>
      </c>
      <c r="D43" s="196">
        <v>387.4</v>
      </c>
      <c r="E43" s="196">
        <v>387.4</v>
      </c>
      <c r="F43" s="196">
        <v>374.7</v>
      </c>
      <c r="G43" s="196">
        <v>355.6</v>
      </c>
      <c r="H43" s="196">
        <v>300.2</v>
      </c>
      <c r="I43" s="196">
        <v>276.10000000000002</v>
      </c>
      <c r="J43" s="197">
        <v>162.6</v>
      </c>
    </row>
    <row r="44" spans="1:18" ht="13" x14ac:dyDescent="0.3">
      <c r="A44" s="8" t="s">
        <v>740</v>
      </c>
      <c r="B44" s="33">
        <v>18</v>
      </c>
      <c r="C44" s="183">
        <v>450</v>
      </c>
      <c r="D44" s="196">
        <v>438.2</v>
      </c>
      <c r="E44" s="196">
        <v>431.8</v>
      </c>
      <c r="F44" s="196">
        <v>419.1</v>
      </c>
      <c r="G44" s="196">
        <v>400.1</v>
      </c>
      <c r="H44" s="196">
        <v>371.3</v>
      </c>
      <c r="I44" s="196">
        <v>311.2</v>
      </c>
      <c r="J44" s="197">
        <v>182.9</v>
      </c>
    </row>
    <row r="45" spans="1:18" ht="13" x14ac:dyDescent="0.3">
      <c r="A45" s="8" t="s">
        <v>741</v>
      </c>
      <c r="B45" s="33">
        <v>20</v>
      </c>
      <c r="C45" s="183">
        <v>500</v>
      </c>
      <c r="D45" s="196">
        <v>489</v>
      </c>
      <c r="E45" s="196">
        <v>482.6</v>
      </c>
      <c r="F45" s="196">
        <v>463.6</v>
      </c>
      <c r="G45" s="196">
        <v>444.5</v>
      </c>
      <c r="H45" s="196">
        <v>415.8</v>
      </c>
      <c r="I45" s="196">
        <v>342.9</v>
      </c>
      <c r="J45" s="197">
        <v>203.2</v>
      </c>
    </row>
    <row r="46" spans="1:18" ht="13" x14ac:dyDescent="0.3">
      <c r="A46" s="8" t="s">
        <v>742</v>
      </c>
      <c r="B46" s="33">
        <v>22</v>
      </c>
      <c r="C46" s="183">
        <v>550</v>
      </c>
      <c r="D46" s="196">
        <v>539.79999999999995</v>
      </c>
      <c r="E46" s="196">
        <v>533.4</v>
      </c>
      <c r="F46" s="196">
        <v>511</v>
      </c>
      <c r="G46" s="196">
        <v>489</v>
      </c>
      <c r="H46" s="196">
        <v>457.2</v>
      </c>
      <c r="I46" s="196">
        <v>377.7</v>
      </c>
      <c r="J46" s="197">
        <v>223.5</v>
      </c>
    </row>
    <row r="47" spans="1:18" ht="13" x14ac:dyDescent="0.3">
      <c r="A47" s="8" t="s">
        <v>743</v>
      </c>
      <c r="B47" s="33">
        <v>24</v>
      </c>
      <c r="C47" s="183">
        <v>600</v>
      </c>
      <c r="D47" s="196">
        <v>590.6</v>
      </c>
      <c r="E47" s="196">
        <v>584.20000000000005</v>
      </c>
      <c r="F47" s="196">
        <v>558.79999999999995</v>
      </c>
      <c r="G47" s="196">
        <v>533.4</v>
      </c>
      <c r="H47" s="196">
        <v>498.3</v>
      </c>
      <c r="I47" s="196">
        <v>412.8</v>
      </c>
      <c r="J47" s="197">
        <v>243.8</v>
      </c>
    </row>
    <row r="48" spans="1:18" ht="13" x14ac:dyDescent="0.3">
      <c r="A48" s="8" t="s">
        <v>744</v>
      </c>
      <c r="B48" s="33">
        <v>26</v>
      </c>
      <c r="C48" s="183">
        <v>650</v>
      </c>
      <c r="D48" s="196">
        <v>641.4</v>
      </c>
      <c r="E48" s="196">
        <v>635</v>
      </c>
      <c r="F48" s="196">
        <v>603.29999999999995</v>
      </c>
      <c r="G48" s="196">
        <v>577.9</v>
      </c>
      <c r="H48" s="196">
        <v>539.79999999999995</v>
      </c>
      <c r="I48" s="196">
        <v>447.5</v>
      </c>
      <c r="J48" s="197">
        <v>264.2</v>
      </c>
    </row>
    <row r="49" spans="1:11" s="104" customFormat="1" ht="13" x14ac:dyDescent="0.3">
      <c r="A49" s="8" t="s">
        <v>745</v>
      </c>
      <c r="B49" s="33">
        <v>28</v>
      </c>
      <c r="C49" s="183">
        <v>700</v>
      </c>
      <c r="D49" s="196">
        <v>692.2</v>
      </c>
      <c r="E49" s="196">
        <v>685.8</v>
      </c>
      <c r="F49" s="196">
        <v>647.70000000000005</v>
      </c>
      <c r="G49" s="196">
        <v>622.29999999999995</v>
      </c>
      <c r="H49" s="196">
        <v>584.20000000000005</v>
      </c>
      <c r="I49" s="196">
        <v>482.6</v>
      </c>
      <c r="J49" s="197">
        <v>284.5</v>
      </c>
    </row>
    <row r="50" spans="1:11" s="104" customFormat="1" ht="13" x14ac:dyDescent="0.3">
      <c r="A50" s="8" t="s">
        <v>746</v>
      </c>
      <c r="B50" s="33">
        <v>30</v>
      </c>
      <c r="C50" s="183">
        <v>750</v>
      </c>
      <c r="D50" s="196">
        <v>743</v>
      </c>
      <c r="E50" s="196">
        <v>736.6</v>
      </c>
      <c r="F50" s="196">
        <v>695.2</v>
      </c>
      <c r="G50" s="196">
        <v>666.8</v>
      </c>
      <c r="H50" s="196">
        <v>625.29999999999995</v>
      </c>
      <c r="I50" s="196">
        <v>517.4</v>
      </c>
      <c r="J50" s="197">
        <v>304.8</v>
      </c>
    </row>
    <row r="51" spans="1:11" s="104" customFormat="1" ht="13" x14ac:dyDescent="0.3">
      <c r="A51" s="8" t="s">
        <v>749</v>
      </c>
      <c r="B51" s="33">
        <v>36</v>
      </c>
      <c r="C51" s="183">
        <v>900</v>
      </c>
      <c r="D51" s="197">
        <f>mathx1x2xy1y2y($B$49,$B$50,$B$51,D49,D50)</f>
        <v>895.39999999999986</v>
      </c>
      <c r="E51" s="197">
        <f t="shared" ref="E51:J51" si="0">mathx1x2xy1y2y($B$49,$B$50,$B$51,E49,E50)</f>
        <v>889.00000000000023</v>
      </c>
      <c r="F51" s="197">
        <f t="shared" si="0"/>
        <v>837.7</v>
      </c>
      <c r="G51" s="197">
        <f t="shared" si="0"/>
        <v>800.3</v>
      </c>
      <c r="H51" s="197">
        <f t="shared" si="0"/>
        <v>748.59999999999968</v>
      </c>
      <c r="I51" s="197">
        <f t="shared" si="0"/>
        <v>621.79999999999984</v>
      </c>
      <c r="J51" s="197">
        <f t="shared" si="0"/>
        <v>365.70000000000005</v>
      </c>
    </row>
    <row r="52" spans="1:11" s="104" customFormat="1" ht="13" x14ac:dyDescent="0.3">
      <c r="A52" s="8"/>
      <c r="B52" s="33"/>
      <c r="C52" s="183"/>
      <c r="D52" s="184"/>
      <c r="E52" s="184"/>
      <c r="F52" s="184"/>
      <c r="G52" s="184"/>
      <c r="H52" s="184"/>
      <c r="I52" s="184"/>
      <c r="J52" s="184"/>
    </row>
    <row r="53" spans="1:11" s="104" customFormat="1" ht="13" x14ac:dyDescent="0.3">
      <c r="A53" s="8"/>
      <c r="B53" s="33"/>
      <c r="C53" s="183"/>
      <c r="D53" s="183"/>
      <c r="E53" s="183"/>
      <c r="F53" s="183"/>
      <c r="G53" s="183"/>
      <c r="H53" s="183"/>
      <c r="I53" s="183"/>
      <c r="J53" s="183"/>
      <c r="K53" s="183"/>
    </row>
    <row r="54" spans="1:11" s="104" customFormat="1" ht="13" x14ac:dyDescent="0.3">
      <c r="A54" s="8"/>
      <c r="B54" s="33"/>
      <c r="C54" s="183"/>
      <c r="D54" s="184"/>
      <c r="E54" s="184"/>
      <c r="F54" s="184"/>
      <c r="G54" s="184"/>
      <c r="H54" s="184"/>
      <c r="I54" s="184"/>
      <c r="J54" s="184"/>
    </row>
    <row r="55" spans="1:11" s="104" customFormat="1" x14ac:dyDescent="0.25">
      <c r="B55" s="105"/>
      <c r="C55" s="105"/>
      <c r="D55" s="105"/>
      <c r="E55" s="105"/>
      <c r="F55" s="105"/>
      <c r="G55" s="105"/>
    </row>
    <row r="56" spans="1:11" s="104" customFormat="1" x14ac:dyDescent="0.25">
      <c r="B56" s="105"/>
      <c r="C56" s="105"/>
      <c r="D56" s="105"/>
      <c r="E56" s="105"/>
      <c r="F56" s="105"/>
      <c r="G56" s="105"/>
    </row>
    <row r="57" spans="1:11" s="104" customFormat="1" x14ac:dyDescent="0.25">
      <c r="B57" s="105"/>
      <c r="C57" s="105"/>
      <c r="D57" s="105"/>
      <c r="E57" s="105"/>
      <c r="F57" s="105"/>
      <c r="G57" s="105"/>
    </row>
    <row r="58" spans="1:11" s="104" customFormat="1" x14ac:dyDescent="0.25">
      <c r="B58" s="105"/>
      <c r="C58" s="105"/>
      <c r="D58" s="105"/>
      <c r="E58" s="105"/>
      <c r="F58" s="105"/>
      <c r="G58" s="105"/>
    </row>
    <row r="59" spans="1:11" s="104" customFormat="1" x14ac:dyDescent="0.25">
      <c r="B59" s="105"/>
      <c r="C59" s="105"/>
      <c r="D59" s="105"/>
      <c r="E59" s="105"/>
      <c r="F59" s="105"/>
      <c r="G59" s="105"/>
    </row>
    <row r="60" spans="1:11" s="104" customFormat="1" x14ac:dyDescent="0.25">
      <c r="B60" s="105"/>
      <c r="C60" s="105"/>
      <c r="D60" s="105"/>
      <c r="E60" s="105"/>
      <c r="F60" s="105"/>
      <c r="G60" s="105"/>
    </row>
    <row r="61" spans="1:11" s="104" customFormat="1" x14ac:dyDescent="0.25">
      <c r="B61" s="105"/>
      <c r="C61" s="105"/>
      <c r="D61" s="105"/>
      <c r="E61" s="105"/>
      <c r="F61" s="105"/>
      <c r="G61" s="105"/>
    </row>
    <row r="62" spans="1:11" s="104" customFormat="1" x14ac:dyDescent="0.25">
      <c r="B62" s="105"/>
      <c r="C62" s="105"/>
      <c r="D62" s="105"/>
      <c r="E62" s="105"/>
      <c r="F62" s="105"/>
      <c r="G62" s="105"/>
    </row>
    <row r="63" spans="1:11" s="104" customFormat="1" x14ac:dyDescent="0.25">
      <c r="B63" s="105"/>
      <c r="C63" s="105"/>
      <c r="D63" s="105"/>
      <c r="E63" s="105"/>
      <c r="F63" s="105"/>
      <c r="G63" s="105"/>
    </row>
    <row r="64" spans="1:11" s="104" customFormat="1" x14ac:dyDescent="0.25">
      <c r="B64" s="105"/>
      <c r="C64" s="105"/>
      <c r="D64" s="105"/>
      <c r="E64" s="105"/>
      <c r="F64" s="105"/>
      <c r="G64" s="105"/>
    </row>
    <row r="65" spans="2:15" x14ac:dyDescent="0.25">
      <c r="B65" s="105"/>
      <c r="C65" s="105"/>
      <c r="D65" s="105"/>
      <c r="E65" s="105"/>
      <c r="F65" s="105"/>
      <c r="G65" s="105"/>
    </row>
    <row r="66" spans="2:15" x14ac:dyDescent="0.25">
      <c r="B66" s="105"/>
      <c r="C66" s="105"/>
      <c r="D66" s="105"/>
      <c r="E66" s="105"/>
      <c r="F66" s="105"/>
      <c r="G66" s="105"/>
    </row>
    <row r="67" spans="2:15" x14ac:dyDescent="0.25">
      <c r="B67" s="105"/>
      <c r="C67" s="105"/>
      <c r="D67" s="105"/>
      <c r="E67" s="105"/>
      <c r="F67" s="105"/>
      <c r="G67" s="105"/>
    </row>
    <row r="68" spans="2:15" x14ac:dyDescent="0.25">
      <c r="B68" s="105"/>
      <c r="C68" s="105"/>
      <c r="D68" s="105"/>
      <c r="E68" s="105"/>
      <c r="F68" s="105"/>
      <c r="G68" s="105"/>
    </row>
    <row r="69" spans="2:15" x14ac:dyDescent="0.25">
      <c r="B69" s="105"/>
      <c r="C69" s="105"/>
      <c r="D69" s="105"/>
      <c r="E69" s="105"/>
      <c r="F69" s="105"/>
      <c r="G69" s="105"/>
    </row>
    <row r="70" spans="2:15" x14ac:dyDescent="0.25">
      <c r="B70" s="105"/>
      <c r="C70" s="105"/>
      <c r="D70" s="105"/>
      <c r="E70" s="105"/>
      <c r="F70" s="105"/>
      <c r="G70" s="105"/>
    </row>
    <row r="71" spans="2:15" x14ac:dyDescent="0.25">
      <c r="B71" s="105"/>
      <c r="C71" s="105"/>
      <c r="D71" s="105"/>
      <c r="E71" s="105"/>
      <c r="F71" s="105"/>
      <c r="G71" s="105"/>
    </row>
    <row r="72" spans="2:15" x14ac:dyDescent="0.25">
      <c r="B72" s="105"/>
      <c r="C72" s="105"/>
      <c r="D72" s="105"/>
      <c r="E72" s="105"/>
      <c r="F72" s="105"/>
      <c r="G72" s="105"/>
    </row>
    <row r="73" spans="2:15" x14ac:dyDescent="0.25">
      <c r="B73" s="105"/>
      <c r="C73" s="105"/>
      <c r="D73" s="105"/>
      <c r="E73" s="105"/>
      <c r="F73" s="105"/>
      <c r="G73" s="105"/>
    </row>
    <row r="74" spans="2:15" x14ac:dyDescent="0.25">
      <c r="B74" s="105"/>
      <c r="C74" s="105"/>
      <c r="D74" s="105"/>
      <c r="E74" s="105"/>
      <c r="F74" s="105"/>
      <c r="G74" s="105"/>
    </row>
    <row r="75" spans="2:15" x14ac:dyDescent="0.25">
      <c r="B75" s="105"/>
      <c r="C75" s="105"/>
      <c r="D75" s="105"/>
      <c r="E75" s="105"/>
      <c r="F75" s="105"/>
      <c r="G75" s="105"/>
    </row>
    <row r="76" spans="2:15" x14ac:dyDescent="0.25">
      <c r="B76" s="105"/>
      <c r="C76" s="105"/>
      <c r="D76" s="105"/>
      <c r="E76" s="105"/>
      <c r="F76" s="105"/>
      <c r="G76" s="105"/>
    </row>
    <row r="77" spans="2:15" x14ac:dyDescent="0.25">
      <c r="B77" s="105"/>
      <c r="C77" s="105"/>
      <c r="D77" s="105"/>
      <c r="E77" s="105"/>
      <c r="F77" s="105"/>
      <c r="G77" s="105"/>
    </row>
    <row r="78" spans="2:15" x14ac:dyDescent="0.25">
      <c r="B78" s="105"/>
      <c r="C78" s="105"/>
      <c r="D78" s="105"/>
      <c r="E78" s="105"/>
      <c r="F78" s="105"/>
      <c r="G78" s="105"/>
      <c r="N78" s="104"/>
      <c r="O78" s="104"/>
    </row>
    <row r="79" spans="2:15" x14ac:dyDescent="0.25">
      <c r="B79" s="105"/>
      <c r="C79" s="105"/>
      <c r="D79" s="105"/>
      <c r="E79" s="105"/>
      <c r="F79" s="105"/>
      <c r="G79" s="105"/>
    </row>
    <row r="80" spans="2:15" x14ac:dyDescent="0.25">
      <c r="B80" s="105"/>
      <c r="C80" s="105"/>
      <c r="D80" s="105"/>
      <c r="E80" s="105"/>
      <c r="F80" s="105"/>
      <c r="G80" s="105"/>
    </row>
    <row r="81" spans="2:7" s="104" customFormat="1" x14ac:dyDescent="0.25">
      <c r="B81" s="105"/>
      <c r="C81" s="105"/>
      <c r="D81" s="105"/>
      <c r="E81" s="105"/>
      <c r="F81" s="105"/>
      <c r="G81" s="105"/>
    </row>
    <row r="82" spans="2:7" s="104" customFormat="1" x14ac:dyDescent="0.25">
      <c r="B82" s="105"/>
      <c r="C82" s="105"/>
      <c r="D82" s="105"/>
      <c r="E82" s="105"/>
      <c r="F82" s="105"/>
      <c r="G82" s="105"/>
    </row>
    <row r="83" spans="2:7" s="104" customFormat="1" x14ac:dyDescent="0.25">
      <c r="B83" s="105"/>
      <c r="C83" s="105"/>
      <c r="D83" s="105"/>
      <c r="E83" s="105"/>
      <c r="F83" s="105"/>
      <c r="G83" s="105"/>
    </row>
    <row r="84" spans="2:7" s="104" customFormat="1" x14ac:dyDescent="0.25">
      <c r="B84" s="105"/>
      <c r="C84" s="105"/>
      <c r="D84" s="105"/>
      <c r="E84" s="105"/>
      <c r="F84" s="105"/>
      <c r="G84" s="105"/>
    </row>
    <row r="85" spans="2:7" s="104" customFormat="1" x14ac:dyDescent="0.25">
      <c r="B85" s="105"/>
      <c r="C85" s="105"/>
      <c r="D85" s="105"/>
      <c r="E85" s="105"/>
      <c r="F85" s="105"/>
      <c r="G85" s="105"/>
    </row>
    <row r="86" spans="2:7" s="104" customFormat="1" x14ac:dyDescent="0.25">
      <c r="B86" s="105"/>
      <c r="C86" s="105"/>
      <c r="D86" s="105"/>
      <c r="E86" s="105"/>
      <c r="F86" s="105"/>
      <c r="G86" s="105"/>
    </row>
    <row r="87" spans="2:7" s="104" customFormat="1" x14ac:dyDescent="0.25">
      <c r="B87" s="105"/>
      <c r="C87" s="105"/>
      <c r="D87" s="105"/>
      <c r="E87" s="105"/>
      <c r="F87" s="105"/>
      <c r="G87" s="105"/>
    </row>
    <row r="88" spans="2:7" s="104" customFormat="1" x14ac:dyDescent="0.25">
      <c r="B88" s="105"/>
      <c r="C88" s="105"/>
      <c r="D88" s="105"/>
      <c r="E88" s="105"/>
      <c r="F88" s="105"/>
      <c r="G88" s="105"/>
    </row>
    <row r="89" spans="2:7" s="104" customFormat="1" x14ac:dyDescent="0.25">
      <c r="B89" s="105"/>
      <c r="C89" s="105"/>
      <c r="D89" s="105"/>
      <c r="E89" s="105"/>
      <c r="F89" s="105"/>
      <c r="G89" s="105"/>
    </row>
    <row r="90" spans="2:7" s="104" customFormat="1" x14ac:dyDescent="0.25">
      <c r="B90" s="105"/>
      <c r="C90" s="105"/>
      <c r="D90" s="105"/>
      <c r="E90" s="105"/>
      <c r="F90" s="105"/>
      <c r="G90" s="105"/>
    </row>
  </sheetData>
  <mergeCells count="1">
    <mergeCell ref="D26:J26"/>
  </mergeCells>
  <phoneticPr fontId="22" type="noConversion"/>
  <pageMargins left="0.8" right="0.8" top="0.33300000000000002" bottom="1.1659999999999999" header="0.5" footer="0.5"/>
  <pageSetup orientation="portrait" r:id="rId1"/>
  <headerFooter alignWithMargins="0"/>
  <customProperties>
    <customPr name="BudgetSheetCodeName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1"/>
  </sheetPr>
  <dimension ref="A1:G65"/>
  <sheetViews>
    <sheetView workbookViewId="0">
      <selection activeCell="F28" sqref="F28"/>
    </sheetView>
  </sheetViews>
  <sheetFormatPr defaultColWidth="9.1796875" defaultRowHeight="13" x14ac:dyDescent="0.3"/>
  <cols>
    <col min="1" max="1" width="13.81640625" style="5" customWidth="1"/>
    <col min="2" max="2" width="7.453125" style="5" customWidth="1"/>
    <col min="3" max="3" width="13.81640625" style="5" customWidth="1"/>
    <col min="4" max="4" width="8.7265625" style="5" customWidth="1"/>
    <col min="5" max="5" width="9.1796875" style="13"/>
    <col min="6" max="6" width="97.453125" style="11" customWidth="1"/>
    <col min="7" max="7" width="8.7265625" customWidth="1"/>
    <col min="8" max="16384" width="9.1796875" style="4"/>
  </cols>
  <sheetData>
    <row r="1" spans="1:6" ht="15.5" x14ac:dyDescent="0.35">
      <c r="A1" s="1" t="s">
        <v>0</v>
      </c>
    </row>
    <row r="3" spans="1:6" x14ac:dyDescent="0.3">
      <c r="A3" s="33" t="s">
        <v>1</v>
      </c>
      <c r="B3" s="33" t="s">
        <v>3</v>
      </c>
      <c r="C3" s="33" t="s">
        <v>810</v>
      </c>
      <c r="D3" s="33" t="s">
        <v>2</v>
      </c>
      <c r="E3" s="33" t="s">
        <v>4</v>
      </c>
      <c r="F3" s="124" t="s">
        <v>5</v>
      </c>
    </row>
    <row r="4" spans="1:6" s="114" customFormat="1" x14ac:dyDescent="0.25">
      <c r="A4" s="110">
        <v>39470</v>
      </c>
      <c r="B4" s="111" t="s">
        <v>6</v>
      </c>
      <c r="C4" s="111"/>
      <c r="D4" s="111" t="s">
        <v>811</v>
      </c>
      <c r="E4" s="112">
        <v>1</v>
      </c>
      <c r="F4" s="113" t="s">
        <v>7</v>
      </c>
    </row>
    <row r="5" spans="1:6" s="114" customFormat="1" ht="12.5" x14ac:dyDescent="0.25">
      <c r="A5" s="110">
        <v>39874</v>
      </c>
      <c r="B5" s="111">
        <v>2</v>
      </c>
      <c r="C5" s="111" t="s">
        <v>814</v>
      </c>
      <c r="D5" s="111" t="s">
        <v>811</v>
      </c>
      <c r="E5" s="111">
        <v>1</v>
      </c>
      <c r="F5" s="113" t="s">
        <v>812</v>
      </c>
    </row>
    <row r="6" spans="1:6" s="114" customFormat="1" ht="12.5" x14ac:dyDescent="0.25">
      <c r="A6" s="110">
        <v>39874</v>
      </c>
      <c r="B6" s="111">
        <v>2</v>
      </c>
      <c r="C6" s="111" t="s">
        <v>814</v>
      </c>
      <c r="D6" s="111" t="s">
        <v>811</v>
      </c>
      <c r="E6" s="111">
        <v>2</v>
      </c>
      <c r="F6" s="113" t="s">
        <v>813</v>
      </c>
    </row>
    <row r="7" spans="1:6" s="114" customFormat="1" ht="12.5" x14ac:dyDescent="0.25">
      <c r="A7" s="110">
        <v>39874</v>
      </c>
      <c r="B7" s="111">
        <v>2</v>
      </c>
      <c r="C7" s="111" t="s">
        <v>859</v>
      </c>
      <c r="D7" s="111" t="s">
        <v>811</v>
      </c>
      <c r="E7" s="111">
        <v>3</v>
      </c>
      <c r="F7" s="113" t="s">
        <v>860</v>
      </c>
    </row>
    <row r="8" spans="1:6" s="114" customFormat="1" ht="12.5" x14ac:dyDescent="0.25">
      <c r="A8" s="110">
        <v>39987</v>
      </c>
      <c r="B8" s="111">
        <v>2.1</v>
      </c>
      <c r="C8" s="111" t="s">
        <v>814</v>
      </c>
      <c r="D8" s="111" t="s">
        <v>811</v>
      </c>
      <c r="E8" s="111">
        <v>1</v>
      </c>
      <c r="F8" s="113" t="s">
        <v>881</v>
      </c>
    </row>
    <row r="9" spans="1:6" s="114" customFormat="1" ht="12.5" x14ac:dyDescent="0.25">
      <c r="A9" s="110">
        <v>40234</v>
      </c>
      <c r="B9" s="111">
        <v>2.2000000000000002</v>
      </c>
      <c r="C9" s="111" t="s">
        <v>814</v>
      </c>
      <c r="D9" s="111" t="s">
        <v>811</v>
      </c>
      <c r="E9" s="111">
        <v>1</v>
      </c>
      <c r="F9" s="113" t="s">
        <v>883</v>
      </c>
    </row>
    <row r="10" spans="1:6" s="114" customFormat="1" ht="12.5" x14ac:dyDescent="0.25">
      <c r="A10" s="110">
        <v>40374</v>
      </c>
      <c r="B10" s="111">
        <v>2.2999999999999998</v>
      </c>
      <c r="C10" s="111" t="s">
        <v>814</v>
      </c>
      <c r="D10" s="111" t="s">
        <v>811</v>
      </c>
      <c r="E10" s="111">
        <v>1</v>
      </c>
      <c r="F10" s="113" t="s">
        <v>889</v>
      </c>
    </row>
    <row r="11" spans="1:6" s="114" customFormat="1" ht="12.5" x14ac:dyDescent="0.25">
      <c r="A11" s="110">
        <v>40374</v>
      </c>
      <c r="B11" s="111">
        <v>2.2999999999999998</v>
      </c>
      <c r="C11" s="111" t="s">
        <v>814</v>
      </c>
      <c r="D11" s="111" t="s">
        <v>811</v>
      </c>
      <c r="E11" s="111">
        <v>2</v>
      </c>
      <c r="F11" s="113" t="s">
        <v>890</v>
      </c>
    </row>
    <row r="12" spans="1:6" s="114" customFormat="1" ht="12.5" x14ac:dyDescent="0.25">
      <c r="A12" s="110"/>
      <c r="B12" s="111"/>
      <c r="C12" s="111"/>
      <c r="D12" s="111"/>
      <c r="E12" s="111"/>
      <c r="F12" s="113"/>
    </row>
    <row r="13" spans="1:6" s="114" customFormat="1" ht="12.5" x14ac:dyDescent="0.25">
      <c r="A13" s="110"/>
      <c r="B13" s="111"/>
      <c r="C13" s="111"/>
      <c r="D13" s="111"/>
      <c r="E13" s="111"/>
      <c r="F13" s="113"/>
    </row>
    <row r="14" spans="1:6" s="114" customFormat="1" ht="12.5" x14ac:dyDescent="0.25">
      <c r="A14" s="110"/>
      <c r="B14" s="111"/>
      <c r="C14" s="111"/>
      <c r="D14" s="111"/>
      <c r="E14" s="111"/>
      <c r="F14" s="113"/>
    </row>
    <row r="15" spans="1:6" s="114" customFormat="1" ht="12.5" x14ac:dyDescent="0.25">
      <c r="A15" s="110"/>
      <c r="B15" s="111"/>
      <c r="C15" s="111"/>
      <c r="D15" s="111"/>
      <c r="E15" s="111"/>
      <c r="F15" s="113"/>
    </row>
    <row r="16" spans="1:6" s="114" customFormat="1" ht="12.5" x14ac:dyDescent="0.25">
      <c r="A16" s="110"/>
      <c r="B16" s="111"/>
      <c r="C16" s="111"/>
      <c r="D16" s="111"/>
      <c r="E16" s="111"/>
      <c r="F16" s="113"/>
    </row>
    <row r="17" spans="1:6" s="114" customFormat="1" ht="12.5" x14ac:dyDescent="0.25">
      <c r="A17" s="110"/>
      <c r="B17" s="111"/>
      <c r="C17" s="111"/>
      <c r="D17" s="111"/>
      <c r="E17" s="111"/>
      <c r="F17" s="113"/>
    </row>
    <row r="18" spans="1:6" s="114" customFormat="1" ht="12.5" x14ac:dyDescent="0.25">
      <c r="A18" s="110"/>
      <c r="B18" s="111"/>
      <c r="C18" s="111"/>
      <c r="D18" s="111"/>
      <c r="E18" s="111"/>
      <c r="F18" s="113"/>
    </row>
    <row r="19" spans="1:6" s="114" customFormat="1" ht="12.5" x14ac:dyDescent="0.25">
      <c r="A19" s="110"/>
      <c r="B19" s="111"/>
      <c r="C19" s="111"/>
      <c r="D19" s="111"/>
      <c r="E19" s="111"/>
      <c r="F19" s="113"/>
    </row>
    <row r="20" spans="1:6" s="114" customFormat="1" ht="12.5" x14ac:dyDescent="0.25">
      <c r="A20" s="110"/>
      <c r="B20" s="111"/>
      <c r="C20" s="111"/>
      <c r="D20" s="111"/>
      <c r="E20" s="111"/>
      <c r="F20" s="113"/>
    </row>
    <row r="21" spans="1:6" s="114" customFormat="1" ht="12.5" x14ac:dyDescent="0.25">
      <c r="A21" s="110"/>
      <c r="B21" s="111"/>
      <c r="C21" s="111"/>
      <c r="D21" s="111"/>
      <c r="E21" s="111"/>
      <c r="F21" s="113"/>
    </row>
    <row r="22" spans="1:6" s="114" customFormat="1" ht="12.5" x14ac:dyDescent="0.25">
      <c r="A22" s="110"/>
      <c r="B22" s="111"/>
      <c r="C22" s="111"/>
      <c r="D22" s="111"/>
      <c r="E22" s="111"/>
      <c r="F22" s="113"/>
    </row>
    <row r="23" spans="1:6" s="114" customFormat="1" ht="12.5" x14ac:dyDescent="0.25">
      <c r="A23" s="110"/>
      <c r="B23" s="111"/>
      <c r="C23" s="111"/>
      <c r="D23" s="111"/>
      <c r="E23" s="111"/>
      <c r="F23" s="113"/>
    </row>
    <row r="24" spans="1:6" s="114" customFormat="1" ht="12.5" x14ac:dyDescent="0.25">
      <c r="A24" s="110"/>
      <c r="B24" s="111"/>
      <c r="C24" s="111"/>
      <c r="D24" s="111"/>
      <c r="E24" s="111"/>
      <c r="F24" s="113"/>
    </row>
    <row r="25" spans="1:6" s="114" customFormat="1" ht="12.5" x14ac:dyDescent="0.25">
      <c r="A25" s="110"/>
      <c r="B25" s="111"/>
      <c r="C25" s="111"/>
      <c r="D25" s="111"/>
      <c r="E25" s="111"/>
      <c r="F25" s="113"/>
    </row>
    <row r="26" spans="1:6" s="114" customFormat="1" ht="12.5" x14ac:dyDescent="0.25">
      <c r="A26" s="110"/>
      <c r="B26" s="111"/>
      <c r="C26" s="111"/>
      <c r="D26" s="111"/>
      <c r="E26" s="111"/>
      <c r="F26" s="113"/>
    </row>
    <row r="27" spans="1:6" s="114" customFormat="1" ht="12.5" x14ac:dyDescent="0.25">
      <c r="A27" s="110"/>
      <c r="B27" s="111"/>
      <c r="C27" s="111"/>
      <c r="D27" s="111"/>
      <c r="E27" s="111"/>
      <c r="F27" s="113"/>
    </row>
    <row r="28" spans="1:6" s="114" customFormat="1" ht="12.5" x14ac:dyDescent="0.25">
      <c r="A28" s="110"/>
      <c r="B28" s="111"/>
      <c r="C28" s="111"/>
      <c r="D28" s="111"/>
      <c r="E28" s="111"/>
      <c r="F28" s="113"/>
    </row>
    <row r="29" spans="1:6" s="114" customFormat="1" ht="12.5" x14ac:dyDescent="0.25">
      <c r="A29" s="110"/>
      <c r="B29" s="111"/>
      <c r="C29" s="111"/>
      <c r="D29" s="111"/>
      <c r="E29" s="111"/>
      <c r="F29" s="113"/>
    </row>
    <row r="30" spans="1:6" s="114" customFormat="1" ht="12.5" x14ac:dyDescent="0.25">
      <c r="A30" s="110"/>
      <c r="B30" s="111"/>
      <c r="C30" s="111"/>
      <c r="D30" s="111"/>
      <c r="E30" s="111"/>
      <c r="F30" s="113"/>
    </row>
    <row r="31" spans="1:6" s="114" customFormat="1" ht="12.5" x14ac:dyDescent="0.25">
      <c r="A31" s="110"/>
      <c r="B31" s="111"/>
      <c r="C31" s="111"/>
      <c r="D31" s="111"/>
      <c r="E31" s="111"/>
      <c r="F31" s="113"/>
    </row>
    <row r="32" spans="1:6" s="114" customFormat="1" ht="12.5" x14ac:dyDescent="0.25">
      <c r="A32" s="110"/>
      <c r="B32" s="111"/>
      <c r="C32" s="111"/>
      <c r="D32" s="111"/>
      <c r="E32" s="111"/>
      <c r="F32" s="113"/>
    </row>
    <row r="33" spans="1:6" s="114" customFormat="1" ht="12.5" x14ac:dyDescent="0.25">
      <c r="A33" s="110"/>
      <c r="B33" s="111"/>
      <c r="C33" s="111"/>
      <c r="D33" s="111"/>
      <c r="E33" s="111"/>
      <c r="F33" s="113"/>
    </row>
    <row r="34" spans="1:6" s="114" customFormat="1" ht="12.5" x14ac:dyDescent="0.25">
      <c r="A34" s="110"/>
      <c r="B34" s="111"/>
      <c r="C34" s="111"/>
      <c r="D34" s="111"/>
      <c r="E34" s="111"/>
      <c r="F34" s="113"/>
    </row>
    <row r="35" spans="1:6" s="114" customFormat="1" ht="12.5" x14ac:dyDescent="0.25">
      <c r="A35" s="110"/>
      <c r="B35" s="111"/>
      <c r="C35" s="111"/>
      <c r="D35" s="111"/>
      <c r="E35" s="111"/>
      <c r="F35" s="113"/>
    </row>
    <row r="36" spans="1:6" s="114" customFormat="1" ht="12.5" x14ac:dyDescent="0.25">
      <c r="A36" s="110"/>
      <c r="B36" s="111"/>
      <c r="C36" s="111"/>
      <c r="D36" s="111"/>
      <c r="E36" s="111"/>
      <c r="F36" s="113"/>
    </row>
    <row r="37" spans="1:6" s="114" customFormat="1" ht="12.5" x14ac:dyDescent="0.25">
      <c r="A37" s="110"/>
      <c r="B37" s="111"/>
      <c r="C37" s="111"/>
      <c r="D37" s="111"/>
      <c r="E37" s="111"/>
      <c r="F37" s="113"/>
    </row>
    <row r="38" spans="1:6" s="114" customFormat="1" ht="12.5" x14ac:dyDescent="0.25">
      <c r="A38" s="110"/>
      <c r="B38" s="111"/>
      <c r="C38" s="111"/>
      <c r="D38" s="111"/>
      <c r="E38" s="111"/>
      <c r="F38" s="113"/>
    </row>
    <row r="39" spans="1:6" s="114" customFormat="1" ht="12.5" x14ac:dyDescent="0.25">
      <c r="A39" s="110"/>
      <c r="B39" s="111"/>
      <c r="C39" s="111"/>
      <c r="D39" s="111"/>
      <c r="E39" s="111"/>
      <c r="F39" s="113"/>
    </row>
    <row r="40" spans="1:6" s="114" customFormat="1" ht="12.5" x14ac:dyDescent="0.25">
      <c r="A40" s="110"/>
      <c r="B40" s="111"/>
      <c r="C40" s="111"/>
      <c r="D40" s="111"/>
      <c r="E40" s="111"/>
      <c r="F40" s="113"/>
    </row>
    <row r="41" spans="1:6" s="114" customFormat="1" ht="12.5" x14ac:dyDescent="0.25">
      <c r="A41" s="110"/>
      <c r="B41" s="111"/>
      <c r="C41" s="111"/>
      <c r="D41" s="111"/>
      <c r="E41" s="111"/>
      <c r="F41" s="113"/>
    </row>
    <row r="42" spans="1:6" s="114" customFormat="1" ht="12.5" x14ac:dyDescent="0.25">
      <c r="A42" s="110"/>
      <c r="B42" s="111"/>
      <c r="C42" s="111"/>
      <c r="D42" s="111"/>
      <c r="E42" s="111"/>
      <c r="F42" s="113"/>
    </row>
    <row r="43" spans="1:6" s="114" customFormat="1" ht="12.5" x14ac:dyDescent="0.25">
      <c r="A43" s="110"/>
      <c r="B43" s="111"/>
      <c r="C43" s="111"/>
      <c r="D43" s="111"/>
      <c r="E43" s="111"/>
      <c r="F43" s="113"/>
    </row>
    <row r="44" spans="1:6" s="114" customFormat="1" ht="12.5" x14ac:dyDescent="0.25">
      <c r="A44" s="110"/>
      <c r="B44" s="111"/>
      <c r="C44" s="111"/>
      <c r="D44" s="111"/>
      <c r="E44" s="111"/>
      <c r="F44" s="113"/>
    </row>
    <row r="45" spans="1:6" s="114" customFormat="1" ht="12.5" x14ac:dyDescent="0.25">
      <c r="A45" s="110"/>
      <c r="B45" s="111"/>
      <c r="C45" s="111"/>
      <c r="D45" s="111"/>
      <c r="E45" s="111"/>
      <c r="F45" s="113"/>
    </row>
    <row r="46" spans="1:6" s="114" customFormat="1" ht="12.5" x14ac:dyDescent="0.25">
      <c r="A46" s="110"/>
      <c r="B46" s="111"/>
      <c r="C46" s="111"/>
      <c r="D46" s="111"/>
      <c r="E46" s="111"/>
      <c r="F46" s="113"/>
    </row>
    <row r="47" spans="1:6" s="114" customFormat="1" ht="12.5" x14ac:dyDescent="0.25">
      <c r="A47" s="110"/>
      <c r="B47" s="111"/>
      <c r="C47" s="111"/>
      <c r="D47" s="111"/>
      <c r="E47" s="111"/>
      <c r="F47" s="113"/>
    </row>
    <row r="48" spans="1:6" s="114" customFormat="1" ht="12.5" x14ac:dyDescent="0.25">
      <c r="A48" s="110"/>
      <c r="B48" s="111"/>
      <c r="C48" s="111"/>
      <c r="D48" s="111"/>
      <c r="E48" s="111"/>
      <c r="F48" s="113"/>
    </row>
    <row r="49" spans="1:6" s="114" customFormat="1" ht="12.5" x14ac:dyDescent="0.25">
      <c r="A49" s="110"/>
      <c r="B49" s="111"/>
      <c r="C49" s="111"/>
      <c r="D49" s="111"/>
      <c r="E49" s="111"/>
      <c r="F49" s="113"/>
    </row>
    <row r="50" spans="1:6" s="114" customFormat="1" ht="12.5" x14ac:dyDescent="0.25">
      <c r="A50" s="110"/>
      <c r="B50" s="111"/>
      <c r="C50" s="111"/>
      <c r="D50" s="111"/>
      <c r="E50" s="111"/>
      <c r="F50" s="113"/>
    </row>
    <row r="51" spans="1:6" s="114" customFormat="1" ht="12.5" x14ac:dyDescent="0.25">
      <c r="A51" s="110"/>
      <c r="B51" s="111"/>
      <c r="C51" s="111"/>
      <c r="D51" s="111"/>
      <c r="E51" s="111"/>
      <c r="F51" s="113"/>
    </row>
    <row r="52" spans="1:6" s="114" customFormat="1" ht="12.5" x14ac:dyDescent="0.25">
      <c r="A52" s="110"/>
      <c r="B52" s="111"/>
      <c r="C52" s="111"/>
      <c r="D52" s="111"/>
      <c r="E52" s="111"/>
      <c r="F52" s="113"/>
    </row>
    <row r="53" spans="1:6" s="114" customFormat="1" ht="12.5" x14ac:dyDescent="0.25">
      <c r="A53" s="110"/>
      <c r="B53" s="111"/>
      <c r="C53" s="111"/>
      <c r="D53" s="111"/>
      <c r="E53" s="111"/>
      <c r="F53" s="113"/>
    </row>
    <row r="54" spans="1:6" s="114" customFormat="1" ht="12.5" x14ac:dyDescent="0.25">
      <c r="A54" s="110"/>
      <c r="B54" s="111"/>
      <c r="C54" s="111"/>
      <c r="D54" s="111"/>
      <c r="E54" s="111"/>
      <c r="F54" s="113"/>
    </row>
    <row r="55" spans="1:6" s="114" customFormat="1" ht="12.5" x14ac:dyDescent="0.25">
      <c r="A55" s="110"/>
      <c r="B55" s="111"/>
      <c r="C55" s="111"/>
      <c r="D55" s="111"/>
      <c r="E55" s="111"/>
      <c r="F55" s="113"/>
    </row>
    <row r="56" spans="1:6" s="114" customFormat="1" ht="12.5" x14ac:dyDescent="0.25">
      <c r="A56" s="110"/>
      <c r="B56" s="111"/>
      <c r="C56" s="111"/>
      <c r="D56" s="111"/>
      <c r="E56" s="111"/>
      <c r="F56" s="113"/>
    </row>
    <row r="57" spans="1:6" s="114" customFormat="1" ht="12.5" x14ac:dyDescent="0.25">
      <c r="A57" s="110"/>
      <c r="B57" s="111"/>
      <c r="C57" s="111"/>
      <c r="D57" s="111"/>
      <c r="E57" s="111"/>
      <c r="F57" s="113"/>
    </row>
    <row r="58" spans="1:6" s="114" customFormat="1" ht="12.5" x14ac:dyDescent="0.25">
      <c r="A58" s="111"/>
      <c r="B58" s="111"/>
      <c r="C58" s="111"/>
      <c r="D58" s="111"/>
      <c r="E58" s="111"/>
      <c r="F58" s="113"/>
    </row>
    <row r="59" spans="1:6" ht="12.5" x14ac:dyDescent="0.25">
      <c r="E59" s="5"/>
    </row>
    <row r="60" spans="1:6" ht="12.5" x14ac:dyDescent="0.25">
      <c r="E60" s="5"/>
    </row>
    <row r="61" spans="1:6" ht="12.5" x14ac:dyDescent="0.25">
      <c r="E61" s="5"/>
    </row>
    <row r="62" spans="1:6" ht="12.5" x14ac:dyDescent="0.25">
      <c r="E62" s="5"/>
    </row>
    <row r="63" spans="1:6" ht="12.5" x14ac:dyDescent="0.25">
      <c r="E63" s="5"/>
    </row>
    <row r="64" spans="1:6" ht="12.5" x14ac:dyDescent="0.25">
      <c r="E64" s="5"/>
    </row>
    <row r="65" spans="1:5" s="11" customFormat="1" ht="12.5" x14ac:dyDescent="0.25">
      <c r="A65" s="5"/>
      <c r="B65" s="5"/>
      <c r="C65" s="5"/>
      <c r="D65" s="5"/>
      <c r="E65" s="5"/>
    </row>
  </sheetData>
  <phoneticPr fontId="22" type="noConversion"/>
  <pageMargins left="0.75" right="0.75" top="1" bottom="1" header="0.5" footer="0.5"/>
  <headerFooter alignWithMargins="0"/>
  <customProperties>
    <customPr name="BudgetSheetCodeName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ataSources/>
</file>

<file path=customXml/itemProps1.xml><?xml version="1.0" encoding="utf-8"?>
<ds:datastoreItem xmlns:ds="http://schemas.openxmlformats.org/officeDocument/2006/customXml" ds:itemID="{C20788A9-22D8-4030-B713-D56A562313F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17</vt:i4>
      </vt:variant>
    </vt:vector>
  </HeadingPairs>
  <TitlesOfParts>
    <vt:vector size="22" baseType="lpstr">
      <vt:lpstr>Noise</vt:lpstr>
      <vt:lpstr>FluidData</vt:lpstr>
      <vt:lpstr>PipeData</vt:lpstr>
      <vt:lpstr>ValveData</vt:lpstr>
      <vt:lpstr>Revisions</vt:lpstr>
      <vt:lpstr>Application</vt:lpstr>
      <vt:lpstr>BodyType</vt:lpstr>
      <vt:lpstr>CompressibilityOption</vt:lpstr>
      <vt:lpstr>FlowDirection</vt:lpstr>
      <vt:lpstr>FlowDistributorDesign</vt:lpstr>
      <vt:lpstr>FlowRateType</vt:lpstr>
      <vt:lpstr>FluidList</vt:lpstr>
      <vt:lpstr>MethodOfSpecifyingDensity</vt:lpstr>
      <vt:lpstr>MOSPin</vt:lpstr>
      <vt:lpstr>MOSPout</vt:lpstr>
      <vt:lpstr>NomValveSizes</vt:lpstr>
      <vt:lpstr>PipeCorrectionFactorOption</vt:lpstr>
      <vt:lpstr>PipeData!PipeTable</vt:lpstr>
      <vt:lpstr>Noise!Print_Area</vt:lpstr>
      <vt:lpstr>TypeOfGas</vt:lpstr>
      <vt:lpstr>ValveType</vt:lpstr>
      <vt:lpstr>ValveTypes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Administratr</dc:creator>
  <cp:lastModifiedBy>rong zhao</cp:lastModifiedBy>
  <dcterms:created xsi:type="dcterms:W3CDTF">2008-05-23T18:05:50Z</dcterms:created>
  <dcterms:modified xsi:type="dcterms:W3CDTF">2026-09-02T01:22:04Z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UFIDA_U9App_DataSourceXMLPart">
    <vt:lpwstr>{C20788A9-22D8-4030-B713-D56A562313F4}</vt:lpwstr>
  </property>
</Properties>
</file>