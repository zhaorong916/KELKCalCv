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工作文档(ST)\管理文件\格式文件\"/>
    </mc:Choice>
  </mc:AlternateContent>
  <xr:revisionPtr revIDLastSave="0" documentId="13_ncr:1_{1C61405E-CFE3-4401-A118-AC4175943B51}" xr6:coauthVersionLast="47" xr6:coauthVersionMax="47" xr10:uidLastSave="{00000000-0000-0000-0000-000000000000}"/>
  <bookViews>
    <workbookView xWindow="-120" yWindow="-120" windowWidth="29040" windowHeight="15840" tabRatio="929" activeTab="7" xr2:uid="{00000000-000D-0000-FFFF-FFFF00000000}"/>
  </bookViews>
  <sheets>
    <sheet name="Data" sheetId="15" r:id="rId1"/>
    <sheet name="Cv计算原始数据" sheetId="68" r:id="rId2"/>
    <sheet name="神通数据源" sheetId="12" r:id="rId3"/>
    <sheet name="价格" sheetId="54" r:id="rId4"/>
    <sheet name="神通气动控制阀规格数据表" sheetId="46" r:id="rId5"/>
    <sheet name="神通电动控制阀规格数据表" sheetId="52" r:id="rId6"/>
    <sheet name="神通控制阀规格数据表 英文版" sheetId="50" state="hidden" r:id="rId7"/>
    <sheet name="一览表" sheetId="55" r:id="rId8"/>
    <sheet name="推力计算数据提取" sheetId="56" state="hidden" r:id="rId9"/>
    <sheet name="CV计算书" sheetId="57" state="hidden" r:id="rId10"/>
    <sheet name="流速计算书" sheetId="59" state="hidden" r:id="rId11"/>
    <sheet name="阀本体询价" sheetId="60" state="hidden" r:id="rId12"/>
    <sheet name="气动执行机构询价" sheetId="61" state="hidden" r:id="rId13"/>
    <sheet name="电动执行机构询价" sheetId="62" state="hidden" r:id="rId14"/>
    <sheet name="定位器询价" sheetId="63" state="hidden" r:id="rId15"/>
    <sheet name="过滤减压阀询价 " sheetId="64" state="hidden" r:id="rId16"/>
    <sheet name="电磁阀询价" sheetId="65" state="hidden" r:id="rId17"/>
    <sheet name="限位开关询价 " sheetId="66" state="hidden" r:id="rId18"/>
    <sheet name="其他附件询价" sheetId="67" state="hidden" r:id="rId19"/>
  </sheets>
  <externalReferences>
    <externalReference r:id="rId20"/>
    <externalReference r:id="rId21"/>
  </externalReferences>
  <definedNames>
    <definedName name="_xlnm._FilterDatabase" localSheetId="0">Data!$BJ$2:$BJ$26</definedName>
    <definedName name="_xlnm._FilterDatabase" localSheetId="3">价格!$A$14:$AC$23</definedName>
    <definedName name="_xlnm._FilterDatabase" localSheetId="2" hidden="1">神通数据源!$A$10:$IE$11</definedName>
    <definedName name="_xlnm._FilterDatabase" localSheetId="8" hidden="1">推力计算数据提取!$A$2:$W$2</definedName>
    <definedName name="area">神通数据源!$A:$HV</definedName>
    <definedName name="Cvtaglist">OFFSET([1]原始数据提取2!$D$7,,,COUNTA([1]原始数据提取2!$D$7:$D$64266),)</definedName>
    <definedName name="dataarea" comment="数据查询区域">OFFSET([1]原始数据提取2!$D$7,,,COUNTA([1]原始数据提取2!$D$7:$D$64266),140)</definedName>
    <definedName name="midlist">OFFSET(神通数据源!$G$9,2,,COUNTA(神通数据源!$G$9:$G$65200)-1,)</definedName>
    <definedName name="Numlist">OFFSET([1]原始数据提取2!$C$7,,,COUNTA([1]原始数据提取2!$C$7:$C$64266),)</definedName>
    <definedName name="_xlnm.Print_Area" localSheetId="9">CV计算书!$A$1:$L$60</definedName>
    <definedName name="_xlnm.Print_Area" localSheetId="3">价格!$A$1:$BD$22</definedName>
    <definedName name="_xlnm.Print_Area" localSheetId="5">神通电动控制阀规格数据表!$A$1:$X$59</definedName>
    <definedName name="_xlnm.Print_Area" localSheetId="4">神通气动控制阀规格数据表!$A$1:$X$59</definedName>
    <definedName name="srlist">OFFSET(神通数据源!$A$9,2,,COUNTA(神通数据源!$A$9:$A$65200)-1,)</definedName>
    <definedName name="tagarea" comment="位号查询区域">OFFSET([1]原始数据提取2!$C$7,,,COUNTA([1]原始数据提取2!$C$7:$C$64266),2)</definedName>
    <definedName name="taglist">OFFSET(神通数据源!$B$9,2,,COUNTA(神通数据源!$B$9:$B$65200)-1,)</definedName>
    <definedName name="单向阀型号">OFFSET(Data!$BE$3,,,COUNTA(Data!$BE:$BE)-1)</definedName>
    <definedName name="单作用拨叉式气缸型">Data!$AJ$3:$AJ$27</definedName>
    <definedName name="单作用齿轮齿条式气缸型">Data!$AF$3:$AF$18</definedName>
    <definedName name="单作用活塞式气缸型">Data!$AH$3:$AH$7</definedName>
    <definedName name="弹簧薄膜型">Data!$AD$3:$AD$17</definedName>
    <definedName name="弹簧范围">OFFSET(Data!$AP$3,,,COUNTA(Data!$AP:$AP)-1)</definedName>
    <definedName name="导向套材质">OFFSET(Data!$Z$3,,,COUNTA(Data!$Z:$Z)-1)</definedName>
    <definedName name="电磁阀供电电源">OFFSET(Data!$AV$3,,,COUNTA(Data!$AV:$AV)-1)</definedName>
    <definedName name="电磁阀型号">OFFSET(Data!$AU$3,,,COUNTA(Data!$AU:$AU)-1)</definedName>
    <definedName name="电动调节型">Data!$AL$3:$AL$88</definedName>
    <definedName name="电动开关型">Data!$AM$3:$AM$80</definedName>
    <definedName name="电气接口">OFFSET(Data!$AY$3,,,COUNTA(Data!$AY:$AY)-1)</definedName>
    <definedName name="电液式">OFFSET(Data!$AN$3,,,COUNTA(Data!$AN:$AN)-1)</definedName>
    <definedName name="垫圈">OFFSET(Data!$T$3,,,COUNTA(Data!$T:$T)-1)</definedName>
    <definedName name="定位器输出信号">OFFSET(Data!$AS$3,,,COUNTA(Data!$AS:$AS)-1)</definedName>
    <definedName name="定位器输入信号">OFFSET(Data!$AR$3,,,COUNTA(Data!$AR:$AR)-1)</definedName>
    <definedName name="定位器型号">OFFSET(Data!$AQ$3,,,COUNTA(Data!$AQ:$AQ)-2)</definedName>
    <definedName name="动力源">OFFSET(Data!$AO$3,,,COUNTA(Data!$AO:$AO))</definedName>
    <definedName name="阀盖类型">OFFSET(Data!$R$3,,,COUNTA(Data!$R:$R)-2)</definedName>
    <definedName name="阀杆材质">OFFSET(Data!$AC$3,,,COUNTA(Data!$AC:$AC)-1)</definedName>
    <definedName name="阀门口径">OFFSET(Data!$D$3,,,COUNTA(Data!$D:$D)-1,)</definedName>
    <definedName name="阀门名称">Data!$BN$3:$BP$114</definedName>
    <definedName name="阀体材质">OFFSET(Data!$P$3,,,COUNTA(Data!$P:$P)-1,)</definedName>
    <definedName name="阀体型号">OFFSET(Data!$K$3,,,COUNTA(Data!$K:$K)-2,)</definedName>
    <definedName name="阀芯材质">OFFSET(Data!$W$3,,,COUNTA(Data!$W:$W)-1,)</definedName>
    <definedName name="阀芯尺寸">OFFSET(Data!$X$3,,,COUNTA(Data!$X:$X)-1,)</definedName>
    <definedName name="阀座材质">OFFSET(Data!$Y$3,,,COUNTA(Data!$Y:$Y)-1,)</definedName>
    <definedName name="法兰标准">OFFSET(Data!$M$3:$M$12,,,COUNTA(Data!$Y:$Y)-1,)</definedName>
    <definedName name="防爆等级">OFFSET(Data!$BA$3,,,COUNTA(Data!$BA:$BA)-1)</definedName>
    <definedName name="辅型号">OFFSET(Data!$AE$3,,,COUNTA(Data!$AE:$AE))</definedName>
    <definedName name="过滤减压阀型号">OFFSET(Data!$AT$3,,,COUNTA(Data!$AT:$AT)-1)</definedName>
    <definedName name="过滤器型号">Data!$BF$3:$BF$22</definedName>
    <definedName name="夹套连接">OFFSET(Data!$U$3,,,COUNTA(Data!$U:$U)-1)</definedName>
    <definedName name="介质状态">OFFSET(Data!$E$3,,,COUNTA(Data!$E:$E)-2)</definedName>
    <definedName name="开关位置">OFFSET(Data!$AX$3,,,COUNTA(Data!$AX:$AX)-1)</definedName>
    <definedName name="客户名称">OFFSET(Data!$BJ$3,,,COUNTA(Data!$BJ:$BJ)-1)</definedName>
    <definedName name="连接形式">OFFSET(Data!$N$3,,,COUNTA(Data!$N:$N)-1)</definedName>
    <definedName name="流量单位">OFFSET(Data!$F$3,,,COUNTA(Data!$F:$F)-1)</definedName>
    <definedName name="流量特性">OFFSET(Data!$V$3,,,COUNTA(Data!$V:$V)-1)</definedName>
    <definedName name="流向">OFFSET(Data!$Q$3,,,COUNTA(Data!$Q:$Q)-1)</definedName>
    <definedName name="密度单位">OFFSET(Data!$I$3,,,COUNTA(Data!$I:$I)-1)</definedName>
    <definedName name="密封面">OFFSET(Data!$O$3,,,COUNTA(Data!$O:$O)-1)</definedName>
    <definedName name="平衡密封">OFFSET(Data!$AB$3,,,COUNTA(Data!$AB:$AB)-1)</definedName>
    <definedName name="其他附件">OFFSET(Data!$BG$3,,,COUNTA(Data!$BG:$BG)-1)</definedName>
    <definedName name="气包型号">OFFSET(Data!$BD$3,,,COUNTA(Data!$BD:$BD)-1)</definedName>
    <definedName name="气动增速器型号">OFFSET(Data!$BB$3,,,COUNTA(Data!$BB:$BB)-1)</definedName>
    <definedName name="气控阀型号">OFFSET(Data!$BC$3,,,COUNTA(Data!$BC:$BC)-1)</definedName>
    <definedName name="气源接口">OFFSET(Data!$AZ$3,,,COUNTA(Data!$AZ:$AZ)-1)</definedName>
    <definedName name="双作用拨叉式气缸型">Data!$AK$3:$AK$23</definedName>
    <definedName name="双作用齿轮齿条式气缸型">Data!$AG$3:$AG$18</definedName>
    <definedName name="双作用活塞式气缸型">Data!$AI$3:$AI$9</definedName>
    <definedName name="锁止阀型号">OFFSET(Data!$BH$3,,,COUNTA(Data!$BH:$BH)-1)</definedName>
    <definedName name="套筒材质">OFFSET(Data!$AA$3,,,COUNTA(Data!$AA:$AA)-1)</definedName>
    <definedName name="填料">OFFSET(Data!$S$3,,,COUNTA(Data!$S:$S)-1)</definedName>
    <definedName name="温度单位">OFFSET(Data!$H$3,,,COUNTA(Data!$H:$H)-1)</definedName>
    <definedName name="限位开关型号">OFFSET(Data!$AW$3,,,COUNTA(Data!$AW:$AW)-1)</definedName>
    <definedName name="泄漏等级">OFFSET(Data!$BI$3,,,COUNTA(Data!$BI:$BI)-1)</definedName>
    <definedName name="压力单位">OFFSET(Data!$G$3,,,COUNTA(Data!$G:$G)-1)</definedName>
    <definedName name="压力等级">OFFSET(Data!$L$3,,,COUNTA(Data!$L:$L)-1)</definedName>
    <definedName name="有效面积">Data!$BZ$6:$CA$20</definedName>
    <definedName name="粘度单位">OFFSET(Data!$J$3,,,COUNTA(Data!$J:$J)-1)</definedName>
  </definedNames>
  <calcPr calcId="191029"/>
</workbook>
</file>

<file path=xl/calcChain.xml><?xml version="1.0" encoding="utf-8"?>
<calcChain xmlns="http://schemas.openxmlformats.org/spreadsheetml/2006/main">
  <c r="V39" i="46" l="1"/>
  <c r="DK11" i="12"/>
  <c r="DL11" i="12"/>
  <c r="DR11" i="12"/>
  <c r="A16" i="54"/>
  <c r="B16" i="54"/>
  <c r="G16" i="54"/>
  <c r="U16" i="54"/>
  <c r="Y16" i="54"/>
  <c r="T16" i="54" s="1"/>
  <c r="V16" i="54" s="1"/>
  <c r="Z16" i="54"/>
  <c r="AB16" i="54"/>
  <c r="AD16" i="54"/>
  <c r="AE16" i="54"/>
  <c r="AG16" i="54"/>
  <c r="AH16" i="54"/>
  <c r="AJ16" i="54"/>
  <c r="AK16" i="54"/>
  <c r="AM16" i="54"/>
  <c r="AN16" i="54"/>
  <c r="AP16" i="54"/>
  <c r="AQ16" i="54"/>
  <c r="AS16" i="54"/>
  <c r="AU16" i="54"/>
  <c r="AV16" i="54"/>
  <c r="AX16" i="54"/>
  <c r="AY16" i="54"/>
  <c r="A17" i="54"/>
  <c r="B17" i="54"/>
  <c r="G17" i="54"/>
  <c r="U17" i="54"/>
  <c r="Y17" i="54"/>
  <c r="T17" i="54" s="1"/>
  <c r="V17" i="54" s="1"/>
  <c r="Z17" i="54"/>
  <c r="AB17" i="54"/>
  <c r="AD17" i="54"/>
  <c r="AE17" i="54"/>
  <c r="AG17" i="54"/>
  <c r="AH17" i="54"/>
  <c r="AJ17" i="54"/>
  <c r="AK17" i="54"/>
  <c r="AM17" i="54"/>
  <c r="AN17" i="54"/>
  <c r="AP17" i="54"/>
  <c r="AQ17" i="54"/>
  <c r="AS17" i="54"/>
  <c r="AU17" i="54"/>
  <c r="AV17" i="54"/>
  <c r="AX17" i="54"/>
  <c r="AY17" i="54"/>
  <c r="A18" i="54"/>
  <c r="B18" i="54"/>
  <c r="G18" i="54"/>
  <c r="U18" i="54"/>
  <c r="Y18" i="54"/>
  <c r="T18" i="54" s="1"/>
  <c r="V18" i="54" s="1"/>
  <c r="Z18" i="54"/>
  <c r="AB18" i="54"/>
  <c r="AD18" i="54"/>
  <c r="AE18" i="54"/>
  <c r="AG18" i="54"/>
  <c r="AH18" i="54"/>
  <c r="AJ18" i="54"/>
  <c r="AK18" i="54"/>
  <c r="AM18" i="54"/>
  <c r="AN18" i="54"/>
  <c r="AP18" i="54"/>
  <c r="AQ18" i="54"/>
  <c r="AS18" i="54"/>
  <c r="AU18" i="54"/>
  <c r="AV18" i="54"/>
  <c r="AX18" i="54"/>
  <c r="AY18" i="54"/>
  <c r="K51" i="46"/>
  <c r="Y15" i="54"/>
  <c r="T15" i="54" s="1"/>
  <c r="CD11" i="12"/>
  <c r="G48" i="46" l="1"/>
  <c r="G47" i="46"/>
  <c r="C11" i="12" l="1"/>
  <c r="P3" i="55"/>
  <c r="N3" i="55"/>
  <c r="F4" i="56" l="1"/>
  <c r="F5" i="56"/>
  <c r="F6" i="56"/>
  <c r="F7" i="56"/>
  <c r="F3" i="56"/>
  <c r="L3" i="55"/>
  <c r="U56" i="52"/>
  <c r="U55" i="52"/>
  <c r="U54" i="52"/>
  <c r="P56" i="52"/>
  <c r="P55" i="52"/>
  <c r="P54" i="52"/>
  <c r="I59" i="52"/>
  <c r="I58" i="52"/>
  <c r="I57" i="52"/>
  <c r="D59" i="52"/>
  <c r="D58" i="52"/>
  <c r="D57" i="52"/>
  <c r="G49" i="52"/>
  <c r="G48" i="52"/>
  <c r="G47" i="52"/>
  <c r="G46" i="52"/>
  <c r="G45" i="52"/>
  <c r="G43" i="52"/>
  <c r="G40" i="52"/>
  <c r="J39" i="52"/>
  <c r="F39" i="52"/>
  <c r="F37" i="52"/>
  <c r="F35" i="52"/>
  <c r="F34" i="52"/>
  <c r="J31" i="52"/>
  <c r="G31" i="52"/>
  <c r="J30" i="52"/>
  <c r="G30" i="52"/>
  <c r="G29" i="52"/>
  <c r="E29" i="52"/>
  <c r="G28" i="52"/>
  <c r="E28" i="52"/>
  <c r="K41" i="52"/>
  <c r="U53" i="52"/>
  <c r="U52" i="52"/>
  <c r="R51" i="52"/>
  <c r="V45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Q29" i="52"/>
  <c r="R29" i="52"/>
  <c r="R28" i="52"/>
  <c r="R27" i="52"/>
  <c r="R26" i="52"/>
  <c r="R25" i="52"/>
  <c r="U22" i="52"/>
  <c r="R22" i="52"/>
  <c r="R21" i="5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DK6" i="12"/>
  <c r="DL6" i="12"/>
  <c r="DM6" i="12"/>
  <c r="DN6" i="12"/>
  <c r="DO6" i="12"/>
  <c r="DP6" i="12"/>
  <c r="DQ6" i="12"/>
  <c r="DR6" i="12"/>
  <c r="DS6" i="12"/>
  <c r="DT6" i="12"/>
  <c r="DU6" i="12"/>
  <c r="DV6" i="12"/>
  <c r="DW6" i="12"/>
  <c r="DX6" i="12"/>
  <c r="DY6" i="12"/>
  <c r="DZ6" i="12"/>
  <c r="EA6" i="12"/>
  <c r="EB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EW6" i="12"/>
  <c r="EX6" i="12"/>
  <c r="EY6" i="12"/>
  <c r="EZ6" i="12"/>
  <c r="FA6" i="12"/>
  <c r="FB6" i="12"/>
  <c r="FC6" i="12"/>
  <c r="FD6" i="12"/>
  <c r="FE6" i="12"/>
  <c r="FF6" i="12"/>
  <c r="FG6" i="12"/>
  <c r="FH6" i="12"/>
  <c r="FI6" i="12"/>
  <c r="FJ6" i="12"/>
  <c r="FK6" i="12"/>
  <c r="FL6" i="12"/>
  <c r="FM6" i="12"/>
  <c r="FN6" i="12"/>
  <c r="FO6" i="12"/>
  <c r="FP6" i="12"/>
  <c r="FQ6" i="12"/>
  <c r="FR6" i="12"/>
  <c r="FS6" i="12"/>
  <c r="FT6" i="12"/>
  <c r="FU6" i="12"/>
  <c r="FV6" i="12"/>
  <c r="FW6" i="12"/>
  <c r="FX6" i="12"/>
  <c r="FY6" i="12"/>
  <c r="FZ6" i="12"/>
  <c r="GA6" i="12"/>
  <c r="GB6" i="12"/>
  <c r="GC6" i="12"/>
  <c r="GD6" i="12"/>
  <c r="GE6" i="12"/>
  <c r="GF6" i="12"/>
  <c r="GG6" i="12"/>
  <c r="GH6" i="12"/>
  <c r="GI6" i="12"/>
  <c r="GJ6" i="12"/>
  <c r="GK6" i="12"/>
  <c r="GL6" i="12"/>
  <c r="GM6" i="12"/>
  <c r="GN6" i="12"/>
  <c r="GO6" i="12"/>
  <c r="GP6" i="12"/>
  <c r="GQ6" i="12"/>
  <c r="GR6" i="12"/>
  <c r="GS6" i="12"/>
  <c r="GT6" i="12"/>
  <c r="GU6" i="12"/>
  <c r="GV6" i="12"/>
  <c r="GW6" i="12"/>
  <c r="GX6" i="12"/>
  <c r="GY6" i="12"/>
  <c r="GZ6" i="12"/>
  <c r="HA6" i="12"/>
  <c r="HB6" i="12"/>
  <c r="HC6" i="12"/>
  <c r="HD6" i="12"/>
  <c r="HE6" i="12"/>
  <c r="HF6" i="12"/>
  <c r="HG6" i="12"/>
  <c r="HH6" i="12"/>
  <c r="HI6" i="12"/>
  <c r="HJ6" i="12"/>
  <c r="HK6" i="12"/>
  <c r="HL6" i="12"/>
  <c r="HM6" i="12"/>
  <c r="HN6" i="12"/>
  <c r="HO6" i="12"/>
  <c r="HP6" i="12"/>
  <c r="HQ6" i="12"/>
  <c r="HR6" i="12"/>
  <c r="HS6" i="12"/>
  <c r="HT6" i="12"/>
  <c r="HU6" i="12"/>
  <c r="I6" i="12"/>
  <c r="R24" i="52"/>
  <c r="R23" i="52"/>
  <c r="CW11" i="12"/>
  <c r="G41" i="52" s="1"/>
  <c r="CR11" i="12" l="1"/>
  <c r="G42" i="52" s="1"/>
  <c r="CQ11" i="12"/>
  <c r="G44" i="52" s="1"/>
  <c r="R22" i="46" l="1"/>
  <c r="BB11" i="12"/>
  <c r="B6" i="56" l="1"/>
  <c r="K6" i="56"/>
  <c r="B7" i="56"/>
  <c r="K7" i="56"/>
  <c r="G23" i="46"/>
  <c r="U56" i="46"/>
  <c r="U55" i="46"/>
  <c r="U54" i="46"/>
  <c r="P56" i="46"/>
  <c r="P55" i="46"/>
  <c r="P54" i="46"/>
  <c r="V53" i="46"/>
  <c r="Q53" i="46"/>
  <c r="V52" i="46"/>
  <c r="Q52" i="46"/>
  <c r="X51" i="46"/>
  <c r="T51" i="46"/>
  <c r="Q51" i="46"/>
  <c r="W50" i="46"/>
  <c r="T50" i="46"/>
  <c r="Q50" i="46"/>
  <c r="V49" i="46"/>
  <c r="R49" i="46"/>
  <c r="U48" i="46"/>
  <c r="U47" i="46"/>
  <c r="R45" i="46"/>
  <c r="V44" i="46"/>
  <c r="R44" i="46"/>
  <c r="R43" i="46"/>
  <c r="V42" i="46"/>
  <c r="R42" i="46"/>
  <c r="V41" i="46"/>
  <c r="Q41" i="46"/>
  <c r="R40" i="46"/>
  <c r="R39" i="46"/>
  <c r="V38" i="46"/>
  <c r="R38" i="46"/>
  <c r="W37" i="46"/>
  <c r="Q37" i="46"/>
  <c r="V36" i="46"/>
  <c r="Q36" i="46"/>
  <c r="S35" i="46"/>
  <c r="V34" i="46"/>
  <c r="Q34" i="46"/>
  <c r="R32" i="46"/>
  <c r="V32" i="46"/>
  <c r="V31" i="46"/>
  <c r="Q31" i="46"/>
  <c r="V30" i="46"/>
  <c r="R30" i="46"/>
  <c r="R29" i="46"/>
  <c r="R28" i="46"/>
  <c r="R26" i="46"/>
  <c r="T26" i="46"/>
  <c r="R25" i="46"/>
  <c r="V24" i="46"/>
  <c r="R24" i="46"/>
  <c r="R21" i="46"/>
  <c r="Q6" i="60"/>
  <c r="G14" i="57"/>
  <c r="I59" i="46"/>
  <c r="I58" i="46"/>
  <c r="I57" i="46"/>
  <c r="D59" i="46"/>
  <c r="D58" i="46"/>
  <c r="D57" i="46"/>
  <c r="K56" i="46"/>
  <c r="F56" i="46"/>
  <c r="K55" i="46"/>
  <c r="F55" i="46"/>
  <c r="K54" i="46"/>
  <c r="F54" i="46"/>
  <c r="K53" i="46"/>
  <c r="K52" i="46"/>
  <c r="F53" i="46"/>
  <c r="F52" i="46"/>
  <c r="F51" i="46"/>
  <c r="G49" i="46"/>
  <c r="G43" i="46"/>
  <c r="G40" i="46"/>
  <c r="F39" i="46"/>
  <c r="F35" i="46"/>
  <c r="J31" i="46"/>
  <c r="J30" i="46"/>
  <c r="G31" i="46"/>
  <c r="G30" i="46"/>
  <c r="W2" i="52"/>
  <c r="AN1" i="52" s="1"/>
  <c r="C6" i="67"/>
  <c r="A6" i="67"/>
  <c r="C5" i="67"/>
  <c r="A5" i="67"/>
  <c r="C4" i="67"/>
  <c r="A4" i="67"/>
  <c r="N6" i="66"/>
  <c r="L6" i="66"/>
  <c r="J6" i="66"/>
  <c r="I6" i="66"/>
  <c r="H6" i="66"/>
  <c r="G6" i="66"/>
  <c r="F6" i="66"/>
  <c r="C6" i="66"/>
  <c r="A6" i="66"/>
  <c r="N5" i="66"/>
  <c r="L5" i="66"/>
  <c r="J5" i="66"/>
  <c r="I5" i="66"/>
  <c r="H5" i="66"/>
  <c r="G5" i="66"/>
  <c r="F5" i="66"/>
  <c r="C5" i="66"/>
  <c r="A5" i="66"/>
  <c r="N4" i="66"/>
  <c r="L4" i="66"/>
  <c r="J4" i="66"/>
  <c r="I4" i="66"/>
  <c r="H4" i="66"/>
  <c r="G4" i="66"/>
  <c r="F4" i="66"/>
  <c r="C4" i="66"/>
  <c r="A4" i="66"/>
  <c r="O6" i="65"/>
  <c r="M6" i="65"/>
  <c r="L6" i="65"/>
  <c r="K6" i="65"/>
  <c r="J6" i="65"/>
  <c r="I6" i="65"/>
  <c r="H6" i="65"/>
  <c r="G6" i="65"/>
  <c r="F6" i="65"/>
  <c r="C6" i="65"/>
  <c r="A6" i="65"/>
  <c r="O5" i="65"/>
  <c r="M5" i="65"/>
  <c r="L5" i="65"/>
  <c r="K5" i="65"/>
  <c r="J5" i="65"/>
  <c r="I5" i="65"/>
  <c r="H5" i="65"/>
  <c r="G5" i="65"/>
  <c r="F5" i="65"/>
  <c r="C5" i="65"/>
  <c r="A5" i="65"/>
  <c r="O4" i="65"/>
  <c r="M4" i="65"/>
  <c r="L4" i="65"/>
  <c r="K4" i="65"/>
  <c r="J4" i="65"/>
  <c r="I4" i="65"/>
  <c r="H4" i="65"/>
  <c r="G4" i="65"/>
  <c r="F4" i="65"/>
  <c r="C4" i="65"/>
  <c r="A4" i="65"/>
  <c r="J6" i="64"/>
  <c r="I6" i="64"/>
  <c r="H6" i="64"/>
  <c r="G6" i="64"/>
  <c r="C6" i="64"/>
  <c r="A6" i="64"/>
  <c r="J5" i="64"/>
  <c r="I5" i="64"/>
  <c r="H5" i="64"/>
  <c r="G5" i="64"/>
  <c r="C5" i="64"/>
  <c r="A5" i="64"/>
  <c r="J4" i="64"/>
  <c r="I4" i="64"/>
  <c r="H4" i="64"/>
  <c r="G4" i="64"/>
  <c r="C4" i="64"/>
  <c r="A4" i="64"/>
  <c r="N6" i="63"/>
  <c r="M6" i="63"/>
  <c r="L6" i="63"/>
  <c r="K6" i="63"/>
  <c r="J6" i="63"/>
  <c r="I6" i="63"/>
  <c r="H6" i="63"/>
  <c r="F6" i="63"/>
  <c r="C6" i="63"/>
  <c r="A6" i="63"/>
  <c r="N5" i="63"/>
  <c r="M5" i="63"/>
  <c r="L5" i="63"/>
  <c r="K5" i="63"/>
  <c r="J5" i="63"/>
  <c r="I5" i="63"/>
  <c r="H5" i="63"/>
  <c r="F5" i="63"/>
  <c r="C5" i="63"/>
  <c r="A5" i="63"/>
  <c r="N4" i="63"/>
  <c r="M4" i="63"/>
  <c r="L4" i="63"/>
  <c r="K4" i="63"/>
  <c r="J4" i="63"/>
  <c r="I4" i="63"/>
  <c r="H4" i="63"/>
  <c r="F4" i="63"/>
  <c r="C4" i="63"/>
  <c r="A4" i="63"/>
  <c r="AC5" i="62"/>
  <c r="AB5" i="62"/>
  <c r="AA5" i="62"/>
  <c r="Z5" i="62"/>
  <c r="Y5" i="62"/>
  <c r="X5" i="62"/>
  <c r="W5" i="62"/>
  <c r="V5" i="62"/>
  <c r="U5" i="62"/>
  <c r="T5" i="62"/>
  <c r="S5" i="62"/>
  <c r="R5" i="62"/>
  <c r="Q5" i="62"/>
  <c r="P5" i="62"/>
  <c r="O5" i="62"/>
  <c r="M5" i="62"/>
  <c r="K5" i="62"/>
  <c r="J5" i="62"/>
  <c r="I5" i="62"/>
  <c r="H5" i="62"/>
  <c r="F5" i="62"/>
  <c r="C5" i="62"/>
  <c r="A5" i="62"/>
  <c r="AC4" i="62"/>
  <c r="AB4" i="62"/>
  <c r="AA4" i="62"/>
  <c r="Z4" i="62"/>
  <c r="Y4" i="62"/>
  <c r="X4" i="62"/>
  <c r="W4" i="62"/>
  <c r="V4" i="62"/>
  <c r="U4" i="62"/>
  <c r="T4" i="62"/>
  <c r="S4" i="62"/>
  <c r="R4" i="62"/>
  <c r="Q4" i="62"/>
  <c r="P4" i="62"/>
  <c r="O4" i="62"/>
  <c r="M4" i="62"/>
  <c r="K4" i="62"/>
  <c r="J4" i="62"/>
  <c r="I4" i="62"/>
  <c r="H4" i="62"/>
  <c r="F4" i="62"/>
  <c r="C4" i="62"/>
  <c r="A4" i="62"/>
  <c r="C8" i="61"/>
  <c r="C7" i="61"/>
  <c r="I6" i="61"/>
  <c r="H6" i="61"/>
  <c r="F6" i="61"/>
  <c r="C6" i="61"/>
  <c r="A6" i="61"/>
  <c r="I5" i="61"/>
  <c r="H5" i="61"/>
  <c r="F5" i="61"/>
  <c r="C5" i="61"/>
  <c r="A5" i="61"/>
  <c r="I4" i="61"/>
  <c r="H4" i="61"/>
  <c r="F4" i="61"/>
  <c r="C4" i="61"/>
  <c r="A4" i="61"/>
  <c r="J6" i="60"/>
  <c r="H6" i="60"/>
  <c r="F6" i="60"/>
  <c r="A6" i="60"/>
  <c r="J5" i="60"/>
  <c r="H5" i="60"/>
  <c r="F5" i="60"/>
  <c r="A5" i="60"/>
  <c r="J4" i="60"/>
  <c r="H4" i="60"/>
  <c r="F4" i="60"/>
  <c r="A4" i="60"/>
  <c r="F3" i="59"/>
  <c r="B3" i="59"/>
  <c r="B2" i="59"/>
  <c r="AN1" i="59"/>
  <c r="B1" i="59"/>
  <c r="D40" i="57"/>
  <c r="E31" i="57"/>
  <c r="G30" i="57"/>
  <c r="J9" i="57"/>
  <c r="C9" i="57"/>
  <c r="J8" i="57"/>
  <c r="C8" i="57"/>
  <c r="AN1" i="57"/>
  <c r="K5" i="56"/>
  <c r="B5" i="56"/>
  <c r="K4" i="56"/>
  <c r="B4" i="56"/>
  <c r="K3" i="56"/>
  <c r="B3" i="56"/>
  <c r="C3" i="55"/>
  <c r="B3" i="55"/>
  <c r="H20" i="50"/>
  <c r="G27" i="52"/>
  <c r="G26" i="52"/>
  <c r="G23" i="52"/>
  <c r="U21" i="52"/>
  <c r="V16" i="52"/>
  <c r="S16" i="52"/>
  <c r="P16" i="52"/>
  <c r="M16" i="52"/>
  <c r="J16" i="52"/>
  <c r="V15" i="52"/>
  <c r="S15" i="52"/>
  <c r="P15" i="52"/>
  <c r="M15" i="52"/>
  <c r="J15" i="52"/>
  <c r="H12" i="52"/>
  <c r="H6" i="52"/>
  <c r="H5" i="52"/>
  <c r="T4" i="52"/>
  <c r="T3" i="52"/>
  <c r="H3" i="52"/>
  <c r="H2" i="52"/>
  <c r="AL1" i="52"/>
  <c r="A1" i="52"/>
  <c r="G27" i="46"/>
  <c r="G26" i="46"/>
  <c r="V16" i="46"/>
  <c r="S16" i="46"/>
  <c r="P16" i="46"/>
  <c r="M16" i="46"/>
  <c r="J16" i="46"/>
  <c r="V15" i="46"/>
  <c r="S15" i="46"/>
  <c r="P15" i="46"/>
  <c r="M15" i="46"/>
  <c r="J15" i="46"/>
  <c r="H12" i="46"/>
  <c r="H6" i="46"/>
  <c r="H5" i="46"/>
  <c r="T4" i="46"/>
  <c r="T3" i="46"/>
  <c r="H3" i="46"/>
  <c r="W2" i="46"/>
  <c r="H2" i="46"/>
  <c r="AN1" i="46"/>
  <c r="A1" i="46"/>
  <c r="AY15" i="54"/>
  <c r="AX15" i="54"/>
  <c r="AV15" i="54"/>
  <c r="AU15" i="54"/>
  <c r="AS15" i="54"/>
  <c r="AQ15" i="54"/>
  <c r="AP15" i="54"/>
  <c r="AN15" i="54"/>
  <c r="AM15" i="54"/>
  <c r="AK15" i="54"/>
  <c r="AJ15" i="54"/>
  <c r="AH15" i="54"/>
  <c r="AG15" i="54"/>
  <c r="AE15" i="54"/>
  <c r="AD15" i="54"/>
  <c r="AB15" i="54"/>
  <c r="Z15" i="54"/>
  <c r="B15" i="54"/>
  <c r="A15" i="54"/>
  <c r="G10" i="54"/>
  <c r="F10" i="54"/>
  <c r="G4" i="12"/>
  <c r="O5" i="52" s="1"/>
  <c r="L11" i="12" l="1"/>
  <c r="L6" i="56"/>
  <c r="E7" i="56"/>
  <c r="M6" i="56"/>
  <c r="L7" i="56"/>
  <c r="E6" i="56"/>
  <c r="M7" i="56"/>
  <c r="E41" i="57"/>
  <c r="G25" i="52"/>
  <c r="G44" i="46"/>
  <c r="G25" i="46"/>
  <c r="L5" i="56"/>
  <c r="R6" i="60"/>
  <c r="D41" i="57"/>
  <c r="G5" i="60"/>
  <c r="L5" i="60"/>
  <c r="G42" i="46"/>
  <c r="Q5" i="60"/>
  <c r="L4" i="56"/>
  <c r="L6" i="60"/>
  <c r="E29" i="46"/>
  <c r="R5" i="60"/>
  <c r="G6" i="60"/>
  <c r="O5" i="46"/>
  <c r="J23" i="46" l="1"/>
  <c r="J23" i="52"/>
  <c r="J7" i="56"/>
  <c r="Q7" i="56" s="1"/>
  <c r="C5" i="60"/>
  <c r="E4" i="56"/>
  <c r="J4" i="56"/>
  <c r="Q4" i="56" s="1"/>
  <c r="S5" i="60"/>
  <c r="E5" i="63"/>
  <c r="E5" i="62"/>
  <c r="E5" i="61"/>
  <c r="J5" i="56"/>
  <c r="Q5" i="56" s="1"/>
  <c r="S6" i="60"/>
  <c r="J11" i="12"/>
  <c r="J22" i="46" s="1"/>
  <c r="G22" i="46"/>
  <c r="J6" i="56"/>
  <c r="Q6" i="56" s="1"/>
  <c r="AE4" i="62"/>
  <c r="L4" i="61"/>
  <c r="T6" i="46"/>
  <c r="L4" i="64"/>
  <c r="U4" i="60"/>
  <c r="P4" i="63"/>
  <c r="U15" i="54"/>
  <c r="G28" i="46"/>
  <c r="D3" i="55"/>
  <c r="C3" i="56"/>
  <c r="M4" i="60"/>
  <c r="K41" i="46"/>
  <c r="E4" i="62"/>
  <c r="E4" i="63"/>
  <c r="E4" i="61"/>
  <c r="M5" i="60"/>
  <c r="C4" i="56"/>
  <c r="EI11" i="12"/>
  <c r="W26" i="46"/>
  <c r="G13" i="57"/>
  <c r="E5" i="56"/>
  <c r="C6" i="60"/>
  <c r="L3" i="56"/>
  <c r="F6" i="64"/>
  <c r="J6" i="61"/>
  <c r="M5" i="56"/>
  <c r="EE11" i="12"/>
  <c r="S33" i="46" s="1"/>
  <c r="V22" i="46"/>
  <c r="C6" i="56"/>
  <c r="E28" i="46"/>
  <c r="L4" i="60"/>
  <c r="O6" i="60"/>
  <c r="R46" i="46"/>
  <c r="K3" i="55"/>
  <c r="G41" i="46"/>
  <c r="E3" i="56"/>
  <c r="C4" i="60"/>
  <c r="G22" i="52"/>
  <c r="P6" i="60"/>
  <c r="G29" i="46"/>
  <c r="J29" i="46"/>
  <c r="N4" i="60"/>
  <c r="CG11" i="12"/>
  <c r="J29" i="52" s="1"/>
  <c r="J20" i="57"/>
  <c r="F37" i="46"/>
  <c r="G4" i="60"/>
  <c r="F34" i="46"/>
  <c r="CI11" i="12"/>
  <c r="J34" i="52" s="1"/>
  <c r="O4" i="60"/>
  <c r="H3" i="55"/>
  <c r="J34" i="46"/>
  <c r="E6" i="63"/>
  <c r="E6" i="61"/>
  <c r="Q3" i="55"/>
  <c r="R27" i="46"/>
  <c r="T6" i="52"/>
  <c r="G46" i="46"/>
  <c r="Q4" i="60"/>
  <c r="R4" i="60"/>
  <c r="G45" i="46"/>
  <c r="P4" i="60"/>
  <c r="I3" i="55"/>
  <c r="J5" i="61"/>
  <c r="M4" i="56"/>
  <c r="F5" i="64"/>
  <c r="J3" i="56"/>
  <c r="Q3" i="56" s="1"/>
  <c r="S4" i="60"/>
  <c r="J39" i="46"/>
  <c r="J3" i="55"/>
  <c r="R23" i="46"/>
  <c r="P5" i="60"/>
  <c r="O5" i="60"/>
  <c r="L6" i="64"/>
  <c r="U6" i="60"/>
  <c r="L6" i="61"/>
  <c r="P6" i="63"/>
  <c r="L5" i="64"/>
  <c r="AE5" i="62"/>
  <c r="P5" i="63"/>
  <c r="L5" i="61"/>
  <c r="U5" i="60"/>
  <c r="N6" i="60"/>
  <c r="C5" i="56"/>
  <c r="M6" i="60"/>
  <c r="N5" i="60"/>
  <c r="C7" i="56"/>
  <c r="V15" i="54" l="1"/>
  <c r="V21" i="54" s="1"/>
  <c r="U21" i="54"/>
  <c r="T29" i="46"/>
  <c r="J22" i="52"/>
  <c r="J28" i="46"/>
  <c r="J28" i="52"/>
  <c r="T43" i="46"/>
  <c r="F4" i="64"/>
  <c r="M3" i="56"/>
  <c r="J4" i="61"/>
  <c r="G7" i="56" l="1"/>
  <c r="T7" i="56" s="1"/>
  <c r="CA11" i="12"/>
  <c r="F33" i="52" s="1"/>
  <c r="I6" i="56"/>
  <c r="V6" i="56" s="1"/>
  <c r="I7" i="56"/>
  <c r="V7" i="56" s="1"/>
  <c r="BS11" i="12"/>
  <c r="BG11" i="12"/>
  <c r="BW11" i="12"/>
  <c r="H4" i="56"/>
  <c r="BN11" i="12"/>
  <c r="V20" i="46" s="1"/>
  <c r="Q11" i="12"/>
  <c r="P9" i="46" s="1"/>
  <c r="BP11" i="12"/>
  <c r="BV11" i="12"/>
  <c r="I5" i="56"/>
  <c r="V5" i="56" s="1"/>
  <c r="AE11" i="12"/>
  <c r="V11" i="46" s="1"/>
  <c r="BE11" i="12"/>
  <c r="J19" i="46" s="1"/>
  <c r="F36" i="52"/>
  <c r="I4" i="56"/>
  <c r="V4" i="56" s="1"/>
  <c r="AA11" i="12"/>
  <c r="H5" i="56"/>
  <c r="BT11" i="12"/>
  <c r="BQ11" i="12"/>
  <c r="BZ11" i="12"/>
  <c r="F32" i="52" s="1"/>
  <c r="BU11" i="12"/>
  <c r="BO11" i="12"/>
  <c r="G6" i="56"/>
  <c r="T6" i="56" s="1"/>
  <c r="BL11" i="12"/>
  <c r="P20" i="46" s="1"/>
  <c r="AO11" i="12"/>
  <c r="S13" i="46" s="1"/>
  <c r="H6" i="56"/>
  <c r="AG11" i="12"/>
  <c r="M12" i="46" s="1"/>
  <c r="AT11" i="12"/>
  <c r="P14" i="46" s="1"/>
  <c r="BR11" i="12"/>
  <c r="AJ11" i="12"/>
  <c r="V12" i="46" s="1"/>
  <c r="AM11" i="12"/>
  <c r="M13" i="46" s="1"/>
  <c r="BM11" i="12"/>
  <c r="S20" i="46" s="1"/>
  <c r="BJ11" i="12"/>
  <c r="J20" i="46" s="1"/>
  <c r="H7" i="56"/>
  <c r="BI11" i="12"/>
  <c r="X11" i="12"/>
  <c r="S10" i="46" s="1"/>
  <c r="G4" i="56"/>
  <c r="T4" i="56" s="1"/>
  <c r="BH11" i="12"/>
  <c r="Y11" i="12"/>
  <c r="V10" i="46" s="1"/>
  <c r="G5" i="56"/>
  <c r="T5" i="56" s="1"/>
  <c r="S11" i="12"/>
  <c r="V9" i="46" s="1"/>
  <c r="T11" i="12"/>
  <c r="H9" i="46" s="1"/>
  <c r="V11" i="12"/>
  <c r="M10" i="46" s="1"/>
  <c r="U11" i="12"/>
  <c r="AU11" i="12"/>
  <c r="S14" i="46" s="1"/>
  <c r="AQ11" i="12"/>
  <c r="H13" i="46" s="1"/>
  <c r="E11" i="12"/>
  <c r="AV11" i="12"/>
  <c r="V14" i="46" s="1"/>
  <c r="BY11" i="12"/>
  <c r="AD11" i="12"/>
  <c r="S11" i="46" s="1"/>
  <c r="AF11" i="12"/>
  <c r="J12" i="46" s="1"/>
  <c r="AL11" i="12"/>
  <c r="J13" i="46" s="1"/>
  <c r="AB11" i="12"/>
  <c r="M11" i="46" s="1"/>
  <c r="Z11" i="12"/>
  <c r="H10" i="46" s="1"/>
  <c r="AW11" i="12"/>
  <c r="H14" i="46" s="1"/>
  <c r="AC11" i="12"/>
  <c r="P11" i="46" s="1"/>
  <c r="P11" i="12"/>
  <c r="M9" i="46" s="1"/>
  <c r="R11" i="12"/>
  <c r="S9" i="46" s="1"/>
  <c r="AR11" i="12"/>
  <c r="J14" i="46" s="1"/>
  <c r="BK11" i="12"/>
  <c r="M20" i="46" s="1"/>
  <c r="AN11" i="12"/>
  <c r="P13" i="46" s="1"/>
  <c r="N11" i="12"/>
  <c r="E8" i="46" s="1"/>
  <c r="AH11" i="12"/>
  <c r="P12" i="46" s="1"/>
  <c r="AI11" i="12"/>
  <c r="S12" i="46" s="1"/>
  <c r="BX11" i="12"/>
  <c r="W11" i="12"/>
  <c r="P10" i="46" s="1"/>
  <c r="AP11" i="12"/>
  <c r="V13" i="46" s="1"/>
  <c r="M11" i="12"/>
  <c r="E7" i="46" s="1"/>
  <c r="AS11" i="12"/>
  <c r="M14" i="46" s="1"/>
  <c r="BF11" i="12"/>
  <c r="M17" i="52" l="1"/>
  <c r="M17" i="46"/>
  <c r="P17" i="52"/>
  <c r="P17" i="46"/>
  <c r="F27" i="46"/>
  <c r="F25" i="46"/>
  <c r="M19" i="46"/>
  <c r="M19" i="52"/>
  <c r="J17" i="46"/>
  <c r="J17" i="52"/>
  <c r="P19" i="46"/>
  <c r="P19" i="52"/>
  <c r="S19" i="46"/>
  <c r="S19" i="52"/>
  <c r="S18" i="46"/>
  <c r="S18" i="52"/>
  <c r="V18" i="46"/>
  <c r="V18" i="52"/>
  <c r="V19" i="46"/>
  <c r="V19" i="52"/>
  <c r="H20" i="46"/>
  <c r="H20" i="52"/>
  <c r="V17" i="46"/>
  <c r="V17" i="52"/>
  <c r="S17" i="46"/>
  <c r="S17" i="52"/>
  <c r="P18" i="46"/>
  <c r="P18" i="52"/>
  <c r="J18" i="46"/>
  <c r="J18" i="52"/>
  <c r="M18" i="46"/>
  <c r="M18" i="52"/>
  <c r="F33" i="46"/>
  <c r="F3" i="55"/>
  <c r="E4" i="60"/>
  <c r="N3" i="56"/>
  <c r="G15" i="54"/>
  <c r="D6" i="56"/>
  <c r="F11" i="12"/>
  <c r="J24" i="46" s="1"/>
  <c r="G24" i="46"/>
  <c r="D3" i="56"/>
  <c r="E3" i="55"/>
  <c r="B4" i="60"/>
  <c r="G3" i="56"/>
  <c r="T3" i="56" s="1"/>
  <c r="J10" i="46"/>
  <c r="N7" i="56"/>
  <c r="E5" i="60"/>
  <c r="N4" i="56"/>
  <c r="H11" i="46"/>
  <c r="D5" i="56"/>
  <c r="B6" i="60"/>
  <c r="N6" i="56"/>
  <c r="F36" i="46"/>
  <c r="I3" i="56"/>
  <c r="V3" i="56" s="1"/>
  <c r="B6" i="63"/>
  <c r="B6" i="61"/>
  <c r="B6" i="67"/>
  <c r="B6" i="65"/>
  <c r="D6" i="60"/>
  <c r="B6" i="66"/>
  <c r="B6" i="64"/>
  <c r="D4" i="56"/>
  <c r="B5" i="60"/>
  <c r="H3" i="56"/>
  <c r="J11" i="46"/>
  <c r="F32" i="46"/>
  <c r="B4" i="61"/>
  <c r="B4" i="64"/>
  <c r="G3" i="55"/>
  <c r="B4" i="66"/>
  <c r="B4" i="65"/>
  <c r="B4" i="62"/>
  <c r="D4" i="60"/>
  <c r="B4" i="67"/>
  <c r="B4" i="63"/>
  <c r="N5" i="56"/>
  <c r="E6" i="60"/>
  <c r="D7" i="56"/>
  <c r="D5" i="60"/>
  <c r="B5" i="62"/>
  <c r="B5" i="65"/>
  <c r="B5" i="63"/>
  <c r="B5" i="66"/>
  <c r="B5" i="64"/>
  <c r="B5" i="61"/>
  <c r="B5" i="67"/>
  <c r="E28" i="57"/>
  <c r="D20" i="57"/>
  <c r="D39" i="57" s="1"/>
  <c r="H10" i="52"/>
  <c r="K37" i="57"/>
  <c r="J37" i="57"/>
  <c r="D33" i="59"/>
  <c r="J10" i="52"/>
  <c r="D19" i="59"/>
  <c r="K27" i="57"/>
  <c r="K45" i="57" s="1"/>
  <c r="A4" i="59"/>
  <c r="H27" i="57"/>
  <c r="G27" i="57"/>
  <c r="J27" i="57"/>
  <c r="J45" i="57" s="1"/>
  <c r="I27" i="57"/>
  <c r="I50" i="57" s="1"/>
  <c r="K35" i="57"/>
  <c r="P20" i="52"/>
  <c r="K36" i="57"/>
  <c r="J19" i="52"/>
  <c r="M14" i="52"/>
  <c r="P13" i="52"/>
  <c r="G12" i="57"/>
  <c r="J36" i="57"/>
  <c r="K32" i="57"/>
  <c r="K29" i="57"/>
  <c r="C31" i="59"/>
  <c r="J35" i="57"/>
  <c r="G35" i="57"/>
  <c r="H36" i="57"/>
  <c r="I35" i="57"/>
  <c r="P11" i="52"/>
  <c r="M13" i="52"/>
  <c r="C19" i="59"/>
  <c r="O11" i="12"/>
  <c r="J9" i="46" s="1"/>
  <c r="H13" i="52"/>
  <c r="M10" i="52"/>
  <c r="I32" i="57"/>
  <c r="H37" i="57"/>
  <c r="V13" i="52"/>
  <c r="C24" i="59"/>
  <c r="I29" i="57"/>
  <c r="P10" i="52"/>
  <c r="G36" i="57"/>
  <c r="G37" i="57"/>
  <c r="C26" i="59"/>
  <c r="C13" i="59"/>
  <c r="C15" i="59" s="1"/>
  <c r="H31" i="57"/>
  <c r="V9" i="52"/>
  <c r="E7" i="52"/>
  <c r="M11" i="52"/>
  <c r="S9" i="52"/>
  <c r="C23" i="59"/>
  <c r="C25" i="59" s="1"/>
  <c r="C21" i="59"/>
  <c r="V11" i="52"/>
  <c r="C36" i="59"/>
  <c r="P14" i="52"/>
  <c r="V20" i="52"/>
  <c r="P12" i="52"/>
  <c r="E27" i="57"/>
  <c r="J32" i="57"/>
  <c r="G31" i="57"/>
  <c r="G32" i="57"/>
  <c r="D22" i="57"/>
  <c r="V10" i="52"/>
  <c r="H14" i="52"/>
  <c r="S11" i="52"/>
  <c r="H35" i="57"/>
  <c r="E32" i="57"/>
  <c r="I37" i="57"/>
  <c r="P9" i="52"/>
  <c r="S13" i="52"/>
  <c r="H32" i="57"/>
  <c r="J29" i="57"/>
  <c r="J28" i="57"/>
  <c r="E8" i="52"/>
  <c r="V12" i="52"/>
  <c r="C16" i="59"/>
  <c r="C18" i="59"/>
  <c r="C20" i="59" s="1"/>
  <c r="V14" i="52"/>
  <c r="S12" i="52"/>
  <c r="C34" i="59"/>
  <c r="S14" i="52"/>
  <c r="J12" i="52"/>
  <c r="H9" i="52"/>
  <c r="M12" i="52"/>
  <c r="J14" i="52"/>
  <c r="I36" i="57"/>
  <c r="J22" i="57"/>
  <c r="H29" i="57"/>
  <c r="J13" i="52"/>
  <c r="I28" i="57"/>
  <c r="K28" i="57"/>
  <c r="J31" i="57"/>
  <c r="K31" i="57"/>
  <c r="S20" i="52"/>
  <c r="C14" i="59"/>
  <c r="M9" i="52"/>
  <c r="I31" i="57"/>
  <c r="C29" i="59"/>
  <c r="H28" i="57"/>
  <c r="C33" i="59"/>
  <c r="C35" i="59" s="1"/>
  <c r="S10" i="52"/>
  <c r="C28" i="59"/>
  <c r="C30" i="59" s="1"/>
  <c r="J20" i="52"/>
  <c r="M20" i="52"/>
  <c r="F25" i="52" l="1"/>
  <c r="F27" i="52"/>
  <c r="J24" i="52"/>
  <c r="J9" i="52"/>
  <c r="G44" i="57"/>
  <c r="I44" i="57"/>
  <c r="H48" i="57"/>
  <c r="H30" i="57"/>
  <c r="G46" i="57"/>
  <c r="G48" i="57"/>
  <c r="J47" i="57"/>
  <c r="J44" i="57"/>
  <c r="G24" i="52"/>
  <c r="D13" i="59"/>
  <c r="D18" i="59"/>
  <c r="D28" i="59"/>
  <c r="G49" i="57"/>
  <c r="H49" i="57"/>
  <c r="D36" i="59"/>
  <c r="B6" i="59"/>
  <c r="D26" i="59"/>
  <c r="D16" i="59"/>
  <c r="D21" i="59"/>
  <c r="H11" i="52"/>
  <c r="K30" i="57"/>
  <c r="K50" i="57"/>
  <c r="K44" i="57"/>
  <c r="K47" i="57"/>
  <c r="K49" i="57"/>
  <c r="K46" i="57"/>
  <c r="K48" i="57"/>
  <c r="E30" i="57"/>
  <c r="E29" i="57"/>
  <c r="J11" i="52"/>
  <c r="G29" i="57"/>
  <c r="I48" i="57"/>
  <c r="I49" i="57"/>
  <c r="I30" i="57"/>
  <c r="I45" i="57"/>
  <c r="I47" i="57"/>
  <c r="I46" i="57"/>
  <c r="D31" i="59"/>
  <c r="J50" i="57"/>
  <c r="G45" i="57"/>
  <c r="H50" i="57"/>
  <c r="J46" i="57"/>
  <c r="G50" i="57"/>
  <c r="H46" i="57"/>
  <c r="J30" i="57"/>
  <c r="H45" i="57"/>
  <c r="J49" i="57"/>
  <c r="H47" i="57"/>
  <c r="D23" i="59"/>
  <c r="J48" i="57"/>
  <c r="H44" i="57"/>
  <c r="D29" i="59"/>
  <c r="D14" i="59"/>
  <c r="G28" i="57"/>
  <c r="D34" i="59"/>
  <c r="G47" i="57"/>
  <c r="D24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Sky123.Org</author>
    <author>Zya</author>
    <author>猫咪花花</author>
  </authors>
  <commentList>
    <comment ref="AQ4" authorId="0" shapeId="0" xr:uid="{00000000-0006-0000-0000-000001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上海福克斯波罗有限公司</t>
        </r>
      </text>
    </comment>
    <comment ref="AT4" authorId="0" shapeId="0" xr:uid="{00000000-0006-0000-0000-000002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SMC </t>
        </r>
        <r>
          <rPr>
            <sz val="9"/>
            <rFont val="宋体"/>
            <family val="3"/>
            <charset val="134"/>
          </rPr>
          <t>型号</t>
        </r>
        <r>
          <rPr>
            <sz val="9"/>
            <rFont val="Tahoma"/>
            <family val="2"/>
          </rPr>
          <t>AW 02-1/4 03-3/8 B-</t>
        </r>
        <r>
          <rPr>
            <sz val="9"/>
            <rFont val="宋体"/>
            <family val="3"/>
            <charset val="134"/>
          </rPr>
          <t>金属托架</t>
        </r>
        <r>
          <rPr>
            <sz val="9"/>
            <rFont val="Tahoma"/>
            <family val="2"/>
          </rPr>
          <t xml:space="preserve">  430-</t>
        </r>
        <r>
          <rPr>
            <sz val="9"/>
            <rFont val="宋体"/>
            <family val="3"/>
            <charset val="134"/>
          </rPr>
          <t>低温</t>
        </r>
        <r>
          <rPr>
            <sz val="9"/>
            <rFont val="Tahoma"/>
            <family val="2"/>
          </rPr>
          <t xml:space="preserve"> </t>
        </r>
      </text>
    </comment>
    <comment ref="AU4" authorId="0" shapeId="0" xr:uid="{00000000-0006-0000-0000-000003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ASCO</t>
        </r>
        <r>
          <rPr>
            <sz val="9"/>
            <rFont val="宋体"/>
            <family val="3"/>
            <charset val="134"/>
          </rPr>
          <t>电磁阀</t>
        </r>
      </text>
    </comment>
    <comment ref="AW4" authorId="0" shapeId="0" xr:uid="{00000000-0006-0000-0000-000004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YAMATAKE</t>
        </r>
      </text>
    </comment>
    <comment ref="BC4" authorId="0" shapeId="0" xr:uid="{00000000-0006-0000-0000-000005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SMC</t>
        </r>
      </text>
    </comment>
    <comment ref="BE4" authorId="0" shapeId="0" xr:uid="{00000000-0006-0000-0000-000006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SMC</t>
        </r>
      </text>
    </comment>
    <comment ref="BF4" authorId="0" shapeId="0" xr:uid="{00000000-0006-0000-0000-000007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SMC</t>
        </r>
      </text>
    </comment>
    <comment ref="BH4" authorId="0" shapeId="0" xr:uid="{00000000-0006-0000-0000-000008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SMC</t>
        </r>
      </text>
    </comment>
    <comment ref="AW5" authorId="0" shapeId="0" xr:uid="{00000000-0006-0000-0000-000009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Honeywell</t>
        </r>
      </text>
    </comment>
    <comment ref="O6" authorId="1" shapeId="0" xr:uid="{00000000-0006-0000-0000-00000A000000}">
      <text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一般阀体上是凹面</t>
        </r>
        <r>
          <rPr>
            <sz val="9"/>
            <rFont val="Tahoma"/>
            <family val="2"/>
          </rPr>
          <t>FM</t>
        </r>
      </text>
    </comment>
    <comment ref="BG6" authorId="0" shapeId="0" xr:uid="{00000000-0006-0000-0000-00000B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韩国</t>
        </r>
        <r>
          <rPr>
            <sz val="9"/>
            <rFont val="Tahoma"/>
            <family val="2"/>
          </rPr>
          <t xml:space="preserve">YTC </t>
        </r>
        <r>
          <rPr>
            <sz val="9"/>
            <rFont val="宋体"/>
            <family val="3"/>
            <charset val="134"/>
          </rPr>
          <t>输出</t>
        </r>
        <r>
          <rPr>
            <sz val="9"/>
            <rFont val="Tahoma"/>
            <family val="2"/>
          </rPr>
          <t xml:space="preserve">4~20ma </t>
        </r>
        <r>
          <rPr>
            <sz val="9"/>
            <rFont val="宋体"/>
            <family val="3"/>
            <charset val="134"/>
          </rPr>
          <t>两线形</t>
        </r>
      </text>
    </comment>
    <comment ref="AI8" authorId="2" shapeId="0" xr:uid="{00000000-0006-0000-0000-00000C000000}">
      <text>
        <r>
          <rPr>
            <b/>
            <sz val="10"/>
            <rFont val="宋体"/>
            <family val="3"/>
            <charset val="134"/>
          </rPr>
          <t>猫咪花花</t>
        </r>
        <r>
          <rPr>
            <b/>
            <sz val="10"/>
            <rFont val="Tahoma"/>
            <family val="2"/>
          </rPr>
          <t>:</t>
        </r>
        <r>
          <rPr>
            <sz val="10"/>
            <rFont val="Tahoma"/>
            <family val="2"/>
          </rPr>
          <t xml:space="preserve">
PD</t>
        </r>
        <r>
          <rPr>
            <sz val="10"/>
            <rFont val="宋体"/>
            <family val="3"/>
            <charset val="134"/>
          </rPr>
          <t>执行机构为双气缸型</t>
        </r>
      </text>
    </comment>
    <comment ref="AU8" authorId="0" shapeId="0" xr:uid="{00000000-0006-0000-0000-00000D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ASCO</t>
        </r>
        <r>
          <rPr>
            <sz val="9"/>
            <rFont val="宋体"/>
            <family val="3"/>
            <charset val="134"/>
          </rPr>
          <t>电磁阀</t>
        </r>
      </text>
    </comment>
    <comment ref="AW8" authorId="0" shapeId="0" xr:uid="{00000000-0006-0000-0000-00000E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HKC</t>
        </r>
      </text>
    </comment>
    <comment ref="AW12" authorId="0" shapeId="0" xr:uid="{00000000-0006-0000-0000-00000F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Honeywell</t>
        </r>
      </text>
    </comment>
    <comment ref="AQ14" authorId="0" shapeId="0" xr:uid="{00000000-0006-0000-0000-000010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SIEMENS</t>
        </r>
      </text>
    </comment>
    <comment ref="AW17" authorId="0" shapeId="0" xr:uid="{00000000-0006-0000-0000-000011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乐清</t>
        </r>
      </text>
    </comment>
    <comment ref="AU19" authorId="0" shapeId="0" xr:uid="{00000000-0006-0000-0000-000012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ASCO</t>
        </r>
        <r>
          <rPr>
            <sz val="9"/>
            <rFont val="宋体"/>
            <family val="3"/>
            <charset val="134"/>
          </rPr>
          <t>电磁阀</t>
        </r>
      </text>
    </comment>
    <comment ref="AW22" authorId="0" shapeId="0" xr:uid="{00000000-0006-0000-0000-000013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德国</t>
        </r>
        <r>
          <rPr>
            <sz val="9"/>
            <rFont val="Tahoma"/>
            <family val="2"/>
          </rPr>
          <t xml:space="preserve">P+F </t>
        </r>
        <r>
          <rPr>
            <sz val="9"/>
            <rFont val="宋体"/>
            <family val="3"/>
            <charset val="134"/>
          </rPr>
          <t>倍加福</t>
        </r>
      </text>
    </comment>
    <comment ref="BC28" authorId="0" shapeId="0" xr:uid="{00000000-0006-0000-0000-000014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日本</t>
        </r>
        <r>
          <rPr>
            <sz val="9"/>
            <rFont val="Tahoma"/>
            <family val="2"/>
          </rPr>
          <t>NABTESCO</t>
        </r>
        <r>
          <rPr>
            <sz val="9"/>
            <rFont val="宋体"/>
            <family val="3"/>
            <charset val="134"/>
          </rPr>
          <t>纳博特斯克</t>
        </r>
      </text>
    </comment>
    <comment ref="AQ86" authorId="0" shapeId="0" xr:uid="{00000000-0006-0000-0000-000015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YAMATAKE</t>
        </r>
      </text>
    </comment>
    <comment ref="AQ89" authorId="0" shapeId="0" xr:uid="{00000000-0006-0000-0000-000016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YAMATAKE </t>
        </r>
        <r>
          <rPr>
            <sz val="9"/>
            <rFont val="宋体"/>
            <family val="3"/>
            <charset val="134"/>
          </rPr>
          <t>山武</t>
        </r>
      </text>
    </comment>
    <comment ref="AQ95" authorId="0" shapeId="0" xr:uid="{00000000-0006-0000-0000-000017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乐清</t>
        </r>
        <r>
          <rPr>
            <sz val="9"/>
            <rFont val="Tahoma"/>
            <family val="2"/>
          </rPr>
          <t>EP7111</t>
        </r>
      </text>
    </comment>
    <comment ref="AQ96" authorId="0" shapeId="0" xr:uid="{00000000-0006-0000-0000-000018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乐清</t>
        </r>
        <r>
          <rPr>
            <sz val="9"/>
            <rFont val="Tahoma"/>
            <family val="2"/>
          </rPr>
          <t>EP7112</t>
        </r>
      </text>
    </comment>
    <comment ref="AQ97" authorId="0" shapeId="0" xr:uid="{00000000-0006-0000-0000-000019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乐清</t>
        </r>
        <r>
          <rPr>
            <sz val="9"/>
            <rFont val="Tahoma"/>
            <family val="2"/>
          </rPr>
          <t>EP7121</t>
        </r>
      </text>
    </comment>
    <comment ref="AQ107" authorId="0" shapeId="0" xr:uid="{00000000-0006-0000-0000-00001A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乐清智能型</t>
        </r>
      </text>
    </comment>
    <comment ref="AQ115" authorId="0" shapeId="0" xr:uid="{00000000-0006-0000-0000-00001B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fisher</t>
        </r>
      </text>
    </comment>
    <comment ref="AQ121" authorId="0" shapeId="0" xr:uid="{00000000-0006-0000-0000-00001C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福斯</t>
        </r>
      </text>
    </comment>
    <comment ref="AQ123" authorId="0" shapeId="0" xr:uid="{00000000-0006-0000-0000-00001D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samson</t>
        </r>
      </text>
    </comment>
    <comment ref="AQ124" authorId="0" shapeId="0" xr:uid="{00000000-0006-0000-0000-00001E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梅索尼兰</t>
        </r>
      </text>
    </comment>
    <comment ref="AQ125" authorId="0" shapeId="0" xr:uid="{00000000-0006-0000-0000-00001F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ABB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江桃红</author>
    <author>微软用户</author>
    <author>byl</author>
    <author>Sky123.Org</author>
    <author>Administrator</author>
  </authors>
  <commentList>
    <comment ref="DH9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江桃红:</t>
        </r>
        <r>
          <rPr>
            <sz val="9"/>
            <rFont val="宋体"/>
            <family val="3"/>
            <charset val="134"/>
          </rPr>
          <t xml:space="preserve">
动作时间联锁要求的，气源口和气控阀接口一致</t>
        </r>
      </text>
    </comment>
    <comment ref="DK9" authorId="1" shapeId="0" xr:uid="{00000000-0006-0000-0400-000002000000}">
      <text>
        <r>
          <rPr>
            <b/>
            <sz val="9"/>
            <rFont val="宋体"/>
            <family val="3"/>
            <charset val="134"/>
          </rPr>
          <t>微软用户:</t>
        </r>
        <r>
          <rPr>
            <sz val="9"/>
            <rFont val="宋体"/>
            <family val="3"/>
            <charset val="134"/>
          </rPr>
          <t xml:space="preserve">
DA:正作用
RA:反作用
此列自行判断</t>
        </r>
      </text>
    </comment>
    <comment ref="DL9" authorId="2" shapeId="0" xr:uid="{00000000-0006-0000-0400-000003000000}">
      <text>
        <r>
          <rPr>
            <b/>
            <sz val="9"/>
            <rFont val="宋体"/>
            <family val="3"/>
            <charset val="134"/>
          </rPr>
          <t xml:space="preserve">此列自行判断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DR9" authorId="3" shapeId="0" xr:uid="{00000000-0006-0000-0400-000004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已含有</t>
        </r>
        <r>
          <rPr>
            <sz val="9"/>
            <rFont val="Tahoma"/>
            <family val="2"/>
          </rPr>
          <t>1.5</t>
        </r>
        <r>
          <rPr>
            <sz val="9"/>
            <rFont val="宋体"/>
            <family val="3"/>
            <charset val="134"/>
          </rPr>
          <t>倍安全余量</t>
        </r>
      </text>
    </comment>
    <comment ref="ED9" authorId="3" shapeId="0" xr:uid="{00000000-0006-0000-0400-000005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有就写放大器型号，没有就写</t>
        </r>
        <r>
          <rPr>
            <sz val="9"/>
            <rFont val="Tahoma"/>
            <family val="2"/>
          </rPr>
          <t>NON</t>
        </r>
      </text>
    </comment>
    <comment ref="EF9" authorId="4" shapeId="0" xr:uid="{00000000-0006-0000-0400-000006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正常均为线性，除了偏心球阀用</t>
        </r>
        <r>
          <rPr>
            <sz val="9"/>
            <rFont val="Tahoma"/>
            <family val="2"/>
          </rPr>
          <t>EQ%</t>
        </r>
      </text>
    </comment>
    <comment ref="EK9" authorId="3" shapeId="0" xr:uid="{00000000-0006-0000-0400-000007000000}">
      <text>
        <r>
          <rPr>
            <b/>
            <sz val="9"/>
            <rFont val="Tahoma"/>
            <family val="2"/>
          </rPr>
          <t xml:space="preserve">Sky123.Org:
</t>
        </r>
        <r>
          <rPr>
            <b/>
            <sz val="9"/>
            <rFont val="宋体"/>
            <family val="3"/>
            <charset val="134"/>
          </rPr>
          <t>一般写过滤精度，不知道就写“带”</t>
        </r>
        <r>
          <rPr>
            <sz val="9"/>
            <rFont val="Tahoma"/>
            <family val="2"/>
          </rPr>
          <t xml:space="preserve">
</t>
        </r>
      </text>
    </comment>
    <comment ref="EQ9" authorId="4" shapeId="0" xr:uid="{00000000-0006-0000-0400-000008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EO EC</t>
        </r>
        <r>
          <rPr>
            <sz val="9"/>
            <rFont val="宋体"/>
            <family val="3"/>
            <charset val="134"/>
          </rPr>
          <t>是和阀有关，与电磁阀没关系，</t>
        </r>
        <r>
          <rPr>
            <sz val="9"/>
            <rFont val="Tahoma"/>
            <family val="2"/>
          </rPr>
          <t>EO</t>
        </r>
        <r>
          <rPr>
            <sz val="9"/>
            <rFont val="宋体"/>
            <family val="3"/>
            <charset val="134"/>
          </rPr>
          <t>就是得电阀门开，</t>
        </r>
        <r>
          <rPr>
            <sz val="9"/>
            <rFont val="Tahoma"/>
            <family val="2"/>
          </rPr>
          <t>EC</t>
        </r>
        <r>
          <rPr>
            <sz val="9"/>
            <rFont val="宋体"/>
            <family val="3"/>
            <charset val="134"/>
          </rPr>
          <t>失电阀门关</t>
        </r>
      </text>
    </comment>
    <comment ref="FE9" authorId="4" shapeId="0" xr:uid="{00000000-0006-0000-0400-000009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一般都是</t>
        </r>
        <r>
          <rPr>
            <sz val="9"/>
            <rFont val="Tahoma"/>
            <family val="2"/>
          </rPr>
          <t>SPDT</t>
        </r>
        <r>
          <rPr>
            <sz val="9"/>
            <rFont val="宋体"/>
            <family val="3"/>
            <charset val="134"/>
          </rPr>
          <t>单刀双置，除非客户要求</t>
        </r>
        <r>
          <rPr>
            <sz val="9"/>
            <rFont val="Tahoma"/>
            <family val="2"/>
          </rPr>
          <t>DPDT</t>
        </r>
      </text>
    </comment>
    <comment ref="HM9" authorId="2" shapeId="0" xr:uid="{00000000-0006-0000-0400-00000A000000}">
      <text>
        <r>
          <rPr>
            <b/>
            <sz val="9"/>
            <rFont val="宋体"/>
            <family val="3"/>
            <charset val="134"/>
          </rPr>
          <t xml:space="preserve">此列自行判断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GH10" authorId="3" shapeId="0" xr:uid="{00000000-0006-0000-0400-00000B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 xml:space="preserve">按外购厂家数据填写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Sky123.Org</author>
  </authors>
  <commentList>
    <comment ref="C30" authorId="0" shapeId="0" xr:uid="{00000000-0006-0000-0600-000001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接管是配对法兰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Sky123.Org</author>
  </authors>
  <commentList>
    <comment ref="C30" authorId="0" shapeId="0" xr:uid="{00000000-0006-0000-0700-000001000000}">
      <text>
        <r>
          <rPr>
            <b/>
            <sz val="9"/>
            <rFont val="Tahoma"/>
            <family val="2"/>
          </rPr>
          <t>Sky123.Org: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接管是配对法兰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3" authorId="0" shapeId="0" xr:uid="{00000000-0006-0000-0E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3" authorId="0" shapeId="0" xr:uid="{00000000-0006-0000-0F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G3" authorId="0" shapeId="0" xr:uid="{00000000-0006-0000-10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3" authorId="0" shapeId="0" xr:uid="{00000000-0006-0000-11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3" authorId="0" shapeId="0" xr:uid="{00000000-0006-0000-12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3" authorId="0" shapeId="0" xr:uid="{00000000-0006-0000-13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E3" authorId="0" shapeId="0" xr:uid="{00000000-0006-0000-1400-000001000000}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手动填写</t>
        </r>
      </text>
    </comment>
  </commentList>
</comments>
</file>

<file path=xl/sharedStrings.xml><?xml version="1.0" encoding="utf-8"?>
<sst xmlns="http://schemas.openxmlformats.org/spreadsheetml/2006/main" count="3413" uniqueCount="1935">
  <si>
    <r>
      <rPr>
        <b/>
        <i/>
        <sz val="14"/>
        <color indexed="8"/>
        <rFont val="宋体"/>
        <family val="3"/>
        <charset val="134"/>
      </rPr>
      <t>项目列表：</t>
    </r>
  </si>
  <si>
    <r>
      <rPr>
        <sz val="12"/>
        <color indexed="8"/>
        <rFont val="宋体"/>
        <family val="3"/>
        <charset val="134"/>
      </rPr>
      <t>工艺条件</t>
    </r>
  </si>
  <si>
    <r>
      <rPr>
        <sz val="12"/>
        <color indexed="8"/>
        <rFont val="宋体"/>
        <family val="3"/>
        <charset val="134"/>
      </rPr>
      <t>阀本体</t>
    </r>
  </si>
  <si>
    <r>
      <rPr>
        <sz val="12"/>
        <color indexed="8"/>
        <rFont val="宋体"/>
        <family val="3"/>
        <charset val="134"/>
      </rPr>
      <t>阀盖</t>
    </r>
  </si>
  <si>
    <r>
      <rPr>
        <sz val="12"/>
        <color indexed="8"/>
        <rFont val="宋体"/>
        <family val="3"/>
        <charset val="134"/>
      </rPr>
      <t>阀内件</t>
    </r>
  </si>
  <si>
    <r>
      <rPr>
        <sz val="12"/>
        <color indexed="8"/>
        <rFont val="宋体"/>
        <family val="3"/>
        <charset val="134"/>
      </rPr>
      <t>执行机构</t>
    </r>
  </si>
  <si>
    <r>
      <rPr>
        <sz val="12"/>
        <color indexed="8"/>
        <rFont val="宋体"/>
        <family val="3"/>
        <charset val="134"/>
      </rPr>
      <t>附件</t>
    </r>
  </si>
  <si>
    <r>
      <rPr>
        <sz val="12"/>
        <color indexed="8"/>
        <rFont val="宋体"/>
        <family val="3"/>
        <charset val="134"/>
      </rPr>
      <t>阀门口径</t>
    </r>
  </si>
  <si>
    <r>
      <rPr>
        <sz val="12"/>
        <color indexed="8"/>
        <rFont val="宋体"/>
        <family val="3"/>
        <charset val="134"/>
      </rPr>
      <t>介质状态</t>
    </r>
  </si>
  <si>
    <r>
      <rPr>
        <sz val="12"/>
        <color indexed="8"/>
        <rFont val="宋体"/>
        <family val="3"/>
        <charset val="134"/>
      </rPr>
      <t>流量单位</t>
    </r>
  </si>
  <si>
    <r>
      <rPr>
        <sz val="12"/>
        <color indexed="8"/>
        <rFont val="宋体"/>
        <family val="3"/>
        <charset val="134"/>
      </rPr>
      <t>压力单位</t>
    </r>
  </si>
  <si>
    <r>
      <rPr>
        <sz val="12"/>
        <color indexed="8"/>
        <rFont val="宋体"/>
        <family val="3"/>
        <charset val="134"/>
      </rPr>
      <t>温度单位</t>
    </r>
  </si>
  <si>
    <r>
      <rPr>
        <sz val="12"/>
        <color indexed="8"/>
        <rFont val="宋体"/>
        <family val="3"/>
        <charset val="134"/>
      </rPr>
      <t>密度单位</t>
    </r>
  </si>
  <si>
    <r>
      <rPr>
        <sz val="12"/>
        <color indexed="8"/>
        <rFont val="宋体"/>
        <family val="3"/>
        <charset val="134"/>
      </rPr>
      <t>粘度单位</t>
    </r>
  </si>
  <si>
    <r>
      <rPr>
        <sz val="12"/>
        <color indexed="8"/>
        <rFont val="宋体"/>
        <family val="3"/>
        <charset val="134"/>
      </rPr>
      <t>阀体型号</t>
    </r>
  </si>
  <si>
    <r>
      <rPr>
        <sz val="12"/>
        <color indexed="8"/>
        <rFont val="宋体"/>
        <family val="3"/>
        <charset val="134"/>
      </rPr>
      <t>压力等级</t>
    </r>
  </si>
  <si>
    <r>
      <rPr>
        <sz val="12"/>
        <color indexed="8"/>
        <rFont val="宋体"/>
        <family val="3"/>
        <charset val="134"/>
      </rPr>
      <t>法兰标准</t>
    </r>
  </si>
  <si>
    <r>
      <rPr>
        <sz val="12"/>
        <color indexed="8"/>
        <rFont val="宋体"/>
        <family val="3"/>
        <charset val="134"/>
      </rPr>
      <t>连接形式</t>
    </r>
  </si>
  <si>
    <r>
      <rPr>
        <sz val="12"/>
        <color indexed="8"/>
        <rFont val="宋体"/>
        <family val="3"/>
        <charset val="134"/>
      </rPr>
      <t>密封面</t>
    </r>
  </si>
  <si>
    <r>
      <rPr>
        <sz val="12"/>
        <color indexed="8"/>
        <rFont val="宋体"/>
        <family val="3"/>
        <charset val="134"/>
      </rPr>
      <t>阀体材质</t>
    </r>
  </si>
  <si>
    <r>
      <rPr>
        <sz val="12"/>
        <color indexed="8"/>
        <rFont val="宋体"/>
        <family val="3"/>
        <charset val="134"/>
      </rPr>
      <t>流体方向</t>
    </r>
  </si>
  <si>
    <r>
      <rPr>
        <sz val="12"/>
        <color indexed="8"/>
        <rFont val="宋体"/>
        <family val="3"/>
        <charset val="134"/>
      </rPr>
      <t>阀盖类型</t>
    </r>
  </si>
  <si>
    <r>
      <rPr>
        <sz val="12"/>
        <color indexed="8"/>
        <rFont val="宋体"/>
        <family val="3"/>
        <charset val="134"/>
      </rPr>
      <t>填料</t>
    </r>
  </si>
  <si>
    <r>
      <rPr>
        <sz val="12"/>
        <color indexed="8"/>
        <rFont val="宋体"/>
        <family val="3"/>
        <charset val="134"/>
      </rPr>
      <t>垫圈</t>
    </r>
  </si>
  <si>
    <r>
      <rPr>
        <sz val="12"/>
        <color indexed="8"/>
        <rFont val="宋体"/>
        <family val="3"/>
        <charset val="134"/>
      </rPr>
      <t>夹套连接</t>
    </r>
  </si>
  <si>
    <r>
      <rPr>
        <sz val="12"/>
        <color indexed="8"/>
        <rFont val="宋体"/>
        <family val="3"/>
        <charset val="134"/>
      </rPr>
      <t>流量特性</t>
    </r>
  </si>
  <si>
    <r>
      <rPr>
        <sz val="12"/>
        <color indexed="8"/>
        <rFont val="宋体"/>
        <family val="3"/>
        <charset val="134"/>
      </rPr>
      <t>阀板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阀芯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球体材质</t>
    </r>
  </si>
  <si>
    <r>
      <rPr>
        <sz val="12"/>
        <color indexed="8"/>
        <rFont val="宋体"/>
        <family val="3"/>
        <charset val="134"/>
      </rPr>
      <t>阀内径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阀芯尺寸</t>
    </r>
  </si>
  <si>
    <r>
      <rPr>
        <sz val="12"/>
        <color indexed="8"/>
        <rFont val="宋体"/>
        <family val="3"/>
        <charset val="134"/>
      </rPr>
      <t>密封环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阀座材质</t>
    </r>
  </si>
  <si>
    <r>
      <rPr>
        <sz val="12"/>
        <color indexed="8"/>
        <rFont val="宋体"/>
        <family val="3"/>
        <charset val="134"/>
      </rPr>
      <t>轴承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导向套</t>
    </r>
  </si>
  <si>
    <r>
      <rPr>
        <sz val="12"/>
        <color indexed="8"/>
        <rFont val="宋体"/>
        <family val="3"/>
        <charset val="134"/>
      </rPr>
      <t>套筒材质</t>
    </r>
  </si>
  <si>
    <r>
      <rPr>
        <sz val="12"/>
        <color indexed="8"/>
        <rFont val="宋体"/>
        <family val="3"/>
        <charset val="134"/>
      </rPr>
      <t>平衡密封</t>
    </r>
  </si>
  <si>
    <r>
      <rPr>
        <sz val="12"/>
        <color indexed="8"/>
        <rFont val="宋体"/>
        <family val="3"/>
        <charset val="134"/>
      </rPr>
      <t>阀杆材质</t>
    </r>
  </si>
  <si>
    <r>
      <rPr>
        <sz val="12"/>
        <color indexed="8"/>
        <rFont val="宋体"/>
        <family val="3"/>
        <charset val="134"/>
      </rPr>
      <t>弹簧薄膜型</t>
    </r>
  </si>
  <si>
    <r>
      <rPr>
        <sz val="12"/>
        <color indexed="8"/>
        <rFont val="宋体"/>
        <family val="3"/>
        <charset val="134"/>
      </rPr>
      <t>辅型号</t>
    </r>
  </si>
  <si>
    <r>
      <rPr>
        <sz val="12"/>
        <color indexed="8"/>
        <rFont val="宋体"/>
        <family val="3"/>
        <charset val="134"/>
      </rPr>
      <t>单作用齿轮齿条式气缸型</t>
    </r>
  </si>
  <si>
    <r>
      <rPr>
        <sz val="12"/>
        <color indexed="8"/>
        <rFont val="宋体"/>
        <family val="3"/>
        <charset val="134"/>
      </rPr>
      <t>双作用齿轮齿条式气缸型</t>
    </r>
  </si>
  <si>
    <r>
      <rPr>
        <sz val="12"/>
        <color indexed="8"/>
        <rFont val="宋体"/>
        <family val="3"/>
        <charset val="134"/>
      </rPr>
      <t>单作用活塞式气缸型</t>
    </r>
  </si>
  <si>
    <r>
      <rPr>
        <sz val="12"/>
        <color indexed="8"/>
        <rFont val="宋体"/>
        <family val="3"/>
        <charset val="134"/>
      </rPr>
      <t>双作用活塞式气缸型</t>
    </r>
  </si>
  <si>
    <r>
      <rPr>
        <sz val="12"/>
        <color indexed="8"/>
        <rFont val="宋体"/>
        <family val="3"/>
        <charset val="134"/>
      </rPr>
      <t>单作用拨叉式气缸型</t>
    </r>
  </si>
  <si>
    <r>
      <rPr>
        <sz val="12"/>
        <color indexed="8"/>
        <rFont val="宋体"/>
        <family val="3"/>
        <charset val="134"/>
      </rPr>
      <t>双作用拨叉式气缸型</t>
    </r>
  </si>
  <si>
    <r>
      <rPr>
        <sz val="12"/>
        <color indexed="8"/>
        <rFont val="宋体"/>
        <family val="3"/>
        <charset val="134"/>
      </rPr>
      <t>电动调节型</t>
    </r>
  </si>
  <si>
    <r>
      <rPr>
        <sz val="12"/>
        <color indexed="8"/>
        <rFont val="宋体"/>
        <family val="3"/>
        <charset val="134"/>
      </rPr>
      <t>电动开关型</t>
    </r>
  </si>
  <si>
    <r>
      <rPr>
        <sz val="12"/>
        <color indexed="8"/>
        <rFont val="宋体"/>
        <family val="3"/>
        <charset val="134"/>
      </rPr>
      <t>电液式</t>
    </r>
  </si>
  <si>
    <r>
      <rPr>
        <sz val="12"/>
        <color indexed="8"/>
        <rFont val="宋体"/>
        <family val="3"/>
        <charset val="134"/>
      </rPr>
      <t>动力源</t>
    </r>
  </si>
  <si>
    <r>
      <rPr>
        <sz val="12"/>
        <color indexed="8"/>
        <rFont val="宋体"/>
        <family val="3"/>
        <charset val="134"/>
      </rPr>
      <t>弹簧范围</t>
    </r>
  </si>
  <si>
    <r>
      <rPr>
        <sz val="12"/>
        <color indexed="8"/>
        <rFont val="宋体"/>
        <family val="3"/>
        <charset val="134"/>
      </rPr>
      <t>定位器型号</t>
    </r>
  </si>
  <si>
    <r>
      <rPr>
        <sz val="12"/>
        <color indexed="8"/>
        <rFont val="宋体"/>
        <family val="3"/>
        <charset val="134"/>
      </rPr>
      <t>定位器输入信号</t>
    </r>
  </si>
  <si>
    <r>
      <rPr>
        <sz val="12"/>
        <color indexed="8"/>
        <rFont val="宋体"/>
        <family val="3"/>
        <charset val="134"/>
      </rPr>
      <t>定位器输出信号</t>
    </r>
  </si>
  <si>
    <r>
      <rPr>
        <sz val="12"/>
        <color indexed="8"/>
        <rFont val="宋体"/>
        <family val="3"/>
        <charset val="134"/>
      </rPr>
      <t>过滤减压阀型号</t>
    </r>
  </si>
  <si>
    <r>
      <rPr>
        <sz val="12"/>
        <color indexed="8"/>
        <rFont val="宋体"/>
        <family val="3"/>
        <charset val="134"/>
      </rPr>
      <t>电磁阀型号</t>
    </r>
  </si>
  <si>
    <r>
      <rPr>
        <sz val="12"/>
        <color indexed="8"/>
        <rFont val="宋体"/>
        <family val="3"/>
        <charset val="134"/>
      </rPr>
      <t>电磁阀供电电源</t>
    </r>
  </si>
  <si>
    <r>
      <rPr>
        <sz val="12"/>
        <color indexed="8"/>
        <rFont val="宋体"/>
        <family val="3"/>
        <charset val="134"/>
      </rPr>
      <t>限位开关型号</t>
    </r>
  </si>
  <si>
    <r>
      <rPr>
        <sz val="12"/>
        <color indexed="8"/>
        <rFont val="宋体"/>
        <family val="3"/>
        <charset val="134"/>
      </rPr>
      <t>开关位置</t>
    </r>
  </si>
  <si>
    <r>
      <rPr>
        <sz val="12"/>
        <color indexed="8"/>
        <rFont val="宋体"/>
        <family val="3"/>
        <charset val="134"/>
      </rPr>
      <t>电气接口</t>
    </r>
  </si>
  <si>
    <r>
      <rPr>
        <sz val="12"/>
        <color indexed="8"/>
        <rFont val="宋体"/>
        <family val="3"/>
        <charset val="134"/>
      </rPr>
      <t>气源接口</t>
    </r>
  </si>
  <si>
    <r>
      <rPr>
        <sz val="12"/>
        <color indexed="8"/>
        <rFont val="宋体"/>
        <family val="3"/>
        <charset val="134"/>
      </rPr>
      <t>防爆等级</t>
    </r>
  </si>
  <si>
    <r>
      <rPr>
        <sz val="12"/>
        <color indexed="8"/>
        <rFont val="宋体"/>
        <family val="3"/>
        <charset val="134"/>
      </rPr>
      <t>气动增速器型号</t>
    </r>
  </si>
  <si>
    <r>
      <rPr>
        <sz val="12"/>
        <color indexed="8"/>
        <rFont val="宋体"/>
        <family val="3"/>
        <charset val="134"/>
      </rPr>
      <t>气控阀型号</t>
    </r>
  </si>
  <si>
    <r>
      <rPr>
        <sz val="12"/>
        <color indexed="8"/>
        <rFont val="宋体"/>
        <family val="3"/>
        <charset val="134"/>
      </rPr>
      <t>气包型号</t>
    </r>
  </si>
  <si>
    <r>
      <rPr>
        <sz val="12"/>
        <color indexed="8"/>
        <rFont val="宋体"/>
        <family val="3"/>
        <charset val="134"/>
      </rPr>
      <t>单向阀型号</t>
    </r>
  </si>
  <si>
    <r>
      <rPr>
        <sz val="12"/>
        <color theme="0" tint="-0.89996032593768116"/>
        <rFont val="宋体"/>
        <family val="3"/>
        <charset val="134"/>
      </rPr>
      <t>过滤器型号</t>
    </r>
  </si>
  <si>
    <r>
      <rPr>
        <sz val="12"/>
        <color indexed="8"/>
        <rFont val="宋体"/>
        <family val="3"/>
        <charset val="134"/>
      </rPr>
      <t>其他附件</t>
    </r>
  </si>
  <si>
    <r>
      <rPr>
        <sz val="12"/>
        <color indexed="8"/>
        <rFont val="宋体"/>
        <family val="3"/>
        <charset val="134"/>
      </rPr>
      <t>锁止阀型号</t>
    </r>
  </si>
  <si>
    <r>
      <rPr>
        <sz val="12"/>
        <color indexed="8"/>
        <rFont val="宋体"/>
        <family val="3"/>
        <charset val="134"/>
      </rPr>
      <t>泄漏等级</t>
    </r>
  </si>
  <si>
    <r>
      <rPr>
        <b/>
        <sz val="12"/>
        <color indexed="8"/>
        <rFont val="宋体"/>
        <family val="3"/>
        <charset val="134"/>
      </rPr>
      <t>客户名称</t>
    </r>
  </si>
  <si>
    <r>
      <rPr>
        <sz val="12"/>
        <color indexed="8"/>
        <rFont val="宋体"/>
        <family val="3"/>
        <charset val="134"/>
      </rPr>
      <t>阀门名称</t>
    </r>
  </si>
  <si>
    <r>
      <rPr>
        <u/>
        <sz val="12"/>
        <color indexed="8"/>
        <rFont val="宋体"/>
        <family val="3"/>
        <charset val="134"/>
      </rPr>
      <t>阀门口径</t>
    </r>
  </si>
  <si>
    <t>DN15</t>
  </si>
  <si>
    <r>
      <rPr>
        <sz val="12"/>
        <color theme="0" tint="-0.89996032593768116"/>
        <rFont val="Arial"/>
        <family val="2"/>
      </rPr>
      <t xml:space="preserve">Liquid   </t>
    </r>
    <r>
      <rPr>
        <sz val="12"/>
        <color indexed="8"/>
        <rFont val="宋体"/>
        <family val="3"/>
        <charset val="134"/>
      </rPr>
      <t>液体</t>
    </r>
  </si>
  <si>
    <t>Nm3/h</t>
  </si>
  <si>
    <t>Kgf/cm2(G)</t>
  </si>
  <si>
    <r>
      <rPr>
        <sz val="12"/>
        <color indexed="8"/>
        <rFont val="宋体"/>
        <family val="3"/>
        <charset val="134"/>
      </rPr>
      <t>℃</t>
    </r>
  </si>
  <si>
    <t>Kg/m3</t>
  </si>
  <si>
    <t>mPa.S</t>
  </si>
  <si>
    <t>ST300T</t>
  </si>
  <si>
    <t>Class150</t>
  </si>
  <si>
    <t>HG/T 20592-2009</t>
  </si>
  <si>
    <r>
      <rPr>
        <sz val="12"/>
        <color indexed="8"/>
        <rFont val="宋体"/>
        <family val="3"/>
        <charset val="134"/>
      </rPr>
      <t>法兰连接</t>
    </r>
  </si>
  <si>
    <t>FF</t>
  </si>
  <si>
    <t>A216M-WCB</t>
  </si>
  <si>
    <t>UP</t>
  </si>
  <si>
    <r>
      <rPr>
        <sz val="12"/>
        <color theme="0" tint="-0.89996032593768116"/>
        <rFont val="Arial"/>
        <family val="2"/>
      </rPr>
      <t xml:space="preserve">STD </t>
    </r>
    <r>
      <rPr>
        <sz val="12"/>
        <color indexed="8"/>
        <rFont val="宋体"/>
        <family val="3"/>
        <charset val="134"/>
      </rPr>
      <t>标准型</t>
    </r>
  </si>
  <si>
    <t>PTFE</t>
  </si>
  <si>
    <r>
      <rPr>
        <sz val="12"/>
        <color theme="0" tint="-0.89996032593768116"/>
        <rFont val="宋体"/>
        <family val="3"/>
        <charset val="134"/>
      </rPr>
      <t>柔性石墨</t>
    </r>
    <r>
      <rPr>
        <sz val="12"/>
        <color theme="0" tint="-0.89996032593768116"/>
        <rFont val="Arial"/>
        <family val="2"/>
      </rPr>
      <t>+316L</t>
    </r>
  </si>
  <si>
    <t>NON</t>
  </si>
  <si>
    <t>EQ%</t>
  </si>
  <si>
    <t>dn5</t>
  </si>
  <si>
    <t>DS</t>
  </si>
  <si>
    <t>PC05RA</t>
  </si>
  <si>
    <r>
      <rPr>
        <sz val="12"/>
        <color theme="0" tint="-0.89996032593768116"/>
        <rFont val="Arial"/>
        <family val="2"/>
      </rPr>
      <t>PY14LA</t>
    </r>
  </si>
  <si>
    <t>PM14-200RA</t>
  </si>
  <si>
    <t>361LSA-08</t>
  </si>
  <si>
    <t>341LSA-08</t>
  </si>
  <si>
    <t>ANSI/FCI CLASS II</t>
  </si>
  <si>
    <r>
      <rPr>
        <sz val="12"/>
        <color indexed="10"/>
        <rFont val="宋体"/>
        <family val="3"/>
        <charset val="134"/>
      </rPr>
      <t>高性能单座控制阀</t>
    </r>
  </si>
  <si>
    <t>High Perfermance Single Seated Control Valves</t>
  </si>
  <si>
    <t xml:space="preserve">  FC</t>
  </si>
  <si>
    <r>
      <rPr>
        <sz val="12"/>
        <color indexed="8"/>
        <rFont val="宋体"/>
        <family val="3"/>
        <charset val="134"/>
      </rPr>
      <t>故障关</t>
    </r>
  </si>
  <si>
    <t>低温</t>
  </si>
  <si>
    <t>DN20</t>
  </si>
  <si>
    <r>
      <rPr>
        <sz val="12"/>
        <color theme="0" tint="-0.89996032593768116"/>
        <rFont val="Arial"/>
        <family val="2"/>
      </rPr>
      <t xml:space="preserve">Gas   </t>
    </r>
    <r>
      <rPr>
        <sz val="12"/>
        <color indexed="8"/>
        <rFont val="宋体"/>
        <family val="3"/>
        <charset val="134"/>
      </rPr>
      <t>气体</t>
    </r>
  </si>
  <si>
    <t>L/h</t>
  </si>
  <si>
    <t>MPa(G)</t>
  </si>
  <si>
    <t>K</t>
  </si>
  <si>
    <t>Water=1</t>
  </si>
  <si>
    <t>Cp</t>
  </si>
  <si>
    <t>ST320T</t>
  </si>
  <si>
    <t>Class300</t>
  </si>
  <si>
    <t>HG/T 20615-2009</t>
  </si>
  <si>
    <r>
      <rPr>
        <sz val="12"/>
        <color indexed="8"/>
        <rFont val="宋体"/>
        <family val="3"/>
        <charset val="134"/>
      </rPr>
      <t>对夹连接</t>
    </r>
  </si>
  <si>
    <t>RF</t>
  </si>
  <si>
    <t>A217M-WC6</t>
  </si>
  <si>
    <t>DOWN</t>
  </si>
  <si>
    <r>
      <rPr>
        <sz val="12"/>
        <color theme="0" tint="-0.89996032593768116"/>
        <rFont val="Arial"/>
        <family val="2"/>
      </rPr>
      <t xml:space="preserve">EXT </t>
    </r>
    <r>
      <rPr>
        <sz val="12"/>
        <color indexed="8"/>
        <rFont val="宋体"/>
        <family val="3"/>
        <charset val="134"/>
      </rPr>
      <t>散热片型</t>
    </r>
  </si>
  <si>
    <r>
      <rPr>
        <sz val="12"/>
        <color theme="0" tint="-0.89996032593768116"/>
        <rFont val="Arial"/>
        <family val="2"/>
      </rPr>
      <t>PTFE(</t>
    </r>
    <r>
      <rPr>
        <sz val="12"/>
        <color theme="0" tint="-0.89996032593768116"/>
        <rFont val="宋体"/>
        <family val="3"/>
        <charset val="134"/>
      </rPr>
      <t>禁油</t>
    </r>
    <r>
      <rPr>
        <sz val="12"/>
        <color theme="0" tint="-0.89996032593768116"/>
        <rFont val="Arial"/>
        <family val="2"/>
      </rPr>
      <t>)</t>
    </r>
  </si>
  <si>
    <r>
      <rPr>
        <sz val="12"/>
        <color theme="0" tint="-0.89996032593768116"/>
        <rFont val="宋体"/>
        <family val="3"/>
        <charset val="134"/>
      </rPr>
      <t>柔性石墨</t>
    </r>
    <r>
      <rPr>
        <sz val="12"/>
        <color theme="0" tint="-0.89996032593768116"/>
        <rFont val="Arial"/>
        <family val="2"/>
      </rPr>
      <t>+321</t>
    </r>
  </si>
  <si>
    <t>Rc1/2"</t>
  </si>
  <si>
    <r>
      <rPr>
        <sz val="12"/>
        <color indexed="8"/>
        <rFont val="宋体"/>
        <family val="3"/>
        <charset val="134"/>
      </rPr>
      <t>改良</t>
    </r>
    <r>
      <rPr>
        <sz val="12"/>
        <color indexed="8"/>
        <rFont val="Arial"/>
        <family val="2"/>
      </rPr>
      <t>EQ%</t>
    </r>
  </si>
  <si>
    <r>
      <rPr>
        <sz val="12"/>
        <color theme="0" tint="-0.89996032593768116"/>
        <rFont val="Arial"/>
        <family val="2"/>
      </rPr>
      <t>304/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</si>
  <si>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dn6</t>
  </si>
  <si>
    <t>304/HCr</t>
  </si>
  <si>
    <t>R.TFE/316L</t>
  </si>
  <si>
    <t>ST22LA</t>
  </si>
  <si>
    <t>DN</t>
  </si>
  <si>
    <t>PC10RA</t>
  </si>
  <si>
    <t>PY20LA</t>
  </si>
  <si>
    <t>PM14-250RA</t>
  </si>
  <si>
    <t>361LSA-20</t>
  </si>
  <si>
    <t>341LSA-20</t>
  </si>
  <si>
    <t>气动</t>
  </si>
  <si>
    <t>80-200KPa</t>
  </si>
  <si>
    <t>SRI990-BIMS7EAA-R</t>
  </si>
  <si>
    <r>
      <rPr>
        <sz val="12"/>
        <color theme="0" tint="-0.89996032593768116"/>
        <rFont val="Arial"/>
        <family val="2"/>
      </rPr>
      <t>4</t>
    </r>
    <r>
      <rPr>
        <sz val="12"/>
        <color indexed="8"/>
        <rFont val="Arial"/>
        <family val="2"/>
      </rPr>
      <t>~20mA.DC</t>
    </r>
  </si>
  <si>
    <t>AW20-02B-2-A</t>
  </si>
  <si>
    <t>8314G300</t>
  </si>
  <si>
    <t>DC24V</t>
  </si>
  <si>
    <t>1LS19-JB1</t>
  </si>
  <si>
    <t>Open</t>
  </si>
  <si>
    <t>G1/2"</t>
  </si>
  <si>
    <t>Rc1/4"</t>
  </si>
  <si>
    <t>Exd II BT4</t>
  </si>
  <si>
    <t xml:space="preserve">IL100-02 </t>
  </si>
  <si>
    <t>VPA342-1-02A</t>
  </si>
  <si>
    <t>YDQB-50</t>
  </si>
  <si>
    <t>AK2000-02</t>
  </si>
  <si>
    <t>AF20-02-A</t>
  </si>
  <si>
    <r>
      <rPr>
        <sz val="12"/>
        <color indexed="8"/>
        <rFont val="宋体"/>
        <family val="3"/>
        <charset val="134"/>
      </rPr>
      <t>电子开关</t>
    </r>
    <r>
      <rPr>
        <sz val="12"/>
        <color indexed="8"/>
        <rFont val="Arial"/>
        <family val="2"/>
      </rPr>
      <t>:DKB-</t>
    </r>
    <r>
      <rPr>
        <sz val="12"/>
        <color indexed="8"/>
        <rFont val="宋体"/>
        <family val="3"/>
        <charset val="134"/>
      </rPr>
      <t>吴忠</t>
    </r>
  </si>
  <si>
    <t>IL201-02</t>
  </si>
  <si>
    <r>
      <rPr>
        <sz val="12"/>
        <color theme="0" tint="-0.89996032593768116"/>
        <rFont val="Arial"/>
        <family val="2"/>
      </rPr>
      <t xml:space="preserve">ANSI/FCI CLASS </t>
    </r>
    <r>
      <rPr>
        <sz val="12"/>
        <color indexed="8"/>
        <rFont val="Arial"/>
        <family val="2"/>
      </rPr>
      <t>III</t>
    </r>
  </si>
  <si>
    <t>顶部导向型单座调节阀</t>
  </si>
  <si>
    <r>
      <rPr>
        <sz val="12"/>
        <color indexed="8"/>
        <rFont val="宋体"/>
        <family val="3"/>
        <charset val="134"/>
      </rPr>
      <t>单动作气缸型</t>
    </r>
  </si>
  <si>
    <t xml:space="preserve">  FO</t>
  </si>
  <si>
    <r>
      <rPr>
        <sz val="12"/>
        <color indexed="8"/>
        <rFont val="宋体"/>
        <family val="3"/>
        <charset val="134"/>
      </rPr>
      <t>故障开</t>
    </r>
  </si>
  <si>
    <t>Exd IIBT4</t>
  </si>
  <si>
    <r>
      <rPr>
        <u/>
        <sz val="12"/>
        <color indexed="8"/>
        <rFont val="宋体"/>
        <family val="3"/>
        <charset val="134"/>
      </rPr>
      <t>工艺条件</t>
    </r>
  </si>
  <si>
    <t>DN25</t>
  </si>
  <si>
    <r>
      <rPr>
        <sz val="12"/>
        <color theme="0" tint="-0.89996032593768116"/>
        <rFont val="Arial"/>
        <family val="2"/>
      </rPr>
      <t xml:space="preserve">Steam   </t>
    </r>
    <r>
      <rPr>
        <sz val="12"/>
        <color indexed="8"/>
        <rFont val="宋体"/>
        <family val="3"/>
        <charset val="134"/>
      </rPr>
      <t>蒸汽</t>
    </r>
  </si>
  <si>
    <t>Kg/h</t>
  </si>
  <si>
    <t>kPa(G)</t>
  </si>
  <si>
    <t>Air=1</t>
  </si>
  <si>
    <t>Pa.S</t>
  </si>
  <si>
    <t>ST300C</t>
  </si>
  <si>
    <t>Class600</t>
  </si>
  <si>
    <t>HG/T 20623-2009(A)</t>
  </si>
  <si>
    <r>
      <rPr>
        <sz val="12"/>
        <color indexed="8"/>
        <rFont val="宋体"/>
        <family val="3"/>
        <charset val="134"/>
      </rPr>
      <t>对焊连接</t>
    </r>
  </si>
  <si>
    <t>RJ</t>
  </si>
  <si>
    <t>A217M-WC9</t>
  </si>
  <si>
    <r>
      <rPr>
        <sz val="12"/>
        <color indexed="8"/>
        <rFont val="宋体"/>
        <family val="3"/>
        <charset val="134"/>
      </rPr>
      <t>流开</t>
    </r>
  </si>
  <si>
    <r>
      <rPr>
        <sz val="12"/>
        <color theme="0" tint="-0.89996032593768116"/>
        <rFont val="Arial"/>
        <family val="2"/>
      </rPr>
      <t xml:space="preserve">LONG </t>
    </r>
    <r>
      <rPr>
        <sz val="12"/>
        <color indexed="8"/>
        <rFont val="宋体"/>
        <family val="3"/>
        <charset val="134"/>
      </rPr>
      <t>加长型</t>
    </r>
  </si>
  <si>
    <r>
      <rPr>
        <sz val="12"/>
        <color indexed="8"/>
        <rFont val="宋体"/>
        <family val="3"/>
        <charset val="134"/>
      </rPr>
      <t>柔性石墨</t>
    </r>
  </si>
  <si>
    <r>
      <rPr>
        <sz val="12"/>
        <color theme="0" tint="-0.89996032593768116"/>
        <rFont val="宋体"/>
        <family val="3"/>
        <charset val="134"/>
      </rPr>
      <t>柔性石墨</t>
    </r>
    <r>
      <rPr>
        <sz val="12"/>
        <color theme="0" tint="-0.89996032593768116"/>
        <rFont val="Arial"/>
        <family val="2"/>
      </rPr>
      <t>+304</t>
    </r>
  </si>
  <si>
    <t>NPT1/2"</t>
  </si>
  <si>
    <r>
      <rPr>
        <sz val="12"/>
        <color indexed="8"/>
        <rFont val="宋体"/>
        <family val="3"/>
        <charset val="134"/>
      </rPr>
      <t>近似</t>
    </r>
    <r>
      <rPr>
        <sz val="12"/>
        <color indexed="8"/>
        <rFont val="Arial"/>
        <family val="2"/>
      </rPr>
      <t>EQ%</t>
    </r>
  </si>
  <si>
    <r>
      <rPr>
        <sz val="12"/>
        <color theme="0" tint="-0.89996032593768116"/>
        <rFont val="Arial"/>
        <family val="2"/>
      </rPr>
      <t>304/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</si>
  <si>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dn7</t>
  </si>
  <si>
    <t>304L/HCr</t>
  </si>
  <si>
    <r>
      <rPr>
        <sz val="12"/>
        <color theme="0" tint="-0.89996032593768116"/>
        <rFont val="Arial"/>
        <family val="2"/>
      </rPr>
      <t>304/</t>
    </r>
    <r>
      <rPr>
        <sz val="12"/>
        <color indexed="8"/>
        <rFont val="宋体"/>
        <family val="3"/>
        <charset val="134"/>
      </rPr>
      <t>渗氮</t>
    </r>
  </si>
  <si>
    <t>304L</t>
  </si>
  <si>
    <t>ST22LB</t>
  </si>
  <si>
    <t>RS</t>
  </si>
  <si>
    <t>PC20RA</t>
  </si>
  <si>
    <t>PY30LA</t>
  </si>
  <si>
    <t>PM16-250RA</t>
  </si>
  <si>
    <t>361LSB-30</t>
  </si>
  <si>
    <t>341LSB-30</t>
  </si>
  <si>
    <t>液动</t>
  </si>
  <si>
    <t>150-250KPa</t>
  </si>
  <si>
    <t>SRI990-CIMS7EAA-R</t>
  </si>
  <si>
    <r>
      <rPr>
        <sz val="12"/>
        <color theme="0" tint="-0.89996032593768116"/>
        <rFont val="Arial"/>
        <family val="2"/>
      </rPr>
      <t>4</t>
    </r>
    <r>
      <rPr>
        <sz val="12"/>
        <color indexed="8"/>
        <rFont val="Arial"/>
        <family val="2"/>
      </rPr>
      <t>~20mA.DC+HART</t>
    </r>
  </si>
  <si>
    <t>AW30-03B-2-A</t>
  </si>
  <si>
    <t>8314G301</t>
  </si>
  <si>
    <t>AC24V</t>
  </si>
  <si>
    <t>LSXA3K-1A</t>
  </si>
  <si>
    <t>Close</t>
  </si>
  <si>
    <t>G3/8"</t>
  </si>
  <si>
    <t>Rc1/4"-ø6</t>
  </si>
  <si>
    <t>Exd II CT4</t>
  </si>
  <si>
    <t>IL100-03</t>
  </si>
  <si>
    <t>VPA542-03A</t>
  </si>
  <si>
    <t>YDQB-100</t>
  </si>
  <si>
    <t>AK4000-04</t>
  </si>
  <si>
    <t>AF40-04-A</t>
  </si>
  <si>
    <r>
      <rPr>
        <sz val="12"/>
        <color indexed="8"/>
        <rFont val="宋体"/>
        <family val="3"/>
        <charset val="134"/>
      </rPr>
      <t>电涌保护器</t>
    </r>
    <r>
      <rPr>
        <sz val="12"/>
        <color indexed="8"/>
        <rFont val="Arial"/>
        <family val="2"/>
      </rPr>
      <t>:TP48-MTL</t>
    </r>
  </si>
  <si>
    <t>IL211-02</t>
  </si>
  <si>
    <t>ANSI/FCI CLASS IV</t>
  </si>
  <si>
    <t>高压顶部导向型单座调节阀</t>
  </si>
  <si>
    <r>
      <rPr>
        <sz val="12"/>
        <color indexed="8"/>
        <rFont val="宋体"/>
        <family val="3"/>
        <charset val="134"/>
      </rPr>
      <t>双动作气缸型</t>
    </r>
  </si>
  <si>
    <t xml:space="preserve">  FL</t>
  </si>
  <si>
    <r>
      <rPr>
        <sz val="12"/>
        <color indexed="8"/>
        <rFont val="宋体"/>
        <family val="3"/>
        <charset val="134"/>
      </rPr>
      <t>保位</t>
    </r>
  </si>
  <si>
    <t>Exd IICT4</t>
  </si>
  <si>
    <r>
      <rPr>
        <u/>
        <sz val="12"/>
        <color indexed="8"/>
        <rFont val="宋体"/>
        <family val="3"/>
        <charset val="134"/>
      </rPr>
      <t>介质状态</t>
    </r>
  </si>
  <si>
    <t>DN32</t>
  </si>
  <si>
    <r>
      <rPr>
        <sz val="12"/>
        <color theme="0" tint="-0.89996032593768116"/>
        <rFont val="Arial"/>
        <family val="2"/>
      </rPr>
      <t xml:space="preserve">Solid   </t>
    </r>
    <r>
      <rPr>
        <sz val="12"/>
        <color indexed="8"/>
        <rFont val="宋体"/>
        <family val="3"/>
        <charset val="134"/>
      </rPr>
      <t>固体粒子</t>
    </r>
  </si>
  <si>
    <t>m3/h</t>
  </si>
  <si>
    <t>bar(G)</t>
  </si>
  <si>
    <t>Kg/Nm3</t>
  </si>
  <si>
    <t>mm2/s</t>
  </si>
  <si>
    <t>ST301C</t>
  </si>
  <si>
    <t>Class900</t>
  </si>
  <si>
    <t>HG/T 20623-2009(B)</t>
  </si>
  <si>
    <r>
      <rPr>
        <sz val="12"/>
        <color indexed="8"/>
        <rFont val="宋体"/>
        <family val="3"/>
        <charset val="134"/>
      </rPr>
      <t>支耳连接</t>
    </r>
  </si>
  <si>
    <t>M</t>
  </si>
  <si>
    <t>LCB</t>
  </si>
  <si>
    <r>
      <rPr>
        <sz val="12"/>
        <color indexed="8"/>
        <rFont val="宋体"/>
        <family val="3"/>
        <charset val="134"/>
      </rPr>
      <t>流闭</t>
    </r>
  </si>
  <si>
    <r>
      <rPr>
        <sz val="12"/>
        <color theme="0" tint="-0.89996032593768116"/>
        <rFont val="Arial"/>
        <family val="2"/>
      </rPr>
      <t xml:space="preserve">BELLOWS </t>
    </r>
    <r>
      <rPr>
        <sz val="12"/>
        <color indexed="8"/>
        <rFont val="宋体"/>
        <family val="3"/>
        <charset val="134"/>
      </rPr>
      <t>波纹管型</t>
    </r>
  </si>
  <si>
    <t>EVSP9000</t>
  </si>
  <si>
    <t>PTFE-316L(禁油)</t>
  </si>
  <si>
    <t>Linear</t>
  </si>
  <si>
    <t>dn8</t>
  </si>
  <si>
    <t>316/HCr</t>
  </si>
  <si>
    <t>Inconel 718/HT</t>
  </si>
  <si>
    <t>ST22LC</t>
  </si>
  <si>
    <t>RN</t>
  </si>
  <si>
    <t>PC25RA</t>
  </si>
  <si>
    <t>PY45LA</t>
  </si>
  <si>
    <t>PM14-300RA</t>
  </si>
  <si>
    <t>PM16-300RA</t>
  </si>
  <si>
    <t>361LSB-50</t>
  </si>
  <si>
    <t>341LSB-50</t>
  </si>
  <si>
    <r>
      <rPr>
        <sz val="12"/>
        <color theme="0" tint="-0.89996032593768116"/>
        <rFont val="宋体"/>
        <family val="3"/>
        <charset val="134"/>
      </rPr>
      <t>电</t>
    </r>
    <r>
      <rPr>
        <sz val="12"/>
        <color theme="0" tint="-0.89996032593768116"/>
        <rFont val="Arial"/>
        <family val="2"/>
      </rPr>
      <t>-</t>
    </r>
    <r>
      <rPr>
        <sz val="12"/>
        <color theme="0" tint="-0.89996032593768116"/>
        <rFont val="宋体"/>
        <family val="3"/>
        <charset val="134"/>
      </rPr>
      <t>液</t>
    </r>
  </si>
  <si>
    <t>125-275KPa</t>
  </si>
  <si>
    <t>SRI990-BIQS7EAA-R</t>
  </si>
  <si>
    <r>
      <rPr>
        <sz val="12"/>
        <color theme="0" tint="-0.89996032593768116"/>
        <rFont val="Arial"/>
        <family val="2"/>
      </rPr>
      <t>FF</t>
    </r>
    <r>
      <rPr>
        <sz val="12"/>
        <color indexed="8"/>
        <rFont val="宋体"/>
        <family val="3"/>
        <charset val="134"/>
      </rPr>
      <t>现场总线</t>
    </r>
  </si>
  <si>
    <t>AW40-04B-2-A</t>
  </si>
  <si>
    <t>8320G174</t>
  </si>
  <si>
    <t>DC100V</t>
  </si>
  <si>
    <t>LSXYAB3K-1A</t>
  </si>
  <si>
    <t>Open&amp;Close</t>
  </si>
  <si>
    <t>G3/4"</t>
  </si>
  <si>
    <t>Rc1/4"-ø8</t>
  </si>
  <si>
    <t>Exd II BT6</t>
  </si>
  <si>
    <t>IL100-02-L</t>
  </si>
  <si>
    <t>VPA742-1-04A</t>
  </si>
  <si>
    <t>YDQB-200</t>
  </si>
  <si>
    <t>AF30-02B-2-X430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</si>
  <si>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:SPTM-6VLC10</t>
    </r>
  </si>
  <si>
    <t>IL220-02</t>
  </si>
  <si>
    <t>ANSI/FCI CLASS V</t>
  </si>
  <si>
    <t>套筒导向型单座调节阀</t>
  </si>
  <si>
    <t>High Perfermance Cage Control Valves</t>
  </si>
  <si>
    <t xml:space="preserve">  Any</t>
  </si>
  <si>
    <r>
      <rPr>
        <sz val="12"/>
        <color indexed="8"/>
        <rFont val="宋体"/>
        <family val="3"/>
        <charset val="134"/>
      </rPr>
      <t>任意位置</t>
    </r>
  </si>
  <si>
    <t>低温/Exd IIBT4</t>
  </si>
  <si>
    <r>
      <rPr>
        <u/>
        <sz val="12"/>
        <color indexed="8"/>
        <rFont val="宋体"/>
        <family val="3"/>
        <charset val="134"/>
      </rPr>
      <t>流量单位</t>
    </r>
  </si>
  <si>
    <t>DN40</t>
  </si>
  <si>
    <t>Ton/h</t>
  </si>
  <si>
    <t>Kgf/cm2(A)</t>
  </si>
  <si>
    <t>ST300M</t>
  </si>
  <si>
    <t>Class1500</t>
  </si>
  <si>
    <t>ASME B16.5</t>
  </si>
  <si>
    <r>
      <rPr>
        <sz val="12"/>
        <color indexed="8"/>
        <rFont val="宋体"/>
        <family val="3"/>
        <charset val="134"/>
      </rPr>
      <t>螺纹连接</t>
    </r>
  </si>
  <si>
    <t>FM</t>
  </si>
  <si>
    <t>A351M-CF8</t>
  </si>
  <si>
    <r>
      <rPr>
        <sz val="12"/>
        <color indexed="8"/>
        <rFont val="宋体"/>
        <family val="3"/>
        <charset val="134"/>
      </rPr>
      <t>压开</t>
    </r>
  </si>
  <si>
    <r>
      <rPr>
        <sz val="12"/>
        <color theme="0" tint="-0.89996032593768116"/>
        <rFont val="Arial"/>
        <family val="2"/>
      </rPr>
      <t xml:space="preserve">STEAM JACKET </t>
    </r>
    <r>
      <rPr>
        <sz val="12"/>
        <color indexed="8"/>
        <rFont val="宋体"/>
        <family val="3"/>
        <charset val="134"/>
      </rPr>
      <t>蒸汽夹套型</t>
    </r>
  </si>
  <si>
    <r>
      <rPr>
        <sz val="12"/>
        <color indexed="8"/>
        <rFont val="宋体"/>
        <family val="3"/>
        <charset val="134"/>
      </rPr>
      <t>近似</t>
    </r>
    <r>
      <rPr>
        <sz val="12"/>
        <color indexed="8"/>
        <rFont val="Arial"/>
        <family val="2"/>
      </rPr>
      <t>Linear</t>
    </r>
  </si>
  <si>
    <r>
      <rPr>
        <sz val="12"/>
        <color theme="0" tint="-0.89996032593768116"/>
        <rFont val="Arial"/>
        <family val="2"/>
      </rPr>
      <t>304L/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</si>
  <si>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dn9</t>
  </si>
  <si>
    <r>
      <rPr>
        <sz val="12"/>
        <color theme="0" tint="-0.89996032593768116"/>
        <rFont val="Arial"/>
        <family val="2"/>
      </rPr>
      <t>316/</t>
    </r>
    <r>
      <rPr>
        <sz val="12"/>
        <color theme="0" tint="-0.89996032593768116"/>
        <rFont val="宋体"/>
        <family val="3"/>
        <charset val="134"/>
      </rPr>
      <t>渗氮</t>
    </r>
  </si>
  <si>
    <t>Inconel X-750/HT</t>
  </si>
  <si>
    <t>ST22LD</t>
  </si>
  <si>
    <t>WS</t>
  </si>
  <si>
    <t>PC30RA</t>
  </si>
  <si>
    <t>PY60LA</t>
  </si>
  <si>
    <t>PM16-350RA</t>
  </si>
  <si>
    <t>361LSC-65</t>
  </si>
  <si>
    <t>341LSC-65</t>
  </si>
  <si>
    <r>
      <rPr>
        <sz val="12"/>
        <color theme="0" tint="-0.89996032593768116"/>
        <rFont val="宋体"/>
        <family val="3"/>
        <charset val="134"/>
      </rPr>
      <t>气</t>
    </r>
    <r>
      <rPr>
        <sz val="12"/>
        <color theme="0" tint="-0.89996032593768116"/>
        <rFont val="Arial"/>
        <family val="2"/>
      </rPr>
      <t>-</t>
    </r>
    <r>
      <rPr>
        <sz val="12"/>
        <color theme="0" tint="-0.89996032593768116"/>
        <rFont val="宋体"/>
        <family val="3"/>
        <charset val="134"/>
      </rPr>
      <t>液</t>
    </r>
  </si>
  <si>
    <t>200-300KPa</t>
  </si>
  <si>
    <t>SRI990-CIQS7EAA-R</t>
  </si>
  <si>
    <r>
      <rPr>
        <sz val="12"/>
        <color theme="0" tint="-0.89996032593768116"/>
        <rFont val="Arial"/>
        <family val="2"/>
      </rPr>
      <t xml:space="preserve">Profilbus </t>
    </r>
    <r>
      <rPr>
        <sz val="12"/>
        <color indexed="8"/>
        <rFont val="宋体"/>
        <family val="3"/>
        <charset val="134"/>
      </rPr>
      <t>现场总线</t>
    </r>
  </si>
  <si>
    <t>AW60-06B-2-A</t>
  </si>
  <si>
    <t>8320G200</t>
  </si>
  <si>
    <t>AC100V</t>
  </si>
  <si>
    <t>BXA3K-1A</t>
  </si>
  <si>
    <t>Rc3/8"-ø10</t>
  </si>
  <si>
    <t>Exd II CT6</t>
  </si>
  <si>
    <t>IL100-03-L</t>
  </si>
  <si>
    <t>VGA342-04A</t>
  </si>
  <si>
    <t>YDQB-300</t>
  </si>
  <si>
    <t>AF40-04B-2-X430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</si>
  <si>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:SPTM-6VLC20</t>
    </r>
  </si>
  <si>
    <t>IL201-02-L</t>
  </si>
  <si>
    <t>ANSI/FCI CLASS VI</t>
  </si>
  <si>
    <t>先导式高性能套筒控制阀</t>
  </si>
  <si>
    <t xml:space="preserve">  </t>
  </si>
  <si>
    <t xml:space="preserve"> </t>
  </si>
  <si>
    <t>低温/Exd IICT4</t>
  </si>
  <si>
    <r>
      <rPr>
        <u/>
        <sz val="12"/>
        <color indexed="8"/>
        <rFont val="宋体"/>
        <family val="3"/>
        <charset val="134"/>
      </rPr>
      <t>压力单位</t>
    </r>
  </si>
  <si>
    <t>DN50</t>
  </si>
  <si>
    <t>L/min</t>
  </si>
  <si>
    <t>MPa(A)</t>
  </si>
  <si>
    <t>ST310T</t>
  </si>
  <si>
    <t>Class2500</t>
  </si>
  <si>
    <r>
      <rPr>
        <sz val="12"/>
        <color indexed="8"/>
        <rFont val="宋体"/>
        <family val="3"/>
        <charset val="134"/>
      </rPr>
      <t>卡套连接</t>
    </r>
  </si>
  <si>
    <t>T</t>
  </si>
  <si>
    <t>A351M-CF8M</t>
  </si>
  <si>
    <r>
      <rPr>
        <sz val="12"/>
        <color indexed="8"/>
        <rFont val="宋体"/>
        <family val="3"/>
        <charset val="134"/>
      </rPr>
      <t>压闭</t>
    </r>
  </si>
  <si>
    <r>
      <rPr>
        <sz val="12"/>
        <color theme="0" tint="-0.89996032593768116"/>
        <rFont val="Arial"/>
        <family val="2"/>
      </rPr>
      <t xml:space="preserve">LTF </t>
    </r>
    <r>
      <rPr>
        <sz val="12"/>
        <color indexed="8"/>
        <rFont val="宋体"/>
        <family val="3"/>
        <charset val="134"/>
      </rPr>
      <t>低温型加冷箱</t>
    </r>
  </si>
  <si>
    <t>MTFE</t>
  </si>
  <si>
    <r>
      <rPr>
        <sz val="12"/>
        <color theme="0" tint="-0.89996032593768116"/>
        <rFont val="宋体"/>
        <family val="3"/>
        <charset val="134"/>
      </rPr>
      <t>柔性石墨</t>
    </r>
    <r>
      <rPr>
        <sz val="12"/>
        <color theme="0" tint="-0.89996032593768116"/>
        <rFont val="Arial"/>
        <family val="2"/>
      </rPr>
      <t>+316</t>
    </r>
  </si>
  <si>
    <t>ON-OFF</t>
  </si>
  <si>
    <r>
      <rPr>
        <sz val="12"/>
        <color theme="0" tint="-0.89996032593768116"/>
        <rFont val="Arial"/>
        <family val="2"/>
      </rPr>
      <t>304L/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</si>
  <si>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dn10</t>
  </si>
  <si>
    <t>316L/HCr</t>
  </si>
  <si>
    <t>ST28LC</t>
  </si>
  <si>
    <t>WN</t>
  </si>
  <si>
    <t>PC35RA</t>
  </si>
  <si>
    <t>PD45LA</t>
  </si>
  <si>
    <t>PM25-350RA</t>
  </si>
  <si>
    <t>361LSC-99</t>
  </si>
  <si>
    <t>341LSC-99</t>
  </si>
  <si>
    <t>700KPa(G)</t>
  </si>
  <si>
    <t>220-330KPa</t>
  </si>
  <si>
    <t>SRD991-BDNS7EA4NR-V01</t>
  </si>
  <si>
    <t>4 to 12 mA.DC</t>
  </si>
  <si>
    <t>AW60-10B-2-A</t>
  </si>
  <si>
    <t>EF8314G300</t>
  </si>
  <si>
    <t>AC110V</t>
  </si>
  <si>
    <t>APL210N</t>
  </si>
  <si>
    <t>NPT3/4"</t>
  </si>
  <si>
    <t>Rc3/8"-ø12</t>
  </si>
  <si>
    <t>Exia II CT4</t>
  </si>
  <si>
    <t>IL100-02-T</t>
  </si>
  <si>
    <t>VGA342-06A</t>
  </si>
  <si>
    <t>YDQB-600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</si>
  <si>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:SPTM-6VLC30</t>
    </r>
  </si>
  <si>
    <t>IL211-02-L</t>
  </si>
  <si>
    <r>
      <rPr>
        <sz val="12"/>
        <color indexed="8"/>
        <rFont val="宋体"/>
        <family val="3"/>
        <charset val="134"/>
      </rPr>
      <t>零泄漏</t>
    </r>
  </si>
  <si>
    <r>
      <rPr>
        <sz val="12"/>
        <color indexed="8"/>
        <rFont val="宋体"/>
        <family val="3"/>
        <charset val="134"/>
      </rPr>
      <t>高性能双座控制阀</t>
    </r>
  </si>
  <si>
    <t>High Perfermance Double Seated Control Valves</t>
  </si>
  <si>
    <t>不限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</si>
  <si>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G1/4''</t>
    </r>
  </si>
  <si>
    <r>
      <rPr>
        <u/>
        <sz val="12"/>
        <color indexed="8"/>
        <rFont val="宋体"/>
        <family val="3"/>
        <charset val="134"/>
      </rPr>
      <t>温度单位</t>
    </r>
  </si>
  <si>
    <t>DN65</t>
  </si>
  <si>
    <t>kPa(A)</t>
  </si>
  <si>
    <t>ST310A</t>
  </si>
  <si>
    <t>PN2.5</t>
  </si>
  <si>
    <r>
      <rPr>
        <sz val="12"/>
        <color indexed="8"/>
        <rFont val="宋体"/>
        <family val="3"/>
        <charset val="134"/>
      </rPr>
      <t>卡箍连接</t>
    </r>
  </si>
  <si>
    <t>G</t>
  </si>
  <si>
    <t>A351M-CF3</t>
  </si>
  <si>
    <t>Inherent</t>
  </si>
  <si>
    <t>dn15</t>
  </si>
  <si>
    <r>
      <rPr>
        <sz val="12"/>
        <color theme="0" tint="-0.89996032593768116"/>
        <rFont val="Arial"/>
        <family val="2"/>
      </rPr>
      <t>316L/</t>
    </r>
    <r>
      <rPr>
        <sz val="12"/>
        <color theme="0" tint="-0.89996032593768116"/>
        <rFont val="宋体"/>
        <family val="3"/>
        <charset val="134"/>
      </rPr>
      <t>渗氮</t>
    </r>
  </si>
  <si>
    <r>
      <rPr>
        <sz val="12"/>
        <color theme="0" tint="-0.89996032593768116"/>
        <rFont val="Arial"/>
        <family val="2"/>
      </rPr>
      <t>316/</t>
    </r>
    <r>
      <rPr>
        <sz val="12"/>
        <color indexed="8"/>
        <rFont val="宋体"/>
        <family val="3"/>
        <charset val="134"/>
      </rPr>
      <t>渗氮</t>
    </r>
  </si>
  <si>
    <t>316L</t>
  </si>
  <si>
    <t>ST28LD</t>
  </si>
  <si>
    <t>PC40RA</t>
  </si>
  <si>
    <t>PD60LA</t>
  </si>
  <si>
    <t>PM25-400RA</t>
  </si>
  <si>
    <t>361LSC-160</t>
  </si>
  <si>
    <t>341LSC-160</t>
  </si>
  <si>
    <t>800KPa(G)</t>
  </si>
  <si>
    <t>250-350KPa</t>
  </si>
  <si>
    <t>SRD991-CDNS7EA4NR-V01</t>
  </si>
  <si>
    <t>12 to 20 mA.DC</t>
  </si>
  <si>
    <t>AW30-02B-2-X430</t>
  </si>
  <si>
    <t>EF8314G301</t>
  </si>
  <si>
    <t>AC200V</t>
  </si>
  <si>
    <t>APL310N</t>
  </si>
  <si>
    <t>NPT1/2"(接线盒M20×1.5)</t>
  </si>
  <si>
    <t>Rc3/8"</t>
  </si>
  <si>
    <t>Exia II CT6</t>
  </si>
  <si>
    <t>IL100-03-T</t>
  </si>
  <si>
    <t>VGA342-10A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</si>
  <si>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:SPTM-6VLC40</t>
    </r>
  </si>
  <si>
    <t>IL220-02-L</t>
  </si>
  <si>
    <t>多孔式套筒导向型调节阀</t>
  </si>
  <si>
    <t>Multi-hole Velocity Control Valves</t>
  </si>
  <si>
    <r>
      <rPr>
        <sz val="12"/>
        <color indexed="8"/>
        <rFont val="宋体"/>
        <family val="3"/>
        <charset val="134"/>
      </rPr>
      <t>活塞式</t>
    </r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</si>
  <si>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G1/2''</t>
    </r>
  </si>
  <si>
    <r>
      <rPr>
        <u/>
        <sz val="12"/>
        <color indexed="8"/>
        <rFont val="宋体"/>
        <family val="3"/>
        <charset val="134"/>
      </rPr>
      <t>密度单位</t>
    </r>
  </si>
  <si>
    <t>DN80</t>
  </si>
  <si>
    <t>bar(A)</t>
  </si>
  <si>
    <t>ST310C</t>
  </si>
  <si>
    <t>PN6</t>
  </si>
  <si>
    <r>
      <rPr>
        <sz val="12"/>
        <color indexed="8"/>
        <rFont val="宋体"/>
        <family val="3"/>
        <charset val="134"/>
      </rPr>
      <t>内自紧连接</t>
    </r>
  </si>
  <si>
    <t>BW</t>
  </si>
  <si>
    <t>CF3M</t>
  </si>
  <si>
    <r>
      <rPr>
        <sz val="12"/>
        <color theme="0" tint="-0.89996032593768116"/>
        <rFont val="宋体"/>
        <family val="3"/>
        <charset val="134"/>
      </rPr>
      <t>快开</t>
    </r>
  </si>
  <si>
    <r>
      <rPr>
        <sz val="12"/>
        <color theme="0" tint="-0.89996032593768116"/>
        <rFont val="Arial"/>
        <family val="2"/>
      </rPr>
      <t>316/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</si>
  <si>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dn16</t>
  </si>
  <si>
    <t>316L/PTFE</t>
  </si>
  <si>
    <t>ST36LC</t>
  </si>
  <si>
    <t>PC45RA</t>
  </si>
  <si>
    <t>PM25-450RA</t>
  </si>
  <si>
    <t>361LXA-08</t>
  </si>
  <si>
    <t>341LXA-08</t>
  </si>
  <si>
    <t>AC220V</t>
  </si>
  <si>
    <t>80-240KPa</t>
  </si>
  <si>
    <t>SRD991-BDQS7EA4NR-V01</t>
  </si>
  <si>
    <t>AW30-03B-2-X430</t>
  </si>
  <si>
    <t>EF8320G174</t>
  </si>
  <si>
    <t>APL410N</t>
  </si>
  <si>
    <t>M18×1.5</t>
  </si>
  <si>
    <t>Rc1/2"-ø15</t>
  </si>
  <si>
    <t>XT240-1</t>
  </si>
  <si>
    <t>VFA5120-02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</si>
  <si>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:SPTM-6VRC10</t>
    </r>
  </si>
  <si>
    <t>IL201-02-T</t>
  </si>
  <si>
    <t>先导式多孔式控速阀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</si>
  <si>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G3/4''</t>
    </r>
  </si>
  <si>
    <r>
      <rPr>
        <u/>
        <sz val="12"/>
        <color indexed="8"/>
        <rFont val="宋体"/>
        <family val="3"/>
        <charset val="134"/>
      </rPr>
      <t>粘度单位</t>
    </r>
  </si>
  <si>
    <t>DN100</t>
  </si>
  <si>
    <t>ST310M</t>
  </si>
  <si>
    <t>PN10</t>
  </si>
  <si>
    <t>SW</t>
  </si>
  <si>
    <t>CF8C</t>
  </si>
  <si>
    <r>
      <rPr>
        <sz val="12"/>
        <color theme="0" tint="-0.89996032593768116"/>
        <rFont val="Arial"/>
        <family val="2"/>
      </rPr>
      <t>316/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</si>
  <si>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dn18</t>
  </si>
  <si>
    <t>310S/HCr</t>
  </si>
  <si>
    <r>
      <rPr>
        <sz val="12"/>
        <color theme="0" tint="-0.89996032593768116"/>
        <rFont val="Arial"/>
        <family val="2"/>
      </rPr>
      <t>316L/</t>
    </r>
    <r>
      <rPr>
        <sz val="12"/>
        <color indexed="8"/>
        <rFont val="宋体"/>
        <family val="3"/>
        <charset val="134"/>
      </rPr>
      <t>渗氮</t>
    </r>
  </si>
  <si>
    <t>310S</t>
  </si>
  <si>
    <t>ST36LD</t>
  </si>
  <si>
    <t>PC50RA</t>
  </si>
  <si>
    <t>PM30-450RA</t>
  </si>
  <si>
    <t>361LXA-20</t>
  </si>
  <si>
    <t>341LXA-20</t>
  </si>
  <si>
    <t>AC380V</t>
  </si>
  <si>
    <t>110-200KPa</t>
  </si>
  <si>
    <t>SRD991-BHQS7EA4NR-V01</t>
  </si>
  <si>
    <t>AW40-04B-2-X430</t>
  </si>
  <si>
    <t>EF8320G200</t>
  </si>
  <si>
    <t>APL510N</t>
  </si>
  <si>
    <t>M20×1.5</t>
  </si>
  <si>
    <t>XT240-1-X8</t>
  </si>
  <si>
    <t>VFA5120-03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</si>
  <si>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:SPTM-5VLi10</t>
    </r>
  </si>
  <si>
    <t>IL211-02-T</t>
  </si>
  <si>
    <t>多级降压式套筒调节阀</t>
  </si>
  <si>
    <t>Labyrinth  Velocity Control Valves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</si>
  <si>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G1''</t>
    </r>
  </si>
  <si>
    <t>DN125</t>
  </si>
  <si>
    <t>ST300F</t>
  </si>
  <si>
    <t>PN16</t>
  </si>
  <si>
    <t>A351-CK20</t>
  </si>
  <si>
    <t>dn20</t>
  </si>
  <si>
    <t>310S/DS</t>
  </si>
  <si>
    <t>17-4PH/H1025</t>
  </si>
  <si>
    <t>ST4BLA</t>
  </si>
  <si>
    <t>PC55RA</t>
  </si>
  <si>
    <t>PM30-500RA</t>
  </si>
  <si>
    <t>361LXB-30</t>
  </si>
  <si>
    <t>341LXB-30</t>
  </si>
  <si>
    <t>AC220V 4~20mA</t>
  </si>
  <si>
    <t>152-200KPa</t>
  </si>
  <si>
    <t>SRI986-BIDS7EAANA</t>
  </si>
  <si>
    <t>AW60-06B-2-X430</t>
  </si>
  <si>
    <t>EF8551G401MO</t>
  </si>
  <si>
    <t>ALS-200M2</t>
  </si>
  <si>
    <t>M20×1.5(接线盒M20×1.5)</t>
  </si>
  <si>
    <t>Rc3/4"</t>
  </si>
  <si>
    <t>4513A</t>
  </si>
  <si>
    <t>VPA4150-04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</si>
  <si>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:SPTM-5VLi20</t>
    </r>
  </si>
  <si>
    <t>IL220-02-T</t>
  </si>
  <si>
    <t>先导式迷宫式控速阀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</si>
  <si>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NPT1/2''</t>
    </r>
  </si>
  <si>
    <r>
      <rPr>
        <u/>
        <sz val="12"/>
        <color indexed="8"/>
        <rFont val="宋体"/>
        <family val="3"/>
        <charset val="134"/>
      </rPr>
      <t>阀本体</t>
    </r>
  </si>
  <si>
    <t>DN150</t>
  </si>
  <si>
    <t>ST301F</t>
  </si>
  <si>
    <t>PN25</t>
  </si>
  <si>
    <t>A105</t>
  </si>
  <si>
    <r>
      <rPr>
        <sz val="12"/>
        <color theme="0" tint="-0.89996032593768116"/>
        <rFont val="Arial"/>
        <family val="2"/>
      </rPr>
      <t>316L/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</si>
  <si>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dn25</t>
  </si>
  <si>
    <t>A182-F11/HCr</t>
  </si>
  <si>
    <t>17-4PH/H1150</t>
  </si>
  <si>
    <t>ST4CLA</t>
  </si>
  <si>
    <t>PC60RA</t>
  </si>
  <si>
    <t>PM30-550RA</t>
  </si>
  <si>
    <t>361LXB-50</t>
  </si>
  <si>
    <t>341LXB-50</t>
  </si>
  <si>
    <t>AC380V 4~20mA</t>
  </si>
  <si>
    <t>140-200KPa</t>
  </si>
  <si>
    <t>SRI986-CIDS7EAANA</t>
  </si>
  <si>
    <t>AW60-10B-2-X430</t>
  </si>
  <si>
    <t>EFG551H401MO</t>
  </si>
  <si>
    <t>ALS-300M2</t>
  </si>
  <si>
    <t>Rc1"</t>
  </si>
  <si>
    <t>4514A</t>
  </si>
  <si>
    <t>VPA4150-10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</si>
  <si>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:SPTM-5VLi30</t>
    </r>
  </si>
  <si>
    <t>YT-400SP1</t>
  </si>
  <si>
    <r>
      <rPr>
        <sz val="12"/>
        <color indexed="8"/>
        <rFont val="宋体"/>
        <family val="3"/>
        <charset val="134"/>
      </rPr>
      <t>多段式控速阀</t>
    </r>
  </si>
  <si>
    <t>Multi-step Velocity Control Valves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</si>
  <si>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NPT3/4''</t>
    </r>
  </si>
  <si>
    <r>
      <rPr>
        <u/>
        <sz val="12"/>
        <color indexed="8"/>
        <rFont val="宋体"/>
        <family val="3"/>
        <charset val="134"/>
      </rPr>
      <t>阀体型号</t>
    </r>
  </si>
  <si>
    <t>DN200</t>
  </si>
  <si>
    <t>ST300R</t>
  </si>
  <si>
    <t>PN40</t>
  </si>
  <si>
    <t>A182-F11</t>
  </si>
  <si>
    <r>
      <rPr>
        <sz val="12"/>
        <color theme="0" tint="-0.89996032593768116"/>
        <rFont val="Arial"/>
        <family val="2"/>
      </rPr>
      <t>316L/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</si>
  <si>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dn32</t>
  </si>
  <si>
    <t>Nylon 66</t>
  </si>
  <si>
    <r>
      <rPr>
        <sz val="12"/>
        <color theme="0" tint="-0.89996032593768116"/>
        <rFont val="Arial"/>
        <family val="2"/>
      </rPr>
      <t>A182-F11/</t>
    </r>
    <r>
      <rPr>
        <sz val="12"/>
        <color indexed="8"/>
        <rFont val="宋体"/>
        <family val="3"/>
        <charset val="134"/>
      </rPr>
      <t>渗氮</t>
    </r>
  </si>
  <si>
    <t>XM-19/HT</t>
  </si>
  <si>
    <t>ST4CLB</t>
  </si>
  <si>
    <t>PC65RA</t>
  </si>
  <si>
    <t>PM35-550RA</t>
  </si>
  <si>
    <t>361LXC-65</t>
  </si>
  <si>
    <t>341LXC-65</t>
  </si>
  <si>
    <t>300KPa</t>
  </si>
  <si>
    <t>155-200KPa</t>
  </si>
  <si>
    <t>6DR5010-0NG00-0AA0</t>
  </si>
  <si>
    <t>AW30-02B-2-X440</t>
  </si>
  <si>
    <t>NF8327B002</t>
  </si>
  <si>
    <t>ALS-400M2</t>
  </si>
  <si>
    <r>
      <rPr>
        <sz val="12"/>
        <color theme="0" tint="-0.89996032593768116"/>
        <rFont val="Arial"/>
        <family val="2"/>
      </rPr>
      <t>M20×1.5</t>
    </r>
    <r>
      <rPr>
        <sz val="12"/>
        <color indexed="8"/>
        <rFont val="宋体"/>
        <family val="3"/>
        <charset val="134"/>
      </rPr>
      <t>转</t>
    </r>
    <r>
      <rPr>
        <sz val="12"/>
        <color indexed="8"/>
        <rFont val="Arial"/>
        <family val="2"/>
      </rPr>
      <t>NPT1/2"</t>
    </r>
  </si>
  <si>
    <t>NPT1/4"</t>
  </si>
  <si>
    <t>4516A</t>
  </si>
  <si>
    <t>VSA4130-03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</si>
  <si>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:SPTM-5VLi40</t>
    </r>
  </si>
  <si>
    <t>小流量单座调节阀</t>
  </si>
  <si>
    <t>Small Flow Single Seated Control Valves</t>
  </si>
  <si>
    <r>
      <rPr>
        <sz val="12"/>
        <color theme="0" tint="-0.89996032593768116"/>
        <rFont val="宋体"/>
        <family val="3"/>
        <charset val="134"/>
      </rPr>
      <t>气源接口</t>
    </r>
    <r>
      <rPr>
        <sz val="12"/>
        <color theme="0" tint="-0.89996032593768116"/>
        <rFont val="Arial"/>
        <family val="2"/>
      </rPr>
      <t>NPT1''</t>
    </r>
  </si>
  <si>
    <r>
      <rPr>
        <u/>
        <sz val="12"/>
        <color indexed="8"/>
        <rFont val="宋体"/>
        <family val="3"/>
        <charset val="134"/>
      </rPr>
      <t>压力等级</t>
    </r>
  </si>
  <si>
    <t>DN250</t>
  </si>
  <si>
    <t>ST300V</t>
  </si>
  <si>
    <t>PN63</t>
  </si>
  <si>
    <t>A182-F22</t>
  </si>
  <si>
    <r>
      <rPr>
        <sz val="12"/>
        <color theme="0" tint="-0.89996032593768116"/>
        <rFont val="Arial"/>
        <family val="2"/>
      </rPr>
      <t>A182-F11/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</si>
  <si>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dn40</t>
  </si>
  <si>
    <r>
      <rPr>
        <sz val="12"/>
        <color indexed="8"/>
        <rFont val="宋体"/>
        <family val="3"/>
        <charset val="134"/>
      </rPr>
      <t>外部轴承型</t>
    </r>
  </si>
  <si>
    <t>A182-F22/HCr</t>
  </si>
  <si>
    <t>CD4MCU</t>
  </si>
  <si>
    <t>ST4DLA</t>
  </si>
  <si>
    <t>PC70RA</t>
  </si>
  <si>
    <t>PM35-600RA</t>
  </si>
  <si>
    <t>361LXC-99</t>
  </si>
  <si>
    <t>341LXC-99</t>
  </si>
  <si>
    <t>250KPa</t>
  </si>
  <si>
    <t>0.1-0.5KPa</t>
  </si>
  <si>
    <t>6DR5020-0NG00-0AA0</t>
  </si>
  <si>
    <t>AW30-03B-2-X440</t>
  </si>
  <si>
    <t>NF8327B101</t>
  </si>
  <si>
    <t>ALS-500M2</t>
  </si>
  <si>
    <r>
      <rPr>
        <sz val="12"/>
        <color theme="0" tint="-0.89996032593768116"/>
        <rFont val="Arial"/>
        <family val="2"/>
      </rPr>
      <t>NPT1/2"</t>
    </r>
    <r>
      <rPr>
        <sz val="12"/>
        <color indexed="8"/>
        <rFont val="宋体"/>
        <family val="3"/>
        <charset val="134"/>
      </rPr>
      <t>转</t>
    </r>
    <r>
      <rPr>
        <sz val="12"/>
        <color indexed="8"/>
        <rFont val="Arial"/>
        <family val="2"/>
      </rPr>
      <t>M20×1.5</t>
    </r>
  </si>
  <si>
    <t>NPT1/4"-ø6</t>
  </si>
  <si>
    <t>VSA4130-04</t>
  </si>
  <si>
    <r>
      <rPr>
        <sz val="12"/>
        <color indexed="8"/>
        <rFont val="宋体"/>
        <family val="3"/>
        <charset val="134"/>
      </rPr>
      <t>阀位变送器</t>
    </r>
    <r>
      <rPr>
        <sz val="12"/>
        <color indexed="8"/>
        <rFont val="Arial"/>
        <family val="2"/>
      </rPr>
      <t>:SPTM-5VRi10</t>
    </r>
  </si>
  <si>
    <r>
      <rPr>
        <sz val="12"/>
        <color indexed="8"/>
        <rFont val="宋体"/>
        <family val="3"/>
        <charset val="134"/>
      </rPr>
      <t>大可调比控制阀</t>
    </r>
  </si>
  <si>
    <t>Large Rangeability Control Valves</t>
  </si>
  <si>
    <t>DN300</t>
  </si>
  <si>
    <t>ST300E</t>
  </si>
  <si>
    <t>PN100</t>
  </si>
  <si>
    <t>A350-LF2</t>
  </si>
  <si>
    <r>
      <rPr>
        <sz val="12"/>
        <color theme="0" tint="-0.89996032593768116"/>
        <rFont val="Arial"/>
        <family val="2"/>
      </rPr>
      <t>A182-F11/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</si>
  <si>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dn50</t>
  </si>
  <si>
    <r>
      <rPr>
        <sz val="12"/>
        <color theme="0" tint="-0.89996032593768116"/>
        <rFont val="Arial"/>
        <family val="2"/>
      </rPr>
      <t>CF3M/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</si>
  <si>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Alloy 20#</t>
  </si>
  <si>
    <r>
      <rPr>
        <sz val="12"/>
        <color theme="0" tint="-0.89996032593768116"/>
        <rFont val="Arial"/>
        <family val="2"/>
      </rPr>
      <t>A182-F22/</t>
    </r>
    <r>
      <rPr>
        <sz val="12"/>
        <color indexed="8"/>
        <rFont val="宋体"/>
        <family val="3"/>
        <charset val="134"/>
      </rPr>
      <t>渗氮</t>
    </r>
  </si>
  <si>
    <t>304/PTFE</t>
  </si>
  <si>
    <t>ST6ALA</t>
  </si>
  <si>
    <t>PC75RA</t>
  </si>
  <si>
    <t>PM35-700RA</t>
  </si>
  <si>
    <t>361LXC-160</t>
  </si>
  <si>
    <t>341LXC-160</t>
  </si>
  <si>
    <t>0.4-5.0KPa</t>
  </si>
  <si>
    <t>6DR5110-0NG00-0AA0</t>
  </si>
  <si>
    <t>AW40-04B-2-X440</t>
  </si>
  <si>
    <t>NF8327B102</t>
  </si>
  <si>
    <t>ALS-600M2</t>
  </si>
  <si>
    <r>
      <rPr>
        <sz val="12"/>
        <color theme="0" tint="-0.89996032593768116"/>
        <rFont val="Arial"/>
        <family val="2"/>
      </rPr>
      <t>G1/2"</t>
    </r>
    <r>
      <rPr>
        <sz val="12"/>
        <color indexed="8"/>
        <rFont val="宋体"/>
        <family val="3"/>
        <charset val="134"/>
      </rPr>
      <t>转</t>
    </r>
    <r>
      <rPr>
        <sz val="12"/>
        <color indexed="8"/>
        <rFont val="Arial"/>
        <family val="2"/>
      </rPr>
      <t>M20×1.5</t>
    </r>
  </si>
  <si>
    <t>NPT1/4"-ø8</t>
  </si>
  <si>
    <t>VSA4140-06</t>
  </si>
  <si>
    <r>
      <rPr>
        <sz val="12"/>
        <color theme="0" tint="-0.89996032593768116"/>
        <rFont val="宋体"/>
        <family val="3"/>
        <charset val="134"/>
      </rPr>
      <t>调速器：</t>
    </r>
    <r>
      <rPr>
        <sz val="12"/>
        <color theme="0" tint="-0.89996032593768116"/>
        <rFont val="Arial"/>
        <family val="2"/>
      </rPr>
      <t>AS4000-02</t>
    </r>
  </si>
  <si>
    <t>顶部导向型单座角阀</t>
  </si>
  <si>
    <t>Angle Type Single Seated Control Valves</t>
  </si>
  <si>
    <t>密封面</t>
  </si>
  <si>
    <t>DN350</t>
  </si>
  <si>
    <t>ST310D</t>
  </si>
  <si>
    <t>PN160</t>
  </si>
  <si>
    <r>
      <rPr>
        <sz val="12"/>
        <color theme="0" tint="-0.89996032593768116"/>
        <rFont val="Arial"/>
        <family val="2"/>
      </rPr>
      <t>A182-F22/</t>
    </r>
    <r>
      <rPr>
        <sz val="12"/>
        <color theme="0" tint="-0.89996032593768116"/>
        <rFont val="宋体"/>
        <family val="3"/>
        <charset val="134"/>
      </rPr>
      <t>部分堆</t>
    </r>
    <r>
      <rPr>
        <sz val="12"/>
        <color theme="0" tint="-0.89996032593768116"/>
        <rFont val="Arial"/>
        <family val="2"/>
      </rPr>
      <t>STL.6</t>
    </r>
  </si>
  <si>
    <t>dn65</t>
  </si>
  <si>
    <r>
      <rPr>
        <sz val="12"/>
        <color theme="0" tint="-0.89996032593768116"/>
        <rFont val="宋体"/>
        <family val="3"/>
        <charset val="134"/>
      </rPr>
      <t>固体镶嵌轴承</t>
    </r>
    <r>
      <rPr>
        <sz val="12"/>
        <color theme="0" tint="-0.89996032593768116"/>
        <rFont val="Arial"/>
        <family val="2"/>
      </rPr>
      <t>(</t>
    </r>
    <r>
      <rPr>
        <sz val="12"/>
        <color theme="0" tint="-0.89996032593768116"/>
        <rFont val="宋体"/>
        <family val="3"/>
        <charset val="134"/>
      </rPr>
      <t>铜合金基体</t>
    </r>
    <r>
      <rPr>
        <sz val="12"/>
        <color theme="0" tint="-0.89996032593768116"/>
        <rFont val="Arial"/>
        <family val="2"/>
      </rPr>
      <t>)</t>
    </r>
  </si>
  <si>
    <t>410/HT</t>
  </si>
  <si>
    <t>316/PTFE</t>
  </si>
  <si>
    <t>ST6BLA</t>
  </si>
  <si>
    <t>PC80RA</t>
  </si>
  <si>
    <t>PM40-600RA</t>
  </si>
  <si>
    <t>PM40-700RA</t>
  </si>
  <si>
    <t>361RSA-02</t>
  </si>
  <si>
    <t>341RSA-02</t>
  </si>
  <si>
    <t>15-50KPa</t>
  </si>
  <si>
    <t>6DR5120-0NG00-0AA0</t>
  </si>
  <si>
    <t>AW60-06B-2-X440</t>
  </si>
  <si>
    <t>NF8327B112</t>
  </si>
  <si>
    <t>NJ4-12GM-N</t>
  </si>
  <si>
    <r>
      <rPr>
        <sz val="12"/>
        <color theme="0" tint="-0.89996032593768116"/>
        <rFont val="Arial"/>
        <family val="2"/>
      </rPr>
      <t>NPT1/2"(</t>
    </r>
    <r>
      <rPr>
        <sz val="12"/>
        <color theme="0" tint="-0.89996032593768116"/>
        <rFont val="宋体"/>
        <family val="3"/>
        <charset val="134"/>
      </rPr>
      <t>接入限位开关</t>
    </r>
    <r>
      <rPr>
        <sz val="12"/>
        <color theme="0" tint="-0.89996032593768116"/>
        <rFont val="Arial"/>
        <family val="2"/>
      </rPr>
      <t>)</t>
    </r>
  </si>
  <si>
    <t>NPT3/8"</t>
  </si>
  <si>
    <t>VSA3135-02-X59</t>
  </si>
  <si>
    <r>
      <rPr>
        <sz val="12"/>
        <color theme="0" tint="-0.89996032593768116"/>
        <rFont val="宋体"/>
        <family val="3"/>
        <charset val="134"/>
      </rPr>
      <t>调速器：</t>
    </r>
    <r>
      <rPr>
        <sz val="12"/>
        <color theme="0" tint="-0.89996032593768116"/>
        <rFont val="Arial"/>
        <family val="2"/>
      </rPr>
      <t>AS4000-03</t>
    </r>
  </si>
  <si>
    <t>套筒导向型单座角阀</t>
  </si>
  <si>
    <t>Angle Type Cage Control Valves</t>
  </si>
  <si>
    <r>
      <rPr>
        <u/>
        <sz val="12"/>
        <color indexed="8"/>
        <rFont val="宋体"/>
        <family val="3"/>
        <charset val="134"/>
      </rPr>
      <t>阀体材质</t>
    </r>
  </si>
  <si>
    <t>DN400</t>
  </si>
  <si>
    <t>ST320D</t>
  </si>
  <si>
    <r>
      <rPr>
        <sz val="12"/>
        <color theme="0" tint="-0.89996032593768116"/>
        <rFont val="Arial"/>
        <family val="2"/>
      </rPr>
      <t>A182-F22/</t>
    </r>
    <r>
      <rPr>
        <sz val="12"/>
        <color theme="0" tint="-0.89996032593768116"/>
        <rFont val="宋体"/>
        <family val="3"/>
        <charset val="134"/>
      </rPr>
      <t>全堆</t>
    </r>
    <r>
      <rPr>
        <sz val="12"/>
        <color theme="0" tint="-0.89996032593768116"/>
        <rFont val="Arial"/>
        <family val="2"/>
      </rPr>
      <t>STL.6</t>
    </r>
  </si>
  <si>
    <t>dn80</t>
  </si>
  <si>
    <t>Inconel718/HT</t>
  </si>
  <si>
    <t>PC90RA</t>
  </si>
  <si>
    <t>PM40-800RA</t>
  </si>
  <si>
    <t>361RSA-05</t>
  </si>
  <si>
    <t>341RSA-05</t>
  </si>
  <si>
    <t>40-80KPa</t>
  </si>
  <si>
    <t>6DR5010-0EG00-0AA0</t>
  </si>
  <si>
    <t>AW60-10B-2-X440</t>
  </si>
  <si>
    <t>NF8327B312</t>
  </si>
  <si>
    <t>NJ4-12GK-SN</t>
  </si>
  <si>
    <r>
      <rPr>
        <sz val="12"/>
        <color theme="0" tint="-0.89996032593768116"/>
        <rFont val="Arial"/>
        <family val="2"/>
      </rPr>
      <t>M20×1.5(</t>
    </r>
    <r>
      <rPr>
        <sz val="12"/>
        <color theme="0" tint="-0.89996032593768116"/>
        <rFont val="宋体"/>
        <family val="3"/>
        <charset val="134"/>
      </rPr>
      <t>接入限位开关</t>
    </r>
    <r>
      <rPr>
        <sz val="12"/>
        <color theme="0" tint="-0.89996032593768116"/>
        <rFont val="Arial"/>
        <family val="2"/>
      </rPr>
      <t>)</t>
    </r>
  </si>
  <si>
    <t>NPT3/8"-ø10</t>
  </si>
  <si>
    <t>VSA3135-03-X59</t>
  </si>
  <si>
    <r>
      <rPr>
        <sz val="12"/>
        <color theme="0" tint="-0.89996032593768116"/>
        <rFont val="宋体"/>
        <family val="3"/>
        <charset val="134"/>
      </rPr>
      <t>调速器：</t>
    </r>
    <r>
      <rPr>
        <sz val="12"/>
        <color theme="0" tint="-0.89996032593768116"/>
        <rFont val="Arial"/>
        <family val="2"/>
      </rPr>
      <t>AS4000-02-L</t>
    </r>
  </si>
  <si>
    <t>角形先导式高性能套筒控制阀</t>
  </si>
  <si>
    <r>
      <rPr>
        <u/>
        <sz val="12"/>
        <color indexed="8"/>
        <rFont val="宋体"/>
        <family val="3"/>
        <charset val="134"/>
      </rPr>
      <t>流体方向</t>
    </r>
  </si>
  <si>
    <t>DN450</t>
  </si>
  <si>
    <t>ST330D</t>
  </si>
  <si>
    <t>dn100</t>
  </si>
  <si>
    <t>PM48-900RA</t>
  </si>
  <si>
    <t>361RSB-10</t>
  </si>
  <si>
    <t>341RSB-10</t>
  </si>
  <si>
    <t>60-140KPa</t>
  </si>
  <si>
    <t>6DR5015-0EG00-0AA0</t>
  </si>
  <si>
    <t>AW20-N02B-2</t>
  </si>
  <si>
    <t>SCG531C001MS</t>
  </si>
  <si>
    <t>NJ4-12GM50-WS</t>
  </si>
  <si>
    <t>NPT3/8"-ø12</t>
  </si>
  <si>
    <t>VSA3135-04-X59</t>
  </si>
  <si>
    <r>
      <rPr>
        <sz val="12"/>
        <color theme="0" tint="-0.89996032593768116"/>
        <rFont val="宋体"/>
        <family val="3"/>
        <charset val="134"/>
      </rPr>
      <t>调速器：</t>
    </r>
    <r>
      <rPr>
        <sz val="12"/>
        <color theme="0" tint="-0.89996032593768116"/>
        <rFont val="Arial"/>
        <family val="2"/>
      </rPr>
      <t>AS4000-03-L</t>
    </r>
  </si>
  <si>
    <r>
      <rPr>
        <sz val="12"/>
        <color indexed="8"/>
        <rFont val="宋体"/>
        <family val="3"/>
        <charset val="134"/>
      </rPr>
      <t>角形多孔式控速阀</t>
    </r>
  </si>
  <si>
    <r>
      <rPr>
        <sz val="12"/>
        <color theme="0" tint="-0.89996032593768116"/>
        <rFont val="Arial"/>
        <family val="2"/>
      </rPr>
      <t>Angle Type</t>
    </r>
    <r>
      <rPr>
        <b/>
        <sz val="12"/>
        <color indexed="8"/>
        <rFont val="Arial"/>
        <family val="2"/>
      </rPr>
      <t xml:space="preserve"> </t>
    </r>
    <r>
      <rPr>
        <sz val="12"/>
        <color indexed="8"/>
        <rFont val="Arial"/>
        <family val="2"/>
      </rPr>
      <t>Multi-hole Velocity Control Valves</t>
    </r>
  </si>
  <si>
    <t>DN500</t>
  </si>
  <si>
    <t>dn125</t>
  </si>
  <si>
    <t>PM60-900RA</t>
  </si>
  <si>
    <t>361RSB-20</t>
  </si>
  <si>
    <t>341RSB-20</t>
  </si>
  <si>
    <t>120-300KPa</t>
  </si>
  <si>
    <t>6DR5020-0EG00-0AA0</t>
  </si>
  <si>
    <t>AW30-N03B-2-A</t>
  </si>
  <si>
    <t>SCG531C002MS</t>
  </si>
  <si>
    <t>APL410-P+F</t>
  </si>
  <si>
    <t>NPT1/2"-ø15</t>
  </si>
  <si>
    <t>VSA3145-04-X59</t>
  </si>
  <si>
    <r>
      <rPr>
        <sz val="12"/>
        <color theme="0" tint="-0.89996032593768116"/>
        <rFont val="宋体"/>
        <family val="3"/>
        <charset val="134"/>
      </rPr>
      <t>针阀</t>
    </r>
    <r>
      <rPr>
        <sz val="12"/>
        <color theme="0" tint="-0.89996032593768116"/>
        <rFont val="Arial"/>
        <family val="2"/>
      </rPr>
      <t>:</t>
    </r>
    <r>
      <rPr>
        <sz val="12"/>
        <color theme="0" tint="-0.89996032593768116"/>
        <rFont val="宋体"/>
        <family val="3"/>
        <charset val="134"/>
      </rPr>
      <t>材质</t>
    </r>
    <r>
      <rPr>
        <sz val="12"/>
        <color theme="0" tint="-0.89996032593768116"/>
        <rFont val="Arial"/>
        <family val="2"/>
      </rPr>
      <t xml:space="preserve">:304 </t>
    </r>
    <r>
      <rPr>
        <sz val="12"/>
        <color theme="0" tint="-0.89996032593768116"/>
        <rFont val="宋体"/>
        <family val="3"/>
        <charset val="134"/>
      </rPr>
      <t>内螺纹</t>
    </r>
    <r>
      <rPr>
        <sz val="12"/>
        <color theme="0" tint="-0.89996032593768116"/>
        <rFont val="Arial"/>
        <family val="2"/>
      </rPr>
      <t>:NPT1/4''</t>
    </r>
  </si>
  <si>
    <t>角形先导式多孔式控速阀</t>
  </si>
  <si>
    <r>
      <rPr>
        <u/>
        <sz val="12"/>
        <color indexed="8"/>
        <rFont val="宋体"/>
        <family val="3"/>
        <charset val="134"/>
      </rPr>
      <t>阀盖</t>
    </r>
  </si>
  <si>
    <t>DN550</t>
  </si>
  <si>
    <t>dn150</t>
  </si>
  <si>
    <t>PM48-800RA</t>
  </si>
  <si>
    <t>PM48-1000RA</t>
  </si>
  <si>
    <t>361RSC-30</t>
  </si>
  <si>
    <t>341RSC-30</t>
  </si>
  <si>
    <t>280-500KPa</t>
  </si>
  <si>
    <t>6DR5025-0EG00-0AA0</t>
  </si>
  <si>
    <t>AW40-N04B-2-A</t>
  </si>
  <si>
    <t>SCG551A001MS</t>
  </si>
  <si>
    <t>APL410-P+F-L</t>
  </si>
  <si>
    <t>VSA3145-06-X59</t>
  </si>
  <si>
    <t>多级降压式套筒角阀</t>
  </si>
  <si>
    <t>Angle Type Labyrinth  Velocity Control Valves</t>
  </si>
  <si>
    <r>
      <rPr>
        <u/>
        <sz val="12"/>
        <color indexed="8"/>
        <rFont val="宋体"/>
        <family val="3"/>
        <charset val="134"/>
      </rPr>
      <t>阀盖类型</t>
    </r>
  </si>
  <si>
    <t>DN600</t>
  </si>
  <si>
    <t>Q235</t>
  </si>
  <si>
    <t>dn200</t>
  </si>
  <si>
    <t>PM60-800RA</t>
  </si>
  <si>
    <t>PM60-1000RA</t>
  </si>
  <si>
    <t>361RSC-50</t>
  </si>
  <si>
    <t>341RSC-50</t>
  </si>
  <si>
    <t>480-500KPa</t>
  </si>
  <si>
    <t>6DR5210-0EG00-0AA0</t>
  </si>
  <si>
    <t>AW60-N06B-2-A</t>
  </si>
  <si>
    <t>SCG551A002MS</t>
  </si>
  <si>
    <r>
      <rPr>
        <sz val="12"/>
        <color theme="0" tint="-0.89996032593768116"/>
        <rFont val="Arial"/>
        <family val="2"/>
      </rPr>
      <t>NCN3-F31K-N4(</t>
    </r>
    <r>
      <rPr>
        <sz val="12"/>
        <color indexed="8"/>
        <rFont val="宋体"/>
        <family val="3"/>
        <charset val="134"/>
      </rPr>
      <t>带感应器</t>
    </r>
    <r>
      <rPr>
        <sz val="12"/>
        <color indexed="8"/>
        <rFont val="Arial"/>
        <family val="2"/>
      </rPr>
      <t>BT65A)</t>
    </r>
  </si>
  <si>
    <t>VSA4130-02-X59</t>
  </si>
  <si>
    <t>角形先导式迷宫式控速阀</t>
  </si>
  <si>
    <t>DN650</t>
  </si>
  <si>
    <t>WCB/HCr</t>
  </si>
  <si>
    <t>dn250</t>
  </si>
  <si>
    <t>PM60-1100RA</t>
  </si>
  <si>
    <t>361RSC-60</t>
  </si>
  <si>
    <t>341RSC-60</t>
  </si>
  <si>
    <t>480-800KPa</t>
  </si>
  <si>
    <t>6DR5215-0EG00-0AA0</t>
  </si>
  <si>
    <t>AW60-N10B-2-A</t>
  </si>
  <si>
    <t>WSNF8327B002</t>
  </si>
  <si>
    <r>
      <rPr>
        <sz val="12"/>
        <color theme="0" tint="-0.89996032593768116"/>
        <rFont val="Arial"/>
        <family val="2"/>
      </rPr>
      <t>NCN3-F31K-N4-K(</t>
    </r>
    <r>
      <rPr>
        <sz val="12"/>
        <color indexed="8"/>
        <rFont val="宋体"/>
        <family val="3"/>
        <charset val="134"/>
      </rPr>
      <t>带感应器</t>
    </r>
    <r>
      <rPr>
        <sz val="12"/>
        <color indexed="8"/>
        <rFont val="Arial"/>
        <family val="2"/>
      </rPr>
      <t>BT65A)</t>
    </r>
  </si>
  <si>
    <t>NPT1"</t>
  </si>
  <si>
    <t>VSA4130-03-X59</t>
  </si>
  <si>
    <r>
      <rPr>
        <sz val="12"/>
        <color theme="0" tint="-0.89996032593768116"/>
        <rFont val="Arial"/>
        <family val="2"/>
      </rPr>
      <t>L-</t>
    </r>
    <r>
      <rPr>
        <sz val="12"/>
        <color theme="0" tint="-0.89996032593768116"/>
        <rFont val="宋体"/>
        <family val="3"/>
        <charset val="134"/>
      </rPr>
      <t>直线型</t>
    </r>
    <r>
      <rPr>
        <sz val="12"/>
        <color theme="0" tint="-0.89996032593768116"/>
        <rFont val="Arial"/>
        <family val="2"/>
      </rPr>
      <t xml:space="preserve"> R-</t>
    </r>
    <r>
      <rPr>
        <sz val="12"/>
        <color theme="0" tint="-0.89996032593768116"/>
        <rFont val="宋体"/>
        <family val="3"/>
        <charset val="134"/>
      </rPr>
      <t>回转型</t>
    </r>
  </si>
  <si>
    <r>
      <rPr>
        <sz val="12"/>
        <color indexed="8"/>
        <rFont val="宋体"/>
        <family val="3"/>
        <charset val="134"/>
      </rPr>
      <t>角形多段式控速阀</t>
    </r>
  </si>
  <si>
    <t>Angle Type Multi-step Velocity Control Valves</t>
  </si>
  <si>
    <t>DN700</t>
  </si>
  <si>
    <t>CF8/HCr</t>
  </si>
  <si>
    <t>dn300</t>
  </si>
  <si>
    <t>361RSC-80</t>
  </si>
  <si>
    <t>341RSC-80</t>
  </si>
  <si>
    <t>480-1000KPa</t>
  </si>
  <si>
    <t>6DR5220-0EG00-0AA0</t>
  </si>
  <si>
    <t>AW30-N02BG-2-X430</t>
  </si>
  <si>
    <t>WSNF8327B102</t>
  </si>
  <si>
    <r>
      <rPr>
        <sz val="12"/>
        <color theme="0" tint="-0.89996032593768116"/>
        <rFont val="Arial"/>
        <family val="2"/>
      </rPr>
      <t>NBN3-F31K-E8-K(</t>
    </r>
    <r>
      <rPr>
        <sz val="12"/>
        <color indexed="8"/>
        <rFont val="宋体"/>
        <family val="3"/>
        <charset val="134"/>
      </rPr>
      <t>带感应器</t>
    </r>
    <r>
      <rPr>
        <sz val="12"/>
        <color indexed="8"/>
        <rFont val="Arial"/>
        <family val="2"/>
      </rPr>
      <t>BT65A)</t>
    </r>
  </si>
  <si>
    <t>G1/8"</t>
  </si>
  <si>
    <t>VSA4130-04-X59</t>
  </si>
  <si>
    <t>黑水角阀</t>
  </si>
  <si>
    <t>DN750</t>
  </si>
  <si>
    <t>WCB/F46</t>
  </si>
  <si>
    <t>CF8M/HCr</t>
  </si>
  <si>
    <t>dn350</t>
  </si>
  <si>
    <t>MTFE/VITON</t>
  </si>
  <si>
    <t>361RSD-100</t>
  </si>
  <si>
    <t>341RSD-100</t>
  </si>
  <si>
    <t>750-1000KPa</t>
  </si>
  <si>
    <t>6DR5225-0EG00-0AA0</t>
  </si>
  <si>
    <t>AW30-N03B-2-X430</t>
  </si>
  <si>
    <t>WSNF8327B102MS</t>
  </si>
  <si>
    <r>
      <rPr>
        <sz val="12"/>
        <color theme="0" tint="-0.89996032593768116"/>
        <rFont val="Arial"/>
        <family val="2"/>
      </rPr>
      <t>NBN3-F31K-E8(</t>
    </r>
    <r>
      <rPr>
        <sz val="12"/>
        <color indexed="8"/>
        <rFont val="宋体"/>
        <family val="3"/>
        <charset val="134"/>
      </rPr>
      <t>带感应器</t>
    </r>
    <r>
      <rPr>
        <sz val="12"/>
        <color indexed="8"/>
        <rFont val="Arial"/>
        <family val="2"/>
      </rPr>
      <t>BT65A)</t>
    </r>
  </si>
  <si>
    <t>G1/4"</t>
  </si>
  <si>
    <t>VSA4140-03-X59</t>
  </si>
  <si>
    <t>抗颗粒高压差角阀</t>
  </si>
  <si>
    <t>DN800</t>
  </si>
  <si>
    <t>WCB/PTFE</t>
  </si>
  <si>
    <t>WCB</t>
  </si>
  <si>
    <t>dn400</t>
  </si>
  <si>
    <t>316L/DF+InconelX-750/HT</t>
  </si>
  <si>
    <t>361RSD-150</t>
  </si>
  <si>
    <t>341RSD-150</t>
  </si>
  <si>
    <t>6DR5610-0NG00-0AA0</t>
  </si>
  <si>
    <t>AW40-N04B-2-X430</t>
  </si>
  <si>
    <t>WSNF8327B112</t>
  </si>
  <si>
    <t>YT-870P1</t>
  </si>
  <si>
    <t>NAMUR</t>
  </si>
  <si>
    <t>VSA4140-04-X59</t>
  </si>
  <si>
    <t>角形小流量单座控制阀</t>
  </si>
  <si>
    <t>DN850</t>
  </si>
  <si>
    <t>CF8/F46</t>
  </si>
  <si>
    <t>dn450</t>
  </si>
  <si>
    <t>316/DF+InconelX-750/HT</t>
  </si>
  <si>
    <t>361RSD-160</t>
  </si>
  <si>
    <t>341RSD-160</t>
  </si>
  <si>
    <t>6DR5620-0NG00-0AA0</t>
  </si>
  <si>
    <t>AW60-N06B-2-X430</t>
  </si>
  <si>
    <t>WSNF8327B122</t>
  </si>
  <si>
    <t>73-1352T-A2</t>
  </si>
  <si>
    <t>NPT1/2"-ø12</t>
  </si>
  <si>
    <t>VSA4140-06-X59</t>
  </si>
  <si>
    <t>角形大可调比控制阀</t>
  </si>
  <si>
    <r>
      <rPr>
        <u/>
        <sz val="12"/>
        <color indexed="8"/>
        <rFont val="宋体"/>
        <family val="3"/>
        <charset val="134"/>
      </rPr>
      <t>阀内件</t>
    </r>
  </si>
  <si>
    <t>DN900</t>
  </si>
  <si>
    <t>CF8/PTFE</t>
  </si>
  <si>
    <t>WC6</t>
  </si>
  <si>
    <t>dn500</t>
  </si>
  <si>
    <t>310/DF+InconelX-750/HT</t>
  </si>
  <si>
    <t>361RXB-10</t>
  </si>
  <si>
    <t>341RXB-10</t>
  </si>
  <si>
    <t>6DR5610-0EG00-0AA0</t>
  </si>
  <si>
    <t>AW60-N10B-2-X430</t>
  </si>
  <si>
    <t>WSNF8327B182</t>
  </si>
  <si>
    <t>PSC-33-P</t>
  </si>
  <si>
    <r>
      <rPr>
        <sz val="12"/>
        <color indexed="8"/>
        <rFont val="宋体"/>
        <family val="3"/>
        <charset val="134"/>
      </rPr>
      <t>三通分流调节阀</t>
    </r>
  </si>
  <si>
    <t>3-way Diverting Control Valves</t>
  </si>
  <si>
    <t>DN950</t>
  </si>
  <si>
    <t>CF8M/F46</t>
  </si>
  <si>
    <t>WC9</t>
  </si>
  <si>
    <t>dn550</t>
  </si>
  <si>
    <t>A182-F22/DF+InconelX-750/HT</t>
  </si>
  <si>
    <t>361RXB-20</t>
  </si>
  <si>
    <t>341RXB-20</t>
  </si>
  <si>
    <t>6DR5615-0EG00-0AA0</t>
  </si>
  <si>
    <t>AW30-N02B-2</t>
  </si>
  <si>
    <t>WSNF8327B312</t>
  </si>
  <si>
    <t>PSC-34-P</t>
  </si>
  <si>
    <r>
      <rPr>
        <sz val="12"/>
        <color indexed="8"/>
        <rFont val="宋体"/>
        <family val="3"/>
        <charset val="134"/>
      </rPr>
      <t>三通合流调节阀</t>
    </r>
  </si>
  <si>
    <t>3-way Mixing Control Valves</t>
  </si>
  <si>
    <t>DN1000</t>
  </si>
  <si>
    <t>CF8M/PTFE</t>
  </si>
  <si>
    <t>CF8</t>
  </si>
  <si>
    <t>dn600</t>
  </si>
  <si>
    <t>361RXC-30</t>
  </si>
  <si>
    <t>341RXC-30</t>
  </si>
  <si>
    <t>6DR5620-0EG00-0AA0</t>
  </si>
  <si>
    <t>AW40-N04B-2</t>
  </si>
  <si>
    <t>WSNF8551A321</t>
  </si>
  <si>
    <t>PSC-36-P</t>
  </si>
  <si>
    <t>衬氟单座调节阀</t>
  </si>
  <si>
    <t>Acid Resistant Control Valves</t>
  </si>
  <si>
    <t>DN1100</t>
  </si>
  <si>
    <r>
      <rPr>
        <sz val="12"/>
        <color theme="0" tint="-0.89996032593768116"/>
        <rFont val="Arial"/>
        <family val="2"/>
      </rPr>
      <t>16Mn/</t>
    </r>
    <r>
      <rPr>
        <sz val="12"/>
        <color indexed="8"/>
        <rFont val="宋体"/>
        <family val="3"/>
        <charset val="134"/>
      </rPr>
      <t>高温水泥</t>
    </r>
  </si>
  <si>
    <t>CF8M</t>
  </si>
  <si>
    <t>dn650</t>
  </si>
  <si>
    <t>PPL</t>
  </si>
  <si>
    <t>361RXC-50</t>
  </si>
  <si>
    <t>341RXC-50</t>
  </si>
  <si>
    <t>6DR5625-0EG00-0AA0</t>
  </si>
  <si>
    <t>AW30-N03B-2</t>
  </si>
  <si>
    <t>WSNF8551A321MO</t>
  </si>
  <si>
    <t>PSC-38-P</t>
  </si>
  <si>
    <r>
      <rPr>
        <sz val="12"/>
        <color rgb="FFFF0000"/>
        <rFont val="宋体"/>
        <family val="3"/>
        <charset val="134"/>
      </rPr>
      <t>高性能釜底阀</t>
    </r>
    <r>
      <rPr>
        <sz val="12"/>
        <color rgb="FFFF0000"/>
        <rFont val="Arial"/>
        <family val="2"/>
      </rPr>
      <t>(</t>
    </r>
    <r>
      <rPr>
        <sz val="12"/>
        <color rgb="FFFF0000"/>
        <rFont val="宋体"/>
        <family val="3"/>
        <charset val="134"/>
      </rPr>
      <t>上展式</t>
    </r>
    <r>
      <rPr>
        <sz val="12"/>
        <color rgb="FFFF0000"/>
        <rFont val="Arial"/>
        <family val="2"/>
      </rPr>
      <t>)</t>
    </r>
  </si>
  <si>
    <t>High Perfermance Tank Valves</t>
  </si>
  <si>
    <t>DN1200</t>
  </si>
  <si>
    <r>
      <rPr>
        <sz val="12"/>
        <color theme="0" tint="-0.89996032593768116"/>
        <rFont val="Arial"/>
        <family val="2"/>
      </rPr>
      <t>304/</t>
    </r>
    <r>
      <rPr>
        <sz val="12"/>
        <color indexed="8"/>
        <rFont val="宋体"/>
        <family val="3"/>
        <charset val="134"/>
      </rPr>
      <t>高温水泥</t>
    </r>
  </si>
  <si>
    <r>
      <rPr>
        <sz val="12"/>
        <color theme="0" tint="-0.89996032593768116"/>
        <rFont val="Arial"/>
        <family val="2"/>
      </rPr>
      <t>CF8/</t>
    </r>
    <r>
      <rPr>
        <sz val="12"/>
        <color indexed="8"/>
        <rFont val="宋体"/>
        <family val="3"/>
        <charset val="134"/>
      </rPr>
      <t>抛光</t>
    </r>
  </si>
  <si>
    <t>dn700</t>
  </si>
  <si>
    <t>304/Ni55</t>
  </si>
  <si>
    <t>361RXC-60</t>
  </si>
  <si>
    <t>341RXC-60</t>
  </si>
  <si>
    <t>6DR5010-0NN00-0AA0</t>
  </si>
  <si>
    <t>AW30-N02BG-2</t>
  </si>
  <si>
    <t>WSNF8551A322</t>
  </si>
  <si>
    <t>PSC-43-P</t>
  </si>
  <si>
    <r>
      <rPr>
        <sz val="12"/>
        <color rgb="FFFF0000"/>
        <rFont val="宋体"/>
        <family val="3"/>
        <charset val="134"/>
      </rPr>
      <t>高性能釜底阀</t>
    </r>
    <r>
      <rPr>
        <sz val="12"/>
        <color rgb="FFFF0000"/>
        <rFont val="Arial"/>
        <family val="2"/>
      </rPr>
      <t>(</t>
    </r>
    <r>
      <rPr>
        <sz val="12"/>
        <color rgb="FFFF0000"/>
        <rFont val="宋体"/>
        <family val="3"/>
        <charset val="134"/>
      </rPr>
      <t>下展式</t>
    </r>
    <r>
      <rPr>
        <sz val="12"/>
        <color rgb="FFFF0000"/>
        <rFont val="Arial"/>
        <family val="2"/>
      </rPr>
      <t>)</t>
    </r>
  </si>
  <si>
    <t>DN1250</t>
  </si>
  <si>
    <r>
      <rPr>
        <sz val="12"/>
        <color theme="0" tint="-0.89996032593768116"/>
        <rFont val="Arial"/>
        <family val="2"/>
      </rPr>
      <t>CF8M/</t>
    </r>
    <r>
      <rPr>
        <sz val="12"/>
        <color indexed="8"/>
        <rFont val="宋体"/>
        <family val="3"/>
        <charset val="134"/>
      </rPr>
      <t>抛光</t>
    </r>
  </si>
  <si>
    <t>dn750</t>
  </si>
  <si>
    <t>316/Ni55</t>
  </si>
  <si>
    <t>361RXC-80</t>
  </si>
  <si>
    <t>341RXC-80</t>
  </si>
  <si>
    <t>6DR5020-0NN00-0AA0</t>
  </si>
  <si>
    <t>NF8551B368</t>
  </si>
  <si>
    <t>PSC-44-P</t>
  </si>
  <si>
    <r>
      <rPr>
        <sz val="12"/>
        <color indexed="8"/>
        <rFont val="宋体"/>
        <family val="3"/>
        <charset val="134"/>
      </rPr>
      <t>强密封控制阀</t>
    </r>
  </si>
  <si>
    <t>Strong Sealing Control Valves</t>
  </si>
  <si>
    <t>DN1300</t>
  </si>
  <si>
    <t>CF8/Ni60</t>
  </si>
  <si>
    <t>dn800</t>
  </si>
  <si>
    <t>310S/Ni55</t>
  </si>
  <si>
    <t>EK01LA</t>
  </si>
  <si>
    <t>6DR5110-0NN00-0AA0</t>
  </si>
  <si>
    <t>NF8553A367</t>
  </si>
  <si>
    <t>PSC-46-P</t>
  </si>
  <si>
    <r>
      <rPr>
        <sz val="12"/>
        <color indexed="8"/>
        <rFont val="宋体"/>
        <family val="3"/>
        <charset val="134"/>
      </rPr>
      <t>超高温三通掺和阀</t>
    </r>
  </si>
  <si>
    <t>Ultra-high Temperature 3-way Mixing Valves</t>
  </si>
  <si>
    <t>DN1400</t>
  </si>
  <si>
    <t>CF8M/Ni60</t>
  </si>
  <si>
    <t>dn850</t>
  </si>
  <si>
    <t>304/F46</t>
  </si>
  <si>
    <t>EK02LA</t>
  </si>
  <si>
    <t>6DR5120-0NN00-0AA0</t>
  </si>
  <si>
    <t>NF8551B367</t>
  </si>
  <si>
    <t>PSC-48-P</t>
  </si>
  <si>
    <r>
      <rPr>
        <sz val="12"/>
        <color indexed="8"/>
        <rFont val="宋体"/>
        <family val="3"/>
        <charset val="134"/>
      </rPr>
      <t>高性能密封球阀</t>
    </r>
  </si>
  <si>
    <t>High Perfermance Ball  Valves</t>
  </si>
  <si>
    <t>DN1500</t>
  </si>
  <si>
    <t>310S/Ni60</t>
  </si>
  <si>
    <t>dn900</t>
  </si>
  <si>
    <t>316/F46</t>
  </si>
  <si>
    <t>EK03LA</t>
  </si>
  <si>
    <t>6DR5010-0EN00-0AA0</t>
  </si>
  <si>
    <t>JPIS8551B301MO</t>
  </si>
  <si>
    <t>PSC-32-L</t>
  </si>
  <si>
    <r>
      <rPr>
        <sz val="12"/>
        <color indexed="8"/>
        <rFont val="宋体"/>
        <family val="3"/>
        <charset val="134"/>
      </rPr>
      <t>高性能金属密封球阀</t>
    </r>
  </si>
  <si>
    <t>High Perfermance Metal-seated Ball  Valves</t>
  </si>
  <si>
    <r>
      <rPr>
        <u/>
        <sz val="12"/>
        <color indexed="8"/>
        <rFont val="宋体"/>
        <family val="3"/>
        <charset val="134"/>
      </rPr>
      <t>执行机构</t>
    </r>
  </si>
  <si>
    <t>DN1600</t>
  </si>
  <si>
    <t>dn950</t>
  </si>
  <si>
    <t>EK05LA</t>
  </si>
  <si>
    <t>6DR5015-0EN00-0AA0</t>
  </si>
  <si>
    <t>JPIS8314B301MO</t>
  </si>
  <si>
    <t>PSC-33-L</t>
  </si>
  <si>
    <t>同心角行程型调节阀</t>
  </si>
  <si>
    <t>High Perfermance V-port Ball  Valves</t>
  </si>
  <si>
    <t>DN1800</t>
  </si>
  <si>
    <t>dn1000</t>
  </si>
  <si>
    <r>
      <rPr>
        <sz val="12"/>
        <color indexed="8"/>
        <rFont val="宋体"/>
        <family val="3"/>
        <charset val="134"/>
      </rPr>
      <t>高温耐火砖</t>
    </r>
  </si>
  <si>
    <t>EK06LA</t>
  </si>
  <si>
    <t>6DR5020-0EN00-0AA0</t>
  </si>
  <si>
    <t>WSNF8327B302</t>
  </si>
  <si>
    <t>PSC-34-L</t>
  </si>
  <si>
    <t>偏心角行程型调节阀</t>
  </si>
  <si>
    <t>High Perfermance Eccentric Ball  Valves</t>
  </si>
  <si>
    <t>DN2000</t>
  </si>
  <si>
    <t>dn1100</t>
  </si>
  <si>
    <r>
      <rPr>
        <sz val="12"/>
        <color theme="0" tint="-0.89996032593768116"/>
        <rFont val="Arial"/>
        <family val="2"/>
      </rPr>
      <t>410/HT+316L/</t>
    </r>
    <r>
      <rPr>
        <sz val="12"/>
        <color theme="0" tint="-0.89996032593768116"/>
        <rFont val="宋体"/>
        <family val="3"/>
        <charset val="134"/>
      </rPr>
      <t>柔性石墨</t>
    </r>
  </si>
  <si>
    <t>EK10LA</t>
  </si>
  <si>
    <t>6DR5025-0EN00-0AA0</t>
  </si>
  <si>
    <t>NF8553A313</t>
  </si>
  <si>
    <t>PSC-36-L</t>
  </si>
  <si>
    <r>
      <rPr>
        <sz val="12"/>
        <color indexed="8"/>
        <rFont val="宋体"/>
        <family val="3"/>
        <charset val="134"/>
      </rPr>
      <t>高性能衬四氟球阀</t>
    </r>
  </si>
  <si>
    <t>High Perfermance PFA Lined Ball  Valves</t>
  </si>
  <si>
    <t>DN2200</t>
  </si>
  <si>
    <t>dn1200</t>
  </si>
  <si>
    <t>EK16LA</t>
  </si>
  <si>
    <t>6DR5210-0EN00-0AA0</t>
  </si>
  <si>
    <t>PSC-38-L</t>
  </si>
  <si>
    <r>
      <rPr>
        <sz val="12"/>
        <color indexed="8"/>
        <rFont val="宋体"/>
        <family val="3"/>
        <charset val="134"/>
      </rPr>
      <t>三通</t>
    </r>
    <r>
      <rPr>
        <sz val="12"/>
        <color indexed="8"/>
        <rFont val="Arial"/>
        <family val="2"/>
      </rPr>
      <t>T</t>
    </r>
    <r>
      <rPr>
        <sz val="12"/>
        <color indexed="8"/>
        <rFont val="宋体"/>
        <family val="3"/>
        <charset val="134"/>
      </rPr>
      <t>型球阀</t>
    </r>
  </si>
  <si>
    <t>T Pattern 3-Way Ball Valves</t>
  </si>
  <si>
    <t>DN2400</t>
  </si>
  <si>
    <t>dn1240</t>
  </si>
  <si>
    <t>EK25LA</t>
  </si>
  <si>
    <t>6DR5215-0EN00-0AA0</t>
  </si>
  <si>
    <t>PSC-43-L</t>
  </si>
  <si>
    <r>
      <rPr>
        <sz val="12"/>
        <color indexed="8"/>
        <rFont val="宋体"/>
        <family val="3"/>
        <charset val="134"/>
      </rPr>
      <t>三通</t>
    </r>
    <r>
      <rPr>
        <sz val="12"/>
        <color indexed="8"/>
        <rFont val="Arial"/>
        <family val="2"/>
      </rPr>
      <t>L</t>
    </r>
    <r>
      <rPr>
        <sz val="12"/>
        <color indexed="8"/>
        <rFont val="宋体"/>
        <family val="3"/>
        <charset val="134"/>
      </rPr>
      <t>型球阀</t>
    </r>
  </si>
  <si>
    <t>L Pattern 3-Way Ball Valves</t>
  </si>
  <si>
    <t>DN2500</t>
  </si>
  <si>
    <t>dn1400</t>
  </si>
  <si>
    <t xml:space="preserve">      </t>
  </si>
  <si>
    <t>EK0ARA</t>
  </si>
  <si>
    <t>6DR5220-0EN00-0AA0</t>
  </si>
  <si>
    <t>PSC-44-L</t>
  </si>
  <si>
    <r>
      <rPr>
        <sz val="12"/>
        <color theme="0" tint="-0.89996032593768116"/>
        <rFont val="Arial"/>
        <family val="2"/>
      </rPr>
      <t>TANK</t>
    </r>
    <r>
      <rPr>
        <sz val="12"/>
        <color indexed="8"/>
        <rFont val="宋体"/>
        <family val="3"/>
        <charset val="134"/>
      </rPr>
      <t>球阀</t>
    </r>
  </si>
  <si>
    <t>TANK Ball Valves</t>
  </si>
  <si>
    <t>DN2600</t>
  </si>
  <si>
    <t>dn1600</t>
  </si>
  <si>
    <t>EK01RA</t>
  </si>
  <si>
    <t>6DR5225-0EN00-0AA0</t>
  </si>
  <si>
    <t>PSC-46-L</t>
  </si>
  <si>
    <r>
      <rPr>
        <sz val="12"/>
        <color indexed="8"/>
        <rFont val="宋体"/>
        <family val="3"/>
        <charset val="134"/>
      </rPr>
      <t>轻载型蝶阀</t>
    </r>
  </si>
  <si>
    <t>Light-duty Butterfly valves</t>
  </si>
  <si>
    <t>dn1800</t>
  </si>
  <si>
    <t>EK02RA</t>
  </si>
  <si>
    <t>6DR5610-0NN00-0AA0</t>
  </si>
  <si>
    <t>PSC-48-L</t>
  </si>
  <si>
    <t>高性能蝶阀</t>
  </si>
  <si>
    <t>Double-eccentric Sealing Butterfly Valves</t>
  </si>
  <si>
    <t>dn2000</t>
  </si>
  <si>
    <t>EK03RA</t>
  </si>
  <si>
    <t>6DR5620-0NN00-0AA0</t>
  </si>
  <si>
    <r>
      <rPr>
        <sz val="12"/>
        <color indexed="8"/>
        <rFont val="宋体"/>
        <family val="3"/>
        <charset val="134"/>
      </rPr>
      <t>轻载型密封蝶阀</t>
    </r>
  </si>
  <si>
    <t>Light-duty Sealing Butterfly valves</t>
  </si>
  <si>
    <t>dn2400</t>
  </si>
  <si>
    <t>EK05RA</t>
  </si>
  <si>
    <t>6DR5610-0EN00-0AA0</t>
  </si>
  <si>
    <r>
      <rPr>
        <sz val="12"/>
        <color indexed="8"/>
        <rFont val="宋体"/>
        <family val="3"/>
        <charset val="134"/>
      </rPr>
      <t>四连杆机构蝶阀</t>
    </r>
  </si>
  <si>
    <t>4-connecting-rod ButterflyValves</t>
  </si>
  <si>
    <r>
      <rPr>
        <u/>
        <sz val="12"/>
        <color indexed="8"/>
        <rFont val="宋体"/>
        <family val="3"/>
        <charset val="134"/>
      </rPr>
      <t>附件</t>
    </r>
  </si>
  <si>
    <t>dn2500</t>
  </si>
  <si>
    <t>EK06RA</t>
  </si>
  <si>
    <t>6DR5615-0EN00-0AA0</t>
  </si>
  <si>
    <r>
      <rPr>
        <sz val="12"/>
        <color indexed="8"/>
        <rFont val="宋体"/>
        <family val="3"/>
        <charset val="134"/>
      </rPr>
      <t>三偏心蝶阀</t>
    </r>
  </si>
  <si>
    <t>Tri-eccentric Sealing Butterfly Valves</t>
  </si>
  <si>
    <t>dn2600</t>
  </si>
  <si>
    <t>EK10RA</t>
  </si>
  <si>
    <t>6DR5620-0EN00-0AA0</t>
  </si>
  <si>
    <r>
      <rPr>
        <sz val="12"/>
        <color indexed="8"/>
        <rFont val="宋体"/>
        <family val="3"/>
        <charset val="134"/>
      </rPr>
      <t>高性能衬四氟蝶阀</t>
    </r>
  </si>
  <si>
    <t>High Perfermance PFA Lined Butterfly Valves</t>
  </si>
  <si>
    <t>dn12</t>
  </si>
  <si>
    <t>EK15RA</t>
  </si>
  <si>
    <t>6DR5625-0EN00-0AA0</t>
  </si>
  <si>
    <r>
      <rPr>
        <sz val="12"/>
        <color indexed="8"/>
        <rFont val="宋体"/>
        <family val="3"/>
        <charset val="134"/>
      </rPr>
      <t>高性能衬胶蝶阀</t>
    </r>
  </si>
  <si>
    <t>High Perfermance Rubber Butterfly Valves</t>
  </si>
  <si>
    <t>EK25RA</t>
  </si>
  <si>
    <t>6DR5010-0NG01-0AA0</t>
  </si>
  <si>
    <r>
      <rPr>
        <sz val="12"/>
        <color indexed="8"/>
        <rFont val="宋体"/>
        <family val="3"/>
        <charset val="134"/>
      </rPr>
      <t>重载型蝶阀</t>
    </r>
  </si>
  <si>
    <t>Heavy-duty Butterfly Valves</t>
  </si>
  <si>
    <t>EK40RA</t>
  </si>
  <si>
    <t>6DR5020-0NG01-0AA0</t>
  </si>
  <si>
    <r>
      <rPr>
        <sz val="12"/>
        <color indexed="8"/>
        <rFont val="宋体"/>
        <family val="3"/>
        <charset val="134"/>
      </rPr>
      <t>超高温蝶阀</t>
    </r>
  </si>
  <si>
    <t>Ultra-high Temperature Butterfly Valves</t>
  </si>
  <si>
    <t>EK60RA</t>
  </si>
  <si>
    <t>6DR5110-0NG01-0AA0</t>
  </si>
  <si>
    <r>
      <rPr>
        <sz val="12"/>
        <color indexed="8"/>
        <rFont val="宋体"/>
        <family val="3"/>
        <charset val="134"/>
      </rPr>
      <t>高性能闸阀</t>
    </r>
  </si>
  <si>
    <t>High Perfermance Gate Valves</t>
  </si>
  <si>
    <t>EKA1RA</t>
  </si>
  <si>
    <t>6DR5120-0NG01-0AA0</t>
  </si>
  <si>
    <r>
      <rPr>
        <sz val="12"/>
        <color indexed="8"/>
        <rFont val="宋体"/>
        <family val="3"/>
        <charset val="134"/>
      </rPr>
      <t>高性能平行闸阀</t>
    </r>
  </si>
  <si>
    <t>High Perfermance Parallel Gate Valves</t>
  </si>
  <si>
    <t>EQ0ARA</t>
  </si>
  <si>
    <t>6DR5010-0EG01-0AA0</t>
  </si>
  <si>
    <r>
      <rPr>
        <sz val="12"/>
        <color indexed="8"/>
        <rFont val="宋体"/>
        <family val="3"/>
        <charset val="134"/>
      </rPr>
      <t>高性能刀闸阀</t>
    </r>
  </si>
  <si>
    <t>High Perfermance Knife Gate Valves</t>
  </si>
  <si>
    <t>EQ01RA</t>
  </si>
  <si>
    <t>6DR5015-0EG01-0AA0</t>
  </si>
  <si>
    <r>
      <rPr>
        <sz val="12"/>
        <color indexed="8"/>
        <rFont val="宋体"/>
        <family val="3"/>
        <charset val="134"/>
      </rPr>
      <t>高性能旋塞阀</t>
    </r>
  </si>
  <si>
    <t>High Perfermance Plug Valves</t>
  </si>
  <si>
    <t>EQ02RA</t>
  </si>
  <si>
    <t>6DR5020-0EG01-0AA0</t>
  </si>
  <si>
    <r>
      <rPr>
        <sz val="12"/>
        <color indexed="8"/>
        <rFont val="宋体"/>
        <family val="3"/>
        <charset val="134"/>
      </rPr>
      <t>高性能隔膜阀</t>
    </r>
  </si>
  <si>
    <t>High Perfermance Diaphragm Valves</t>
  </si>
  <si>
    <t>EQ03RA</t>
  </si>
  <si>
    <t>6DR5025-0EG01-0AA0</t>
  </si>
  <si>
    <r>
      <rPr>
        <sz val="12"/>
        <color indexed="8"/>
        <rFont val="宋体"/>
        <family val="3"/>
        <charset val="134"/>
      </rPr>
      <t>减温减压器</t>
    </r>
  </si>
  <si>
    <t>Pressure Reducing &amp; Desupeiheater Stations</t>
  </si>
  <si>
    <t>EQ05RA</t>
  </si>
  <si>
    <t>6DR5210-0EG01-0AA0</t>
  </si>
  <si>
    <r>
      <rPr>
        <sz val="12"/>
        <color indexed="8"/>
        <rFont val="宋体"/>
        <family val="3"/>
        <charset val="134"/>
      </rPr>
      <t>插入式减温器</t>
    </r>
  </si>
  <si>
    <t>Multiple Nozzles Spray Desuper-heaters</t>
  </si>
  <si>
    <t>EQ06RA</t>
  </si>
  <si>
    <t>6DR5215-0EG01-0AA0</t>
  </si>
  <si>
    <r>
      <rPr>
        <sz val="12"/>
        <color indexed="8"/>
        <rFont val="宋体"/>
        <family val="3"/>
        <charset val="134"/>
      </rPr>
      <t>带指挥器自力式调节阀</t>
    </r>
  </si>
  <si>
    <t>Self-operated Valves with Controller</t>
  </si>
  <si>
    <t>EQ08RA</t>
  </si>
  <si>
    <t>6DR5220-0EG01-0AA0</t>
  </si>
  <si>
    <r>
      <rPr>
        <sz val="12"/>
        <color indexed="8"/>
        <rFont val="宋体"/>
        <family val="3"/>
        <charset val="134"/>
      </rPr>
      <t>自力式压力调节阀</t>
    </r>
  </si>
  <si>
    <t>Self-operated Pressure Control Valves</t>
  </si>
  <si>
    <t>EQ12RA</t>
  </si>
  <si>
    <t>6DR5225-0EG01-0AA0</t>
  </si>
  <si>
    <r>
      <rPr>
        <sz val="12"/>
        <color indexed="8"/>
        <rFont val="宋体"/>
        <family val="3"/>
        <charset val="134"/>
      </rPr>
      <t>自力式差</t>
    </r>
    <r>
      <rPr>
        <sz val="12"/>
        <color indexed="8"/>
        <rFont val="Arial"/>
        <family val="2"/>
      </rPr>
      <t>/</t>
    </r>
    <r>
      <rPr>
        <sz val="12"/>
        <color indexed="8"/>
        <rFont val="宋体"/>
        <family val="3"/>
        <charset val="134"/>
      </rPr>
      <t>微压调节阀</t>
    </r>
  </si>
  <si>
    <t>Self-operated Differential Pressure Control Valves</t>
  </si>
  <si>
    <t>EQ20RA</t>
  </si>
  <si>
    <t>6DR5610-0NG01-0AA0</t>
  </si>
  <si>
    <r>
      <rPr>
        <sz val="12"/>
        <color indexed="8"/>
        <rFont val="宋体"/>
        <family val="3"/>
        <charset val="134"/>
      </rPr>
      <t>直行程盘切阀</t>
    </r>
  </si>
  <si>
    <t xml:space="preserve">Linear Disk Valves </t>
  </si>
  <si>
    <t>EQ30RA</t>
  </si>
  <si>
    <t>6DR5620-0NG01-0AA0</t>
  </si>
  <si>
    <r>
      <rPr>
        <sz val="12"/>
        <color indexed="8"/>
        <rFont val="宋体"/>
        <family val="3"/>
        <charset val="134"/>
      </rPr>
      <t>角行程盘切阀</t>
    </r>
  </si>
  <si>
    <t xml:space="preserve">Rotary Disk Valves </t>
  </si>
  <si>
    <r>
      <rPr>
        <u/>
        <sz val="12"/>
        <color indexed="8"/>
        <rFont val="宋体"/>
        <family val="3"/>
        <charset val="134"/>
      </rPr>
      <t>客户名称</t>
    </r>
  </si>
  <si>
    <t>EU0ARA</t>
  </si>
  <si>
    <t>6DR5610-0EG01-0AA0</t>
  </si>
  <si>
    <r>
      <rPr>
        <sz val="12"/>
        <color indexed="8"/>
        <rFont val="宋体"/>
        <family val="3"/>
        <charset val="134"/>
      </rPr>
      <t>三通盘切阀</t>
    </r>
  </si>
  <si>
    <t>3-way Disk Valves</t>
  </si>
  <si>
    <t>EU01RA</t>
  </si>
  <si>
    <t>6DR5615-0EG01-0AA0</t>
  </si>
  <si>
    <t>集成型环型多喷嘴减温器</t>
  </si>
  <si>
    <r>
      <rPr>
        <u/>
        <sz val="12"/>
        <color indexed="8"/>
        <rFont val="宋体"/>
        <family val="3"/>
        <charset val="134"/>
      </rPr>
      <t>阀门名称</t>
    </r>
  </si>
  <si>
    <t>EU02RA</t>
  </si>
  <si>
    <t>6DR5620-0EG01-0AA0</t>
  </si>
  <si>
    <t>EU05RA</t>
  </si>
  <si>
    <t>6DR5625-0EG01-0AA0</t>
  </si>
  <si>
    <t>EU10RA</t>
  </si>
  <si>
    <t>6DR5010-0NN01-0AA0</t>
  </si>
  <si>
    <t>EU20RA</t>
  </si>
  <si>
    <t>6DR5020-0NN01-0AA0</t>
  </si>
  <si>
    <t>PSL202</t>
  </si>
  <si>
    <t>6DR5110-0NN01-0AA0</t>
  </si>
  <si>
    <t>PSL204</t>
  </si>
  <si>
    <t>6DR5120-0NN01-0AA0</t>
  </si>
  <si>
    <t>PSL208</t>
  </si>
  <si>
    <t>6DR5010-0EN01-0AA0</t>
  </si>
  <si>
    <t>PSL312</t>
  </si>
  <si>
    <t>6DR5015-0EN01-0AA0</t>
  </si>
  <si>
    <t>PSL314</t>
  </si>
  <si>
    <t>6DR5020-0EN01-0AA0</t>
  </si>
  <si>
    <t>PSL320</t>
  </si>
  <si>
    <t>6DR5025-0EN01-0AA0</t>
  </si>
  <si>
    <t>PSL325</t>
  </si>
  <si>
    <t>6DR5210-0EN01-0AA0</t>
  </si>
  <si>
    <t>PSQ100</t>
  </si>
  <si>
    <t>6DR5215-0EN01-0AA0</t>
  </si>
  <si>
    <t>PSQ200</t>
  </si>
  <si>
    <t>6DR5220-0EN01-0AA0</t>
  </si>
  <si>
    <t>PSQ500</t>
  </si>
  <si>
    <t>6DR5225-0EN01-0AA0</t>
  </si>
  <si>
    <t>PSQ700</t>
  </si>
  <si>
    <t>6DR5610-0NN01-0AA0</t>
  </si>
  <si>
    <t>SAR07.1</t>
  </si>
  <si>
    <t>6DR5620-0NN01-0AA0</t>
  </si>
  <si>
    <t>SAR07.5</t>
  </si>
  <si>
    <t>6DR5610-0EN01-0AA0</t>
  </si>
  <si>
    <t>SAR10.1</t>
  </si>
  <si>
    <t>6DR5615-0EN01-0AA0</t>
  </si>
  <si>
    <t>SAR14.1</t>
  </si>
  <si>
    <t>6DR5620-0EN01-0AA0</t>
  </si>
  <si>
    <t>SAR14.5</t>
  </si>
  <si>
    <t>6DR5625-0EN01-0AA0</t>
  </si>
  <si>
    <t>SAR16.1</t>
  </si>
  <si>
    <t>AVP80</t>
  </si>
  <si>
    <t>SAR25.1</t>
  </si>
  <si>
    <t>AVP100H</t>
  </si>
  <si>
    <t>SAR30.1</t>
  </si>
  <si>
    <t>AVP102H</t>
  </si>
  <si>
    <t>AVP300-RSD3A-XXXX-X</t>
  </si>
  <si>
    <t>AVP301-RSD3A-XXXX-X</t>
  </si>
  <si>
    <t>AVP302-RSD3A-XXXX-X</t>
  </si>
  <si>
    <t>AVP300-RSD3A-XXXX-W</t>
  </si>
  <si>
    <t>AVP301-RSD3A-XXXX-W</t>
  </si>
  <si>
    <t>AVP302-RSD3A-XXXX-W</t>
  </si>
  <si>
    <t>YDEP1000</t>
  </si>
  <si>
    <t>YDEP1002</t>
  </si>
  <si>
    <t>YDEP1100</t>
  </si>
  <si>
    <t>YDEP1102</t>
  </si>
  <si>
    <t>YDEP1010</t>
  </si>
  <si>
    <t>YDEP1012</t>
  </si>
  <si>
    <t>YDEP1110</t>
  </si>
  <si>
    <t>YDEP1112</t>
  </si>
  <si>
    <t>YDEP1020</t>
  </si>
  <si>
    <t>YDEP1022</t>
  </si>
  <si>
    <t>YDEP1120</t>
  </si>
  <si>
    <t>YDEP1122</t>
  </si>
  <si>
    <t>YDDP2000</t>
  </si>
  <si>
    <t>YDDP2002</t>
  </si>
  <si>
    <t>YDDP2100</t>
  </si>
  <si>
    <t>YDDP2102</t>
  </si>
  <si>
    <t>YDDP2020</t>
  </si>
  <si>
    <t>YDDP2022</t>
  </si>
  <si>
    <t>YDDP2120</t>
  </si>
  <si>
    <t>YDDP2122</t>
  </si>
  <si>
    <t>DVC6200</t>
  </si>
  <si>
    <t>DVC6200AD</t>
  </si>
  <si>
    <t>DVC6200PD</t>
  </si>
  <si>
    <r>
      <rPr>
        <sz val="12"/>
        <color theme="0" tint="-0.89996032593768116"/>
        <rFont val="Arial"/>
        <family val="2"/>
      </rPr>
      <t>DVC6200HC(</t>
    </r>
    <r>
      <rPr>
        <sz val="12"/>
        <color theme="0" tint="-0.89996032593768116"/>
        <rFont val="宋体"/>
        <family val="3"/>
        <charset val="134"/>
      </rPr>
      <t>双作用</t>
    </r>
    <r>
      <rPr>
        <sz val="12"/>
        <color theme="0" tint="-0.89996032593768116"/>
        <rFont val="Arial"/>
        <family val="2"/>
      </rPr>
      <t>)</t>
    </r>
  </si>
  <si>
    <r>
      <rPr>
        <sz val="12"/>
        <color theme="0" tint="-0.89996032593768116"/>
        <rFont val="Arial"/>
        <family val="2"/>
      </rPr>
      <t>DVC6200AD(</t>
    </r>
    <r>
      <rPr>
        <sz val="12"/>
        <color theme="0" tint="-0.89996032593768116"/>
        <rFont val="宋体"/>
        <family val="3"/>
        <charset val="134"/>
      </rPr>
      <t>双作用</t>
    </r>
    <r>
      <rPr>
        <sz val="12"/>
        <color theme="0" tint="-0.89996032593768116"/>
        <rFont val="Arial"/>
        <family val="2"/>
      </rPr>
      <t>)</t>
    </r>
  </si>
  <si>
    <r>
      <rPr>
        <sz val="12"/>
        <color theme="0" tint="-0.89996032593768116"/>
        <rFont val="Arial"/>
        <family val="2"/>
      </rPr>
      <t>DVC6200PD(</t>
    </r>
    <r>
      <rPr>
        <sz val="12"/>
        <color theme="0" tint="-0.89996032593768116"/>
        <rFont val="宋体"/>
        <family val="3"/>
        <charset val="134"/>
      </rPr>
      <t>双作用</t>
    </r>
    <r>
      <rPr>
        <sz val="12"/>
        <color theme="0" tint="-0.89996032593768116"/>
        <rFont val="Arial"/>
        <family val="2"/>
      </rPr>
      <t>)</t>
    </r>
  </si>
  <si>
    <t>Logix 3200</t>
  </si>
  <si>
    <t>Logix 520</t>
  </si>
  <si>
    <t>SVI II AP</t>
  </si>
  <si>
    <t>V18345</t>
  </si>
  <si>
    <r>
      <rPr>
        <sz val="9"/>
        <rFont val="Arial"/>
        <family val="2"/>
      </rPr>
      <t xml:space="preserve">Customer  </t>
    </r>
    <r>
      <rPr>
        <sz val="9"/>
        <rFont val="宋体"/>
        <family val="3"/>
        <charset val="134"/>
      </rPr>
      <t>客户名称：</t>
    </r>
  </si>
  <si>
    <t>A</t>
  </si>
  <si>
    <r>
      <rPr>
        <sz val="9"/>
        <rFont val="Arial"/>
        <family val="2"/>
      </rPr>
      <t xml:space="preserve">Project        </t>
    </r>
    <r>
      <rPr>
        <sz val="9"/>
        <rFont val="宋体"/>
        <family val="3"/>
        <charset val="134"/>
      </rPr>
      <t>项目名称：</t>
    </r>
  </si>
  <si>
    <t>带红字附件特殊</t>
  </si>
  <si>
    <r>
      <rPr>
        <sz val="9"/>
        <rFont val="Arial"/>
        <family val="2"/>
      </rPr>
      <t xml:space="preserve">Business  </t>
    </r>
    <r>
      <rPr>
        <sz val="9"/>
        <rFont val="宋体"/>
        <family val="3"/>
        <charset val="134"/>
      </rPr>
      <t>商务信息</t>
    </r>
  </si>
  <si>
    <r>
      <rPr>
        <sz val="9"/>
        <rFont val="Arial"/>
        <family val="2"/>
      </rPr>
      <t xml:space="preserve">Quotation   </t>
    </r>
    <r>
      <rPr>
        <sz val="9"/>
        <rFont val="宋体"/>
        <family val="3"/>
        <charset val="134"/>
      </rPr>
      <t>询价单号：</t>
    </r>
  </si>
  <si>
    <r>
      <rPr>
        <sz val="9"/>
        <rFont val="Arial"/>
        <family val="2"/>
      </rPr>
      <t xml:space="preserve">Date                     </t>
    </r>
    <r>
      <rPr>
        <sz val="9"/>
        <rFont val="宋体"/>
        <family val="3"/>
        <charset val="134"/>
      </rPr>
      <t>日期：</t>
    </r>
  </si>
  <si>
    <r>
      <rPr>
        <sz val="9"/>
        <rFont val="Arial"/>
        <family val="2"/>
      </rPr>
      <t xml:space="preserve">Business   </t>
    </r>
    <r>
      <rPr>
        <sz val="9"/>
        <rFont val="宋体"/>
        <family val="3"/>
        <charset val="134"/>
      </rPr>
      <t>商务担当：</t>
    </r>
  </si>
  <si>
    <r>
      <rPr>
        <sz val="9"/>
        <rFont val="Arial"/>
        <family val="2"/>
      </rPr>
      <t xml:space="preserve">Contract          </t>
    </r>
    <r>
      <rPr>
        <sz val="9"/>
        <rFont val="宋体"/>
        <family val="3"/>
        <charset val="134"/>
      </rPr>
      <t>合同号：</t>
    </r>
  </si>
  <si>
    <r>
      <rPr>
        <sz val="9"/>
        <rFont val="Arial"/>
        <family val="2"/>
      </rPr>
      <t>Technology</t>
    </r>
    <r>
      <rPr>
        <sz val="9"/>
        <rFont val="宋体"/>
        <family val="3"/>
        <charset val="134"/>
      </rPr>
      <t>技术担当：</t>
    </r>
  </si>
  <si>
    <r>
      <rPr>
        <sz val="9"/>
        <rFont val="Arial"/>
        <family val="2"/>
      </rPr>
      <t xml:space="preserve">Delivery           </t>
    </r>
    <r>
      <rPr>
        <sz val="9"/>
        <rFont val="宋体"/>
        <family val="3"/>
        <charset val="134"/>
      </rPr>
      <t>交货期：</t>
    </r>
  </si>
  <si>
    <r>
      <rPr>
        <sz val="9"/>
        <rFont val="宋体"/>
        <family val="3"/>
        <charset val="134"/>
      </rPr>
      <t>合同生效后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天</t>
    </r>
  </si>
  <si>
    <r>
      <rPr>
        <u/>
        <sz val="12"/>
        <color indexed="12"/>
        <rFont val="Arial"/>
        <family val="2"/>
      </rPr>
      <t>阀体</t>
    </r>
  </si>
  <si>
    <t>工艺条件</t>
  </si>
  <si>
    <t>阀内件</t>
  </si>
  <si>
    <r>
      <rPr>
        <u/>
        <sz val="12"/>
        <color indexed="12"/>
        <rFont val="宋体"/>
        <family val="3"/>
        <charset val="134"/>
      </rPr>
      <t>气动执行机构</t>
    </r>
  </si>
  <si>
    <t>电动执行器</t>
  </si>
  <si>
    <t>附件</t>
  </si>
  <si>
    <r>
      <rPr>
        <b/>
        <sz val="10"/>
        <rFont val="宋体"/>
        <family val="3"/>
        <charset val="134"/>
      </rPr>
      <t>工艺条件</t>
    </r>
    <r>
      <rPr>
        <b/>
        <sz val="10"/>
        <rFont val="Arial"/>
        <family val="2"/>
      </rPr>
      <t xml:space="preserve">  SERVICE CONDITIONS</t>
    </r>
  </si>
  <si>
    <t>CAL.DATA</t>
  </si>
  <si>
    <t>`</t>
  </si>
  <si>
    <r>
      <rPr>
        <b/>
        <sz val="10"/>
        <rFont val="宋体"/>
        <family val="3"/>
        <charset val="134"/>
      </rPr>
      <t>阀盖</t>
    </r>
  </si>
  <si>
    <r>
      <rPr>
        <b/>
        <sz val="10"/>
        <rFont val="宋体"/>
        <family val="3"/>
        <charset val="134"/>
      </rPr>
      <t>阀内件</t>
    </r>
    <r>
      <rPr>
        <b/>
        <sz val="10"/>
        <rFont val="Arial"/>
        <family val="2"/>
      </rPr>
      <t xml:space="preserve">  TRIM</t>
    </r>
  </si>
  <si>
    <r>
      <rPr>
        <b/>
        <sz val="10"/>
        <rFont val="宋体"/>
        <family val="3"/>
        <charset val="134"/>
      </rPr>
      <t>定位器</t>
    </r>
  </si>
  <si>
    <r>
      <rPr>
        <b/>
        <sz val="10"/>
        <rFont val="宋体"/>
        <family val="3"/>
        <charset val="134"/>
      </rPr>
      <t>过滤减压阀</t>
    </r>
  </si>
  <si>
    <r>
      <rPr>
        <b/>
        <sz val="10"/>
        <rFont val="宋体"/>
        <family val="3"/>
        <charset val="134"/>
      </rPr>
      <t>电磁阀</t>
    </r>
  </si>
  <si>
    <r>
      <rPr>
        <b/>
        <sz val="10"/>
        <rFont val="宋体"/>
        <family val="3"/>
        <charset val="134"/>
      </rPr>
      <t>限位开关</t>
    </r>
  </si>
  <si>
    <t>气动放大器</t>
  </si>
  <si>
    <r>
      <rPr>
        <b/>
        <sz val="10"/>
        <rFont val="宋体"/>
        <family val="3"/>
        <charset val="134"/>
      </rPr>
      <t>气控阀</t>
    </r>
  </si>
  <si>
    <r>
      <rPr>
        <b/>
        <sz val="10"/>
        <rFont val="宋体"/>
        <family val="3"/>
        <charset val="134"/>
      </rPr>
      <t>气包</t>
    </r>
  </si>
  <si>
    <t>锁止阀</t>
  </si>
  <si>
    <r>
      <rPr>
        <b/>
        <sz val="10"/>
        <rFont val="宋体"/>
        <family val="3"/>
        <charset val="134"/>
      </rPr>
      <t>其他附件</t>
    </r>
  </si>
  <si>
    <t>接管附件</t>
  </si>
  <si>
    <t>REMARKS</t>
  </si>
  <si>
    <t>电动执行机构</t>
  </si>
  <si>
    <t>序号</t>
  </si>
  <si>
    <t>位号</t>
  </si>
  <si>
    <t>用途</t>
  </si>
  <si>
    <t>Rev No.</t>
  </si>
  <si>
    <t>口径阀前</t>
  </si>
  <si>
    <t>口径阀后</t>
  </si>
  <si>
    <t>规格书编号</t>
  </si>
  <si>
    <t>数量</t>
  </si>
  <si>
    <t>管道</t>
  </si>
  <si>
    <t>介质名称</t>
  </si>
  <si>
    <t>介质状态</t>
  </si>
  <si>
    <t>流量</t>
  </si>
  <si>
    <r>
      <rPr>
        <b/>
        <sz val="10"/>
        <rFont val="宋体"/>
        <family val="3"/>
        <charset val="134"/>
      </rPr>
      <t>阀前压力</t>
    </r>
    <r>
      <rPr>
        <b/>
        <sz val="10"/>
        <rFont val="Arial"/>
        <family val="2"/>
      </rPr>
      <t xml:space="preserve"> P1</t>
    </r>
  </si>
  <si>
    <t>阀后压力 P2</t>
  </si>
  <si>
    <t>温度</t>
  </si>
  <si>
    <t>密度</t>
  </si>
  <si>
    <t>粘度</t>
  </si>
  <si>
    <t>压缩系数</t>
  </si>
  <si>
    <t>饱和蒸汽压</t>
  </si>
  <si>
    <t>临界压力</t>
  </si>
  <si>
    <t>比热比</t>
  </si>
  <si>
    <t>关闭压差</t>
  </si>
  <si>
    <r>
      <rPr>
        <b/>
        <sz val="10"/>
        <rFont val="宋体"/>
        <family val="3"/>
        <charset val="134"/>
      </rPr>
      <t>设计压力</t>
    </r>
  </si>
  <si>
    <r>
      <rPr>
        <b/>
        <sz val="10"/>
        <rFont val="宋体"/>
        <family val="3"/>
        <charset val="134"/>
      </rPr>
      <t>设计温度</t>
    </r>
  </si>
  <si>
    <t>计算噪音</t>
  </si>
  <si>
    <t>计算流速</t>
  </si>
  <si>
    <r>
      <rPr>
        <b/>
        <sz val="10"/>
        <rFont val="宋体"/>
        <family val="3"/>
        <charset val="134"/>
      </rPr>
      <t>计算K</t>
    </r>
    <r>
      <rPr>
        <b/>
        <sz val="10"/>
        <rFont val="Arial"/>
        <family val="2"/>
      </rPr>
      <t>v</t>
    </r>
    <r>
      <rPr>
        <b/>
        <sz val="10"/>
        <rFont val="宋体"/>
        <family val="3"/>
        <charset val="134"/>
      </rPr>
      <t>值</t>
    </r>
  </si>
  <si>
    <t>相对开度</t>
  </si>
  <si>
    <r>
      <rPr>
        <b/>
        <sz val="10"/>
        <rFont val="宋体"/>
        <family val="3"/>
        <charset val="134"/>
      </rPr>
      <t xml:space="preserve">阀门名称
</t>
    </r>
  </si>
  <si>
    <t>阀门型号</t>
  </si>
  <si>
    <t xml:space="preserve">法兰标准
</t>
  </si>
  <si>
    <t>阀门等级
阀前</t>
  </si>
  <si>
    <t>阀门等级
阀后</t>
  </si>
  <si>
    <t>连接形式</t>
  </si>
  <si>
    <t>密封面
阀前</t>
  </si>
  <si>
    <t>密封面
阀后</t>
  </si>
  <si>
    <r>
      <rPr>
        <b/>
        <sz val="10"/>
        <rFont val="宋体"/>
        <family val="3"/>
        <charset val="134"/>
      </rPr>
      <t>阀体材质</t>
    </r>
  </si>
  <si>
    <t>阀盖材质</t>
  </si>
  <si>
    <r>
      <rPr>
        <b/>
        <sz val="10"/>
        <rFont val="宋体"/>
        <family val="3"/>
        <charset val="134"/>
      </rPr>
      <t>流体方向</t>
    </r>
  </si>
  <si>
    <t>泄露等级</t>
  </si>
  <si>
    <r>
      <rPr>
        <b/>
        <sz val="10"/>
        <rFont val="宋体"/>
        <family val="3"/>
        <charset val="134"/>
      </rPr>
      <t>阀盖类型</t>
    </r>
  </si>
  <si>
    <t>填料类型</t>
  </si>
  <si>
    <r>
      <rPr>
        <b/>
        <sz val="10"/>
        <rFont val="宋体"/>
        <family val="3"/>
        <charset val="134"/>
      </rPr>
      <t>填料</t>
    </r>
  </si>
  <si>
    <r>
      <rPr>
        <b/>
        <sz val="10"/>
        <rFont val="宋体"/>
        <family val="3"/>
        <charset val="134"/>
      </rPr>
      <t>垫圈</t>
    </r>
  </si>
  <si>
    <t>夹套连接</t>
  </si>
  <si>
    <r>
      <rPr>
        <b/>
        <sz val="10"/>
        <rFont val="宋体"/>
        <family val="3"/>
        <charset val="134"/>
      </rPr>
      <t>流量特性</t>
    </r>
  </si>
  <si>
    <r>
      <rPr>
        <b/>
        <sz val="10"/>
        <rFont val="宋体"/>
        <family val="3"/>
        <charset val="134"/>
      </rPr>
      <t>行程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开度</t>
    </r>
  </si>
  <si>
    <t>阀内件形式</t>
  </si>
  <si>
    <r>
      <rPr>
        <b/>
        <sz val="10"/>
        <rFont val="宋体"/>
        <family val="3"/>
        <charset val="134"/>
      </rPr>
      <t>阀板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阀芯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球体材质</t>
    </r>
  </si>
  <si>
    <r>
      <rPr>
        <b/>
        <sz val="10"/>
        <rFont val="宋体"/>
        <family val="3"/>
        <charset val="134"/>
      </rPr>
      <t>阀芯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阀板尺寸</t>
    </r>
  </si>
  <si>
    <r>
      <rPr>
        <b/>
        <sz val="10"/>
        <rFont val="宋体"/>
        <family val="3"/>
        <charset val="134"/>
      </rPr>
      <t>阀座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密封环材质</t>
    </r>
  </si>
  <si>
    <t>套筒/轴承/导向套材质</t>
  </si>
  <si>
    <t>降压级数</t>
  </si>
  <si>
    <r>
      <rPr>
        <b/>
        <sz val="10"/>
        <rFont val="宋体"/>
        <family val="3"/>
        <charset val="134"/>
      </rPr>
      <t>平衡密封</t>
    </r>
  </si>
  <si>
    <r>
      <rPr>
        <b/>
        <sz val="10"/>
        <rFont val="宋体"/>
        <family val="3"/>
        <charset val="134"/>
      </rPr>
      <t>阀杆材质</t>
    </r>
  </si>
  <si>
    <t>开启时间</t>
  </si>
  <si>
    <t>关闭时间</t>
  </si>
  <si>
    <t>执行器类型</t>
  </si>
  <si>
    <t>型号规格</t>
  </si>
  <si>
    <r>
      <rPr>
        <b/>
        <sz val="10"/>
        <rFont val="宋体"/>
        <family val="3"/>
        <charset val="134"/>
      </rPr>
      <t xml:space="preserve">其他要求
</t>
    </r>
    <r>
      <rPr>
        <b/>
        <sz val="10"/>
        <color indexed="10"/>
        <rFont val="宋体"/>
        <family val="3"/>
        <charset val="134"/>
      </rPr>
      <t>（若无要求，此项不填）</t>
    </r>
  </si>
  <si>
    <r>
      <rPr>
        <b/>
        <sz val="10"/>
        <rFont val="宋体"/>
        <family val="3"/>
        <charset val="134"/>
      </rPr>
      <t>动力源</t>
    </r>
  </si>
  <si>
    <r>
      <rPr>
        <b/>
        <sz val="10"/>
        <rFont val="宋体"/>
        <family val="3"/>
        <charset val="134"/>
      </rPr>
      <t>弹簧范围</t>
    </r>
  </si>
  <si>
    <t>作用方式</t>
  </si>
  <si>
    <r>
      <rPr>
        <b/>
        <sz val="10"/>
        <rFont val="宋体"/>
        <family val="3"/>
        <charset val="134"/>
      </rPr>
      <t>故障位置</t>
    </r>
    <r>
      <rPr>
        <b/>
        <sz val="10"/>
        <rFont val="Arial"/>
        <family val="2"/>
      </rPr>
      <t xml:space="preserve">       </t>
    </r>
  </si>
  <si>
    <r>
      <rPr>
        <b/>
        <sz val="10"/>
        <rFont val="宋体"/>
        <family val="3"/>
        <charset val="134"/>
      </rPr>
      <t>复位装置</t>
    </r>
    <r>
      <rPr>
        <b/>
        <sz val="10"/>
        <rFont val="Arial"/>
        <family val="2"/>
      </rPr>
      <t xml:space="preserve">       </t>
    </r>
  </si>
  <si>
    <t>供给压力
最大</t>
  </si>
  <si>
    <t>供给压力
最小</t>
  </si>
  <si>
    <t>供压单位</t>
  </si>
  <si>
    <t>阀门安装方向</t>
  </si>
  <si>
    <t>输出力单位</t>
  </si>
  <si>
    <r>
      <rPr>
        <b/>
        <sz val="10"/>
        <rFont val="Arial"/>
        <family val="2"/>
      </rPr>
      <t xml:space="preserve">  </t>
    </r>
    <r>
      <rPr>
        <b/>
        <sz val="10"/>
        <rFont val="宋体"/>
        <family val="3"/>
        <charset val="134"/>
      </rPr>
      <t>手</t>
    </r>
    <r>
      <rPr>
        <b/>
        <sz val="10"/>
        <rFont val="Arial"/>
        <family val="2"/>
      </rPr>
      <t xml:space="preserve">    </t>
    </r>
    <r>
      <rPr>
        <b/>
        <sz val="10"/>
        <rFont val="宋体"/>
        <family val="3"/>
        <charset val="134"/>
      </rPr>
      <t>轮</t>
    </r>
  </si>
  <si>
    <t>定位器生产商</t>
  </si>
  <si>
    <t>定位器类型</t>
  </si>
  <si>
    <t>M ,M,</t>
  </si>
  <si>
    <t>定位器输入信号</t>
  </si>
  <si>
    <t>定位器输出信号</t>
  </si>
  <si>
    <r>
      <rPr>
        <b/>
        <sz val="10"/>
        <rFont val="宋体"/>
        <family val="3"/>
        <charset val="134"/>
      </rPr>
      <t>电气接口</t>
    </r>
  </si>
  <si>
    <r>
      <rPr>
        <b/>
        <sz val="10"/>
        <rFont val="宋体"/>
        <family val="3"/>
        <charset val="134"/>
      </rPr>
      <t>气源接口</t>
    </r>
  </si>
  <si>
    <r>
      <rPr>
        <b/>
        <sz val="10"/>
        <rFont val="宋体"/>
        <family val="3"/>
        <charset val="134"/>
      </rPr>
      <t>防爆等级</t>
    </r>
  </si>
  <si>
    <t>压力表</t>
  </si>
  <si>
    <t>旁路</t>
  </si>
  <si>
    <t>信号增加</t>
  </si>
  <si>
    <t>控制特性</t>
  </si>
  <si>
    <t>生产厂商</t>
  </si>
  <si>
    <t>过滤减压阀型号</t>
  </si>
  <si>
    <t>设定压力</t>
  </si>
  <si>
    <t>设定压力单位</t>
  </si>
  <si>
    <t>过滤器</t>
  </si>
  <si>
    <t>气源接口</t>
  </si>
  <si>
    <t>电磁阀生产商</t>
  </si>
  <si>
    <r>
      <rPr>
        <b/>
        <sz val="10"/>
        <rFont val="宋体"/>
        <family val="3"/>
        <charset val="134"/>
      </rPr>
      <t>电磁阀型号</t>
    </r>
  </si>
  <si>
    <t>励磁形式</t>
  </si>
  <si>
    <t>电磁阀供电电源</t>
  </si>
  <si>
    <t>耗电量</t>
  </si>
  <si>
    <t>壳体材料</t>
  </si>
  <si>
    <t>接线盒</t>
  </si>
  <si>
    <t>防护等级</t>
  </si>
  <si>
    <t>限位开关生产商</t>
  </si>
  <si>
    <r>
      <rPr>
        <b/>
        <sz val="10"/>
        <rFont val="宋体"/>
        <family val="3"/>
        <charset val="134"/>
      </rPr>
      <t>限位开关型号</t>
    </r>
  </si>
  <si>
    <t>限位开关类型</t>
  </si>
  <si>
    <t>端子数</t>
  </si>
  <si>
    <t>触点类型</t>
  </si>
  <si>
    <t>反馈点</t>
  </si>
  <si>
    <r>
      <rPr>
        <b/>
        <sz val="10"/>
        <rFont val="宋体"/>
        <family val="3"/>
        <charset val="134"/>
      </rPr>
      <t>气动增速器</t>
    </r>
  </si>
  <si>
    <t>气控阀1</t>
  </si>
  <si>
    <r>
      <rPr>
        <b/>
        <sz val="10"/>
        <rFont val="宋体"/>
        <family val="3"/>
        <charset val="134"/>
      </rPr>
      <t>气控阀</t>
    </r>
    <r>
      <rPr>
        <b/>
        <sz val="10"/>
        <rFont val="Arial"/>
        <family val="2"/>
      </rPr>
      <t>2</t>
    </r>
  </si>
  <si>
    <t>其他附件</t>
  </si>
  <si>
    <t>配对法兰及紧固件等
阀前</t>
  </si>
  <si>
    <t>配对法兰材料
阀前</t>
  </si>
  <si>
    <t>配对法兰及紧固件等
阀后</t>
  </si>
  <si>
    <t>配对法兰材料
阀后</t>
  </si>
  <si>
    <r>
      <rPr>
        <b/>
        <sz val="10"/>
        <rFont val="宋体"/>
        <family val="3"/>
        <charset val="134"/>
      </rPr>
      <t>特殊要求</t>
    </r>
  </si>
  <si>
    <t>不锈钢配管
（选择）</t>
  </si>
  <si>
    <t>喷漆要求
（选择）</t>
  </si>
  <si>
    <t xml:space="preserve">是否出现公司LOGO字样
</t>
  </si>
  <si>
    <t xml:space="preserve">外购
做标书书不用填
</t>
  </si>
  <si>
    <t>其他备注</t>
  </si>
  <si>
    <t>类型</t>
  </si>
  <si>
    <t>生产商</t>
  </si>
  <si>
    <t>型号</t>
  </si>
  <si>
    <t>推力单元</t>
  </si>
  <si>
    <t>电源供给</t>
  </si>
  <si>
    <t>额定功率</t>
  </si>
  <si>
    <t>额定电流</t>
  </si>
  <si>
    <t>电源接口</t>
  </si>
  <si>
    <t>电气接口</t>
  </si>
  <si>
    <t>输出扭矩</t>
  </si>
  <si>
    <t>输出扭矩单位</t>
  </si>
  <si>
    <r>
      <rPr>
        <b/>
        <sz val="10"/>
        <rFont val="宋体"/>
        <family val="3"/>
        <charset val="134"/>
      </rPr>
      <t>全行程时间</t>
    </r>
    <r>
      <rPr>
        <b/>
        <sz val="10"/>
        <rFont val="Arial"/>
        <family val="2"/>
      </rPr>
      <t>S</t>
    </r>
  </si>
  <si>
    <t>防爆等级</t>
  </si>
  <si>
    <t>控制信号</t>
  </si>
  <si>
    <t>手动装置</t>
  </si>
  <si>
    <t>限位开关</t>
  </si>
  <si>
    <t>阀位反馈</t>
  </si>
  <si>
    <r>
      <rPr>
        <b/>
        <sz val="10"/>
        <rFont val="宋体"/>
        <family val="3"/>
        <charset val="134"/>
      </rPr>
      <t>报警信号</t>
    </r>
    <r>
      <rPr>
        <b/>
        <sz val="10"/>
        <rFont val="Arial"/>
        <family val="2"/>
      </rPr>
      <t xml:space="preserve"> </t>
    </r>
  </si>
  <si>
    <r>
      <rPr>
        <b/>
        <sz val="10"/>
        <rFont val="宋体"/>
        <family val="3"/>
        <charset val="134"/>
      </rPr>
      <t>扭矩报警</t>
    </r>
    <r>
      <rPr>
        <b/>
        <sz val="10"/>
        <rFont val="Arial"/>
        <family val="2"/>
      </rPr>
      <t xml:space="preserve"> </t>
    </r>
  </si>
  <si>
    <t>选择开关</t>
  </si>
  <si>
    <t>状态指示灯</t>
  </si>
  <si>
    <t>阀位指示</t>
  </si>
  <si>
    <t>通讯接口</t>
  </si>
  <si>
    <t>就地开关</t>
  </si>
  <si>
    <t>浪涌保护器</t>
  </si>
  <si>
    <t>阀门类型</t>
  </si>
  <si>
    <t>客户名称</t>
  </si>
  <si>
    <t>项目名称</t>
  </si>
  <si>
    <t>计划交货期</t>
  </si>
  <si>
    <t>商务负责人</t>
  </si>
  <si>
    <t>技术负责人</t>
  </si>
  <si>
    <t>下发日期</t>
  </si>
  <si>
    <r>
      <rPr>
        <b/>
        <sz val="10"/>
        <rFont val="宋体"/>
        <family val="3"/>
        <charset val="134"/>
      </rPr>
      <t>尺寸</t>
    </r>
    <r>
      <rPr>
        <b/>
        <sz val="10"/>
        <rFont val="Arial"/>
        <family val="2"/>
      </rPr>
      <t>(IN)</t>
    </r>
  </si>
  <si>
    <r>
      <rPr>
        <b/>
        <sz val="10"/>
        <rFont val="宋体"/>
        <family val="3"/>
        <charset val="134"/>
      </rPr>
      <t>尺寸</t>
    </r>
    <r>
      <rPr>
        <b/>
        <sz val="10"/>
        <rFont val="Arial"/>
        <family val="2"/>
      </rPr>
      <t>(OUT)</t>
    </r>
  </si>
  <si>
    <r>
      <rPr>
        <b/>
        <sz val="10"/>
        <rFont val="宋体"/>
        <family val="3"/>
        <charset val="134"/>
      </rPr>
      <t>材质</t>
    </r>
    <r>
      <rPr>
        <b/>
        <sz val="10"/>
        <rFont val="Arial"/>
        <family val="2"/>
      </rPr>
      <t>(IN)</t>
    </r>
  </si>
  <si>
    <r>
      <rPr>
        <b/>
        <sz val="10"/>
        <rFont val="宋体"/>
        <family val="3"/>
        <charset val="134"/>
      </rPr>
      <t>材质</t>
    </r>
    <r>
      <rPr>
        <b/>
        <sz val="10"/>
        <rFont val="Arial"/>
        <family val="2"/>
      </rPr>
      <t>(OUT)</t>
    </r>
  </si>
  <si>
    <r>
      <rPr>
        <b/>
        <sz val="10"/>
        <rFont val="宋体"/>
        <family val="3"/>
        <charset val="134"/>
      </rPr>
      <t>工况</t>
    </r>
    <r>
      <rPr>
        <b/>
        <sz val="10"/>
        <rFont val="Arial"/>
        <family val="2"/>
      </rPr>
      <t>1</t>
    </r>
  </si>
  <si>
    <r>
      <rPr>
        <b/>
        <sz val="10"/>
        <rFont val="宋体"/>
        <family val="3"/>
        <charset val="134"/>
      </rPr>
      <t>工况</t>
    </r>
    <r>
      <rPr>
        <b/>
        <sz val="10"/>
        <rFont val="Arial"/>
        <family val="2"/>
      </rPr>
      <t>2</t>
    </r>
  </si>
  <si>
    <r>
      <rPr>
        <b/>
        <sz val="10"/>
        <rFont val="宋体"/>
        <family val="3"/>
        <charset val="134"/>
      </rPr>
      <t>工况</t>
    </r>
    <r>
      <rPr>
        <b/>
        <sz val="10"/>
        <rFont val="Arial"/>
        <family val="2"/>
      </rPr>
      <t>3</t>
    </r>
  </si>
  <si>
    <r>
      <rPr>
        <b/>
        <sz val="10"/>
        <rFont val="宋体"/>
        <family val="3"/>
        <charset val="134"/>
      </rPr>
      <t>工况</t>
    </r>
    <r>
      <rPr>
        <b/>
        <sz val="10"/>
        <rFont val="Arial"/>
        <family val="2"/>
      </rPr>
      <t>4</t>
    </r>
  </si>
  <si>
    <r>
      <rPr>
        <b/>
        <sz val="10"/>
        <rFont val="宋体"/>
        <family val="3"/>
        <charset val="134"/>
      </rPr>
      <t>工况</t>
    </r>
    <r>
      <rPr>
        <b/>
        <sz val="10"/>
        <rFont val="Arial"/>
        <family val="2"/>
      </rPr>
      <t>5</t>
    </r>
  </si>
  <si>
    <t>F.Unit</t>
  </si>
  <si>
    <t>P.Unit</t>
  </si>
  <si>
    <t>T.Unit</t>
  </si>
  <si>
    <t>D.Unit</t>
  </si>
  <si>
    <t>V.Unit</t>
  </si>
  <si>
    <r>
      <rPr>
        <sz val="10"/>
        <rFont val="宋体"/>
        <family val="3"/>
        <charset val="134"/>
      </rPr>
      <t>主型号</t>
    </r>
  </si>
  <si>
    <r>
      <rPr>
        <b/>
        <sz val="10"/>
        <rFont val="宋体"/>
        <family val="3"/>
        <charset val="134"/>
      </rPr>
      <t>禁油要求</t>
    </r>
  </si>
  <si>
    <t>禁铜要求</t>
  </si>
  <si>
    <r>
      <rPr>
        <b/>
        <sz val="10"/>
        <rFont val="宋体"/>
        <family val="3"/>
        <charset val="134"/>
      </rPr>
      <t>防火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防静电要求</t>
    </r>
  </si>
  <si>
    <r>
      <rPr>
        <b/>
        <sz val="10"/>
        <rFont val="宋体"/>
        <family val="3"/>
        <charset val="134"/>
      </rPr>
      <t xml:space="preserve">低温处理
</t>
    </r>
    <r>
      <rPr>
        <b/>
        <sz val="10"/>
        <rFont val="Arial"/>
        <family val="2"/>
      </rPr>
      <t>(</t>
    </r>
    <r>
      <rPr>
        <b/>
        <sz val="10"/>
        <rFont val="宋体"/>
        <family val="3"/>
        <charset val="134"/>
      </rPr>
      <t>节点温度≤</t>
    </r>
    <r>
      <rPr>
        <b/>
        <sz val="10"/>
        <rFont val="Arial"/>
        <family val="2"/>
      </rPr>
      <t>-100</t>
    </r>
    <r>
      <rPr>
        <b/>
        <sz val="10"/>
        <rFont val="宋体"/>
        <family val="3"/>
        <charset val="134"/>
      </rPr>
      <t>℃</t>
    </r>
    <r>
      <rPr>
        <b/>
        <sz val="10"/>
        <rFont val="Arial"/>
        <family val="2"/>
      </rPr>
      <t>)</t>
    </r>
  </si>
  <si>
    <r>
      <rPr>
        <b/>
        <sz val="10"/>
        <rFont val="Arial"/>
        <family val="2"/>
      </rPr>
      <t>NACE</t>
    </r>
    <r>
      <rPr>
        <b/>
        <sz val="10"/>
        <rFont val="宋体"/>
        <family val="3"/>
        <charset val="134"/>
      </rPr>
      <t>处理</t>
    </r>
  </si>
  <si>
    <t>判断</t>
  </si>
  <si>
    <t>法兰距</t>
  </si>
  <si>
    <t>0</t>
  </si>
  <si>
    <t>℃</t>
  </si>
  <si>
    <t>法兰连接</t>
  </si>
  <si>
    <r>
      <rPr>
        <sz val="9"/>
        <color rgb="FF00B0F0"/>
        <rFont val="宋体"/>
        <family val="3"/>
        <charset val="134"/>
      </rPr>
      <t>柔性石墨</t>
    </r>
    <r>
      <rPr>
        <sz val="9"/>
        <color rgb="FF00B0F0"/>
        <rFont val="Arial"/>
        <family val="2"/>
      </rPr>
      <t>+316</t>
    </r>
  </si>
  <si>
    <t>mm</t>
  </si>
  <si>
    <t>MPaG</t>
  </si>
  <si>
    <t>ABB</t>
  </si>
  <si>
    <t>电-气智能型</t>
  </si>
  <si>
    <t>SMC</t>
  </si>
  <si>
    <t>KPaG</t>
  </si>
  <si>
    <t>带</t>
  </si>
  <si>
    <t>卡套接头NPT1/4"-ø8</t>
  </si>
  <si>
    <t>1/2NPT</t>
  </si>
  <si>
    <t>IP65</t>
  </si>
  <si>
    <t>4~20mA</t>
  </si>
  <si>
    <t>FL</t>
  </si>
  <si>
    <t>调节阀规格数据表</t>
  </si>
  <si>
    <t>标准型</t>
  </si>
  <si>
    <t>2</t>
  </si>
  <si>
    <t>N/A</t>
  </si>
  <si>
    <t>线性</t>
  </si>
  <si>
    <r>
      <rPr>
        <b/>
        <sz val="9"/>
        <color theme="0" tint="-0.89996032593768116"/>
        <rFont val="Arial"/>
        <family val="2"/>
      </rPr>
      <t xml:space="preserve">Qu. No. </t>
    </r>
    <r>
      <rPr>
        <b/>
        <sz val="9"/>
        <color indexed="8"/>
        <rFont val="宋体"/>
        <family val="3"/>
        <charset val="134"/>
      </rPr>
      <t>报价单号</t>
    </r>
    <r>
      <rPr>
        <b/>
        <sz val="9"/>
        <color indexed="8"/>
        <rFont val="Arial"/>
        <family val="2"/>
      </rPr>
      <t xml:space="preserve">: </t>
    </r>
  </si>
  <si>
    <r>
      <rPr>
        <b/>
        <sz val="22"/>
        <color indexed="40"/>
        <rFont val="黑体"/>
        <family val="3"/>
        <charset val="134"/>
      </rPr>
      <t>报价</t>
    </r>
    <r>
      <rPr>
        <b/>
        <sz val="22"/>
        <color indexed="40"/>
        <rFont val="Arial"/>
        <family val="2"/>
      </rPr>
      <t xml:space="preserve"> </t>
    </r>
    <r>
      <rPr>
        <b/>
        <sz val="22"/>
        <color indexed="40"/>
        <rFont val="黑体"/>
        <family val="3"/>
        <charset val="134"/>
      </rPr>
      <t>单</t>
    </r>
    <r>
      <rPr>
        <b/>
        <sz val="22"/>
        <color indexed="40"/>
        <rFont val="Arial"/>
        <family val="2"/>
      </rPr>
      <t xml:space="preserve">  </t>
    </r>
  </si>
  <si>
    <r>
      <rPr>
        <b/>
        <sz val="10"/>
        <color theme="0" tint="-0.89996032593768116"/>
        <rFont val="Arial"/>
        <family val="2"/>
      </rPr>
      <t xml:space="preserve">      </t>
    </r>
    <r>
      <rPr>
        <b/>
        <sz val="10"/>
        <color indexed="8"/>
        <rFont val="宋体"/>
        <family val="3"/>
        <charset val="134"/>
      </rPr>
      <t>江苏神通阀门股份有限公司</t>
    </r>
  </si>
  <si>
    <r>
      <rPr>
        <b/>
        <sz val="10"/>
        <color theme="0" tint="-0.89996032593768116"/>
        <rFont val="Arial"/>
        <family val="2"/>
      </rPr>
      <t xml:space="preserve">Nanyang Industry, Qidong City,Jiangsu Province
</t>
    </r>
    <r>
      <rPr>
        <b/>
        <sz val="10"/>
        <color theme="0" tint="-0.89996032593768116"/>
        <rFont val="宋体"/>
        <family val="3"/>
        <charset val="134"/>
      </rPr>
      <t>江苏省启东市南阳工业区</t>
    </r>
  </si>
  <si>
    <r>
      <rPr>
        <b/>
        <sz val="9"/>
        <color theme="0" tint="-0.89996032593768116"/>
        <rFont val="Arial"/>
        <family val="2"/>
      </rPr>
      <t xml:space="preserve">Customer
</t>
    </r>
    <r>
      <rPr>
        <b/>
        <sz val="9"/>
        <color indexed="8"/>
        <rFont val="宋体"/>
        <family val="3"/>
        <charset val="134"/>
      </rPr>
      <t>客户名称</t>
    </r>
  </si>
  <si>
    <r>
      <rPr>
        <b/>
        <sz val="9"/>
        <color theme="0" tint="-0.89996032593768116"/>
        <rFont val="Arial"/>
        <family val="2"/>
      </rPr>
      <t xml:space="preserve">Tel
</t>
    </r>
    <r>
      <rPr>
        <b/>
        <sz val="9"/>
        <color indexed="8"/>
        <rFont val="宋体"/>
        <family val="3"/>
        <charset val="134"/>
      </rPr>
      <t>电话</t>
    </r>
  </si>
  <si>
    <r>
      <rPr>
        <b/>
        <sz val="9"/>
        <color theme="0" tint="-0.89996032593768116"/>
        <rFont val="Arial"/>
        <family val="2"/>
      </rPr>
      <t xml:space="preserve">ATTN
</t>
    </r>
    <r>
      <rPr>
        <b/>
        <sz val="9"/>
        <color indexed="8"/>
        <rFont val="宋体"/>
        <family val="3"/>
        <charset val="134"/>
      </rPr>
      <t>收件人</t>
    </r>
  </si>
  <si>
    <r>
      <rPr>
        <b/>
        <sz val="9"/>
        <color theme="0" tint="-0.89996032593768116"/>
        <rFont val="Arial"/>
        <family val="2"/>
      </rPr>
      <t xml:space="preserve">Fax
</t>
    </r>
    <r>
      <rPr>
        <b/>
        <sz val="9"/>
        <color indexed="8"/>
        <rFont val="宋体"/>
        <family val="3"/>
        <charset val="134"/>
      </rPr>
      <t>传真</t>
    </r>
  </si>
  <si>
    <r>
      <rPr>
        <b/>
        <sz val="9"/>
        <color theme="0" tint="-0.89996032593768116"/>
        <rFont val="Arial"/>
        <family val="2"/>
      </rPr>
      <t xml:space="preserve">Project
</t>
    </r>
    <r>
      <rPr>
        <b/>
        <sz val="9"/>
        <color indexed="8"/>
        <rFont val="宋体"/>
        <family val="3"/>
        <charset val="134"/>
      </rPr>
      <t>项目名称</t>
    </r>
  </si>
  <si>
    <r>
      <rPr>
        <b/>
        <sz val="9"/>
        <color theme="0" tint="-0.89996032593768116"/>
        <rFont val="Arial"/>
        <family val="2"/>
      </rPr>
      <t xml:space="preserve">Business 
</t>
    </r>
    <r>
      <rPr>
        <b/>
        <sz val="9"/>
        <color indexed="8"/>
        <rFont val="宋体"/>
        <family val="3"/>
        <charset val="134"/>
      </rPr>
      <t>商务联系人</t>
    </r>
  </si>
  <si>
    <r>
      <rPr>
        <b/>
        <sz val="9"/>
        <color theme="0" tint="-0.89996032593768116"/>
        <rFont val="Arial"/>
        <family val="2"/>
      </rPr>
      <t xml:space="preserve">Delivery Date
</t>
    </r>
    <r>
      <rPr>
        <b/>
        <sz val="9"/>
        <color indexed="8"/>
        <rFont val="宋体"/>
        <family val="3"/>
        <charset val="134"/>
      </rPr>
      <t>交货期</t>
    </r>
  </si>
  <si>
    <r>
      <rPr>
        <b/>
        <sz val="9"/>
        <color theme="0" tint="-0.89996032593768116"/>
        <rFont val="Arial"/>
        <family val="2"/>
      </rPr>
      <t xml:space="preserve">Approve
</t>
    </r>
    <r>
      <rPr>
        <b/>
        <sz val="9"/>
        <color indexed="8"/>
        <rFont val="宋体"/>
        <family val="3"/>
        <charset val="134"/>
      </rPr>
      <t>批准</t>
    </r>
  </si>
  <si>
    <r>
      <rPr>
        <b/>
        <sz val="9"/>
        <color theme="0" tint="-0.89996032593768116"/>
        <rFont val="Arial"/>
        <family val="2"/>
      </rPr>
      <t xml:space="preserve">Delivery Terms
</t>
    </r>
    <r>
      <rPr>
        <b/>
        <sz val="9"/>
        <color indexed="8"/>
        <rFont val="宋体"/>
        <family val="3"/>
        <charset val="134"/>
      </rPr>
      <t>交货条件</t>
    </r>
    <r>
      <rPr>
        <b/>
        <sz val="9"/>
        <color indexed="8"/>
        <rFont val="Arial"/>
        <family val="2"/>
      </rPr>
      <t xml:space="preserve">   </t>
    </r>
  </si>
  <si>
    <r>
      <rPr>
        <sz val="11"/>
        <color indexed="8"/>
        <rFont val="宋体"/>
        <family val="3"/>
        <charset val="134"/>
      </rPr>
      <t>工地价</t>
    </r>
    <r>
      <rPr>
        <sz val="11"/>
        <color indexed="8"/>
        <rFont val="Arial"/>
        <family val="2"/>
      </rPr>
      <t xml:space="preserve"> </t>
    </r>
  </si>
  <si>
    <t>CIF SITE</t>
  </si>
  <si>
    <r>
      <rPr>
        <b/>
        <sz val="9"/>
        <color theme="0" tint="-0.89996032593768116"/>
        <rFont val="Arial"/>
        <family val="2"/>
      </rPr>
      <t xml:space="preserve">Quote Date
</t>
    </r>
    <r>
      <rPr>
        <b/>
        <sz val="9"/>
        <color indexed="8"/>
        <rFont val="宋体"/>
        <family val="3"/>
        <charset val="134"/>
      </rPr>
      <t>报价日期</t>
    </r>
  </si>
  <si>
    <r>
      <rPr>
        <b/>
        <sz val="9"/>
        <color theme="0" tint="-0.89996032593768116"/>
        <rFont val="Arial"/>
        <family val="2"/>
      </rPr>
      <t xml:space="preserve">Monetary Unit
</t>
    </r>
    <r>
      <rPr>
        <b/>
        <sz val="9"/>
        <color indexed="8"/>
        <rFont val="宋体"/>
        <family val="3"/>
        <charset val="134"/>
      </rPr>
      <t>货币单位</t>
    </r>
    <r>
      <rPr>
        <b/>
        <sz val="9"/>
        <color indexed="8"/>
        <rFont val="Arial"/>
        <family val="2"/>
      </rPr>
      <t xml:space="preserve"> </t>
    </r>
    <r>
      <rPr>
        <b/>
        <sz val="9"/>
        <color indexed="8"/>
        <rFont val="Arial"/>
        <family val="2"/>
      </rPr>
      <t xml:space="preserve"> </t>
    </r>
  </si>
  <si>
    <r>
      <rPr>
        <sz val="11"/>
        <color indexed="8"/>
        <rFont val="宋体"/>
        <family val="3"/>
        <charset val="134"/>
      </rPr>
      <t>人民币</t>
    </r>
    <r>
      <rPr>
        <sz val="11"/>
        <color indexed="8"/>
        <rFont val="Arial"/>
        <family val="2"/>
      </rPr>
      <t xml:space="preserve">  </t>
    </r>
    <r>
      <rPr>
        <sz val="11"/>
        <color indexed="8"/>
        <rFont val="宋体"/>
        <family val="3"/>
        <charset val="134"/>
      </rPr>
      <t>元</t>
    </r>
  </si>
  <si>
    <r>
      <rPr>
        <sz val="11"/>
        <color indexed="8"/>
        <rFont val="宋体"/>
        <family val="3"/>
        <charset val="134"/>
      </rPr>
      <t>人民币</t>
    </r>
    <r>
      <rPr>
        <sz val="11"/>
        <color indexed="8"/>
        <rFont val="Arial"/>
        <family val="2"/>
      </rPr>
      <t xml:space="preserve">  </t>
    </r>
    <r>
      <rPr>
        <sz val="11"/>
        <color indexed="8"/>
        <rFont val="宋体"/>
        <family val="3"/>
        <charset val="134"/>
      </rPr>
      <t>元</t>
    </r>
    <r>
      <rPr>
        <sz val="11"/>
        <color indexed="8"/>
        <rFont val="Arial"/>
        <family val="2"/>
      </rPr>
      <t xml:space="preserve"> RMB Yuan</t>
    </r>
  </si>
  <si>
    <t>RMB YUAN</t>
  </si>
  <si>
    <r>
      <rPr>
        <b/>
        <sz val="9"/>
        <color theme="0" tint="-0.89996032593768116"/>
        <rFont val="Arial"/>
        <family val="2"/>
      </rPr>
      <t xml:space="preserve"> Valid Per.
</t>
    </r>
    <r>
      <rPr>
        <b/>
        <sz val="9"/>
        <color indexed="8"/>
        <rFont val="宋体"/>
        <family val="3"/>
        <charset val="134"/>
      </rPr>
      <t>报价有效期</t>
    </r>
  </si>
  <si>
    <r>
      <rPr>
        <sz val="11"/>
        <color theme="0" tint="-0.89996032593768116"/>
        <rFont val="Arial"/>
        <family val="2"/>
      </rPr>
      <t xml:space="preserve">30 Days   </t>
    </r>
    <r>
      <rPr>
        <sz val="11"/>
        <color indexed="8"/>
        <rFont val="宋体"/>
        <family val="3"/>
        <charset val="134"/>
      </rPr>
      <t>天</t>
    </r>
  </si>
  <si>
    <t>科海</t>
  </si>
  <si>
    <t>NO</t>
  </si>
  <si>
    <r>
      <rPr>
        <b/>
        <sz val="10"/>
        <color theme="0" tint="-0.89996032593768116"/>
        <rFont val="Arial"/>
        <family val="2"/>
      </rPr>
      <t xml:space="preserve">TAG No.
</t>
    </r>
    <r>
      <rPr>
        <b/>
        <sz val="10"/>
        <color indexed="8"/>
        <rFont val="宋体"/>
        <family val="3"/>
        <charset val="134"/>
      </rPr>
      <t>位</t>
    </r>
    <r>
      <rPr>
        <b/>
        <sz val="10"/>
        <color indexed="8"/>
        <rFont val="Arial"/>
        <family val="2"/>
      </rPr>
      <t xml:space="preserve">  </t>
    </r>
    <r>
      <rPr>
        <b/>
        <sz val="10"/>
        <color indexed="8"/>
        <rFont val="宋体"/>
        <family val="3"/>
        <charset val="134"/>
      </rPr>
      <t>号</t>
    </r>
  </si>
  <si>
    <r>
      <rPr>
        <b/>
        <sz val="10"/>
        <color theme="0" tint="-0.89996032593768116"/>
        <rFont val="Arial"/>
        <family val="2"/>
      </rPr>
      <t xml:space="preserve">Specification   </t>
    </r>
    <r>
      <rPr>
        <b/>
        <sz val="10"/>
        <color indexed="8"/>
        <rFont val="宋体"/>
        <family val="3"/>
        <charset val="134"/>
      </rPr>
      <t>型</t>
    </r>
    <r>
      <rPr>
        <b/>
        <sz val="10"/>
        <color indexed="8"/>
        <rFont val="Arial"/>
        <family val="2"/>
      </rPr>
      <t xml:space="preserve">      </t>
    </r>
    <r>
      <rPr>
        <b/>
        <sz val="10"/>
        <color indexed="8"/>
        <rFont val="宋体"/>
        <family val="3"/>
        <charset val="134"/>
      </rPr>
      <t>号</t>
    </r>
    <r>
      <rPr>
        <b/>
        <sz val="10"/>
        <color indexed="8"/>
        <rFont val="Arial"/>
        <family val="2"/>
      </rPr>
      <t xml:space="preserve">      </t>
    </r>
    <r>
      <rPr>
        <b/>
        <sz val="10"/>
        <color indexed="8"/>
        <rFont val="宋体"/>
        <family val="3"/>
        <charset val="134"/>
      </rPr>
      <t>规</t>
    </r>
    <r>
      <rPr>
        <b/>
        <sz val="10"/>
        <color indexed="8"/>
        <rFont val="Arial"/>
        <family val="2"/>
      </rPr>
      <t xml:space="preserve">      </t>
    </r>
    <r>
      <rPr>
        <b/>
        <sz val="10"/>
        <color indexed="8"/>
        <rFont val="宋体"/>
        <family val="3"/>
        <charset val="134"/>
      </rPr>
      <t>格</t>
    </r>
    <r>
      <rPr>
        <b/>
        <sz val="10"/>
        <color indexed="8"/>
        <rFont val="Arial"/>
        <family val="2"/>
      </rPr>
      <t xml:space="preserve">     </t>
    </r>
  </si>
  <si>
    <r>
      <rPr>
        <b/>
        <sz val="10"/>
        <color theme="0" tint="-0.89996032593768116"/>
        <rFont val="Arial"/>
        <family val="2"/>
      </rPr>
      <t xml:space="preserve">Unit Price    </t>
    </r>
    <r>
      <rPr>
        <b/>
        <sz val="10"/>
        <color indexed="8"/>
        <rFont val="宋体"/>
        <family val="3"/>
        <charset val="134"/>
      </rPr>
      <t>单</t>
    </r>
    <r>
      <rPr>
        <b/>
        <sz val="10"/>
        <color indexed="8"/>
        <rFont val="Arial"/>
        <family val="2"/>
      </rPr>
      <t xml:space="preserve">   </t>
    </r>
    <r>
      <rPr>
        <b/>
        <sz val="10"/>
        <color indexed="8"/>
        <rFont val="宋体"/>
        <family val="3"/>
        <charset val="134"/>
      </rPr>
      <t>　价</t>
    </r>
  </si>
  <si>
    <r>
      <rPr>
        <b/>
        <sz val="10"/>
        <color theme="0" tint="-0.89996032593768116"/>
        <rFont val="Arial"/>
        <family val="2"/>
      </rPr>
      <t xml:space="preserve">Qty   </t>
    </r>
    <r>
      <rPr>
        <b/>
        <sz val="10"/>
        <color indexed="8"/>
        <rFont val="宋体"/>
        <family val="3"/>
        <charset val="134"/>
      </rPr>
      <t>数量</t>
    </r>
  </si>
  <si>
    <r>
      <rPr>
        <b/>
        <sz val="10"/>
        <color theme="0" tint="-0.89996032593768116"/>
        <rFont val="Arial"/>
        <family val="2"/>
      </rPr>
      <t xml:space="preserve">Total             </t>
    </r>
    <r>
      <rPr>
        <b/>
        <sz val="10"/>
        <color indexed="8"/>
        <rFont val="宋体"/>
        <family val="3"/>
        <charset val="134"/>
      </rPr>
      <t>总　价</t>
    </r>
  </si>
  <si>
    <r>
      <rPr>
        <b/>
        <sz val="10"/>
        <color theme="0" tint="-0.89996032593768116"/>
        <rFont val="Arial"/>
        <family val="2"/>
      </rPr>
      <t xml:space="preserve">Body  </t>
    </r>
    <r>
      <rPr>
        <b/>
        <sz val="10"/>
        <color indexed="8"/>
        <rFont val="宋体"/>
        <family val="3"/>
        <charset val="134"/>
      </rPr>
      <t>本体部</t>
    </r>
  </si>
  <si>
    <r>
      <rPr>
        <b/>
        <sz val="8"/>
        <color theme="0" tint="-0.89996032593768116"/>
        <rFont val="Arial"/>
        <family val="2"/>
      </rPr>
      <t xml:space="preserve">Act.       </t>
    </r>
    <r>
      <rPr>
        <b/>
        <sz val="8"/>
        <color indexed="8"/>
        <rFont val="宋体"/>
        <family val="3"/>
        <charset val="134"/>
      </rPr>
      <t>执行机构</t>
    </r>
  </si>
  <si>
    <r>
      <rPr>
        <b/>
        <sz val="10"/>
        <color theme="0" tint="-0.89996032593768116"/>
        <rFont val="Arial"/>
        <family val="2"/>
      </rPr>
      <t xml:space="preserve">Acc.     </t>
    </r>
    <r>
      <rPr>
        <b/>
        <sz val="10"/>
        <color indexed="8"/>
        <rFont val="宋体"/>
        <family val="3"/>
        <charset val="134"/>
      </rPr>
      <t>附</t>
    </r>
    <r>
      <rPr>
        <b/>
        <sz val="10"/>
        <color indexed="8"/>
        <rFont val="Arial"/>
        <family val="2"/>
      </rPr>
      <t xml:space="preserve">  </t>
    </r>
    <r>
      <rPr>
        <b/>
        <sz val="10"/>
        <color indexed="8"/>
        <rFont val="宋体"/>
        <family val="3"/>
        <charset val="134"/>
      </rPr>
      <t>件</t>
    </r>
  </si>
  <si>
    <r>
      <rPr>
        <b/>
        <sz val="10"/>
        <color indexed="8"/>
        <rFont val="宋体"/>
        <family val="3"/>
        <charset val="134"/>
      </rPr>
      <t>定位器</t>
    </r>
  </si>
  <si>
    <r>
      <rPr>
        <b/>
        <sz val="10"/>
        <color indexed="10"/>
        <rFont val="宋体"/>
        <family val="3"/>
        <charset val="134"/>
      </rPr>
      <t>价格</t>
    </r>
  </si>
  <si>
    <r>
      <rPr>
        <b/>
        <sz val="10"/>
        <color indexed="8"/>
        <rFont val="宋体"/>
        <family val="3"/>
        <charset val="134"/>
      </rPr>
      <t>过滤减压阀</t>
    </r>
  </si>
  <si>
    <r>
      <rPr>
        <b/>
        <sz val="10"/>
        <color indexed="8"/>
        <rFont val="宋体"/>
        <family val="3"/>
        <charset val="134"/>
      </rPr>
      <t>电磁阀</t>
    </r>
  </si>
  <si>
    <r>
      <rPr>
        <b/>
        <sz val="10"/>
        <color indexed="8"/>
        <rFont val="宋体"/>
        <family val="3"/>
        <charset val="134"/>
      </rPr>
      <t>限位开关</t>
    </r>
  </si>
  <si>
    <r>
      <rPr>
        <b/>
        <sz val="10"/>
        <color indexed="8"/>
        <rFont val="宋体"/>
        <family val="3"/>
        <charset val="134"/>
      </rPr>
      <t>增速器</t>
    </r>
  </si>
  <si>
    <r>
      <rPr>
        <b/>
        <sz val="10"/>
        <color indexed="8"/>
        <rFont val="宋体"/>
        <family val="3"/>
        <charset val="134"/>
      </rPr>
      <t>气控阀</t>
    </r>
    <r>
      <rPr>
        <b/>
        <sz val="10"/>
        <color indexed="8"/>
        <rFont val="Arial"/>
        <family val="2"/>
      </rPr>
      <t>1</t>
    </r>
  </si>
  <si>
    <r>
      <rPr>
        <b/>
        <sz val="10"/>
        <color indexed="8"/>
        <rFont val="宋体"/>
        <family val="3"/>
        <charset val="134"/>
      </rPr>
      <t>气控阀</t>
    </r>
    <r>
      <rPr>
        <b/>
        <sz val="10"/>
        <color indexed="8"/>
        <rFont val="Arial"/>
        <family val="2"/>
      </rPr>
      <t>2</t>
    </r>
  </si>
  <si>
    <r>
      <rPr>
        <b/>
        <sz val="10"/>
        <color indexed="8"/>
        <rFont val="宋体"/>
        <family val="3"/>
        <charset val="134"/>
      </rPr>
      <t>气包</t>
    </r>
  </si>
  <si>
    <t>其他</t>
  </si>
  <si>
    <t>附加价</t>
  </si>
  <si>
    <t>总价</t>
  </si>
  <si>
    <t>Sub Total</t>
  </si>
  <si>
    <r>
      <rPr>
        <b/>
        <i/>
        <sz val="10"/>
        <color theme="0" tint="-0.89996032593768116"/>
        <rFont val="Arial"/>
        <family val="2"/>
      </rPr>
      <t xml:space="preserve"> </t>
    </r>
    <r>
      <rPr>
        <b/>
        <i/>
        <sz val="10"/>
        <color indexed="8"/>
        <rFont val="宋体"/>
        <family val="3"/>
        <charset val="134"/>
      </rPr>
      <t>合</t>
    </r>
    <r>
      <rPr>
        <b/>
        <i/>
        <sz val="10"/>
        <color indexed="8"/>
        <rFont val="Arial"/>
        <family val="2"/>
      </rPr>
      <t xml:space="preserve">   </t>
    </r>
    <r>
      <rPr>
        <b/>
        <i/>
        <sz val="10"/>
        <color indexed="8"/>
        <rFont val="宋体"/>
        <family val="3"/>
        <charset val="134"/>
      </rPr>
      <t>计</t>
    </r>
  </si>
  <si>
    <t>注：备件价格由销售自己定；</t>
  </si>
  <si>
    <r>
      <rPr>
        <b/>
        <sz val="11"/>
        <color theme="0" tint="-0.89996032593768116"/>
        <rFont val="宋体"/>
        <family val="3"/>
        <charset val="134"/>
      </rPr>
      <t>备件包括：</t>
    </r>
    <r>
      <rPr>
        <b/>
        <sz val="11"/>
        <color theme="0" tint="-0.89996032593768116"/>
        <rFont val="宋体"/>
        <family val="3"/>
        <charset val="134"/>
      </rPr>
      <t>填料密封垫片每种规格</t>
    </r>
    <r>
      <rPr>
        <b/>
        <sz val="11"/>
        <color theme="0" tint="-0.89996032593768116"/>
        <rFont val="Arial"/>
        <family val="2"/>
      </rPr>
      <t>1</t>
    </r>
    <r>
      <rPr>
        <b/>
        <sz val="11"/>
        <color theme="0" tint="-0.89996032593768116"/>
        <rFont val="宋体"/>
        <family val="3"/>
        <charset val="134"/>
      </rPr>
      <t>套，执行机构密封圈每种规格</t>
    </r>
    <r>
      <rPr>
        <b/>
        <sz val="11"/>
        <color theme="0" tint="-0.89996032593768116"/>
        <rFont val="Arial"/>
        <family val="2"/>
      </rPr>
      <t>1</t>
    </r>
    <r>
      <rPr>
        <b/>
        <sz val="11"/>
        <color theme="0" tint="-0.89996032593768116"/>
        <rFont val="宋体"/>
        <family val="3"/>
        <charset val="134"/>
      </rPr>
      <t>套。</t>
    </r>
  </si>
  <si>
    <t>江苏神通阀门
股份有限公司</t>
  </si>
  <si>
    <r>
      <rPr>
        <sz val="9"/>
        <color indexed="8"/>
        <rFont val="微软雅黑"/>
        <family val="2"/>
        <charset val="134"/>
      </rPr>
      <t>项目</t>
    </r>
  </si>
  <si>
    <r>
      <rPr>
        <sz val="9"/>
        <color indexed="8"/>
        <rFont val="微软雅黑"/>
        <family val="2"/>
        <charset val="134"/>
      </rPr>
      <t>数据表</t>
    </r>
  </si>
  <si>
    <t>/</t>
  </si>
  <si>
    <r>
      <rPr>
        <sz val="9"/>
        <color indexed="8"/>
        <rFont val="微软雅黑"/>
        <family val="2"/>
        <charset val="134"/>
      </rPr>
      <t>客户名称</t>
    </r>
  </si>
  <si>
    <r>
      <rPr>
        <sz val="9"/>
        <color indexed="8"/>
        <rFont val="微软雅黑"/>
        <family val="2"/>
        <charset val="134"/>
      </rPr>
      <t>规格书编号</t>
    </r>
  </si>
  <si>
    <r>
      <rPr>
        <sz val="9"/>
        <color indexed="8"/>
        <rFont val="微软雅黑"/>
        <family val="2"/>
        <charset val="134"/>
      </rPr>
      <t>订单号</t>
    </r>
  </si>
  <si>
    <r>
      <rPr>
        <sz val="9"/>
        <color indexed="8"/>
        <rFont val="微软雅黑"/>
        <family val="2"/>
        <charset val="134"/>
      </rPr>
      <t>位号</t>
    </r>
  </si>
  <si>
    <r>
      <rPr>
        <sz val="9"/>
        <color indexed="8"/>
        <rFont val="微软雅黑"/>
        <family val="2"/>
        <charset val="134"/>
      </rPr>
      <t>询价单号</t>
    </r>
  </si>
  <si>
    <t>REV</t>
  </si>
  <si>
    <r>
      <rPr>
        <sz val="9"/>
        <color indexed="8"/>
        <rFont val="微软雅黑"/>
        <family val="2"/>
        <charset val="134"/>
      </rPr>
      <t>日期</t>
    </r>
  </si>
  <si>
    <r>
      <rPr>
        <sz val="9"/>
        <color indexed="8"/>
        <rFont val="微软雅黑"/>
        <family val="2"/>
        <charset val="134"/>
      </rPr>
      <t>产品编号</t>
    </r>
  </si>
  <si>
    <r>
      <rPr>
        <sz val="9"/>
        <color indexed="8"/>
        <rFont val="微软雅黑"/>
        <family val="2"/>
        <charset val="134"/>
      </rPr>
      <t>用途</t>
    </r>
  </si>
  <si>
    <r>
      <rPr>
        <sz val="9"/>
        <color indexed="8"/>
        <rFont val="微软雅黑"/>
        <family val="2"/>
        <charset val="134"/>
      </rPr>
      <t>数量</t>
    </r>
  </si>
  <si>
    <r>
      <rPr>
        <b/>
        <sz val="9"/>
        <color indexed="8"/>
        <rFont val="微软雅黑"/>
        <family val="2"/>
        <charset val="134"/>
      </rPr>
      <t>工艺参数</t>
    </r>
  </si>
  <si>
    <r>
      <rPr>
        <sz val="9"/>
        <color indexed="8"/>
        <rFont val="微软雅黑"/>
        <family val="2"/>
        <charset val="134"/>
      </rPr>
      <t>介质名称</t>
    </r>
  </si>
  <si>
    <r>
      <rPr>
        <sz val="9"/>
        <color indexed="8"/>
        <rFont val="微软雅黑"/>
        <family val="2"/>
        <charset val="134"/>
      </rPr>
      <t>临界压力</t>
    </r>
    <r>
      <rPr>
        <sz val="9"/>
        <color indexed="8"/>
        <rFont val="Arial Narrow"/>
        <family val="2"/>
      </rPr>
      <t>,Pc</t>
    </r>
  </si>
  <si>
    <t>barA</t>
  </si>
  <si>
    <r>
      <rPr>
        <sz val="9"/>
        <color indexed="8"/>
        <rFont val="微软雅黑"/>
        <family val="2"/>
        <charset val="134"/>
      </rPr>
      <t>临界温度</t>
    </r>
    <r>
      <rPr>
        <sz val="9"/>
        <color indexed="8"/>
        <rFont val="Arial Narrow"/>
        <family val="2"/>
      </rPr>
      <t>, Tc</t>
    </r>
  </si>
  <si>
    <t>°C</t>
  </si>
  <si>
    <r>
      <rPr>
        <sz val="9"/>
        <color indexed="8"/>
        <rFont val="微软雅黑"/>
        <family val="2"/>
        <charset val="134"/>
      </rPr>
      <t>单位</t>
    </r>
  </si>
  <si>
    <r>
      <rPr>
        <b/>
        <sz val="9"/>
        <color indexed="8"/>
        <rFont val="微软雅黑"/>
        <family val="2"/>
        <charset val="134"/>
      </rPr>
      <t>工况</t>
    </r>
    <r>
      <rPr>
        <b/>
        <sz val="9"/>
        <color indexed="8"/>
        <rFont val="Arial Narrow"/>
        <family val="2"/>
      </rPr>
      <t>1</t>
    </r>
  </si>
  <si>
    <r>
      <rPr>
        <b/>
        <sz val="9"/>
        <color indexed="8"/>
        <rFont val="微软雅黑"/>
        <family val="2"/>
        <charset val="134"/>
      </rPr>
      <t>工况</t>
    </r>
    <r>
      <rPr>
        <b/>
        <sz val="9"/>
        <color indexed="8"/>
        <rFont val="Arial Narrow"/>
        <family val="2"/>
      </rPr>
      <t>2</t>
    </r>
  </si>
  <si>
    <r>
      <rPr>
        <b/>
        <sz val="9"/>
        <color indexed="8"/>
        <rFont val="微软雅黑"/>
        <family val="2"/>
        <charset val="134"/>
      </rPr>
      <t>工况</t>
    </r>
    <r>
      <rPr>
        <b/>
        <sz val="9"/>
        <color indexed="8"/>
        <rFont val="Arial Narrow"/>
        <family val="2"/>
      </rPr>
      <t>3</t>
    </r>
  </si>
  <si>
    <r>
      <rPr>
        <b/>
        <sz val="9"/>
        <color indexed="8"/>
        <rFont val="微软雅黑"/>
        <family val="2"/>
        <charset val="134"/>
      </rPr>
      <t>工况</t>
    </r>
    <r>
      <rPr>
        <b/>
        <sz val="9"/>
        <color indexed="8"/>
        <rFont val="Arial Narrow"/>
        <family val="2"/>
      </rPr>
      <t>4</t>
    </r>
  </si>
  <si>
    <r>
      <rPr>
        <b/>
        <sz val="9"/>
        <color indexed="8"/>
        <rFont val="微软雅黑"/>
        <family val="2"/>
        <charset val="134"/>
      </rPr>
      <t>工况</t>
    </r>
    <r>
      <rPr>
        <b/>
        <sz val="9"/>
        <color indexed="8"/>
        <rFont val="Arial Narrow"/>
        <family val="2"/>
      </rPr>
      <t>5</t>
    </r>
  </si>
  <si>
    <r>
      <rPr>
        <sz val="9"/>
        <color indexed="8"/>
        <rFont val="微软雅黑"/>
        <family val="2"/>
        <charset val="134"/>
      </rPr>
      <t>流量</t>
    </r>
  </si>
  <si>
    <r>
      <rPr>
        <sz val="9"/>
        <color indexed="8"/>
        <rFont val="微软雅黑"/>
        <family val="2"/>
        <charset val="134"/>
      </rPr>
      <t>阀前压力</t>
    </r>
  </si>
  <si>
    <r>
      <rPr>
        <sz val="9"/>
        <color indexed="8"/>
        <rFont val="微软雅黑"/>
        <family val="2"/>
        <charset val="134"/>
      </rPr>
      <t>阀后压力</t>
    </r>
  </si>
  <si>
    <r>
      <rPr>
        <sz val="9"/>
        <color indexed="8"/>
        <rFont val="微软雅黑"/>
        <family val="2"/>
        <charset val="134"/>
      </rPr>
      <t>阀前温度</t>
    </r>
  </si>
  <si>
    <r>
      <rPr>
        <sz val="9"/>
        <color indexed="8"/>
        <rFont val="微软雅黑"/>
        <family val="2"/>
        <charset val="134"/>
      </rPr>
      <t>密度</t>
    </r>
  </si>
  <si>
    <r>
      <rPr>
        <sz val="9"/>
        <color indexed="8"/>
        <rFont val="微软雅黑"/>
        <family val="2"/>
        <charset val="134"/>
      </rPr>
      <t>比热比</t>
    </r>
    <r>
      <rPr>
        <sz val="9"/>
        <color indexed="8"/>
        <rFont val="Arial Narrow"/>
        <family val="2"/>
      </rPr>
      <t xml:space="preserve"> </t>
    </r>
  </si>
  <si>
    <t/>
  </si>
  <si>
    <r>
      <rPr>
        <sz val="9"/>
        <color indexed="8"/>
        <rFont val="微软雅黑"/>
        <family val="2"/>
        <charset val="134"/>
      </rPr>
      <t>压缩系数</t>
    </r>
  </si>
  <si>
    <r>
      <rPr>
        <sz val="9"/>
        <color indexed="8"/>
        <rFont val="微软雅黑"/>
        <family val="2"/>
        <charset val="134"/>
      </rPr>
      <t>流通能力系数</t>
    </r>
  </si>
  <si>
    <r>
      <rPr>
        <sz val="9"/>
        <color indexed="8"/>
        <rFont val="微软雅黑"/>
        <family val="2"/>
        <charset val="134"/>
      </rPr>
      <t>开度</t>
    </r>
  </si>
  <si>
    <t>%</t>
  </si>
  <si>
    <r>
      <rPr>
        <sz val="9"/>
        <color indexed="8"/>
        <rFont val="微软雅黑"/>
        <family val="2"/>
        <charset val="134"/>
      </rPr>
      <t>噪音等级</t>
    </r>
  </si>
  <si>
    <t>&lt;dBA</t>
  </si>
  <si>
    <t>流速</t>
  </si>
  <si>
    <r>
      <rPr>
        <b/>
        <sz val="9"/>
        <color indexed="8"/>
        <rFont val="微软雅黑"/>
        <family val="2"/>
        <charset val="134"/>
      </rPr>
      <t>管道</t>
    </r>
  </si>
  <si>
    <r>
      <rPr>
        <b/>
        <sz val="9"/>
        <color indexed="8"/>
        <rFont val="微软雅黑"/>
        <family val="2"/>
        <charset val="134"/>
      </rPr>
      <t>阀前</t>
    </r>
  </si>
  <si>
    <r>
      <rPr>
        <b/>
        <sz val="9"/>
        <color indexed="8"/>
        <rFont val="微软雅黑"/>
        <family val="2"/>
        <charset val="134"/>
      </rPr>
      <t>阀后</t>
    </r>
  </si>
  <si>
    <r>
      <rPr>
        <b/>
        <sz val="9"/>
        <color indexed="8"/>
        <rFont val="微软雅黑"/>
        <family val="2"/>
        <charset val="134"/>
      </rPr>
      <t>执行机构</t>
    </r>
  </si>
  <si>
    <r>
      <rPr>
        <sz val="9"/>
        <color indexed="8"/>
        <rFont val="微软雅黑"/>
        <family val="2"/>
        <charset val="134"/>
      </rPr>
      <t>类型</t>
    </r>
  </si>
  <si>
    <r>
      <rPr>
        <sz val="9"/>
        <color indexed="8"/>
        <rFont val="微软雅黑"/>
        <family val="2"/>
        <charset val="134"/>
      </rPr>
      <t>管道尺寸</t>
    </r>
    <r>
      <rPr>
        <sz val="9"/>
        <color indexed="8"/>
        <rFont val="Arial Narrow"/>
        <family val="2"/>
      </rPr>
      <t>/Sch</t>
    </r>
  </si>
  <si>
    <r>
      <rPr>
        <sz val="9"/>
        <color indexed="8"/>
        <rFont val="微软雅黑"/>
        <family val="2"/>
        <charset val="134"/>
      </rPr>
      <t>管道材质</t>
    </r>
  </si>
  <si>
    <t>弹簧范围</t>
  </si>
  <si>
    <r>
      <rPr>
        <b/>
        <sz val="9"/>
        <color indexed="8"/>
        <rFont val="微软雅黑"/>
        <family val="2"/>
        <charset val="134"/>
      </rPr>
      <t>阀体</t>
    </r>
    <r>
      <rPr>
        <b/>
        <sz val="9"/>
        <color indexed="8"/>
        <rFont val="Arial Narrow"/>
        <family val="2"/>
      </rPr>
      <t>/</t>
    </r>
    <r>
      <rPr>
        <b/>
        <sz val="9"/>
        <color indexed="8"/>
        <rFont val="微软雅黑"/>
        <family val="2"/>
        <charset val="134"/>
      </rPr>
      <t>阀盖</t>
    </r>
  </si>
  <si>
    <t>阀门口径</t>
  </si>
  <si>
    <r>
      <rPr>
        <sz val="9"/>
        <color indexed="8"/>
        <rFont val="微软雅黑"/>
        <family val="2"/>
        <charset val="134"/>
      </rPr>
      <t>故障安全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复位装置</t>
    </r>
  </si>
  <si>
    <r>
      <rPr>
        <sz val="9"/>
        <color indexed="8"/>
        <rFont val="微软雅黑"/>
        <family val="2"/>
        <charset val="134"/>
      </rPr>
      <t>设计压力</t>
    </r>
  </si>
  <si>
    <r>
      <rPr>
        <sz val="9"/>
        <color indexed="8"/>
        <rFont val="微软雅黑"/>
        <family val="2"/>
        <charset val="134"/>
      </rPr>
      <t>动力源</t>
    </r>
  </si>
  <si>
    <r>
      <rPr>
        <sz val="9"/>
        <color indexed="8"/>
        <rFont val="微软雅黑"/>
        <family val="2"/>
        <charset val="134"/>
      </rPr>
      <t>设计温度</t>
    </r>
  </si>
  <si>
    <r>
      <rPr>
        <sz val="9"/>
        <color indexed="8"/>
        <rFont val="微软雅黑"/>
        <family val="2"/>
        <charset val="134"/>
      </rPr>
      <t>供给</t>
    </r>
    <r>
      <rPr>
        <sz val="9"/>
        <color indexed="8"/>
        <rFont val="Arial Narrow"/>
        <family val="2"/>
      </rPr>
      <t xml:space="preserve"> </t>
    </r>
    <r>
      <rPr>
        <sz val="9"/>
        <color indexed="8"/>
        <rFont val="微软雅黑"/>
        <family val="2"/>
        <charset val="134"/>
      </rPr>
      <t>最大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最小</t>
    </r>
  </si>
  <si>
    <r>
      <rPr>
        <sz val="9"/>
        <color indexed="8"/>
        <rFont val="微软雅黑"/>
        <family val="2"/>
        <charset val="134"/>
      </rPr>
      <t>阀门等级</t>
    </r>
  </si>
  <si>
    <r>
      <rPr>
        <sz val="9"/>
        <color indexed="8"/>
        <rFont val="微软雅黑"/>
        <family val="2"/>
        <charset val="134"/>
      </rPr>
      <t>手轮类型</t>
    </r>
  </si>
  <si>
    <t>连接形状</t>
  </si>
  <si>
    <r>
      <rPr>
        <sz val="9"/>
        <color indexed="8"/>
        <rFont val="微软雅黑"/>
        <family val="2"/>
        <charset val="134"/>
      </rPr>
      <t>接管附件</t>
    </r>
  </si>
  <si>
    <r>
      <rPr>
        <b/>
        <sz val="9"/>
        <color indexed="8"/>
        <rFont val="微软雅黑"/>
        <family val="2"/>
        <charset val="134"/>
      </rPr>
      <t>定位器</t>
    </r>
  </si>
  <si>
    <r>
      <rPr>
        <sz val="9"/>
        <color indexed="8"/>
        <rFont val="微软雅黑"/>
        <family val="2"/>
        <charset val="134"/>
      </rPr>
      <t>输入信号</t>
    </r>
  </si>
  <si>
    <t>输出信号</t>
  </si>
  <si>
    <r>
      <rPr>
        <sz val="9"/>
        <color indexed="8"/>
        <rFont val="微软雅黑"/>
        <family val="2"/>
        <charset val="134"/>
      </rPr>
      <t>接管材质</t>
    </r>
  </si>
  <si>
    <t>阀门名称</t>
  </si>
  <si>
    <r>
      <rPr>
        <sz val="9"/>
        <color indexed="8"/>
        <rFont val="微软雅黑"/>
        <family val="2"/>
        <charset val="134"/>
      </rPr>
      <t>生产商</t>
    </r>
    <r>
      <rPr>
        <sz val="9"/>
        <color indexed="8"/>
        <rFont val="Arial Narrow"/>
        <family val="2"/>
      </rPr>
      <t>&amp;</t>
    </r>
    <r>
      <rPr>
        <sz val="9"/>
        <color indexed="8"/>
        <rFont val="微软雅黑"/>
        <family val="2"/>
        <charset val="134"/>
      </rPr>
      <t>型号</t>
    </r>
  </si>
  <si>
    <t>&amp;</t>
  </si>
  <si>
    <r>
      <rPr>
        <sz val="9"/>
        <color indexed="8"/>
        <rFont val="微软雅黑"/>
        <family val="2"/>
        <charset val="134"/>
      </rPr>
      <t>信号增加</t>
    </r>
  </si>
  <si>
    <r>
      <rPr>
        <sz val="9"/>
        <color indexed="8"/>
        <rFont val="微软雅黑"/>
        <family val="2"/>
        <charset val="134"/>
      </rPr>
      <t>阀体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阀盖材质</t>
    </r>
  </si>
  <si>
    <r>
      <rPr>
        <sz val="9"/>
        <color indexed="8"/>
        <rFont val="微软雅黑"/>
        <family val="2"/>
        <charset val="134"/>
      </rPr>
      <t>压力表</t>
    </r>
  </si>
  <si>
    <r>
      <rPr>
        <sz val="9"/>
        <color indexed="8"/>
        <rFont val="微软雅黑"/>
        <family val="2"/>
        <charset val="134"/>
      </rPr>
      <t>旁路</t>
    </r>
  </si>
  <si>
    <t>夹套类型</t>
  </si>
  <si>
    <r>
      <rPr>
        <sz val="9"/>
        <color indexed="8"/>
        <rFont val="微软雅黑"/>
        <family val="2"/>
        <charset val="134"/>
      </rPr>
      <t>控制特性</t>
    </r>
  </si>
  <si>
    <r>
      <rPr>
        <sz val="9"/>
        <color indexed="8"/>
        <rFont val="微软雅黑"/>
        <family val="2"/>
        <charset val="134"/>
      </rPr>
      <t>流向</t>
    </r>
  </si>
  <si>
    <r>
      <rPr>
        <sz val="9"/>
        <color indexed="8"/>
        <rFont val="微软雅黑"/>
        <family val="2"/>
        <charset val="134"/>
      </rPr>
      <t>阀盖形式</t>
    </r>
  </si>
  <si>
    <r>
      <rPr>
        <b/>
        <sz val="9"/>
        <color indexed="8"/>
        <rFont val="微软雅黑"/>
        <family val="2"/>
        <charset val="134"/>
      </rPr>
      <t>开关</t>
    </r>
  </si>
  <si>
    <r>
      <rPr>
        <sz val="9"/>
        <color indexed="8"/>
        <rFont val="微软雅黑"/>
        <family val="2"/>
        <charset val="134"/>
      </rPr>
      <t>填料类型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材质</t>
    </r>
  </si>
  <si>
    <r>
      <rPr>
        <sz val="9"/>
        <color indexed="8"/>
        <rFont val="微软雅黑"/>
        <family val="2"/>
        <charset val="134"/>
      </rPr>
      <t>端子数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触点类型</t>
    </r>
  </si>
  <si>
    <r>
      <rPr>
        <sz val="9"/>
        <color indexed="8"/>
        <rFont val="微软雅黑"/>
        <family val="2"/>
        <charset val="134"/>
      </rPr>
      <t>降压级数</t>
    </r>
  </si>
  <si>
    <r>
      <rPr>
        <sz val="9"/>
        <color indexed="8"/>
        <rFont val="微软雅黑"/>
        <family val="2"/>
        <charset val="134"/>
      </rPr>
      <t>反馈点</t>
    </r>
  </si>
  <si>
    <r>
      <rPr>
        <sz val="9"/>
        <color indexed="8"/>
        <rFont val="微软雅黑"/>
        <family val="2"/>
        <charset val="134"/>
      </rPr>
      <t>阀芯尺寸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行程</t>
    </r>
  </si>
  <si>
    <r>
      <rPr>
        <sz val="9"/>
        <color indexed="8"/>
        <rFont val="微软雅黑"/>
        <family val="2"/>
        <charset val="134"/>
      </rPr>
      <t>流量特性</t>
    </r>
  </si>
  <si>
    <r>
      <rPr>
        <b/>
        <sz val="9"/>
        <color indexed="8"/>
        <rFont val="微软雅黑"/>
        <family val="2"/>
        <charset val="134"/>
      </rPr>
      <t>线性</t>
    </r>
  </si>
  <si>
    <r>
      <rPr>
        <b/>
        <sz val="9"/>
        <color indexed="8"/>
        <rFont val="微软雅黑"/>
        <family val="2"/>
        <charset val="134"/>
      </rPr>
      <t>气源供给</t>
    </r>
  </si>
  <si>
    <r>
      <rPr>
        <sz val="9"/>
        <color indexed="8"/>
        <rFont val="微软雅黑"/>
        <family val="2"/>
        <charset val="134"/>
      </rPr>
      <t>阀内件形式</t>
    </r>
  </si>
  <si>
    <r>
      <rPr>
        <sz val="9"/>
        <color indexed="8"/>
        <rFont val="微软雅黑"/>
        <family val="2"/>
        <charset val="134"/>
      </rPr>
      <t>设定压力</t>
    </r>
  </si>
  <si>
    <r>
      <rPr>
        <sz val="9"/>
        <color indexed="8"/>
        <rFont val="微软雅黑"/>
        <family val="2"/>
        <charset val="134"/>
      </rPr>
      <t>过滤器</t>
    </r>
  </si>
  <si>
    <r>
      <rPr>
        <sz val="9"/>
        <color indexed="8"/>
        <rFont val="微软雅黑"/>
        <family val="2"/>
        <charset val="134"/>
      </rPr>
      <t>阀芯</t>
    </r>
    <r>
      <rPr>
        <sz val="9"/>
        <color indexed="8"/>
        <rFont val="Arial Narrow"/>
        <family val="2"/>
      </rPr>
      <t>(</t>
    </r>
    <r>
      <rPr>
        <sz val="9"/>
        <color indexed="8"/>
        <rFont val="微软雅黑"/>
        <family val="2"/>
        <charset val="134"/>
      </rPr>
      <t>球，阀板</t>
    </r>
    <r>
      <rPr>
        <sz val="9"/>
        <color indexed="8"/>
        <rFont val="Arial Narrow"/>
        <family val="2"/>
      </rPr>
      <t>)</t>
    </r>
    <r>
      <rPr>
        <sz val="9"/>
        <color indexed="8"/>
        <rFont val="微软雅黑"/>
        <family val="2"/>
        <charset val="134"/>
      </rPr>
      <t>材质</t>
    </r>
  </si>
  <si>
    <t>阀座/密封环材质</t>
  </si>
  <si>
    <r>
      <rPr>
        <b/>
        <sz val="9"/>
        <color indexed="8"/>
        <rFont val="微软雅黑"/>
        <family val="2"/>
        <charset val="134"/>
      </rPr>
      <t>性能要求</t>
    </r>
  </si>
  <si>
    <r>
      <rPr>
        <sz val="9"/>
        <color indexed="8"/>
        <rFont val="微软雅黑"/>
        <family val="2"/>
        <charset val="134"/>
      </rPr>
      <t>泄漏等级</t>
    </r>
  </si>
  <si>
    <r>
      <rPr>
        <sz val="9"/>
        <color indexed="8"/>
        <rFont val="微软雅黑"/>
        <family val="2"/>
        <charset val="134"/>
      </rPr>
      <t>套筒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导向套</t>
    </r>
    <r>
      <rPr>
        <sz val="9"/>
        <color indexed="8"/>
        <rFont val="Arial Narrow"/>
        <family val="2"/>
      </rPr>
      <t>/</t>
    </r>
    <r>
      <rPr>
        <sz val="9"/>
        <color indexed="8"/>
        <rFont val="微软雅黑"/>
        <family val="2"/>
        <charset val="134"/>
      </rPr>
      <t>轴承材质</t>
    </r>
  </si>
  <si>
    <t>S</t>
  </si>
  <si>
    <t>≤</t>
  </si>
  <si>
    <r>
      <rPr>
        <sz val="9"/>
        <color indexed="8"/>
        <rFont val="微软雅黑"/>
        <family val="2"/>
        <charset val="134"/>
      </rPr>
      <t>阀杆材质</t>
    </r>
  </si>
  <si>
    <r>
      <rPr>
        <sz val="9"/>
        <color indexed="8"/>
        <rFont val="微软雅黑"/>
        <family val="2"/>
        <charset val="134"/>
      </rPr>
      <t>关闭时间</t>
    </r>
  </si>
  <si>
    <r>
      <rPr>
        <b/>
        <sz val="9"/>
        <color indexed="8"/>
        <rFont val="微软雅黑"/>
        <family val="2"/>
        <charset val="134"/>
      </rPr>
      <t>≤</t>
    </r>
  </si>
  <si>
    <t>平衡密封环</t>
  </si>
  <si>
    <t>电磁阀</t>
  </si>
  <si>
    <t>附件&amp;附加规格</t>
  </si>
  <si>
    <r>
      <rPr>
        <sz val="9"/>
        <color indexed="8"/>
        <rFont val="微软雅黑"/>
        <family val="2"/>
        <charset val="134"/>
      </rPr>
      <t>防爆等级</t>
    </r>
  </si>
  <si>
    <t>NEPSI</t>
  </si>
  <si>
    <t>供电电源</t>
  </si>
  <si>
    <t>气包</t>
  </si>
  <si>
    <t>气控阀 1</t>
  </si>
  <si>
    <t>气控阀 2</t>
  </si>
  <si>
    <r>
      <rPr>
        <sz val="9"/>
        <color indexed="8"/>
        <rFont val="微软雅黑"/>
        <family val="2"/>
        <charset val="134"/>
      </rPr>
      <t>气动放大器</t>
    </r>
  </si>
  <si>
    <t>特殊要求</t>
  </si>
  <si>
    <t>Rev</t>
  </si>
  <si>
    <r>
      <rPr>
        <sz val="9"/>
        <color indexed="8"/>
        <rFont val="微软雅黑"/>
        <family val="2"/>
        <charset val="134"/>
      </rPr>
      <t>描述</t>
    </r>
  </si>
  <si>
    <r>
      <rPr>
        <sz val="9"/>
        <color indexed="8"/>
        <rFont val="微软雅黑"/>
        <family val="2"/>
        <charset val="134"/>
      </rPr>
      <t>编制</t>
    </r>
  </si>
  <si>
    <t>App</t>
  </si>
  <si>
    <t>需手动更改</t>
  </si>
  <si>
    <t>Cv</t>
  </si>
  <si>
    <t>KW</t>
  </si>
  <si>
    <r>
      <rPr>
        <sz val="9"/>
        <color indexed="8"/>
        <rFont val="微软雅黑"/>
        <family val="2"/>
        <charset val="134"/>
      </rPr>
      <t>全行程时间</t>
    </r>
    <r>
      <rPr>
        <sz val="9"/>
        <color indexed="8"/>
        <rFont val="Arial Narrow"/>
        <family val="2"/>
      </rPr>
      <t>S</t>
    </r>
  </si>
  <si>
    <r>
      <rPr>
        <sz val="9"/>
        <color indexed="8"/>
        <rFont val="微软雅黑"/>
        <family val="2"/>
        <charset val="134"/>
      </rPr>
      <t>报警信号</t>
    </r>
    <r>
      <rPr>
        <sz val="9"/>
        <color indexed="8"/>
        <rFont val="Arial Narrow"/>
        <family val="2"/>
      </rPr>
      <t xml:space="preserve"> </t>
    </r>
  </si>
  <si>
    <r>
      <rPr>
        <sz val="9"/>
        <color indexed="8"/>
        <rFont val="微软雅黑"/>
        <family val="2"/>
        <charset val="134"/>
      </rPr>
      <t>扭矩开关</t>
    </r>
    <r>
      <rPr>
        <sz val="9"/>
        <color indexed="8"/>
        <rFont val="Arial Narrow"/>
        <family val="2"/>
      </rPr>
      <t xml:space="preserve"> </t>
    </r>
  </si>
  <si>
    <r>
      <rPr>
        <sz val="9"/>
        <color indexed="8"/>
        <rFont val="Arial Narrow"/>
        <family val="2"/>
      </rPr>
      <t>Cv</t>
    </r>
    <r>
      <rPr>
        <sz val="9"/>
        <color indexed="8"/>
        <rFont val="微软雅黑"/>
        <family val="2"/>
        <charset val="134"/>
      </rPr>
      <t>值</t>
    </r>
  </si>
  <si>
    <t>附加规格</t>
  </si>
  <si>
    <t>CONTROL VALVE DATA SHEET</t>
  </si>
  <si>
    <t>PROJECT</t>
  </si>
  <si>
    <t>PAKISTAN KARACHI K2/K3 NPP PROJECT</t>
  </si>
  <si>
    <t>DATA SHEET</t>
  </si>
  <si>
    <t>OF</t>
  </si>
  <si>
    <t>CUSTOMER</t>
  </si>
  <si>
    <t>EAST CHINA ELECTRIC POWER DESIGN INSTIUTE CO.,LTD.</t>
  </si>
  <si>
    <t>SPEC</t>
  </si>
  <si>
    <t>P.O.</t>
  </si>
  <si>
    <t>TAG #</t>
  </si>
  <si>
    <r>
      <rPr>
        <b/>
        <sz val="9"/>
        <color indexed="8"/>
        <rFont val="Arial Narrow"/>
        <family val="2"/>
      </rPr>
      <t>2</t>
    </r>
    <r>
      <rPr>
        <b/>
        <sz val="9"/>
        <color indexed="8"/>
        <rFont val="Arial Narrow"/>
        <family val="2"/>
      </rPr>
      <t>TFE022VD,3TFE022VD</t>
    </r>
  </si>
  <si>
    <t>INQUIRY</t>
  </si>
  <si>
    <t>DATE</t>
  </si>
  <si>
    <t>ITEM #</t>
  </si>
  <si>
    <t>PROPOSAL</t>
  </si>
  <si>
    <t>QTY</t>
  </si>
  <si>
    <t>SERVICE</t>
  </si>
  <si>
    <t>Control Valve</t>
  </si>
  <si>
    <t>DWG</t>
  </si>
  <si>
    <t>SERVICE CONDITIONS</t>
  </si>
  <si>
    <t>Fluid</t>
  </si>
  <si>
    <t>Water/Steam</t>
  </si>
  <si>
    <t>Crit Press, Pc</t>
  </si>
  <si>
    <t>Crit Temp, Tc</t>
  </si>
  <si>
    <t>deg C</t>
  </si>
  <si>
    <t>Units</t>
  </si>
  <si>
    <t>Cond.1</t>
  </si>
  <si>
    <t>Cond.2</t>
  </si>
  <si>
    <t>Cond.3</t>
  </si>
  <si>
    <t>Cond.4</t>
  </si>
  <si>
    <t>Cond.5</t>
  </si>
  <si>
    <t>Liquid Volume Flow Rate</t>
  </si>
  <si>
    <t>Inlet Pressure</t>
  </si>
  <si>
    <t>MPaA</t>
  </si>
  <si>
    <t>Outlet Pressure</t>
  </si>
  <si>
    <t>Inlet Temperature</t>
  </si>
  <si>
    <t>Inlet Density</t>
  </si>
  <si>
    <t>kg/m3</t>
  </si>
  <si>
    <t>Viscosity</t>
  </si>
  <si>
    <t>cP</t>
  </si>
  <si>
    <t>Vapor Pressure</t>
  </si>
  <si>
    <t>Flow Coefficient</t>
  </si>
  <si>
    <t>Travel</t>
  </si>
  <si>
    <t>Predicted SPL</t>
  </si>
  <si>
    <t xml:space="preserve">Shutoff DP </t>
  </si>
  <si>
    <t>LINE</t>
  </si>
  <si>
    <t>INLET</t>
  </si>
  <si>
    <t>OUTLET</t>
  </si>
  <si>
    <t>ACTUATOR</t>
  </si>
  <si>
    <t>Type</t>
  </si>
  <si>
    <t>Pneumatic Diaphragm</t>
  </si>
  <si>
    <t>Pipe Size / Sch</t>
  </si>
  <si>
    <r>
      <rPr>
        <b/>
        <sz val="9"/>
        <color indexed="8"/>
        <rFont val="Arial Narrow"/>
        <family val="2"/>
      </rPr>
      <t>1</t>
    </r>
    <r>
      <rPr>
        <b/>
        <sz val="9"/>
        <color indexed="8"/>
        <rFont val="Arial Narrow"/>
        <family val="2"/>
      </rPr>
      <t>14*5</t>
    </r>
  </si>
  <si>
    <t>Mfr &amp; Model</t>
  </si>
  <si>
    <t>SCORE</t>
  </si>
  <si>
    <t>D127LC-RS</t>
  </si>
  <si>
    <t>Pipe Material</t>
  </si>
  <si>
    <r>
      <rPr>
        <b/>
        <sz val="9"/>
        <color indexed="8"/>
        <rFont val="Arial Narrow"/>
        <family val="2"/>
      </rPr>
      <t>0</t>
    </r>
    <r>
      <rPr>
        <b/>
        <sz val="9"/>
        <color indexed="8"/>
        <rFont val="Arial Narrow"/>
        <family val="2"/>
      </rPr>
      <t>6Cr19Ni10</t>
    </r>
  </si>
  <si>
    <t>Size</t>
  </si>
  <si>
    <t>Eff Area</t>
  </si>
  <si>
    <t>Pipe Line Insulation</t>
  </si>
  <si>
    <t>Fail Pos / Pwr</t>
  </si>
  <si>
    <t>LOCK</t>
  </si>
  <si>
    <t>Springs</t>
  </si>
  <si>
    <t>VALVE BODY / BONNET</t>
  </si>
  <si>
    <t>Valve Size</t>
  </si>
  <si>
    <t>in.</t>
  </si>
  <si>
    <t>3"</t>
  </si>
  <si>
    <t>Supply Type</t>
  </si>
  <si>
    <t>Pneumatic</t>
  </si>
  <si>
    <t>Design Press</t>
  </si>
  <si>
    <t>Supply Max / Min</t>
  </si>
  <si>
    <t>kg/cm2G</t>
  </si>
  <si>
    <t>Min/Max Design T</t>
  </si>
  <si>
    <t>Actuator Orientation</t>
  </si>
  <si>
    <t>Vertical Up</t>
  </si>
  <si>
    <t>Rating(s)</t>
  </si>
  <si>
    <t>ASME</t>
  </si>
  <si>
    <t>Handwheel Type</t>
  </si>
  <si>
    <t>With</t>
  </si>
  <si>
    <t>Connections</t>
  </si>
  <si>
    <t>Shut-Off Pressure</t>
  </si>
  <si>
    <t>MPa</t>
  </si>
  <si>
    <t>End Extension</t>
  </si>
  <si>
    <t>POSITIONER</t>
  </si>
  <si>
    <t>Input Signal</t>
  </si>
  <si>
    <t>4 to 20 mA</t>
  </si>
  <si>
    <t>End Material</t>
  </si>
  <si>
    <t>Electro-Pneumatic</t>
  </si>
  <si>
    <t>Body Type</t>
  </si>
  <si>
    <t>Globe</t>
  </si>
  <si>
    <t>ShenTong Valve</t>
  </si>
  <si>
    <t>3"ST300C-150R</t>
  </si>
  <si>
    <t>Increasing Signal</t>
  </si>
  <si>
    <t>To Open the Valve</t>
  </si>
  <si>
    <t>Body/Bnt Mat'l</t>
  </si>
  <si>
    <r>
      <rPr>
        <b/>
        <sz val="9"/>
        <color indexed="8"/>
        <rFont val="Arial Narrow"/>
        <family val="2"/>
      </rPr>
      <t>A</t>
    </r>
    <r>
      <rPr>
        <b/>
        <sz val="9"/>
        <color indexed="8"/>
        <rFont val="Arial Narrow"/>
        <family val="2"/>
      </rPr>
      <t>351-CF8</t>
    </r>
  </si>
  <si>
    <t>A351-CF8</t>
  </si>
  <si>
    <t>Gauges</t>
  </si>
  <si>
    <t>Yes</t>
  </si>
  <si>
    <t>Bypass</t>
  </si>
  <si>
    <t>Flow Direction</t>
  </si>
  <si>
    <t>Flow to Close (FTC)</t>
  </si>
  <si>
    <t>Cam Characteristics</t>
  </si>
  <si>
    <t>Type of Bonnet</t>
  </si>
  <si>
    <t>Bolted-Standard</t>
  </si>
  <si>
    <t>Lube &amp; Iso Valve</t>
  </si>
  <si>
    <t>No</t>
  </si>
  <si>
    <t>Lube</t>
  </si>
  <si>
    <t>SWITCHES</t>
  </si>
  <si>
    <t>Touch-type</t>
  </si>
  <si>
    <t>Quantity</t>
  </si>
  <si>
    <t>Pkg Type / Mat'l</t>
  </si>
  <si>
    <t>Standard</t>
  </si>
  <si>
    <t>Teflon</t>
  </si>
  <si>
    <t>YAMATAKE</t>
  </si>
  <si>
    <t>1LS19-JL</t>
  </si>
  <si>
    <t>VALVE TRIM</t>
  </si>
  <si>
    <t>Ported cage</t>
  </si>
  <si>
    <t>Rating / Contact</t>
  </si>
  <si>
    <t>SPDT</t>
  </si>
  <si>
    <t>Number of Pressure Reducing Stages</t>
  </si>
  <si>
    <t>Actuation Points</t>
  </si>
  <si>
    <t>Nominal Size / Travel</t>
  </si>
  <si>
    <t>30mm</t>
  </si>
  <si>
    <t>Characteristic</t>
  </si>
  <si>
    <t>Equal %</t>
  </si>
  <si>
    <t>AIRSET</t>
  </si>
  <si>
    <t>AW30-N02B-2-X430</t>
  </si>
  <si>
    <t>Balanced/Unbalanced</t>
  </si>
  <si>
    <t>Balanced</t>
  </si>
  <si>
    <t>Set Pressure</t>
  </si>
  <si>
    <t>barG</t>
  </si>
  <si>
    <t>0~8.4</t>
  </si>
  <si>
    <t>Rated Cv</t>
  </si>
  <si>
    <t>XT</t>
  </si>
  <si>
    <t>Filter</t>
  </si>
  <si>
    <t>YES</t>
  </si>
  <si>
    <t>Plug / Ball /Disk Mat'l</t>
  </si>
  <si>
    <t>SUS316</t>
  </si>
  <si>
    <t>Seat Material</t>
  </si>
  <si>
    <t>TESTS</t>
  </si>
  <si>
    <t>Hydro Press.</t>
  </si>
  <si>
    <t>Cage / Stack / Guide Mat'l</t>
  </si>
  <si>
    <t>A351-CF8M/Hcr</t>
  </si>
  <si>
    <t>Seat Leakage</t>
  </si>
  <si>
    <t>ANSI/FCI Class IV</t>
  </si>
  <si>
    <t>Stem Material</t>
  </si>
  <si>
    <r>
      <rPr>
        <b/>
        <sz val="9"/>
        <color indexed="8"/>
        <rFont val="Arial Narrow"/>
        <family val="2"/>
      </rPr>
      <t>SUS316</t>
    </r>
    <r>
      <rPr>
        <b/>
        <sz val="9"/>
        <color indexed="8"/>
        <rFont val="Arial Narrow"/>
        <family val="2"/>
      </rPr>
      <t>/Hcr</t>
    </r>
  </si>
  <si>
    <t>Open Time(s)</t>
  </si>
  <si>
    <t>Close Time(s)</t>
  </si>
  <si>
    <t>SPECIAL/ACCESSORIES</t>
  </si>
  <si>
    <t>Elect. Cert.</t>
  </si>
  <si>
    <t>Position Feedback</t>
  </si>
  <si>
    <t>I-P Transducer</t>
  </si>
  <si>
    <t>Note</t>
  </si>
  <si>
    <t>Solenoid Valve(s)</t>
  </si>
  <si>
    <t>ASCO NTRFT8320G174VF 48VDC</t>
  </si>
  <si>
    <t>Lock Up Valve</t>
  </si>
  <si>
    <t xml:space="preserve">YTC YT-400SN3 </t>
  </si>
  <si>
    <t>Loss of electrical signal comparator</t>
  </si>
  <si>
    <t>FISHER DSC-18</t>
  </si>
  <si>
    <t>Date</t>
  </si>
  <si>
    <t>Description</t>
  </si>
  <si>
    <t>Orig</t>
  </si>
  <si>
    <t>调节阀一览表</t>
  </si>
  <si>
    <t>公称压力</t>
  </si>
  <si>
    <t>公称直径</t>
  </si>
  <si>
    <t>阀体材料</t>
  </si>
  <si>
    <t>阀芯材料</t>
  </si>
  <si>
    <t>填料</t>
  </si>
  <si>
    <t>阀门密封等级</t>
  </si>
  <si>
    <t>定位器型号</t>
  </si>
  <si>
    <t>计算推力</t>
  </si>
  <si>
    <t>执行机构推力</t>
  </si>
  <si>
    <t>系数</t>
  </si>
  <si>
    <t>拷贝后需填写阀芯数值</t>
  </si>
  <si>
    <t>只能识别流开和流闭</t>
  </si>
  <si>
    <t>阀门压力等级</t>
  </si>
  <si>
    <t>阀芯尺寸</t>
  </si>
  <si>
    <t>阀前压力</t>
  </si>
  <si>
    <t>阀后压力</t>
  </si>
  <si>
    <t>介质流向</t>
  </si>
  <si>
    <t>执行机构型号</t>
  </si>
  <si>
    <t>气源压力</t>
  </si>
  <si>
    <t>阀门类别</t>
  </si>
  <si>
    <t>公称压力范围</t>
  </si>
  <si>
    <t>阀杆直径</t>
  </si>
  <si>
    <t>出口压力</t>
  </si>
  <si>
    <t>&lt;=Class600</t>
  </si>
  <si>
    <t>江苏神通阀门股份有限公司</t>
  </si>
  <si>
    <t xml:space="preserve">  调节阀计算书</t>
  </si>
  <si>
    <t>CalcCV</t>
  </si>
  <si>
    <t>Customer 客户名称:</t>
  </si>
  <si>
    <r>
      <rPr>
        <sz val="12"/>
        <color theme="1"/>
        <rFont val="Times New Roman"/>
        <family val="1"/>
      </rPr>
      <t xml:space="preserve">Tag No. </t>
    </r>
    <r>
      <rPr>
        <sz val="12"/>
        <color indexed="8"/>
        <rFont val="宋体"/>
        <family val="3"/>
        <charset val="134"/>
      </rPr>
      <t>位号：</t>
    </r>
  </si>
  <si>
    <t>Project 项目名称:</t>
  </si>
  <si>
    <r>
      <rPr>
        <sz val="12"/>
        <color theme="1"/>
        <rFont val="Times New Roman"/>
        <family val="1"/>
      </rPr>
      <t xml:space="preserve">Item No. </t>
    </r>
    <r>
      <rPr>
        <sz val="12"/>
        <color indexed="8"/>
        <rFont val="宋体"/>
        <family val="3"/>
        <charset val="134"/>
      </rPr>
      <t>项目编号：</t>
    </r>
  </si>
  <si>
    <r>
      <rPr>
        <sz val="12"/>
        <color theme="1"/>
        <rFont val="Times New Roman"/>
        <family val="1"/>
      </rPr>
      <t xml:space="preserve">       Valve </t>
    </r>
    <r>
      <rPr>
        <sz val="12"/>
        <color indexed="8"/>
        <rFont val="宋体"/>
        <family val="3"/>
        <charset val="134"/>
      </rPr>
      <t>阀门类型</t>
    </r>
  </si>
  <si>
    <r>
      <rPr>
        <sz val="12"/>
        <color theme="1"/>
        <rFont val="Times New Roman"/>
        <family val="1"/>
      </rPr>
      <t xml:space="preserve">       Flow Dirct. </t>
    </r>
    <r>
      <rPr>
        <sz val="12"/>
        <color indexed="8"/>
        <rFont val="宋体"/>
        <family val="3"/>
        <charset val="134"/>
      </rPr>
      <t>流向</t>
    </r>
  </si>
  <si>
    <r>
      <rPr>
        <sz val="12"/>
        <color theme="1"/>
        <rFont val="Times New Roman"/>
        <family val="1"/>
      </rPr>
      <t xml:space="preserve">      Valve Chara.  </t>
    </r>
    <r>
      <rPr>
        <sz val="12"/>
        <color indexed="8"/>
        <rFont val="宋体"/>
        <family val="3"/>
        <charset val="134"/>
      </rPr>
      <t>流量特性</t>
    </r>
  </si>
  <si>
    <r>
      <rPr>
        <sz val="12"/>
        <color theme="1"/>
        <rFont val="Arial"/>
        <family val="2"/>
      </rPr>
      <t xml:space="preserve">Valve Size </t>
    </r>
    <r>
      <rPr>
        <sz val="12"/>
        <color indexed="8"/>
        <rFont val="宋体"/>
        <family val="3"/>
        <charset val="134"/>
      </rPr>
      <t>阀门口径：</t>
    </r>
  </si>
  <si>
    <r>
      <rPr>
        <sz val="12"/>
        <color theme="1"/>
        <rFont val="Arial"/>
        <family val="2"/>
      </rPr>
      <t xml:space="preserve">Plug Size </t>
    </r>
    <r>
      <rPr>
        <sz val="12"/>
        <color indexed="8"/>
        <rFont val="宋体"/>
        <family val="3"/>
        <charset val="134"/>
      </rPr>
      <t>阀芯尺寸：</t>
    </r>
  </si>
  <si>
    <r>
      <rPr>
        <sz val="12"/>
        <color theme="1"/>
        <rFont val="Times New Roman"/>
        <family val="1"/>
      </rPr>
      <t xml:space="preserve">Fluid Type </t>
    </r>
    <r>
      <rPr>
        <sz val="12"/>
        <color indexed="8"/>
        <rFont val="宋体"/>
        <family val="3"/>
        <charset val="134"/>
      </rPr>
      <t>介质类型</t>
    </r>
    <r>
      <rPr>
        <sz val="12"/>
        <color indexed="8"/>
        <rFont val="Times New Roman"/>
        <family val="1"/>
      </rPr>
      <t>:</t>
    </r>
  </si>
  <si>
    <r>
      <rPr>
        <sz val="12"/>
        <color theme="1"/>
        <rFont val="Times New Roman"/>
        <family val="1"/>
      </rPr>
      <t xml:space="preserve">Fluid Name </t>
    </r>
    <r>
      <rPr>
        <sz val="12"/>
        <color indexed="8"/>
        <rFont val="宋体"/>
        <family val="3"/>
        <charset val="134"/>
      </rPr>
      <t>介质名称</t>
    </r>
    <r>
      <rPr>
        <sz val="12"/>
        <color indexed="8"/>
        <rFont val="Times New Roman"/>
        <family val="1"/>
      </rPr>
      <t>:</t>
    </r>
  </si>
  <si>
    <r>
      <rPr>
        <sz val="12"/>
        <color theme="1"/>
        <rFont val="Times New Roman"/>
        <family val="1"/>
      </rPr>
      <t xml:space="preserve">Process Condition </t>
    </r>
    <r>
      <rPr>
        <sz val="12"/>
        <color indexed="8"/>
        <rFont val="宋体"/>
        <family val="3"/>
        <charset val="134"/>
      </rPr>
      <t>工艺条件</t>
    </r>
  </si>
  <si>
    <r>
      <rPr>
        <sz val="12"/>
        <color theme="1"/>
        <rFont val="Times New Roman"/>
        <family val="1"/>
      </rPr>
      <t xml:space="preserve">Unit </t>
    </r>
    <r>
      <rPr>
        <sz val="12"/>
        <color indexed="8"/>
        <rFont val="宋体"/>
        <family val="3"/>
        <charset val="134"/>
      </rPr>
      <t>单位</t>
    </r>
  </si>
  <si>
    <r>
      <rPr>
        <sz val="12"/>
        <color theme="1"/>
        <rFont val="Arial"/>
        <family val="2"/>
      </rPr>
      <t xml:space="preserve">Cond.1 </t>
    </r>
    <r>
      <rPr>
        <sz val="12"/>
        <color indexed="8"/>
        <rFont val="宋体"/>
        <family val="3"/>
        <charset val="134"/>
      </rPr>
      <t>条件</t>
    </r>
    <r>
      <rPr>
        <sz val="12"/>
        <color indexed="8"/>
        <rFont val="Arial"/>
        <family val="2"/>
      </rPr>
      <t>1</t>
    </r>
  </si>
  <si>
    <r>
      <rPr>
        <sz val="12"/>
        <color theme="1"/>
        <rFont val="Arial"/>
        <family val="2"/>
      </rPr>
      <t xml:space="preserve">Cond.2 </t>
    </r>
    <r>
      <rPr>
        <sz val="12"/>
        <color indexed="8"/>
        <rFont val="宋体"/>
        <family val="3"/>
        <charset val="134"/>
      </rPr>
      <t>条件</t>
    </r>
    <r>
      <rPr>
        <sz val="12"/>
        <color indexed="8"/>
        <rFont val="Arial"/>
        <family val="2"/>
      </rPr>
      <t>2</t>
    </r>
  </si>
  <si>
    <r>
      <rPr>
        <sz val="12"/>
        <color theme="1"/>
        <rFont val="Arial"/>
        <family val="2"/>
      </rPr>
      <t xml:space="preserve">Cond.3 </t>
    </r>
    <r>
      <rPr>
        <sz val="12"/>
        <color indexed="8"/>
        <rFont val="宋体"/>
        <family val="3"/>
        <charset val="134"/>
      </rPr>
      <t>条件</t>
    </r>
    <r>
      <rPr>
        <sz val="12"/>
        <color indexed="8"/>
        <rFont val="Arial"/>
        <family val="2"/>
      </rPr>
      <t>3</t>
    </r>
  </si>
  <si>
    <r>
      <rPr>
        <sz val="12"/>
        <color theme="1"/>
        <rFont val="Arial"/>
        <family val="2"/>
      </rPr>
      <t xml:space="preserve">Cond.4 </t>
    </r>
    <r>
      <rPr>
        <sz val="12"/>
        <color indexed="8"/>
        <rFont val="宋体"/>
        <family val="3"/>
        <charset val="134"/>
      </rPr>
      <t>条件</t>
    </r>
    <r>
      <rPr>
        <sz val="12"/>
        <color indexed="8"/>
        <rFont val="Arial"/>
        <family val="2"/>
      </rPr>
      <t>4</t>
    </r>
  </si>
  <si>
    <r>
      <rPr>
        <sz val="12"/>
        <color theme="1"/>
        <rFont val="Arial"/>
        <family val="2"/>
      </rPr>
      <t xml:space="preserve">Cond.5 </t>
    </r>
    <r>
      <rPr>
        <sz val="12"/>
        <color indexed="8"/>
        <rFont val="宋体"/>
        <family val="3"/>
        <charset val="134"/>
      </rPr>
      <t>条件</t>
    </r>
    <r>
      <rPr>
        <sz val="12"/>
        <color indexed="8"/>
        <rFont val="Arial"/>
        <family val="2"/>
      </rPr>
      <t>5</t>
    </r>
  </si>
  <si>
    <r>
      <rPr>
        <sz val="12"/>
        <color theme="1"/>
        <rFont val="Times New Roman"/>
        <family val="1"/>
      </rPr>
      <t xml:space="preserve">Flow Quantity </t>
    </r>
    <r>
      <rPr>
        <sz val="12"/>
        <color indexed="8"/>
        <rFont val="宋体"/>
        <family val="3"/>
        <charset val="134"/>
      </rPr>
      <t>质量流量</t>
    </r>
  </si>
  <si>
    <r>
      <rPr>
        <sz val="12"/>
        <color theme="1"/>
        <rFont val="Times New Roman"/>
        <family val="1"/>
      </rPr>
      <t xml:space="preserve">Inlet Pressure </t>
    </r>
    <r>
      <rPr>
        <sz val="12"/>
        <color indexed="8"/>
        <rFont val="宋体"/>
        <family val="3"/>
        <charset val="134"/>
      </rPr>
      <t>入口压力</t>
    </r>
  </si>
  <si>
    <r>
      <rPr>
        <sz val="12"/>
        <color theme="1"/>
        <rFont val="Times New Roman"/>
        <family val="1"/>
      </rPr>
      <t xml:space="preserve">Outlet Pressure </t>
    </r>
    <r>
      <rPr>
        <sz val="12"/>
        <color indexed="8"/>
        <rFont val="宋体"/>
        <family val="3"/>
        <charset val="134"/>
      </rPr>
      <t>出口压力</t>
    </r>
  </si>
  <si>
    <r>
      <rPr>
        <sz val="12"/>
        <color theme="1"/>
        <rFont val="Times New Roman"/>
        <family val="1"/>
      </rPr>
      <t xml:space="preserve">Shutoff Pressure </t>
    </r>
    <r>
      <rPr>
        <sz val="12"/>
        <color indexed="8"/>
        <rFont val="宋体"/>
        <family val="3"/>
        <charset val="134"/>
      </rPr>
      <t>关闭压差</t>
    </r>
  </si>
  <si>
    <r>
      <rPr>
        <sz val="12"/>
        <color theme="1"/>
        <rFont val="Times New Roman"/>
        <family val="1"/>
      </rPr>
      <t xml:space="preserve">Temperature </t>
    </r>
    <r>
      <rPr>
        <sz val="12"/>
        <color indexed="8"/>
        <rFont val="宋体"/>
        <family val="3"/>
        <charset val="134"/>
      </rPr>
      <t>温度</t>
    </r>
  </si>
  <si>
    <r>
      <rPr>
        <sz val="12"/>
        <color theme="1"/>
        <rFont val="Arial"/>
        <family val="2"/>
      </rPr>
      <t xml:space="preserve">Density </t>
    </r>
    <r>
      <rPr>
        <sz val="12"/>
        <color indexed="8"/>
        <rFont val="宋体"/>
        <family val="3"/>
        <charset val="134"/>
      </rPr>
      <t>密度</t>
    </r>
  </si>
  <si>
    <r>
      <rPr>
        <sz val="12"/>
        <color theme="1"/>
        <rFont val="Times New Roman"/>
        <family val="1"/>
      </rPr>
      <t xml:space="preserve">Calculated CV </t>
    </r>
    <r>
      <rPr>
        <sz val="12"/>
        <color indexed="8"/>
        <rFont val="宋体"/>
        <family val="3"/>
        <charset val="134"/>
      </rPr>
      <t>计算</t>
    </r>
    <r>
      <rPr>
        <sz val="12"/>
        <color indexed="8"/>
        <rFont val="Times New Roman"/>
        <family val="1"/>
      </rPr>
      <t>Cv</t>
    </r>
  </si>
  <si>
    <r>
      <rPr>
        <sz val="12"/>
        <color theme="1"/>
        <rFont val="Times New Roman"/>
        <family val="1"/>
      </rPr>
      <t xml:space="preserve">%Opening </t>
    </r>
    <r>
      <rPr>
        <sz val="12"/>
        <color indexed="8"/>
        <rFont val="宋体"/>
        <family val="3"/>
        <charset val="134"/>
      </rPr>
      <t>开度（</t>
    </r>
    <r>
      <rPr>
        <sz val="12"/>
        <color indexed="8"/>
        <rFont val="Times New Roman"/>
        <family val="1"/>
      </rPr>
      <t>%</t>
    </r>
    <r>
      <rPr>
        <sz val="12"/>
        <color indexed="8"/>
        <rFont val="宋体"/>
        <family val="3"/>
        <charset val="134"/>
      </rPr>
      <t>）</t>
    </r>
  </si>
  <si>
    <r>
      <rPr>
        <sz val="12"/>
        <color indexed="8"/>
        <rFont val="Times New Roman"/>
        <family val="1"/>
      </rPr>
      <t xml:space="preserve">Noise </t>
    </r>
    <r>
      <rPr>
        <sz val="12"/>
        <color indexed="8"/>
        <rFont val="宋体"/>
        <family val="3"/>
        <charset val="134"/>
      </rPr>
      <t>噪声（</t>
    </r>
    <r>
      <rPr>
        <sz val="12"/>
        <color indexed="8"/>
        <rFont val="Times New Roman"/>
        <family val="1"/>
      </rPr>
      <t>dBA</t>
    </r>
    <r>
      <rPr>
        <sz val="12"/>
        <color indexed="8"/>
        <rFont val="宋体"/>
        <family val="3"/>
        <charset val="134"/>
      </rPr>
      <t>）</t>
    </r>
  </si>
  <si>
    <r>
      <rPr>
        <sz val="12"/>
        <color theme="1"/>
        <rFont val="Arial"/>
        <family val="2"/>
      </rPr>
      <t xml:space="preserve">Valve Size </t>
    </r>
    <r>
      <rPr>
        <sz val="12"/>
        <color indexed="8"/>
        <rFont val="宋体"/>
        <family val="3"/>
        <charset val="134"/>
      </rPr>
      <t>阀门尺寸</t>
    </r>
  </si>
  <si>
    <r>
      <rPr>
        <sz val="12"/>
        <color indexed="8"/>
        <rFont val="Times New Roman"/>
        <family val="1"/>
      </rPr>
      <t xml:space="preserve">Valve Cv </t>
    </r>
    <r>
      <rPr>
        <sz val="12"/>
        <color indexed="8"/>
        <rFont val="宋体"/>
        <family val="3"/>
        <charset val="134"/>
      </rPr>
      <t>额定</t>
    </r>
    <r>
      <rPr>
        <sz val="12"/>
        <color indexed="8"/>
        <rFont val="Times New Roman"/>
        <family val="1"/>
      </rPr>
      <t>Cv</t>
    </r>
  </si>
  <si>
    <r>
      <rPr>
        <sz val="12"/>
        <color indexed="8"/>
        <rFont val="Times New Roman"/>
        <family val="1"/>
      </rPr>
      <t xml:space="preserve">Travle </t>
    </r>
    <r>
      <rPr>
        <sz val="12"/>
        <color indexed="8"/>
        <rFont val="宋体"/>
        <family val="3"/>
        <charset val="134"/>
      </rPr>
      <t>行程</t>
    </r>
  </si>
  <si>
    <r>
      <rPr>
        <sz val="12"/>
        <color theme="1"/>
        <rFont val="Arial"/>
        <family val="2"/>
      </rPr>
      <t xml:space="preserve">Various Parameters </t>
    </r>
    <r>
      <rPr>
        <sz val="12"/>
        <color indexed="8"/>
        <rFont val="宋体"/>
        <family val="3"/>
        <charset val="134"/>
      </rPr>
      <t>其他参数</t>
    </r>
  </si>
  <si>
    <t>FLp</t>
  </si>
  <si>
    <t>Press. recovery factor w/piping 压力恢复系数</t>
  </si>
  <si>
    <t>XTp</t>
  </si>
  <si>
    <r>
      <rPr>
        <sz val="12"/>
        <color theme="1"/>
        <rFont val="Times New Roman"/>
        <family val="1"/>
      </rPr>
      <t xml:space="preserve">Press. diff. ratio w/fittings </t>
    </r>
    <r>
      <rPr>
        <sz val="12"/>
        <color indexed="8"/>
        <rFont val="宋体"/>
        <family val="3"/>
        <charset val="134"/>
      </rPr>
      <t>压力降比率</t>
    </r>
  </si>
  <si>
    <t>Fp</t>
  </si>
  <si>
    <r>
      <rPr>
        <sz val="12"/>
        <color theme="1"/>
        <rFont val="Times New Roman"/>
        <family val="1"/>
      </rPr>
      <t xml:space="preserve">Piping geometry factor </t>
    </r>
    <r>
      <rPr>
        <sz val="12"/>
        <color indexed="8"/>
        <rFont val="宋体"/>
        <family val="3"/>
        <charset val="134"/>
      </rPr>
      <t>管道几何因素</t>
    </r>
  </si>
  <si>
    <t>Y</t>
  </si>
  <si>
    <r>
      <rPr>
        <sz val="12"/>
        <color theme="1"/>
        <rFont val="Times New Roman"/>
        <family val="1"/>
      </rPr>
      <t xml:space="preserve">Expansion factor </t>
    </r>
    <r>
      <rPr>
        <sz val="12"/>
        <color indexed="8"/>
        <rFont val="宋体"/>
        <family val="3"/>
        <charset val="134"/>
      </rPr>
      <t>膨胀系数</t>
    </r>
  </si>
  <si>
    <t>Z</t>
  </si>
  <si>
    <r>
      <rPr>
        <sz val="12"/>
        <color theme="1"/>
        <rFont val="Arial"/>
        <family val="2"/>
      </rPr>
      <t xml:space="preserve">Compressibility factor </t>
    </r>
    <r>
      <rPr>
        <sz val="12"/>
        <color indexed="8"/>
        <rFont val="宋体"/>
        <family val="3"/>
        <charset val="134"/>
      </rPr>
      <t>压缩系数</t>
    </r>
  </si>
  <si>
    <t>Kp</t>
  </si>
  <si>
    <r>
      <rPr>
        <sz val="12"/>
        <color theme="1"/>
        <rFont val="Arial"/>
        <family val="2"/>
      </rPr>
      <t xml:space="preserve">Sp.Heat Ratio </t>
    </r>
    <r>
      <rPr>
        <sz val="12"/>
        <color indexed="8"/>
        <rFont val="宋体"/>
        <family val="3"/>
        <charset val="134"/>
      </rPr>
      <t>比热比</t>
    </r>
  </si>
  <si>
    <t>Pc</t>
  </si>
  <si>
    <r>
      <rPr>
        <sz val="12"/>
        <color theme="1"/>
        <rFont val="Arial"/>
        <family val="2"/>
      </rPr>
      <t>Critical Press.</t>
    </r>
    <r>
      <rPr>
        <sz val="12"/>
        <color indexed="8"/>
        <rFont val="宋体"/>
        <family val="3"/>
        <charset val="134"/>
      </rPr>
      <t>临界压力</t>
    </r>
  </si>
  <si>
    <t>Tc</t>
  </si>
  <si>
    <r>
      <rPr>
        <sz val="12"/>
        <color theme="1"/>
        <rFont val="Arial"/>
        <family val="2"/>
      </rPr>
      <t>Critical Temp.</t>
    </r>
    <r>
      <rPr>
        <sz val="12"/>
        <color indexed="8"/>
        <rFont val="宋体"/>
        <family val="3"/>
        <charset val="134"/>
      </rPr>
      <t>临界温度</t>
    </r>
  </si>
  <si>
    <t>deg.C</t>
  </si>
  <si>
    <r>
      <rPr>
        <sz val="12"/>
        <color theme="1"/>
        <rFont val="Times New Roman"/>
        <family val="1"/>
      </rPr>
      <t xml:space="preserve">*Comments </t>
    </r>
    <r>
      <rPr>
        <sz val="12"/>
        <color indexed="8"/>
        <rFont val="宋体"/>
        <family val="3"/>
        <charset val="134"/>
      </rPr>
      <t>注释</t>
    </r>
    <r>
      <rPr>
        <sz val="12"/>
        <color indexed="8"/>
        <rFont val="Times New Roman"/>
        <family val="1"/>
      </rPr>
      <t>:</t>
    </r>
  </si>
  <si>
    <t>编    号</t>
  </si>
  <si>
    <t>公式</t>
  </si>
  <si>
    <t>进出口流速</t>
  </si>
  <si>
    <t>工况1</t>
  </si>
  <si>
    <t>流量Q</t>
  </si>
  <si>
    <t>口径D</t>
  </si>
  <si>
    <t>计算流速V</t>
  </si>
  <si>
    <t>工况2</t>
  </si>
  <si>
    <t>工况3</t>
  </si>
  <si>
    <t>工况4</t>
  </si>
  <si>
    <t>工况5</t>
  </si>
  <si>
    <t>江苏神通阀门阀本体询价单</t>
  </si>
  <si>
    <t>我公司拟采购以下物料，特向贵司询价：</t>
  </si>
  <si>
    <t>产品名称</t>
  </si>
  <si>
    <t>产品型号</t>
  </si>
  <si>
    <t>阀盖类型</t>
  </si>
  <si>
    <t>设计温度℃</t>
  </si>
  <si>
    <t>最大工作温度℃</t>
  </si>
  <si>
    <t>关闭压差Mpa</t>
  </si>
  <si>
    <t>调节压差Mpa</t>
  </si>
  <si>
    <t>法兰标准</t>
  </si>
  <si>
    <t>压力等级</t>
  </si>
  <si>
    <t>法兰密封面</t>
  </si>
  <si>
    <t>阀体材质</t>
  </si>
  <si>
    <t>阀板/阀芯/球体材质</t>
  </si>
  <si>
    <t>阀杆材质</t>
  </si>
  <si>
    <t>扭矩Nm或推力N</t>
  </si>
  <si>
    <t>是否含安全系数</t>
  </si>
  <si>
    <t>单价</t>
  </si>
  <si>
    <t>说明：</t>
  </si>
  <si>
    <t>1）</t>
  </si>
  <si>
    <t>只需提供阀本体和连接支架及连接件价格；</t>
  </si>
  <si>
    <t>2）</t>
  </si>
  <si>
    <t>角行程类阀门提供扭矩值</t>
  </si>
  <si>
    <t>备注：</t>
  </si>
  <si>
    <t>价格包含国内运费及增值税及现场调试费用；</t>
  </si>
  <si>
    <t>询价单位联系方式</t>
  </si>
  <si>
    <t>询价人</t>
  </si>
  <si>
    <t>联系电话</t>
  </si>
  <si>
    <t>江苏神通阀门气动执行机构询价单</t>
  </si>
  <si>
    <t>行程</t>
  </si>
  <si>
    <t>单位</t>
  </si>
  <si>
    <t>环境温度</t>
  </si>
  <si>
    <t>故障位置</t>
  </si>
  <si>
    <t>手轮</t>
  </si>
  <si>
    <t>气源</t>
  </si>
  <si>
    <t>若我方给出型号请核对，或改为更经济型；</t>
  </si>
  <si>
    <t>江苏神通阀门电动执行机构询价单</t>
  </si>
  <si>
    <t>电源</t>
  </si>
  <si>
    <t>全行程时间S</t>
  </si>
  <si>
    <t>控制型号</t>
  </si>
  <si>
    <t>报警信号</t>
  </si>
  <si>
    <t>扭矩报警</t>
  </si>
  <si>
    <t>重量KG</t>
  </si>
  <si>
    <t>江苏神通阀门定位器询价单</t>
  </si>
  <si>
    <t>若我方给出型号请核对；</t>
  </si>
  <si>
    <t>若有磁条也一并提供</t>
  </si>
  <si>
    <t>江苏神通阀门过滤减压阀询价单</t>
  </si>
  <si>
    <t>江苏神通阀门电磁阀询价单</t>
  </si>
  <si>
    <t>电磁阀型号</t>
  </si>
  <si>
    <t>江苏神通阀门限位开关询价单</t>
  </si>
  <si>
    <t>限位开关型号</t>
  </si>
  <si>
    <t>端子类型</t>
  </si>
  <si>
    <t>江苏神通阀门附件询价单</t>
  </si>
  <si>
    <t>附件型号</t>
  </si>
  <si>
    <t>压力系数</t>
  </si>
  <si>
    <t>管道几何因素</t>
  </si>
  <si>
    <t>阀门修正</t>
  </si>
  <si>
    <t>空化系数</t>
  </si>
  <si>
    <t>计算空化系数</t>
  </si>
  <si>
    <t>前空化临界压力降</t>
  </si>
  <si>
    <t>空化临界压力降</t>
  </si>
  <si>
    <t>介质压力降</t>
  </si>
  <si>
    <t>液体临界压力 比率</t>
  </si>
  <si>
    <t>阀门出口流速</t>
  </si>
  <si>
    <t>二级管道流速</t>
  </si>
  <si>
    <t>流向</t>
  </si>
  <si>
    <t>流量特性</t>
  </si>
  <si>
    <t>介质类型</t>
  </si>
  <si>
    <t>入口压力</t>
  </si>
  <si>
    <t>动力粘度</t>
  </si>
  <si>
    <t>关闭压力</t>
  </si>
  <si>
    <t>开度（%）</t>
  </si>
  <si>
    <t>噪声（dBA）</t>
  </si>
  <si>
    <t>Fd</t>
  </si>
  <si>
    <t>Kc</t>
  </si>
  <si>
    <t>KKc</t>
  </si>
  <si>
    <t>Dpf</t>
  </si>
  <si>
    <t>Dpc</t>
  </si>
  <si>
    <t>Dp</t>
  </si>
  <si>
    <t>Vv</t>
  </si>
  <si>
    <t>Vp</t>
  </si>
  <si>
    <t>压力降</t>
  </si>
  <si>
    <t>介质流量</t>
  </si>
  <si>
    <t>密度/比重</t>
  </si>
  <si>
    <t>行号</t>
  </si>
  <si>
    <t>项目编号</t>
  </si>
  <si>
    <t>值</t>
  </si>
  <si>
    <t>Liquid</t>
  </si>
  <si>
    <t>Water</t>
  </si>
  <si>
    <t>Steam</t>
  </si>
  <si>
    <t>备注</t>
  </si>
  <si>
    <t>Gas</t>
  </si>
  <si>
    <t>单位</t>
    <phoneticPr fontId="107" type="noConversion"/>
  </si>
  <si>
    <t>——</t>
  </si>
  <si>
    <t>套筒/导向套/轴承材质</t>
    <phoneticPr fontId="107" type="noConversion"/>
  </si>
  <si>
    <t>阀杆材质</t>
    <phoneticPr fontId="107" type="noConversion"/>
  </si>
  <si>
    <t>阀杆垂直于地面安装</t>
  </si>
  <si>
    <t>有效面积</t>
    <phoneticPr fontId="107" type="noConversion"/>
  </si>
  <si>
    <t>N</t>
  </si>
  <si>
    <t>有效面积</t>
    <phoneticPr fontId="107" type="noConversion"/>
  </si>
  <si>
    <t>无</t>
    <phoneticPr fontId="107" type="noConversion"/>
  </si>
  <si>
    <t>——</t>
    <phoneticPr fontId="107" type="noConversion"/>
  </si>
  <si>
    <t>——</t>
    <phoneticPr fontId="107" type="noConversion"/>
  </si>
  <si>
    <t>不锈钢配管、接头、支架</t>
    <phoneticPr fontId="107" type="noConversion"/>
  </si>
  <si>
    <t>计算压差</t>
    <phoneticPr fontId="107" type="noConversion"/>
  </si>
  <si>
    <t>YT205BN210</t>
    <phoneticPr fontId="107" type="noConversion"/>
  </si>
  <si>
    <t>压力降比率</t>
  </si>
  <si>
    <t>膨胀系数</t>
  </si>
  <si>
    <t>管道出口动能</t>
  </si>
  <si>
    <t>峰频</t>
  </si>
  <si>
    <t>计算Cv</t>
  </si>
  <si>
    <t>Ep</t>
  </si>
  <si>
    <t>NFp</t>
  </si>
  <si>
    <t>阀门用途</t>
  </si>
  <si>
    <t>Cv值</t>
  </si>
  <si>
    <t>ANSI CLASS IV</t>
    <phoneticPr fontId="107" type="noConversion"/>
  </si>
  <si>
    <t>标准型</t>
    <phoneticPr fontId="107" type="noConversion"/>
  </si>
  <si>
    <t>PTFE</t>
    <phoneticPr fontId="107" type="noConversion"/>
  </si>
  <si>
    <t>Cv</t>
    <phoneticPr fontId="107" type="noConversion"/>
  </si>
  <si>
    <t>额定CV</t>
    <phoneticPr fontId="107" type="noConversion"/>
  </si>
  <si>
    <t>220V/50Hz</t>
    <phoneticPr fontId="107" type="noConversion"/>
  </si>
  <si>
    <t xml:space="preserve">报警信号 </t>
  </si>
  <si>
    <t xml:space="preserve">扭矩报警 </t>
  </si>
  <si>
    <t xml:space="preserve">故障位置       </t>
  </si>
  <si>
    <t xml:space="preserve">复位装置       </t>
  </si>
  <si>
    <t>重庆赛迪热工环保工程技术有限公司</t>
    <phoneticPr fontId="107" type="noConversion"/>
  </si>
  <si>
    <t>福建三宝加热炉项目</t>
    <phoneticPr fontId="107" type="noConversion"/>
  </si>
  <si>
    <t>N</t>
    <phoneticPr fontId="107" type="noConversion"/>
  </si>
  <si>
    <t>调节型</t>
  </si>
  <si>
    <t>西贝</t>
    <phoneticPr fontId="107" type="noConversion"/>
  </si>
  <si>
    <t>RTFE+316</t>
  </si>
  <si>
    <t>套筒阀</t>
  </si>
  <si>
    <t>60℃</t>
    <phoneticPr fontId="107" type="noConversion"/>
  </si>
  <si>
    <t>&lt;20S</t>
    <phoneticPr fontId="107" type="noConversion"/>
  </si>
  <si>
    <t>最小输出力</t>
    <phoneticPr fontId="107" type="noConversion"/>
  </si>
  <si>
    <t>阀门行程</t>
    <phoneticPr fontId="107" type="noConversion"/>
  </si>
  <si>
    <t>3）</t>
  </si>
  <si>
    <t>4）</t>
  </si>
  <si>
    <t>选用多回转执行机构时，应配备推力单元</t>
    <phoneticPr fontId="107" type="noConversion"/>
  </si>
  <si>
    <t>执行机构型号</t>
    <phoneticPr fontId="107" type="noConversion"/>
  </si>
  <si>
    <t>执行机构为调节型，直行程；执行机构实际行程应大于阀门行程</t>
    <phoneticPr fontId="107" type="noConversion"/>
  </si>
  <si>
    <t>若我方给出型号请核对，或改为更经济型；报价时应根据选定产品补充或修订数据，有偏差部分须有明显标识；</t>
    <phoneticPr fontId="107" type="noConversion"/>
  </si>
  <si>
    <t>电动头输出力不得大于我方给的推力1.6倍，注意备注动作时间或与客户商讨；</t>
    <phoneticPr fontId="107" type="noConversion"/>
  </si>
  <si>
    <r>
      <t>Cv</t>
    </r>
    <r>
      <rPr>
        <sz val="9"/>
        <color indexed="8"/>
        <rFont val="微软雅黑"/>
        <family val="2"/>
        <charset val="134"/>
      </rPr>
      <t>值</t>
    </r>
    <phoneticPr fontId="107" type="noConversion"/>
  </si>
  <si>
    <t>平衡密封环</t>
    <phoneticPr fontId="107" type="noConversion"/>
  </si>
  <si>
    <t>流开</t>
  </si>
  <si>
    <t>2"</t>
  </si>
  <si>
    <t>10-PV-131061</t>
  </si>
  <si>
    <t>多孔式套筒导向型单座调节阀</t>
  </si>
  <si>
    <t>FTC</t>
  </si>
  <si>
    <t>气体</t>
  </si>
  <si>
    <t>CHLOROSILANES</t>
  </si>
  <si>
    <t>kPaG</t>
  </si>
  <si>
    <t>kPa</t>
  </si>
  <si>
    <t>Mach</t>
  </si>
  <si>
    <t>10-PV-131061</t>
    <phoneticPr fontId="59" type="noConversion"/>
  </si>
  <si>
    <t>D-N-2007-34-001</t>
    <phoneticPr fontId="107" type="noConversion"/>
  </si>
  <si>
    <t>CS</t>
    <phoneticPr fontId="107" type="noConversion"/>
  </si>
  <si>
    <t>ANSI B16.5</t>
    <phoneticPr fontId="107" type="noConversion"/>
  </si>
  <si>
    <t>CL300</t>
    <phoneticPr fontId="107" type="noConversion"/>
  </si>
  <si>
    <t>WCB</t>
    <phoneticPr fontId="107" type="noConversion"/>
  </si>
  <si>
    <t>平衡型</t>
  </si>
  <si>
    <r>
      <t>410/</t>
    </r>
    <r>
      <rPr>
        <sz val="9"/>
        <color rgb="FF00B0F0"/>
        <rFont val="宋体"/>
        <family val="2"/>
        <charset val="134"/>
      </rPr>
      <t>热处理</t>
    </r>
    <phoneticPr fontId="107" type="noConversion"/>
  </si>
  <si>
    <r>
      <t>410/</t>
    </r>
    <r>
      <rPr>
        <sz val="9"/>
        <color rgb="FF00B0F0"/>
        <rFont val="宋体"/>
        <family val="3"/>
        <charset val="134"/>
      </rPr>
      <t>热处理</t>
    </r>
    <phoneticPr fontId="107" type="noConversion"/>
  </si>
  <si>
    <t>弹簧薄膜型</t>
  </si>
  <si>
    <t>RN</t>
    <phoneticPr fontId="107" type="noConversion"/>
  </si>
  <si>
    <t>80-200</t>
    <phoneticPr fontId="107" type="noConversion"/>
  </si>
  <si>
    <t>弹簧</t>
  </si>
  <si>
    <r>
      <rPr>
        <sz val="9"/>
        <rFont val="微软雅黑"/>
        <family val="2"/>
        <charset val="134"/>
      </rPr>
      <t>输出力（力矩）</t>
    </r>
  </si>
  <si>
    <t>FISHER</t>
    <phoneticPr fontId="107" type="noConversion"/>
  </si>
  <si>
    <t>FF现场总线</t>
  </si>
  <si>
    <t>SMC</t>
    <phoneticPr fontId="107" type="noConversion"/>
  </si>
  <si>
    <t>2"</t>
    <phoneticPr fontId="107" type="noConversion"/>
  </si>
  <si>
    <t>线性</t>
    <phoneticPr fontId="59" type="noConversion"/>
  </si>
  <si>
    <t>DVC6200HC</t>
    <phoneticPr fontId="107" type="noConversion"/>
  </si>
  <si>
    <t>ST421LA</t>
    <phoneticPr fontId="59" type="noConversion"/>
  </si>
  <si>
    <t>ST427LA</t>
    <phoneticPr fontId="59" type="noConversion"/>
  </si>
  <si>
    <t>ST435LA</t>
    <phoneticPr fontId="59" type="noConversion"/>
  </si>
  <si>
    <t>ST445LA</t>
    <phoneticPr fontId="59" type="noConversion"/>
  </si>
  <si>
    <t>ST465LA</t>
    <phoneticPr fontId="59" type="noConversion"/>
  </si>
  <si>
    <t>ST421LA</t>
    <phoneticPr fontId="10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</si>
</sst>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 &quot;$&quot;\ * #,##0.00_ ;_ &quot;$&quot;\ * \-#,##0.00_ ;_ &quot;$&quot;\ * &quot;-&quot;??_ ;_ @_ "/>
    <numFmt numFmtId="177" formatCode="_ &quot;$&quot;\ * #,##0_ ;_ &quot;$&quot;\ * \-#,##0_ ;_ &quot;$&quot;\ * &quot;-&quot;_ ;_ @_ "/>
    <numFmt numFmtId="178" formatCode="0.00_ "/>
    <numFmt numFmtId="179" formatCode="_(* #,##0_);_(* \(#,##0\);_(* &quot;-&quot;_);_(@_)"/>
    <numFmt numFmtId="180" formatCode="_(* #,##0.00_);_(* \(#,##0.00\);_(* &quot;-&quot;??_);_(@_)"/>
    <numFmt numFmtId="181" formatCode="0.00_)"/>
    <numFmt numFmtId="182" formatCode="0_ "/>
    <numFmt numFmtId="183" formatCode="0;_䀀"/>
    <numFmt numFmtId="184" formatCode="[$-F800]dddd\,\ mmmm\ dd\,\ yyyy"/>
  </numFmts>
  <fonts count="118">
    <font>
      <sz val="12"/>
      <name val="宋体"/>
      <charset val="134"/>
    </font>
    <font>
      <b/>
      <sz val="18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2"/>
      <color theme="0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22"/>
      <color theme="1"/>
      <name val="宋体"/>
      <family val="3"/>
      <charset val="134"/>
    </font>
    <font>
      <b/>
      <u/>
      <sz val="16"/>
      <color theme="1"/>
      <name val="Times New Roman"/>
      <family val="1"/>
    </font>
    <font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1"/>
      <color theme="1"/>
      <name val="Arial"/>
      <family val="2"/>
    </font>
    <font>
      <sz val="11"/>
      <color theme="1"/>
      <name val="宋体"/>
      <family val="3"/>
      <charset val="134"/>
      <scheme val="minor"/>
    </font>
    <font>
      <sz val="12"/>
      <color theme="1"/>
      <name val="Arial"/>
      <family val="2"/>
    </font>
    <font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u/>
      <sz val="11"/>
      <color theme="1"/>
      <name val="Times New Roman"/>
      <family val="1"/>
    </font>
    <font>
      <u/>
      <sz val="12"/>
      <color theme="1"/>
      <name val="Times New Roman"/>
      <family val="1"/>
    </font>
    <font>
      <sz val="24"/>
      <name val="宋体"/>
      <family val="3"/>
      <charset val="134"/>
    </font>
    <font>
      <sz val="9"/>
      <color rgb="FF00B0F0"/>
      <name val="Arial"/>
      <family val="2"/>
    </font>
    <font>
      <sz val="9"/>
      <color rgb="FF00B0F0"/>
      <name val="宋体"/>
      <family val="3"/>
      <charset val="134"/>
    </font>
    <font>
      <sz val="9"/>
      <name val="Arial"/>
      <family val="2"/>
    </font>
    <font>
      <b/>
      <sz val="14"/>
      <color indexed="8"/>
      <name val="Arial Narrow"/>
      <family val="2"/>
    </font>
    <font>
      <sz val="14"/>
      <color indexed="8"/>
      <name val="Arial Narrow"/>
      <family val="2"/>
    </font>
    <font>
      <b/>
      <sz val="11"/>
      <color indexed="8"/>
      <name val="微软雅黑"/>
      <family val="2"/>
      <charset val="134"/>
    </font>
    <font>
      <b/>
      <sz val="9"/>
      <color indexed="8"/>
      <name val="Arial Narrow"/>
      <family val="2"/>
    </font>
    <font>
      <sz val="9"/>
      <color indexed="8"/>
      <name val="Arial Narrow"/>
      <family val="2"/>
    </font>
    <font>
      <sz val="9"/>
      <color rgb="FF000000"/>
      <name val="Arial Narrow"/>
      <family val="2"/>
    </font>
    <font>
      <b/>
      <sz val="9"/>
      <name val="Arial Narrow"/>
      <family val="2"/>
    </font>
    <font>
      <b/>
      <sz val="9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4"/>
      <color indexed="8"/>
      <name val="微软雅黑"/>
      <family val="2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1"/>
      <color theme="0" tint="-0.89996032593768116"/>
      <name val="Arial"/>
      <family val="2"/>
    </font>
    <font>
      <sz val="12"/>
      <color theme="0" tint="-0.89996032593768116"/>
      <name val="Arial"/>
      <family val="2"/>
    </font>
    <font>
      <sz val="9"/>
      <color theme="0" tint="-0.89996032593768116"/>
      <name val="Arial"/>
      <family val="2"/>
    </font>
    <font>
      <b/>
      <sz val="10"/>
      <color theme="0" tint="-0.89996032593768116"/>
      <name val="Arial"/>
      <family val="2"/>
    </font>
    <font>
      <b/>
      <sz val="9"/>
      <color theme="0" tint="-0.89996032593768116"/>
      <name val="Arial"/>
      <family val="2"/>
    </font>
    <font>
      <b/>
      <sz val="28"/>
      <color theme="0" tint="-0.89996032593768116"/>
      <name val="Arial"/>
      <family val="2"/>
    </font>
    <font>
      <b/>
      <sz val="22"/>
      <color indexed="40"/>
      <name val="Arial"/>
      <family val="2"/>
    </font>
    <font>
      <sz val="11"/>
      <color indexed="8"/>
      <name val="Arial"/>
      <family val="2"/>
    </font>
    <font>
      <b/>
      <sz val="9"/>
      <color theme="0" tint="-0.89996032593768116"/>
      <name val="宋体"/>
      <family val="3"/>
      <charset val="134"/>
    </font>
    <font>
      <b/>
      <sz val="11"/>
      <color theme="0" tint="-0.89996032593768116"/>
      <name val="Arial"/>
      <family val="2"/>
    </font>
    <font>
      <b/>
      <sz val="16"/>
      <color theme="0" tint="-0.89996032593768116"/>
      <name val="Arial"/>
      <family val="2"/>
    </font>
    <font>
      <b/>
      <sz val="12"/>
      <color theme="0" tint="-0.89996032593768116"/>
      <name val="Arial"/>
      <family val="2"/>
    </font>
    <font>
      <sz val="9"/>
      <color theme="0" tint="-0.89996032593768116"/>
      <name val="宋体"/>
      <family val="3"/>
      <charset val="134"/>
    </font>
    <font>
      <b/>
      <sz val="8"/>
      <color theme="0" tint="-0.89996032593768116"/>
      <name val="Arial"/>
      <family val="2"/>
    </font>
    <font>
      <b/>
      <sz val="10"/>
      <color rgb="FFFF0000"/>
      <name val="Arial"/>
      <family val="2"/>
    </font>
    <font>
      <b/>
      <sz val="10"/>
      <color theme="0" tint="-0.89996032593768116"/>
      <name val="宋体"/>
      <family val="3"/>
      <charset val="134"/>
    </font>
    <font>
      <b/>
      <i/>
      <sz val="11"/>
      <color theme="0" tint="-0.89996032593768116"/>
      <name val="Arial"/>
      <family val="2"/>
    </font>
    <font>
      <b/>
      <i/>
      <sz val="10"/>
      <color theme="0" tint="-0.89996032593768116"/>
      <name val="Arial"/>
      <family val="2"/>
    </font>
    <font>
      <b/>
      <i/>
      <sz val="11"/>
      <color theme="0" tint="-0.89996032593768116"/>
      <name val="宋体"/>
      <family val="3"/>
      <charset val="134"/>
    </font>
    <font>
      <b/>
      <sz val="11"/>
      <color theme="0" tint="-0.89996032593768116"/>
      <name val="宋体"/>
      <family val="3"/>
      <charset val="13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9"/>
      <name val="宋体"/>
      <family val="3"/>
      <charset val="134"/>
    </font>
    <font>
      <u/>
      <sz val="12"/>
      <color indexed="12"/>
      <name val="Times New Roman"/>
      <family val="1"/>
    </font>
    <font>
      <sz val="10"/>
      <color rgb="FFFF0000"/>
      <name val="宋体"/>
      <family val="3"/>
      <charset val="134"/>
    </font>
    <font>
      <sz val="10"/>
      <color rgb="FFC00000"/>
      <name val="Arial"/>
      <family val="2"/>
    </font>
    <font>
      <b/>
      <sz val="10"/>
      <name val="Arial"/>
      <family val="2"/>
    </font>
    <font>
      <u/>
      <sz val="12"/>
      <name val="Arial"/>
      <family val="2"/>
    </font>
    <font>
      <b/>
      <sz val="10"/>
      <name val="宋体"/>
      <family val="3"/>
      <charset val="134"/>
    </font>
    <font>
      <b/>
      <i/>
      <sz val="14"/>
      <color theme="0" tint="-0.89996032593768116"/>
      <name val="Arial"/>
      <family val="2"/>
    </font>
    <font>
      <u/>
      <sz val="12"/>
      <color theme="0" tint="-0.89996032593768116"/>
      <name val="Arial"/>
      <family val="2"/>
    </font>
    <font>
      <sz val="12"/>
      <color indexed="8"/>
      <name val="Arial"/>
      <family val="2"/>
    </font>
    <font>
      <sz val="12"/>
      <color theme="0" tint="-0.89996032593768116"/>
      <name val="宋体"/>
      <family val="3"/>
      <charset val="134"/>
    </font>
    <font>
      <i/>
      <sz val="12"/>
      <color theme="0" tint="-0.89996032593768116"/>
      <name val="Arial"/>
      <family val="2"/>
    </font>
    <font>
      <sz val="12"/>
      <color rgb="FFFF0000"/>
      <name val="Arial"/>
      <family val="2"/>
    </font>
    <font>
      <sz val="12"/>
      <color indexed="8"/>
      <name val="宋体"/>
      <family val="3"/>
      <charset val="134"/>
    </font>
    <font>
      <sz val="10"/>
      <color theme="0" tint="-0.89996032593768116"/>
      <name val="Arial"/>
      <family val="2"/>
    </font>
    <font>
      <sz val="10"/>
      <color indexed="8"/>
      <name val="Arial"/>
      <family val="2"/>
    </font>
    <font>
      <sz val="12"/>
      <color rgb="FFFF0000"/>
      <name val="宋体"/>
      <family val="3"/>
      <charset val="134"/>
    </font>
    <font>
      <sz val="10"/>
      <name val="Book Antiqua"/>
      <family val="1"/>
    </font>
    <font>
      <sz val="11"/>
      <color indexed="8"/>
      <name val="ＭＳ Ｐゴシック"/>
      <family val="2"/>
    </font>
    <font>
      <b/>
      <sz val="12"/>
      <name val="Arial"/>
      <family val="2"/>
    </font>
    <font>
      <sz val="11"/>
      <name val="ＭＳ Ｐゴシック"/>
      <family val="2"/>
    </font>
    <font>
      <b/>
      <i/>
      <sz val="16"/>
      <name val="Helv"/>
      <family val="2"/>
    </font>
    <font>
      <sz val="11"/>
      <color rgb="FF0061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b/>
      <sz val="9"/>
      <color indexed="8"/>
      <name val="Arial"/>
      <family val="2"/>
    </font>
    <font>
      <b/>
      <sz val="22"/>
      <color indexed="40"/>
      <name val="黑体"/>
      <family val="3"/>
      <charset val="134"/>
    </font>
    <font>
      <b/>
      <sz val="10"/>
      <color indexed="8"/>
      <name val="宋体"/>
      <family val="3"/>
      <charset val="134"/>
    </font>
    <font>
      <b/>
      <sz val="10"/>
      <color indexed="8"/>
      <name val="Arial"/>
      <family val="2"/>
    </font>
    <font>
      <b/>
      <sz val="8"/>
      <color indexed="8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i/>
      <sz val="10"/>
      <color indexed="8"/>
      <name val="宋体"/>
      <family val="3"/>
      <charset val="134"/>
    </font>
    <font>
      <b/>
      <i/>
      <sz val="10"/>
      <color indexed="8"/>
      <name val="Arial"/>
      <family val="2"/>
    </font>
    <font>
      <u/>
      <sz val="12"/>
      <color indexed="12"/>
      <name val="Arial"/>
      <family val="2"/>
    </font>
    <font>
      <u/>
      <sz val="12"/>
      <color indexed="12"/>
      <name val="宋体"/>
      <family val="3"/>
      <charset val="134"/>
    </font>
    <font>
      <sz val="10"/>
      <name val="宋体"/>
      <family val="3"/>
      <charset val="134"/>
    </font>
    <font>
      <b/>
      <i/>
      <sz val="14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  <font>
      <u/>
      <sz val="12"/>
      <color indexed="8"/>
      <name val="宋体"/>
      <family val="3"/>
      <charset val="134"/>
    </font>
    <font>
      <sz val="12"/>
      <color indexed="10"/>
      <name val="宋体"/>
      <family val="3"/>
      <charset val="134"/>
    </font>
    <font>
      <b/>
      <sz val="12"/>
      <color indexed="8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b/>
      <sz val="9"/>
      <name val="宋体"/>
      <family val="3"/>
      <charset val="134"/>
    </font>
    <font>
      <sz val="10"/>
      <color rgb="FF000000"/>
      <name val="宋体"/>
      <family val="3"/>
      <charset val="134"/>
    </font>
    <font>
      <sz val="9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theme="1"/>
      <name val="等线"/>
      <family val="3"/>
      <charset val="134"/>
    </font>
    <font>
      <sz val="12"/>
      <color theme="1"/>
      <name val="等线"/>
      <family val="3"/>
      <charset val="134"/>
    </font>
    <font>
      <sz val="9"/>
      <color rgb="FF00B0F0"/>
      <name val="宋体"/>
      <family val="2"/>
      <charset val="134"/>
    </font>
    <font>
      <sz val="9"/>
      <name val="微软雅黑"/>
      <family val="2"/>
      <charset val="134"/>
    </font>
    <font>
      <sz val="9"/>
      <name val="Arial Narrow"/>
      <family val="2"/>
    </font>
    <font>
      <sz val="9"/>
      <color theme="0"/>
      <name val="Arial Narrow"/>
      <family val="2"/>
    </font>
    <font>
      <b/>
      <sz val="9"/>
      <color theme="0"/>
      <name val="Arial Narrow"/>
      <family val="2"/>
    </font>
    <font>
      <sz val="9"/>
      <color theme="0"/>
      <name val="宋体"/>
      <family val="3"/>
      <charset val="134"/>
    </font>
    <font>
      <sz val="12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06">
    <xf numFmtId="0" fontId="0" fillId="0" borderId="0"/>
    <xf numFmtId="176" fontId="76" fillId="0" borderId="0" applyFont="0" applyFill="0" applyBorder="0" applyAlignment="0" applyProtection="0"/>
    <xf numFmtId="10" fontId="56" fillId="16" borderId="6" applyNumberFormat="0" applyBorder="0" applyAlignment="0" applyProtection="0"/>
    <xf numFmtId="177" fontId="76" fillId="0" borderId="0" applyFont="0" applyFill="0" applyBorder="0" applyAlignment="0" applyProtection="0"/>
    <xf numFmtId="0" fontId="13" fillId="0" borderId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81" fillId="19" borderId="0" applyNumberFormat="0" applyBorder="0" applyAlignment="0" applyProtection="0">
      <alignment vertical="center"/>
    </xf>
    <xf numFmtId="0" fontId="2" fillId="0" borderId="0"/>
    <xf numFmtId="0" fontId="76" fillId="0" borderId="0"/>
    <xf numFmtId="0" fontId="55" fillId="0" borderId="0"/>
    <xf numFmtId="10" fontId="55" fillId="0" borderId="0" applyFont="0" applyFill="0" applyBorder="0" applyAlignment="0" applyProtection="0"/>
    <xf numFmtId="0" fontId="55" fillId="17" borderId="0" applyNumberFormat="0" applyFont="0" applyBorder="0" applyAlignment="0" applyProtection="0"/>
    <xf numFmtId="0" fontId="79" fillId="0" borderId="0"/>
    <xf numFmtId="180" fontId="76" fillId="0" borderId="0" applyFont="0" applyFill="0" applyBorder="0" applyAlignment="0" applyProtection="0"/>
    <xf numFmtId="179" fontId="76" fillId="0" borderId="0" applyFont="0" applyFill="0" applyBorder="0" applyAlignment="0" applyProtection="0"/>
    <xf numFmtId="38" fontId="56" fillId="18" borderId="0" applyNumberFormat="0" applyBorder="0" applyAlignment="0" applyProtection="0"/>
    <xf numFmtId="0" fontId="2" fillId="0" borderId="0"/>
    <xf numFmtId="0" fontId="78" fillId="0" borderId="61" applyNumberFormat="0" applyAlignment="0" applyProtection="0">
      <alignment horizontal="left" vertical="center"/>
    </xf>
    <xf numFmtId="0" fontId="78" fillId="0" borderId="4">
      <alignment horizontal="left" vertical="center"/>
    </xf>
    <xf numFmtId="181" fontId="80" fillId="0" borderId="0"/>
    <xf numFmtId="0" fontId="55" fillId="16" borderId="0" applyNumberFormat="0" applyFont="0" applyBorder="0" applyAlignment="0" applyProtection="0"/>
    <xf numFmtId="0" fontId="77" fillId="0" borderId="0"/>
    <xf numFmtId="0" fontId="13" fillId="0" borderId="0"/>
    <xf numFmtId="0" fontId="83" fillId="0" borderId="0"/>
    <xf numFmtId="0" fontId="2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" fillId="0" borderId="0"/>
    <xf numFmtId="0" fontId="13" fillId="0" borderId="0">
      <alignment vertical="center"/>
    </xf>
    <xf numFmtId="0" fontId="2" fillId="0" borderId="0"/>
    <xf numFmtId="0" fontId="2" fillId="0" borderId="0"/>
    <xf numFmtId="0" fontId="13" fillId="0" borderId="0">
      <alignment vertical="center"/>
    </xf>
    <xf numFmtId="0" fontId="2" fillId="0" borderId="0"/>
    <xf numFmtId="0" fontId="2" fillId="0" borderId="0"/>
    <xf numFmtId="0" fontId="13" fillId="0" borderId="0">
      <alignment vertical="center"/>
    </xf>
    <xf numFmtId="0" fontId="2" fillId="0" borderId="0"/>
    <xf numFmtId="0" fontId="13" fillId="0" borderId="0">
      <alignment vertical="center"/>
    </xf>
    <xf numFmtId="0" fontId="13" fillId="0" borderId="0">
      <alignment vertical="center"/>
    </xf>
    <xf numFmtId="0" fontId="2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4" fillId="0" borderId="0">
      <alignment vertical="center"/>
    </xf>
    <xf numFmtId="0" fontId="2" fillId="0" borderId="0"/>
    <xf numFmtId="0" fontId="82" fillId="0" borderId="0">
      <alignment vertical="center"/>
    </xf>
    <xf numFmtId="0" fontId="2" fillId="0" borderId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</cellStyleXfs>
  <cellXfs count="59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0" xfId="0" applyFont="1" applyAlignment="1">
      <alignment horizontal="left"/>
    </xf>
    <xf numFmtId="0" fontId="2" fillId="0" borderId="8" xfId="0" applyFont="1" applyBorder="1" applyAlignment="1">
      <alignment horizontal="right"/>
    </xf>
    <xf numFmtId="0" fontId="2" fillId="0" borderId="9" xfId="0" applyFont="1" applyBorder="1" applyAlignment="1">
      <alignment horizontal="left"/>
    </xf>
    <xf numFmtId="0" fontId="0" fillId="0" borderId="9" xfId="0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6" xfId="0" applyFon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49" fontId="2" fillId="0" borderId="6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6" xfId="0" applyFont="1" applyBorder="1" applyAlignment="1">
      <alignment vertical="center"/>
    </xf>
    <xf numFmtId="0" fontId="0" fillId="0" borderId="7" xfId="0" applyBorder="1"/>
    <xf numFmtId="0" fontId="0" fillId="0" borderId="11" xfId="0" applyBorder="1"/>
    <xf numFmtId="0" fontId="4" fillId="0" borderId="0" xfId="0" applyFont="1"/>
    <xf numFmtId="0" fontId="3" fillId="0" borderId="6" xfId="0" applyFont="1" applyBorder="1"/>
    <xf numFmtId="0" fontId="2" fillId="0" borderId="7" xfId="0" applyFont="1" applyBorder="1" applyAlignment="1">
      <alignment vertical="center"/>
    </xf>
    <xf numFmtId="0" fontId="2" fillId="0" borderId="0" xfId="0" applyFont="1" applyAlignment="1">
      <alignment horizontal="right"/>
    </xf>
    <xf numFmtId="0" fontId="0" fillId="0" borderId="6" xfId="0" applyBorder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right" shrinkToFit="1"/>
    </xf>
    <xf numFmtId="0" fontId="0" fillId="0" borderId="0" xfId="0" applyAlignment="1">
      <alignment horizontal="left" vertical="center"/>
    </xf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6" fillId="0" borderId="2" xfId="25" applyFont="1" applyBorder="1" applyAlignment="1">
      <alignment horizontal="left" vertical="center" shrinkToFit="1"/>
    </xf>
    <xf numFmtId="0" fontId="6" fillId="0" borderId="0" xfId="25" applyFont="1" applyAlignment="1">
      <alignment horizontal="left" vertical="center" shrinkToFit="1"/>
    </xf>
    <xf numFmtId="0" fontId="8" fillId="0" borderId="0" xfId="25" applyFont="1" applyAlignment="1">
      <alignment vertical="center" shrinkToFit="1"/>
    </xf>
    <xf numFmtId="0" fontId="9" fillId="0" borderId="7" xfId="25" applyFont="1" applyBorder="1" applyAlignment="1">
      <alignment horizontal="left" vertical="center" shrinkToFit="1"/>
    </xf>
    <xf numFmtId="0" fontId="9" fillId="0" borderId="0" xfId="25" applyFont="1" applyAlignment="1">
      <alignment horizontal="left" vertical="center" shrinkToFit="1"/>
    </xf>
    <xf numFmtId="0" fontId="10" fillId="0" borderId="0" xfId="25" applyFont="1" applyAlignment="1">
      <alignment vertical="top" shrinkToFit="1"/>
    </xf>
    <xf numFmtId="0" fontId="11" fillId="0" borderId="0" xfId="25" applyFont="1" applyAlignment="1">
      <alignment vertical="center" shrinkToFit="1"/>
    </xf>
    <xf numFmtId="0" fontId="11" fillId="0" borderId="0" xfId="25" applyFont="1" applyAlignment="1">
      <alignment horizontal="left" vertical="center"/>
    </xf>
    <xf numFmtId="0" fontId="9" fillId="0" borderId="0" xfId="25" applyFont="1" applyAlignment="1">
      <alignment vertical="center" shrinkToFit="1"/>
    </xf>
    <xf numFmtId="0" fontId="9" fillId="0" borderId="8" xfId="25" applyFont="1" applyBorder="1" applyAlignment="1">
      <alignment horizontal="left" vertical="center" shrinkToFit="1"/>
    </xf>
    <xf numFmtId="0" fontId="9" fillId="0" borderId="9" xfId="25" applyFont="1" applyBorder="1" applyAlignment="1">
      <alignment horizontal="left" vertical="center" shrinkToFit="1"/>
    </xf>
    <xf numFmtId="0" fontId="9" fillId="0" borderId="0" xfId="25" applyFont="1" applyAlignment="1">
      <alignment horizontal="left" vertical="center"/>
    </xf>
    <xf numFmtId="0" fontId="12" fillId="0" borderId="0" xfId="25" applyFont="1"/>
    <xf numFmtId="0" fontId="13" fillId="0" borderId="0" xfId="25"/>
    <xf numFmtId="49" fontId="9" fillId="0" borderId="0" xfId="25" applyNumberFormat="1" applyFont="1" applyAlignment="1">
      <alignment vertical="center" shrinkToFit="1"/>
    </xf>
    <xf numFmtId="0" fontId="14" fillId="0" borderId="0" xfId="25" applyFont="1" applyAlignment="1">
      <alignment horizontal="center" vertical="top" shrinkToFit="1"/>
    </xf>
    <xf numFmtId="0" fontId="9" fillId="0" borderId="9" xfId="25" applyFont="1" applyBorder="1" applyAlignment="1">
      <alignment vertical="top" shrinkToFit="1"/>
    </xf>
    <xf numFmtId="0" fontId="9" fillId="0" borderId="0" xfId="25" applyFont="1" applyAlignment="1">
      <alignment horizontal="center" vertical="center" shrinkToFit="1"/>
    </xf>
    <xf numFmtId="0" fontId="9" fillId="0" borderId="9" xfId="25" applyFont="1" applyBorder="1" applyAlignment="1">
      <alignment horizontal="center" vertical="center" shrinkToFit="1"/>
    </xf>
    <xf numFmtId="49" fontId="9" fillId="0" borderId="0" xfId="25" applyNumberFormat="1" applyFont="1" applyAlignment="1">
      <alignment horizontal="center" vertical="center" shrinkToFit="1"/>
    </xf>
    <xf numFmtId="0" fontId="9" fillId="0" borderId="8" xfId="25" applyFont="1" applyBorder="1" applyAlignment="1">
      <alignment vertical="center" shrinkToFit="1"/>
    </xf>
    <xf numFmtId="0" fontId="14" fillId="0" borderId="9" xfId="25" applyFont="1" applyBorder="1" applyAlignment="1">
      <alignment horizontal="center" vertical="center" shrinkToFit="1"/>
    </xf>
    <xf numFmtId="0" fontId="9" fillId="0" borderId="2" xfId="25" applyFont="1" applyBorder="1" applyAlignment="1">
      <alignment horizontal="center" vertical="center" shrinkToFit="1"/>
    </xf>
    <xf numFmtId="14" fontId="17" fillId="0" borderId="2" xfId="25" applyNumberFormat="1" applyFont="1" applyBorder="1" applyAlignment="1">
      <alignment horizontal="left" vertical="center" shrinkToFit="1"/>
    </xf>
    <xf numFmtId="0" fontId="13" fillId="0" borderId="2" xfId="25" applyBorder="1"/>
    <xf numFmtId="0" fontId="0" fillId="0" borderId="10" xfId="0" applyBorder="1"/>
    <xf numFmtId="0" fontId="18" fillId="0" borderId="0" xfId="25" applyFont="1" applyAlignment="1">
      <alignment vertical="top" shrinkToFit="1"/>
    </xf>
    <xf numFmtId="0" fontId="17" fillId="0" borderId="0" xfId="25" applyFont="1" applyAlignment="1">
      <alignment vertical="top" shrinkToFit="1"/>
    </xf>
    <xf numFmtId="182" fontId="0" fillId="0" borderId="0" xfId="0" applyNumberFormat="1"/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horizontal="center" shrinkToFit="1"/>
    </xf>
    <xf numFmtId="0" fontId="2" fillId="0" borderId="0" xfId="0" applyFont="1" applyAlignment="1">
      <alignment horizontal="center" vertical="center" wrapText="1" shrinkToFit="1"/>
    </xf>
    <xf numFmtId="0" fontId="2" fillId="0" borderId="6" xfId="0" applyFont="1" applyBorder="1" applyAlignment="1">
      <alignment horizontal="center" shrinkToFit="1"/>
    </xf>
    <xf numFmtId="0" fontId="0" fillId="0" borderId="6" xfId="0" applyBorder="1" applyAlignment="1">
      <alignment horizontal="center" shrinkToFit="1"/>
    </xf>
    <xf numFmtId="49" fontId="0" fillId="0" borderId="6" xfId="0" applyNumberFormat="1" applyBorder="1" applyAlignment="1">
      <alignment horizontal="center" shrinkToFit="1"/>
    </xf>
    <xf numFmtId="49" fontId="2" fillId="0" borderId="6" xfId="0" applyNumberFormat="1" applyFont="1" applyBorder="1" applyAlignment="1">
      <alignment horizontal="center" shrinkToFit="1"/>
    </xf>
    <xf numFmtId="0" fontId="0" fillId="3" borderId="6" xfId="0" applyFill="1" applyBorder="1" applyAlignment="1">
      <alignment horizontal="center" shrinkToFit="1"/>
    </xf>
    <xf numFmtId="0" fontId="2" fillId="0" borderId="6" xfId="0" applyFont="1" applyBorder="1" applyAlignment="1">
      <alignment horizontal="center" wrapText="1" shrinkToFi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shrinkToFit="1"/>
    </xf>
    <xf numFmtId="0" fontId="20" fillId="4" borderId="6" xfId="9" applyFont="1" applyFill="1" applyBorder="1" applyAlignment="1">
      <alignment horizontal="left" vertical="center" shrinkToFit="1"/>
    </xf>
    <xf numFmtId="0" fontId="21" fillId="4" borderId="6" xfId="9" applyFont="1" applyFill="1" applyBorder="1" applyAlignment="1">
      <alignment horizontal="left" vertical="center" shrinkToFit="1"/>
    </xf>
    <xf numFmtId="49" fontId="21" fillId="4" borderId="6" xfId="9" applyNumberFormat="1" applyFont="1" applyFill="1" applyBorder="1" applyAlignment="1">
      <alignment horizontal="left" vertical="center" shrinkToFit="1"/>
    </xf>
    <xf numFmtId="1" fontId="21" fillId="4" borderId="6" xfId="9" applyNumberFormat="1" applyFont="1" applyFill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shrinkToFit="1"/>
    </xf>
    <xf numFmtId="0" fontId="20" fillId="4" borderId="6" xfId="9" applyFont="1" applyFill="1" applyBorder="1" applyAlignment="1">
      <alignment horizontal="center" vertical="center" shrinkToFit="1"/>
    </xf>
    <xf numFmtId="178" fontId="20" fillId="4" borderId="6" xfId="9" applyNumberFormat="1" applyFont="1" applyFill="1" applyBorder="1" applyAlignment="1">
      <alignment horizontal="center" vertical="center" shrinkToFit="1"/>
    </xf>
    <xf numFmtId="0" fontId="27" fillId="0" borderId="4" xfId="0" applyFont="1" applyBorder="1" applyAlignment="1">
      <alignment vertical="center" shrinkToFit="1"/>
    </xf>
    <xf numFmtId="0" fontId="26" fillId="0" borderId="4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center" vertical="center" shrinkToFit="1"/>
    </xf>
    <xf numFmtId="0" fontId="27" fillId="0" borderId="18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 shrinkToFit="1"/>
    </xf>
    <xf numFmtId="0" fontId="27" fillId="0" borderId="4" xfId="0" applyFont="1" applyBorder="1" applyAlignment="1">
      <alignment horizontal="center" shrinkToFit="1"/>
    </xf>
    <xf numFmtId="0" fontId="27" fillId="0" borderId="4" xfId="0" applyFont="1" applyBorder="1" applyAlignment="1">
      <alignment horizontal="right" shrinkToFit="1"/>
    </xf>
    <xf numFmtId="0" fontId="27" fillId="0" borderId="21" xfId="0" applyFont="1" applyBorder="1" applyAlignment="1">
      <alignment horizontal="center" vertical="center" shrinkToFit="1"/>
    </xf>
    <xf numFmtId="0" fontId="27" fillId="0" borderId="4" xfId="0" applyFont="1" applyBorder="1" applyAlignment="1">
      <alignment horizontal="center" vertical="center" shrinkToFit="1"/>
    </xf>
    <xf numFmtId="0" fontId="27" fillId="0" borderId="34" xfId="0" applyFont="1" applyBorder="1" applyAlignment="1">
      <alignment horizontal="center" vertical="center" shrinkToFit="1"/>
    </xf>
    <xf numFmtId="0" fontId="27" fillId="0" borderId="35" xfId="0" applyFont="1" applyBorder="1" applyAlignment="1">
      <alignment horizontal="center" vertical="center" shrinkToFit="1"/>
    </xf>
    <xf numFmtId="0" fontId="27" fillId="0" borderId="36" xfId="0" applyFont="1" applyBorder="1" applyAlignment="1">
      <alignment horizontal="center" vertical="center" shrinkToFit="1"/>
    </xf>
    <xf numFmtId="0" fontId="26" fillId="0" borderId="36" xfId="0" applyFont="1" applyBorder="1" applyAlignment="1">
      <alignment horizontal="center" vertical="center" shrinkToFit="1"/>
    </xf>
    <xf numFmtId="0" fontId="26" fillId="0" borderId="37" xfId="0" applyFont="1" applyBorder="1" applyAlignment="1">
      <alignment horizontal="center" vertical="center" shrinkToFit="1"/>
    </xf>
    <xf numFmtId="0" fontId="27" fillId="0" borderId="17" xfId="0" applyFont="1" applyBorder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7" fillId="0" borderId="0" xfId="0" applyFont="1" applyAlignment="1">
      <alignment vertical="center"/>
    </xf>
    <xf numFmtId="0" fontId="26" fillId="0" borderId="6" xfId="0" applyFont="1" applyBorder="1" applyAlignment="1">
      <alignment horizontal="center" vertical="center" shrinkToFit="1"/>
    </xf>
    <xf numFmtId="0" fontId="26" fillId="0" borderId="29" xfId="0" applyFont="1" applyBorder="1" applyAlignment="1">
      <alignment vertical="center" textRotation="90" shrinkToFit="1"/>
    </xf>
    <xf numFmtId="0" fontId="27" fillId="0" borderId="6" xfId="0" applyFont="1" applyBorder="1" applyAlignment="1">
      <alignment horizontal="center" vertical="center" shrinkToFit="1"/>
    </xf>
    <xf numFmtId="0" fontId="27" fillId="0" borderId="42" xfId="0" applyFont="1" applyBorder="1" applyAlignment="1">
      <alignment horizontal="center" vertical="center" shrinkToFit="1"/>
    </xf>
    <xf numFmtId="0" fontId="26" fillId="2" borderId="4" xfId="0" applyFont="1" applyFill="1" applyBorder="1" applyAlignment="1">
      <alignment horizontal="center" vertical="center" shrinkToFit="1"/>
    </xf>
    <xf numFmtId="0" fontId="30" fillId="0" borderId="4" xfId="0" applyFont="1" applyBorder="1" applyAlignment="1">
      <alignment horizontal="right" vertical="center" shrinkToFit="1"/>
    </xf>
    <xf numFmtId="0" fontId="27" fillId="2" borderId="0" xfId="0" applyFont="1" applyFill="1" applyAlignment="1">
      <alignment vertical="center"/>
    </xf>
    <xf numFmtId="0" fontId="33" fillId="0" borderId="0" xfId="0" applyFont="1" applyAlignment="1">
      <alignment vertical="center"/>
    </xf>
    <xf numFmtId="0" fontId="33" fillId="0" borderId="4" xfId="0" applyFont="1" applyBorder="1" applyAlignment="1">
      <alignment vertical="center" shrinkToFit="1"/>
    </xf>
    <xf numFmtId="0" fontId="35" fillId="0" borderId="0" xfId="26" applyFont="1"/>
    <xf numFmtId="0" fontId="36" fillId="0" borderId="0" xfId="26" applyFont="1"/>
    <xf numFmtId="0" fontId="35" fillId="0" borderId="0" xfId="26" applyFont="1" applyAlignment="1">
      <alignment vertical="top"/>
    </xf>
    <xf numFmtId="0" fontId="37" fillId="0" borderId="0" xfId="26" applyFont="1" applyAlignment="1">
      <alignment vertical="center"/>
    </xf>
    <xf numFmtId="0" fontId="38" fillId="0" borderId="0" xfId="26" applyFont="1" applyAlignment="1">
      <alignment vertical="center"/>
    </xf>
    <xf numFmtId="0" fontId="39" fillId="0" borderId="0" xfId="26" applyFont="1" applyAlignment="1">
      <alignment vertical="center"/>
    </xf>
    <xf numFmtId="0" fontId="35" fillId="0" borderId="0" xfId="26" applyFont="1" applyAlignment="1">
      <alignment vertical="center"/>
    </xf>
    <xf numFmtId="0" fontId="35" fillId="0" borderId="0" xfId="26" applyFont="1" applyAlignment="1">
      <alignment horizontal="left" vertical="center"/>
    </xf>
    <xf numFmtId="0" fontId="40" fillId="0" borderId="0" xfId="26" applyFont="1" applyAlignment="1">
      <alignment horizontal="centerContinuous"/>
    </xf>
    <xf numFmtId="0" fontId="35" fillId="0" borderId="0" xfId="26" applyFont="1" applyAlignment="1">
      <alignment horizontal="centerContinuous"/>
    </xf>
    <xf numFmtId="0" fontId="35" fillId="0" borderId="9" xfId="26" applyFont="1" applyBorder="1" applyAlignment="1">
      <alignment vertical="center"/>
    </xf>
    <xf numFmtId="0" fontId="43" fillId="0" borderId="0" xfId="26" applyFont="1" applyAlignment="1">
      <alignment horizontal="center" wrapText="1"/>
    </xf>
    <xf numFmtId="0" fontId="39" fillId="0" borderId="0" xfId="26" applyFont="1" applyAlignment="1">
      <alignment horizontal="center" wrapText="1"/>
    </xf>
    <xf numFmtId="0" fontId="37" fillId="0" borderId="0" xfId="26" applyFont="1" applyAlignment="1">
      <alignment horizontal="left"/>
    </xf>
    <xf numFmtId="0" fontId="37" fillId="0" borderId="0" xfId="26" applyFont="1"/>
    <xf numFmtId="0" fontId="38" fillId="0" borderId="6" xfId="26" applyFont="1" applyBorder="1" applyAlignment="1">
      <alignment horizontal="center" vertical="center"/>
    </xf>
    <xf numFmtId="0" fontId="39" fillId="0" borderId="6" xfId="26" applyFont="1" applyBorder="1" applyAlignment="1">
      <alignment horizontal="center" vertical="center"/>
    </xf>
    <xf numFmtId="0" fontId="36" fillId="0" borderId="0" xfId="26" applyFont="1" applyAlignment="1">
      <alignment vertical="center"/>
    </xf>
    <xf numFmtId="0" fontId="36" fillId="0" borderId="9" xfId="26" applyFont="1" applyBorder="1" applyAlignment="1">
      <alignment vertical="center"/>
    </xf>
    <xf numFmtId="0" fontId="44" fillId="0" borderId="0" xfId="26" applyFont="1" applyAlignment="1">
      <alignment horizontal="right"/>
    </xf>
    <xf numFmtId="0" fontId="36" fillId="0" borderId="0" xfId="26" applyFont="1" applyAlignment="1">
      <alignment horizontal="left"/>
    </xf>
    <xf numFmtId="20" fontId="39" fillId="0" borderId="0" xfId="26" applyNumberFormat="1" applyFont="1" applyAlignment="1">
      <alignment horizontal="right" wrapText="1"/>
    </xf>
    <xf numFmtId="0" fontId="38" fillId="0" borderId="0" xfId="26" applyFont="1" applyAlignment="1">
      <alignment horizontal="left" vertical="center"/>
    </xf>
    <xf numFmtId="0" fontId="47" fillId="0" borderId="0" xfId="26" applyFont="1" applyAlignment="1">
      <alignment vertical="center"/>
    </xf>
    <xf numFmtId="3" fontId="38" fillId="0" borderId="6" xfId="26" applyNumberFormat="1" applyFont="1" applyBorder="1" applyAlignment="1">
      <alignment horizontal="center" vertical="center" wrapText="1"/>
    </xf>
    <xf numFmtId="0" fontId="38" fillId="0" borderId="6" xfId="26" applyFont="1" applyBorder="1" applyAlignment="1" applyProtection="1">
      <alignment horizontal="center" vertical="center" wrapText="1"/>
      <protection locked="0" hidden="1"/>
    </xf>
    <xf numFmtId="0" fontId="48" fillId="0" borderId="6" xfId="26" applyFont="1" applyBorder="1" applyAlignment="1" applyProtection="1">
      <alignment horizontal="center" vertical="center" wrapText="1"/>
      <protection locked="0" hidden="1"/>
    </xf>
    <xf numFmtId="3" fontId="37" fillId="0" borderId="6" xfId="26" applyNumberFormat="1" applyFont="1" applyBorder="1" applyAlignment="1">
      <alignment horizontal="right" vertical="center"/>
    </xf>
    <xf numFmtId="3" fontId="37" fillId="0" borderId="6" xfId="26" applyNumberFormat="1" applyFont="1" applyBorder="1" applyAlignment="1">
      <alignment horizontal="center" vertical="center"/>
    </xf>
    <xf numFmtId="0" fontId="39" fillId="0" borderId="6" xfId="26" applyFont="1" applyBorder="1" applyAlignment="1">
      <alignment horizontal="right" vertical="center"/>
    </xf>
    <xf numFmtId="0" fontId="37" fillId="0" borderId="6" xfId="26" applyFont="1" applyBorder="1" applyAlignment="1" applyProtection="1">
      <alignment horizontal="right" vertical="center"/>
      <protection locked="0" hidden="1"/>
    </xf>
    <xf numFmtId="0" fontId="35" fillId="0" borderId="0" xfId="26" applyFont="1" applyAlignment="1">
      <alignment horizontal="left"/>
    </xf>
    <xf numFmtId="0" fontId="35" fillId="0" borderId="0" xfId="26" applyFont="1" applyAlignment="1">
      <alignment horizontal="left" vertical="top"/>
    </xf>
    <xf numFmtId="0" fontId="37" fillId="0" borderId="0" xfId="26" applyFont="1" applyAlignment="1">
      <alignment horizontal="left" vertical="center"/>
    </xf>
    <xf numFmtId="0" fontId="49" fillId="0" borderId="0" xfId="26" applyFont="1" applyAlignment="1">
      <alignment horizontal="left" vertical="center"/>
    </xf>
    <xf numFmtId="0" fontId="50" fillId="0" borderId="0" xfId="26" applyFont="1" applyAlignment="1">
      <alignment horizontal="left" vertical="center"/>
    </xf>
    <xf numFmtId="0" fontId="39" fillId="0" borderId="0" xfId="26" applyFont="1" applyAlignment="1">
      <alignment horizontal="left" vertical="center"/>
    </xf>
    <xf numFmtId="0" fontId="39" fillId="0" borderId="6" xfId="26" applyFont="1" applyBorder="1" applyAlignment="1">
      <alignment horizontal="left" vertical="center"/>
    </xf>
    <xf numFmtId="0" fontId="50" fillId="0" borderId="0" xfId="26" applyFont="1" applyAlignment="1">
      <alignment vertical="center"/>
    </xf>
    <xf numFmtId="0" fontId="39" fillId="0" borderId="6" xfId="26" applyFont="1" applyBorder="1" applyAlignment="1">
      <alignment vertical="center"/>
    </xf>
    <xf numFmtId="0" fontId="39" fillId="0" borderId="0" xfId="26" applyFont="1" applyAlignment="1">
      <alignment horizontal="center" vertical="center"/>
    </xf>
    <xf numFmtId="0" fontId="37" fillId="0" borderId="0" xfId="93" applyFont="1" applyAlignment="1">
      <alignment horizontal="center" vertical="center" wrapText="1"/>
    </xf>
    <xf numFmtId="0" fontId="37" fillId="0" borderId="0" xfId="15" applyFont="1" applyAlignment="1">
      <alignment horizontal="left" vertical="center"/>
    </xf>
    <xf numFmtId="3" fontId="37" fillId="0" borderId="0" xfId="26" applyNumberFormat="1" applyFont="1" applyAlignment="1">
      <alignment horizontal="right" vertical="center"/>
    </xf>
    <xf numFmtId="3" fontId="37" fillId="0" borderId="0" xfId="26" applyNumberFormat="1" applyFont="1" applyAlignment="1">
      <alignment horizontal="center" vertical="center"/>
    </xf>
    <xf numFmtId="0" fontId="43" fillId="0" borderId="0" xfId="26" applyFont="1" applyAlignment="1">
      <alignment horizontal="right" vertical="center"/>
    </xf>
    <xf numFmtId="0" fontId="37" fillId="0" borderId="0" xfId="26" applyFont="1" applyAlignment="1" applyProtection="1">
      <alignment horizontal="right" vertical="center"/>
      <protection locked="0" hidden="1"/>
    </xf>
    <xf numFmtId="0" fontId="51" fillId="0" borderId="0" xfId="26" applyFont="1" applyAlignment="1">
      <alignment vertical="center"/>
    </xf>
    <xf numFmtId="0" fontId="52" fillId="0" borderId="0" xfId="26" applyFont="1" applyAlignment="1" applyProtection="1">
      <alignment horizontal="right" vertical="center"/>
      <protection locked="0" hidden="1"/>
    </xf>
    <xf numFmtId="0" fontId="52" fillId="0" borderId="0" xfId="26" applyFont="1" applyAlignment="1">
      <alignment vertical="center"/>
    </xf>
    <xf numFmtId="0" fontId="53" fillId="0" borderId="0" xfId="26" applyFont="1" applyAlignment="1">
      <alignment vertical="center"/>
    </xf>
    <xf numFmtId="0" fontId="35" fillId="0" borderId="60" xfId="26" applyFont="1" applyBorder="1" applyAlignment="1">
      <alignment vertical="center"/>
    </xf>
    <xf numFmtId="0" fontId="52" fillId="0" borderId="61" xfId="26" applyFont="1" applyBorder="1" applyAlignment="1">
      <alignment vertical="center"/>
    </xf>
    <xf numFmtId="3" fontId="38" fillId="0" borderId="62" xfId="26" applyNumberFormat="1" applyFont="1" applyBorder="1" applyAlignment="1">
      <alignment horizontal="center" vertical="center"/>
    </xf>
    <xf numFmtId="183" fontId="38" fillId="0" borderId="63" xfId="26" applyNumberFormat="1" applyFont="1" applyBorder="1" applyAlignment="1">
      <alignment horizontal="right" vertical="center"/>
    </xf>
    <xf numFmtId="0" fontId="54" fillId="0" borderId="0" xfId="26" applyFont="1" applyAlignment="1">
      <alignment vertical="center"/>
    </xf>
    <xf numFmtId="0" fontId="44" fillId="0" borderId="0" xfId="26" applyFont="1" applyAlignment="1">
      <alignment vertical="center"/>
    </xf>
    <xf numFmtId="0" fontId="20" fillId="4" borderId="6" xfId="9" applyNumberFormat="1" applyFont="1" applyFill="1" applyBorder="1" applyAlignment="1">
      <alignment horizontal="center" vertical="center" wrapText="1"/>
    </xf>
    <xf numFmtId="0" fontId="20" fillId="2" borderId="6" xfId="9" applyNumberFormat="1" applyFont="1" applyFill="1" applyBorder="1" applyAlignment="1">
      <alignment horizontal="center" vertical="center" wrapText="1"/>
    </xf>
    <xf numFmtId="0" fontId="20" fillId="4" borderId="6" xfId="9" applyNumberFormat="1" applyFont="1" applyFill="1" applyBorder="1" applyAlignment="1">
      <alignment horizontal="right" vertical="center" wrapText="1"/>
    </xf>
    <xf numFmtId="0" fontId="20" fillId="4" borderId="6" xfId="9" applyNumberFormat="1" applyFont="1" applyFill="1" applyBorder="1" applyAlignment="1">
      <alignment horizontal="left" vertical="center" wrapText="1"/>
    </xf>
    <xf numFmtId="0" fontId="21" fillId="4" borderId="6" xfId="9" applyNumberFormat="1" applyFont="1" applyFill="1" applyBorder="1" applyAlignment="1">
      <alignment horizontal="left" vertical="center" wrapText="1"/>
    </xf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 vertical="center"/>
    </xf>
    <xf numFmtId="0" fontId="66" fillId="0" borderId="0" xfId="0" applyFont="1" applyAlignment="1">
      <alignment horizontal="left" vertical="center"/>
    </xf>
    <xf numFmtId="0" fontId="36" fillId="12" borderId="6" xfId="0" applyFont="1" applyFill="1" applyBorder="1" applyAlignment="1">
      <alignment horizontal="center"/>
    </xf>
    <xf numFmtId="0" fontId="36" fillId="13" borderId="5" xfId="0" applyFont="1" applyFill="1" applyBorder="1" applyAlignment="1">
      <alignment horizontal="center"/>
    </xf>
    <xf numFmtId="0" fontId="36" fillId="13" borderId="6" xfId="0" applyFont="1" applyFill="1" applyBorder="1" applyAlignment="1">
      <alignment horizontal="center"/>
    </xf>
    <xf numFmtId="0" fontId="67" fillId="0" borderId="0" xfId="5" applyFont="1" applyAlignment="1" applyProtection="1">
      <alignment vertical="center"/>
    </xf>
    <xf numFmtId="0" fontId="46" fillId="0" borderId="0" xfId="0" applyFont="1" applyAlignment="1">
      <alignment horizontal="left"/>
    </xf>
    <xf numFmtId="0" fontId="36" fillId="5" borderId="6" xfId="0" applyFont="1" applyFill="1" applyBorder="1" applyAlignment="1">
      <alignment horizontal="left"/>
    </xf>
    <xf numFmtId="0" fontId="67" fillId="0" borderId="0" xfId="5" applyFont="1" applyAlignment="1" applyProtection="1"/>
    <xf numFmtId="0" fontId="46" fillId="6" borderId="6" xfId="0" applyFont="1" applyFill="1" applyBorder="1" applyAlignment="1">
      <alignment horizontal="left"/>
    </xf>
    <xf numFmtId="0" fontId="46" fillId="7" borderId="6" xfId="0" applyFont="1" applyFill="1" applyBorder="1" applyAlignment="1">
      <alignment horizontal="left"/>
    </xf>
    <xf numFmtId="1" fontId="46" fillId="0" borderId="0" xfId="24" applyNumberFormat="1" applyFont="1" applyAlignment="1">
      <alignment horizontal="left" vertical="center" wrapText="1"/>
    </xf>
    <xf numFmtId="1" fontId="46" fillId="8" borderId="6" xfId="24" applyNumberFormat="1" applyFont="1" applyFill="1" applyBorder="1" applyAlignment="1">
      <alignment horizontal="left" vertical="center" wrapText="1"/>
    </xf>
    <xf numFmtId="0" fontId="36" fillId="9" borderId="6" xfId="0" applyFont="1" applyFill="1" applyBorder="1" applyAlignment="1">
      <alignment horizontal="left"/>
    </xf>
    <xf numFmtId="0" fontId="36" fillId="10" borderId="6" xfId="0" applyFont="1" applyFill="1" applyBorder="1" applyAlignment="1">
      <alignment horizontal="left"/>
    </xf>
    <xf numFmtId="0" fontId="67" fillId="0" borderId="0" xfId="5" applyFont="1" applyAlignment="1" applyProtection="1">
      <alignment horizontal="left"/>
    </xf>
    <xf numFmtId="0" fontId="36" fillId="6" borderId="6" xfId="0" applyFont="1" applyFill="1" applyBorder="1" applyAlignment="1">
      <alignment horizontal="center"/>
    </xf>
    <xf numFmtId="0" fontId="36" fillId="0" borderId="0" xfId="0" applyFont="1" applyAlignment="1" applyProtection="1">
      <alignment horizontal="center" vertical="center"/>
      <protection hidden="1"/>
    </xf>
    <xf numFmtId="0" fontId="36" fillId="14" borderId="0" xfId="0" applyFont="1" applyFill="1"/>
    <xf numFmtId="0" fontId="36" fillId="0" borderId="0" xfId="0" applyFont="1" applyAlignment="1" applyProtection="1">
      <alignment horizontal="center" vertical="center" wrapText="1"/>
      <protection hidden="1"/>
    </xf>
    <xf numFmtId="0" fontId="36" fillId="7" borderId="6" xfId="0" applyFont="1" applyFill="1" applyBorder="1" applyAlignment="1">
      <alignment horizontal="center"/>
    </xf>
    <xf numFmtId="0" fontId="36" fillId="15" borderId="6" xfId="0" applyFont="1" applyFill="1" applyBorder="1" applyAlignment="1">
      <alignment horizontal="center"/>
    </xf>
    <xf numFmtId="1" fontId="36" fillId="15" borderId="6" xfId="24" applyNumberFormat="1" applyFont="1" applyFill="1" applyBorder="1" applyAlignment="1">
      <alignment horizontal="center" vertical="center" wrapText="1"/>
    </xf>
    <xf numFmtId="0" fontId="36" fillId="9" borderId="6" xfId="0" applyFont="1" applyFill="1" applyBorder="1" applyAlignment="1">
      <alignment horizontal="center"/>
    </xf>
    <xf numFmtId="0" fontId="36" fillId="9" borderId="28" xfId="0" applyFont="1" applyFill="1" applyBorder="1" applyAlignment="1">
      <alignment horizontal="center"/>
    </xf>
    <xf numFmtId="1" fontId="36" fillId="0" borderId="0" xfId="24" applyNumberFormat="1" applyFont="1" applyAlignment="1">
      <alignment vertical="center" wrapText="1"/>
    </xf>
    <xf numFmtId="0" fontId="68" fillId="0" borderId="0" xfId="0" applyFont="1" applyAlignment="1">
      <alignment horizontal="left"/>
    </xf>
    <xf numFmtId="0" fontId="36" fillId="10" borderId="6" xfId="0" applyFont="1" applyFill="1" applyBorder="1" applyAlignment="1">
      <alignment horizontal="center"/>
    </xf>
    <xf numFmtId="0" fontId="69" fillId="0" borderId="0" xfId="0" applyFont="1"/>
    <xf numFmtId="0" fontId="70" fillId="0" borderId="0" xfId="0" applyFont="1"/>
    <xf numFmtId="0" fontId="46" fillId="8" borderId="27" xfId="0" applyFont="1" applyFill="1" applyBorder="1" applyAlignment="1">
      <alignment horizontal="center"/>
    </xf>
    <xf numFmtId="10" fontId="36" fillId="0" borderId="0" xfId="0" applyNumberFormat="1" applyFont="1"/>
    <xf numFmtId="0" fontId="36" fillId="8" borderId="27" xfId="0" applyFont="1" applyFill="1" applyBorder="1" applyAlignment="1">
      <alignment horizontal="center"/>
    </xf>
    <xf numFmtId="0" fontId="71" fillId="2" borderId="0" xfId="0" applyFont="1" applyFill="1" applyAlignment="1" applyProtection="1">
      <alignment horizontal="center" vertical="center"/>
      <protection hidden="1"/>
    </xf>
    <xf numFmtId="0" fontId="71" fillId="2" borderId="0" xfId="0" applyFont="1" applyFill="1" applyAlignment="1" applyProtection="1">
      <alignment vertical="center"/>
      <protection hidden="1"/>
    </xf>
    <xf numFmtId="0" fontId="71" fillId="2" borderId="0" xfId="0" applyFont="1" applyFill="1" applyProtection="1">
      <protection hidden="1"/>
    </xf>
    <xf numFmtId="0" fontId="68" fillId="0" borderId="0" xfId="0" applyFont="1"/>
    <xf numFmtId="0" fontId="72" fillId="0" borderId="0" xfId="0" applyFont="1" applyAlignment="1" applyProtection="1">
      <alignment vertical="center"/>
      <protection hidden="1"/>
    </xf>
    <xf numFmtId="0" fontId="36" fillId="0" borderId="0" xfId="0" applyFont="1" applyProtection="1">
      <protection hidden="1"/>
    </xf>
    <xf numFmtId="0" fontId="71" fillId="14" borderId="0" xfId="0" applyFont="1" applyFill="1" applyAlignment="1" applyProtection="1">
      <alignment horizontal="center" vertical="center"/>
      <protection hidden="1"/>
    </xf>
    <xf numFmtId="0" fontId="71" fillId="2" borderId="0" xfId="0" applyFont="1" applyFill="1" applyAlignment="1" applyProtection="1">
      <alignment horizontal="left"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73" fillId="0" borderId="0" xfId="0" applyFont="1" applyAlignment="1" applyProtection="1">
      <alignment vertical="center"/>
      <protection hidden="1"/>
    </xf>
    <xf numFmtId="0" fontId="74" fillId="0" borderId="0" xfId="0" applyFont="1" applyAlignment="1" applyProtection="1">
      <alignment vertical="center"/>
      <protection hidden="1"/>
    </xf>
    <xf numFmtId="0" fontId="75" fillId="14" borderId="0" xfId="0" applyFont="1" applyFill="1" applyAlignment="1" applyProtection="1">
      <alignment horizontal="left" vertical="center"/>
      <protection hidden="1"/>
    </xf>
    <xf numFmtId="0" fontId="72" fillId="0" borderId="0" xfId="0" applyFont="1" applyProtection="1">
      <protection hidden="1"/>
    </xf>
    <xf numFmtId="0" fontId="68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69" fillId="0" borderId="0" xfId="0" applyFont="1" applyAlignment="1">
      <alignment horizontal="center" vertical="center"/>
    </xf>
    <xf numFmtId="0" fontId="29" fillId="0" borderId="4" xfId="0" quotePrefix="1" applyFont="1" applyBorder="1" applyAlignment="1">
      <alignment horizontal="center" vertical="center" shrinkToFit="1"/>
    </xf>
    <xf numFmtId="0" fontId="109" fillId="0" borderId="0" xfId="28" applyFont="1" applyAlignment="1"/>
    <xf numFmtId="0" fontId="109" fillId="2" borderId="0" xfId="28" applyFont="1" applyFill="1" applyAlignment="1"/>
    <xf numFmtId="0" fontId="110" fillId="0" borderId="0" xfId="0" applyFont="1" applyAlignment="1">
      <alignment horizontal="left" vertical="center" shrinkToFit="1"/>
    </xf>
    <xf numFmtId="0" fontId="110" fillId="2" borderId="0" xfId="0" applyFont="1" applyFill="1" applyAlignment="1">
      <alignment vertical="center" shrinkToFit="1"/>
    </xf>
    <xf numFmtId="0" fontId="110" fillId="0" borderId="0" xfId="0" applyFont="1" applyAlignment="1">
      <alignment vertical="center" shrinkToFit="1"/>
    </xf>
    <xf numFmtId="0" fontId="109" fillId="0" borderId="0" xfId="28" applyFont="1" applyAlignment="1">
      <alignment horizontal="left"/>
    </xf>
    <xf numFmtId="0" fontId="22" fillId="0" borderId="6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59" fillId="0" borderId="0" xfId="0" applyFont="1" applyAlignment="1">
      <alignment vertical="center"/>
    </xf>
    <xf numFmtId="0" fontId="22" fillId="0" borderId="0" xfId="24" applyFont="1" applyAlignment="1">
      <alignment horizontal="left" vertical="center" wrapText="1"/>
    </xf>
    <xf numFmtId="0" fontId="22" fillId="0" borderId="6" xfId="0" applyFont="1" applyBorder="1" applyAlignment="1">
      <alignment vertical="center"/>
    </xf>
    <xf numFmtId="0" fontId="22" fillId="0" borderId="4" xfId="0" applyFont="1" applyBorder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60" fillId="0" borderId="0" xfId="5" applyNumberFormat="1" applyFill="1" applyAlignment="1" applyProtection="1">
      <alignment horizontal="left" vertical="center"/>
    </xf>
    <xf numFmtId="0" fontId="22" fillId="0" borderId="0" xfId="5" applyNumberFormat="1" applyFont="1" applyFill="1" applyAlignment="1" applyProtection="1">
      <alignment horizontal="right" vertical="center"/>
    </xf>
    <xf numFmtId="0" fontId="22" fillId="0" borderId="0" xfId="5" applyNumberFormat="1" applyFont="1" applyFill="1" applyAlignment="1" applyProtection="1">
      <alignment horizontal="left" vertical="center"/>
    </xf>
    <xf numFmtId="0" fontId="64" fillId="0" borderId="0" xfId="5" applyNumberFormat="1" applyFont="1" applyFill="1" applyAlignment="1" applyProtection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55" fillId="0" borderId="6" xfId="0" applyFont="1" applyBorder="1" applyAlignment="1">
      <alignment vertical="center"/>
    </xf>
    <xf numFmtId="0" fontId="61" fillId="0" borderId="6" xfId="0" applyFont="1" applyBorder="1" applyAlignment="1">
      <alignment vertical="center"/>
    </xf>
    <xf numFmtId="0" fontId="62" fillId="0" borderId="6" xfId="0" applyFont="1" applyBorder="1" applyAlignment="1">
      <alignment vertical="center"/>
    </xf>
    <xf numFmtId="0" fontId="63" fillId="0" borderId="5" xfId="0" applyFont="1" applyBorder="1" applyAlignment="1">
      <alignment horizontal="center" vertical="center"/>
    </xf>
    <xf numFmtId="0" fontId="63" fillId="8" borderId="3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0" borderId="6" xfId="0" applyFont="1" applyBorder="1" applyAlignment="1">
      <alignment horizontal="center" vertical="center"/>
    </xf>
    <xf numFmtId="0" fontId="63" fillId="0" borderId="6" xfId="15" applyFont="1" applyBorder="1" applyAlignment="1">
      <alignment horizontal="center" vertical="center" wrapText="1"/>
    </xf>
    <xf numFmtId="0" fontId="63" fillId="0" borderId="6" xfId="24" applyFont="1" applyBorder="1" applyAlignment="1">
      <alignment horizontal="center" vertical="center" wrapText="1"/>
    </xf>
    <xf numFmtId="0" fontId="63" fillId="0" borderId="6" xfId="0" applyFont="1" applyBorder="1" applyAlignment="1">
      <alignment horizontal="center" vertical="center" wrapText="1"/>
    </xf>
    <xf numFmtId="0" fontId="55" fillId="0" borderId="6" xfId="15" applyFont="1" applyBorder="1" applyAlignment="1">
      <alignment horizontal="center" vertical="center" wrapText="1"/>
    </xf>
    <xf numFmtId="0" fontId="63" fillId="0" borderId="29" xfId="15" applyFont="1" applyBorder="1" applyAlignment="1">
      <alignment horizontal="center" vertical="center" wrapText="1"/>
    </xf>
    <xf numFmtId="0" fontId="63" fillId="0" borderId="6" xfId="15" applyFont="1" applyBorder="1" applyAlignment="1">
      <alignment vertical="center" wrapText="1"/>
    </xf>
    <xf numFmtId="0" fontId="21" fillId="4" borderId="6" xfId="9" applyNumberFormat="1" applyFont="1" applyFill="1" applyBorder="1" applyAlignment="1">
      <alignment horizontal="center" vertical="center" wrapText="1"/>
    </xf>
    <xf numFmtId="0" fontId="20" fillId="4" borderId="6" xfId="9" applyNumberFormat="1" applyFont="1" applyFill="1" applyBorder="1" applyAlignment="1">
      <alignment vertical="center" wrapText="1"/>
    </xf>
    <xf numFmtId="0" fontId="21" fillId="4" borderId="6" xfId="9" applyNumberFormat="1" applyFont="1" applyFill="1" applyBorder="1" applyAlignment="1">
      <alignment horizontal="center" vertical="center" shrinkToFit="1"/>
    </xf>
    <xf numFmtId="0" fontId="20" fillId="4" borderId="6" xfId="9" applyNumberFormat="1" applyFont="1" applyFill="1" applyBorder="1" applyAlignment="1">
      <alignment horizontal="center" vertical="center" shrinkToFit="1"/>
    </xf>
    <xf numFmtId="0" fontId="21" fillId="4" borderId="6" xfId="9" applyNumberFormat="1" applyFont="1" applyFill="1" applyBorder="1" applyAlignment="1">
      <alignment vertical="center" wrapText="1"/>
    </xf>
    <xf numFmtId="0" fontId="20" fillId="4" borderId="6" xfId="99" applyNumberFormat="1" applyFont="1" applyFill="1" applyBorder="1" applyAlignment="1">
      <alignment horizontal="center" vertical="center" wrapText="1"/>
    </xf>
    <xf numFmtId="0" fontId="20" fillId="4" borderId="6" xfId="9" applyNumberFormat="1" applyFont="1" applyFill="1" applyBorder="1" applyAlignment="1">
      <alignment horizontal="center" vertical="center"/>
    </xf>
    <xf numFmtId="0" fontId="20" fillId="4" borderId="6" xfId="9" applyNumberFormat="1" applyFont="1" applyFill="1" applyBorder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5" fillId="0" borderId="6" xfId="0" applyFont="1" applyBorder="1" applyAlignment="1">
      <alignment horizontal="center" vertical="center" wrapText="1"/>
    </xf>
    <xf numFmtId="184" fontId="20" fillId="4" borderId="6" xfId="9" applyNumberFormat="1" applyFont="1" applyFill="1" applyBorder="1" applyAlignment="1">
      <alignment horizontal="center" vertical="center"/>
    </xf>
    <xf numFmtId="0" fontId="19" fillId="0" borderId="4" xfId="0" applyFont="1" applyBorder="1" applyAlignment="1">
      <alignment vertical="center" wrapText="1"/>
    </xf>
    <xf numFmtId="0" fontId="19" fillId="0" borderId="5" xfId="0" applyFont="1" applyBorder="1" applyAlignment="1">
      <alignment vertical="center" wrapText="1"/>
    </xf>
    <xf numFmtId="0" fontId="5" fillId="0" borderId="0" xfId="0" applyFont="1"/>
    <xf numFmtId="0" fontId="2" fillId="0" borderId="0" xfId="0" applyFont="1" applyAlignment="1">
      <alignment horizontal="center" shrinkToFit="1"/>
    </xf>
    <xf numFmtId="0" fontId="111" fillId="4" borderId="6" xfId="9" applyNumberFormat="1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7" fillId="0" borderId="29" xfId="26" applyFont="1" applyBorder="1" applyAlignment="1" applyProtection="1">
      <alignment horizontal="center" vertical="center" textRotation="255"/>
      <protection locked="0" hidden="1"/>
    </xf>
    <xf numFmtId="0" fontId="66" fillId="0" borderId="0" xfId="0" applyFont="1" applyAlignment="1">
      <alignment horizontal="left" vertical="center"/>
    </xf>
    <xf numFmtId="0" fontId="117" fillId="0" borderId="29" xfId="0" applyFont="1" applyBorder="1" applyAlignment="1">
      <alignment horizontal="center" vertical="center"/>
    </xf>
    <xf numFmtId="0" fontId="117" fillId="0" borderId="27" xfId="0" applyFont="1" applyBorder="1" applyAlignment="1">
      <alignment horizontal="center" vertical="center"/>
    </xf>
    <xf numFmtId="0" fontId="117" fillId="0" borderId="28" xfId="0" applyFont="1" applyBorder="1" applyAlignment="1">
      <alignment horizontal="center" vertical="center"/>
    </xf>
    <xf numFmtId="0" fontId="117" fillId="0" borderId="6" xfId="0" applyFont="1" applyBorder="1" applyAlignment="1">
      <alignment horizontal="center" vertical="center"/>
    </xf>
    <xf numFmtId="0" fontId="63" fillId="0" borderId="6" xfId="15" applyFont="1" applyBorder="1" applyAlignment="1">
      <alignment horizontal="center" vertical="center" wrapText="1"/>
    </xf>
    <xf numFmtId="0" fontId="65" fillId="0" borderId="6" xfId="15" applyFont="1" applyBorder="1" applyAlignment="1">
      <alignment horizontal="center" vertical="center" wrapText="1"/>
    </xf>
    <xf numFmtId="0" fontId="63" fillId="0" borderId="1" xfId="24" applyFont="1" applyBorder="1" applyAlignment="1">
      <alignment horizontal="center" vertical="center" wrapText="1"/>
    </xf>
    <xf numFmtId="0" fontId="63" fillId="0" borderId="10" xfId="24" applyFont="1" applyBorder="1" applyAlignment="1">
      <alignment horizontal="center" vertical="center" wrapText="1"/>
    </xf>
    <xf numFmtId="0" fontId="63" fillId="0" borderId="8" xfId="24" applyFont="1" applyBorder="1" applyAlignment="1">
      <alignment horizontal="center" vertical="center" wrapText="1"/>
    </xf>
    <xf numFmtId="0" fontId="63" fillId="0" borderId="12" xfId="24" applyFont="1" applyBorder="1" applyAlignment="1">
      <alignment horizontal="center" vertical="center" wrapText="1"/>
    </xf>
    <xf numFmtId="0" fontId="63" fillId="0" borderId="6" xfId="24" applyFont="1" applyBorder="1" applyAlignment="1">
      <alignment horizontal="center" vertical="center" wrapText="1"/>
    </xf>
    <xf numFmtId="0" fontId="63" fillId="0" borderId="29" xfId="15" applyFont="1" applyBorder="1" applyAlignment="1">
      <alignment horizontal="center" vertical="center" wrapText="1"/>
    </xf>
    <xf numFmtId="0" fontId="63" fillId="0" borderId="28" xfId="15" applyFont="1" applyBorder="1" applyAlignment="1">
      <alignment horizontal="center" vertical="center" wrapText="1"/>
    </xf>
    <xf numFmtId="0" fontId="65" fillId="0" borderId="6" xfId="24" applyFont="1" applyBorder="1" applyAlignment="1">
      <alignment horizontal="center" vertical="center" wrapText="1"/>
    </xf>
    <xf numFmtId="0" fontId="63" fillId="0" borderId="3" xfId="24" applyFont="1" applyBorder="1" applyAlignment="1">
      <alignment horizontal="center" vertical="center" wrapText="1"/>
    </xf>
    <xf numFmtId="0" fontId="63" fillId="0" borderId="4" xfId="24" applyFont="1" applyBorder="1" applyAlignment="1">
      <alignment horizontal="center" vertical="center" wrapText="1"/>
    </xf>
    <xf numFmtId="0" fontId="63" fillId="0" borderId="5" xfId="24" applyFont="1" applyBorder="1" applyAlignment="1">
      <alignment horizontal="center" vertical="center" wrapText="1"/>
    </xf>
    <xf numFmtId="0" fontId="63" fillId="10" borderId="3" xfId="6" applyFont="1" applyFill="1" applyBorder="1" applyAlignment="1">
      <alignment horizontal="center" vertical="center"/>
    </xf>
    <xf numFmtId="0" fontId="63" fillId="10" borderId="5" xfId="6" applyFont="1" applyFill="1" applyBorder="1" applyAlignment="1">
      <alignment horizontal="center" vertical="center"/>
    </xf>
    <xf numFmtId="0" fontId="65" fillId="10" borderId="3" xfId="0" applyFont="1" applyFill="1" applyBorder="1" applyAlignment="1">
      <alignment horizontal="center" vertical="center"/>
    </xf>
    <xf numFmtId="0" fontId="65" fillId="10" borderId="4" xfId="0" applyFont="1" applyFill="1" applyBorder="1" applyAlignment="1">
      <alignment horizontal="center" vertical="center"/>
    </xf>
    <xf numFmtId="0" fontId="63" fillId="10" borderId="5" xfId="0" applyFont="1" applyFill="1" applyBorder="1" applyAlignment="1">
      <alignment horizontal="center" vertical="center"/>
    </xf>
    <xf numFmtId="0" fontId="63" fillId="0" borderId="3" xfId="0" applyFont="1" applyBorder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0" fontId="63" fillId="0" borderId="5" xfId="0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0" fontId="65" fillId="11" borderId="1" xfId="15" applyFont="1" applyFill="1" applyBorder="1" applyAlignment="1">
      <alignment horizontal="center" vertical="center" wrapText="1"/>
    </xf>
    <xf numFmtId="0" fontId="63" fillId="11" borderId="10" xfId="15" applyFont="1" applyFill="1" applyBorder="1" applyAlignment="1">
      <alignment horizontal="center" vertical="center" wrapText="1"/>
    </xf>
    <xf numFmtId="0" fontId="63" fillId="0" borderId="29" xfId="24" applyFont="1" applyBorder="1" applyAlignment="1">
      <alignment horizontal="center" vertical="center" wrapText="1"/>
    </xf>
    <xf numFmtId="0" fontId="63" fillId="0" borderId="28" xfId="24" applyFont="1" applyBorder="1" applyAlignment="1">
      <alignment horizontal="center" vertical="center" wrapText="1"/>
    </xf>
    <xf numFmtId="0" fontId="63" fillId="9" borderId="3" xfId="0" applyFont="1" applyFill="1" applyBorder="1" applyAlignment="1">
      <alignment horizontal="center" vertical="center"/>
    </xf>
    <xf numFmtId="0" fontId="63" fillId="9" borderId="4" xfId="0" applyFont="1" applyFill="1" applyBorder="1" applyAlignment="1">
      <alignment horizontal="center" vertical="center"/>
    </xf>
    <xf numFmtId="0" fontId="63" fillId="9" borderId="5" xfId="0" applyFont="1" applyFill="1" applyBorder="1" applyAlignment="1">
      <alignment horizontal="center" vertical="center"/>
    </xf>
    <xf numFmtId="0" fontId="63" fillId="10" borderId="3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" xfId="15" applyFont="1" applyFill="1" applyBorder="1" applyAlignment="1">
      <alignment horizontal="center" vertical="center" wrapText="1"/>
    </xf>
    <xf numFmtId="0" fontId="65" fillId="10" borderId="6" xfId="0" applyFont="1" applyFill="1" applyBorder="1" applyAlignment="1">
      <alignment horizontal="center" vertical="center"/>
    </xf>
    <xf numFmtId="0" fontId="63" fillId="10" borderId="6" xfId="0" applyFont="1" applyFill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6" xfId="0" applyFont="1" applyBorder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63" fillId="5" borderId="3" xfId="0" applyFont="1" applyFill="1" applyBorder="1" applyAlignment="1">
      <alignment horizontal="center" vertical="center"/>
    </xf>
    <xf numFmtId="0" fontId="63" fillId="5" borderId="4" xfId="0" applyFont="1" applyFill="1" applyBorder="1" applyAlignment="1">
      <alignment horizontal="center" vertical="center"/>
    </xf>
    <xf numFmtId="0" fontId="63" fillId="5" borderId="5" xfId="0" applyFont="1" applyFill="1" applyBorder="1" applyAlignment="1">
      <alignment horizontal="center" vertical="center"/>
    </xf>
    <xf numFmtId="0" fontId="63" fillId="0" borderId="6" xfId="0" applyFont="1" applyBorder="1" applyAlignment="1">
      <alignment horizontal="center" vertical="center"/>
    </xf>
    <xf numFmtId="0" fontId="63" fillId="6" borderId="4" xfId="0" applyFont="1" applyFill="1" applyBorder="1" applyAlignment="1">
      <alignment horizontal="center" vertical="center"/>
    </xf>
    <xf numFmtId="0" fontId="63" fillId="6" borderId="5" xfId="0" applyFont="1" applyFill="1" applyBorder="1" applyAlignment="1">
      <alignment horizontal="center" vertical="center"/>
    </xf>
    <xf numFmtId="0" fontId="63" fillId="7" borderId="6" xfId="0" applyFont="1" applyFill="1" applyBorder="1" applyAlignment="1">
      <alignment horizontal="center" vertical="center"/>
    </xf>
    <xf numFmtId="0" fontId="63" fillId="8" borderId="6" xfId="0" applyFont="1" applyFill="1" applyBorder="1" applyAlignment="1">
      <alignment horizontal="center" vertical="center"/>
    </xf>
    <xf numFmtId="0" fontId="59" fillId="0" borderId="3" xfId="0" applyFont="1" applyBorder="1" applyAlignment="1">
      <alignment horizontal="left" vertical="center"/>
    </xf>
    <xf numFmtId="0" fontId="58" fillId="0" borderId="4" xfId="0" applyFont="1" applyBorder="1"/>
    <xf numFmtId="0" fontId="58" fillId="0" borderId="5" xfId="0" applyFont="1" applyBorder="1"/>
    <xf numFmtId="0" fontId="22" fillId="0" borderId="4" xfId="0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52" fillId="0" borderId="61" xfId="26" applyFont="1" applyBorder="1" applyAlignment="1">
      <alignment horizontal="center" vertical="center"/>
    </xf>
    <xf numFmtId="0" fontId="38" fillId="0" borderId="6" xfId="26" applyFont="1" applyBorder="1" applyAlignment="1">
      <alignment horizontal="center" vertical="center" wrapText="1"/>
    </xf>
    <xf numFmtId="0" fontId="38" fillId="0" borderId="6" xfId="26" applyFont="1" applyBorder="1" applyAlignment="1">
      <alignment horizontal="center" vertical="center"/>
    </xf>
    <xf numFmtId="0" fontId="37" fillId="0" borderId="6" xfId="93" applyFont="1" applyBorder="1" applyAlignment="1">
      <alignment horizontal="center" vertical="center" wrapText="1"/>
    </xf>
    <xf numFmtId="0" fontId="37" fillId="0" borderId="6" xfId="15" applyFont="1" applyBorder="1" applyAlignment="1">
      <alignment horizontal="left" vertical="center"/>
    </xf>
    <xf numFmtId="0" fontId="39" fillId="0" borderId="48" xfId="26" applyFont="1" applyBorder="1" applyAlignment="1">
      <alignment horizontal="center" vertical="center" wrapText="1"/>
    </xf>
    <xf numFmtId="0" fontId="39" fillId="0" borderId="6" xfId="26" applyFont="1" applyBorder="1" applyAlignment="1">
      <alignment horizontal="center" vertical="center" wrapText="1"/>
    </xf>
    <xf numFmtId="0" fontId="39" fillId="0" borderId="3" xfId="26" applyFont="1" applyBorder="1" applyAlignment="1">
      <alignment horizontal="center" vertical="center" wrapText="1"/>
    </xf>
    <xf numFmtId="0" fontId="42" fillId="0" borderId="1" xfId="26" applyFont="1" applyBorder="1" applyAlignment="1">
      <alignment horizontal="center" vertical="center"/>
    </xf>
    <xf numFmtId="0" fontId="42" fillId="0" borderId="2" xfId="26" applyFont="1" applyBorder="1" applyAlignment="1">
      <alignment horizontal="center" vertical="center"/>
    </xf>
    <xf numFmtId="0" fontId="35" fillId="0" borderId="2" xfId="26" applyFont="1" applyBorder="1" applyAlignment="1">
      <alignment horizontal="center" vertical="center"/>
    </xf>
    <xf numFmtId="0" fontId="35" fillId="0" borderId="58" xfId="26" applyFont="1" applyBorder="1" applyAlignment="1">
      <alignment horizontal="center" vertical="center"/>
    </xf>
    <xf numFmtId="0" fontId="39" fillId="0" borderId="5" xfId="26" applyFont="1" applyBorder="1" applyAlignment="1">
      <alignment horizontal="center" vertical="center" wrapText="1"/>
    </xf>
    <xf numFmtId="14" fontId="35" fillId="0" borderId="6" xfId="26" applyNumberFormat="1" applyFont="1" applyBorder="1" applyAlignment="1">
      <alignment horizontal="center" vertical="center"/>
    </xf>
    <xf numFmtId="0" fontId="35" fillId="0" borderId="6" xfId="26" applyFont="1" applyBorder="1" applyAlignment="1">
      <alignment horizontal="center" vertical="center"/>
    </xf>
    <xf numFmtId="0" fontId="35" fillId="0" borderId="56" xfId="26" applyFont="1" applyBorder="1" applyAlignment="1">
      <alignment horizontal="center" vertical="center"/>
    </xf>
    <xf numFmtId="0" fontId="39" fillId="0" borderId="49" xfId="26" applyFont="1" applyBorder="1" applyAlignment="1">
      <alignment horizontal="center" vertical="center" wrapText="1"/>
    </xf>
    <xf numFmtId="0" fontId="39" fillId="0" borderId="42" xfId="26" applyFont="1" applyBorder="1" applyAlignment="1">
      <alignment horizontal="center" vertical="center" wrapText="1"/>
    </xf>
    <xf numFmtId="0" fontId="39" fillId="0" borderId="31" xfId="26" applyFont="1" applyBorder="1" applyAlignment="1">
      <alignment horizontal="center" vertical="center" wrapText="1"/>
    </xf>
    <xf numFmtId="0" fontId="42" fillId="0" borderId="31" xfId="26" applyFont="1" applyBorder="1" applyAlignment="1">
      <alignment horizontal="center" vertical="center"/>
    </xf>
    <xf numFmtId="0" fontId="42" fillId="0" borderId="25" xfId="26" applyFont="1" applyBorder="1" applyAlignment="1">
      <alignment horizontal="center" vertical="center"/>
    </xf>
    <xf numFmtId="0" fontId="35" fillId="0" borderId="25" xfId="26" applyFont="1" applyBorder="1" applyAlignment="1">
      <alignment horizontal="center" vertical="center"/>
    </xf>
    <xf numFmtId="0" fontId="35" fillId="0" borderId="41" xfId="26" applyFont="1" applyBorder="1" applyAlignment="1">
      <alignment horizontal="center" vertical="center"/>
    </xf>
    <xf numFmtId="0" fontId="39" fillId="0" borderId="38" xfId="26" applyFont="1" applyBorder="1" applyAlignment="1">
      <alignment horizontal="center" vertical="center" wrapText="1"/>
    </xf>
    <xf numFmtId="0" fontId="35" fillId="0" borderId="42" xfId="26" applyFont="1" applyBorder="1" applyAlignment="1">
      <alignment horizontal="center" vertical="center"/>
    </xf>
    <xf numFmtId="0" fontId="35" fillId="0" borderId="59" xfId="26" applyFont="1" applyBorder="1" applyAlignment="1">
      <alignment horizontal="center" vertical="center"/>
    </xf>
    <xf numFmtId="0" fontId="35" fillId="0" borderId="3" xfId="26" applyFont="1" applyBorder="1" applyAlignment="1">
      <alignment horizontal="center" vertical="center" wrapText="1"/>
    </xf>
    <xf numFmtId="0" fontId="35" fillId="0" borderId="4" xfId="26" applyFont="1" applyBorder="1" applyAlignment="1">
      <alignment horizontal="center" vertical="center" wrapText="1"/>
    </xf>
    <xf numFmtId="0" fontId="35" fillId="0" borderId="40" xfId="26" applyFont="1" applyBorder="1" applyAlignment="1">
      <alignment horizontal="center" vertical="center" wrapText="1"/>
    </xf>
    <xf numFmtId="14" fontId="35" fillId="0" borderId="29" xfId="26" applyNumberFormat="1" applyFont="1" applyBorder="1" applyAlignment="1">
      <alignment horizontal="center" vertical="center"/>
    </xf>
    <xf numFmtId="14" fontId="35" fillId="0" borderId="57" xfId="26" applyNumberFormat="1" applyFont="1" applyBorder="1" applyAlignment="1">
      <alignment horizontal="center" vertical="center"/>
    </xf>
    <xf numFmtId="0" fontId="42" fillId="0" borderId="6" xfId="26" applyFont="1" applyBorder="1" applyAlignment="1">
      <alignment horizontal="center" vertical="center" wrapText="1"/>
    </xf>
    <xf numFmtId="0" fontId="39" fillId="0" borderId="0" xfId="26" applyFont="1" applyAlignment="1">
      <alignment horizontal="right" vertical="center"/>
    </xf>
    <xf numFmtId="0" fontId="44" fillId="0" borderId="9" xfId="26" applyFont="1" applyBorder="1" applyAlignment="1">
      <alignment horizontal="center" vertical="center"/>
    </xf>
    <xf numFmtId="0" fontId="41" fillId="0" borderId="0" xfId="26" applyFont="1" applyAlignment="1">
      <alignment horizontal="center" vertical="center"/>
    </xf>
    <xf numFmtId="0" fontId="41" fillId="0" borderId="50" xfId="26" applyFont="1" applyBorder="1" applyAlignment="1">
      <alignment horizontal="center" vertical="center"/>
    </xf>
    <xf numFmtId="0" fontId="45" fillId="0" borderId="51" xfId="26" applyFont="1" applyBorder="1" applyAlignment="1">
      <alignment horizontal="center" vertical="top"/>
    </xf>
    <xf numFmtId="0" fontId="45" fillId="0" borderId="52" xfId="26" applyFont="1" applyBorder="1" applyAlignment="1">
      <alignment horizontal="center" vertical="top"/>
    </xf>
    <xf numFmtId="0" fontId="38" fillId="0" borderId="45" xfId="26" applyFont="1" applyBorder="1" applyAlignment="1">
      <alignment horizontal="center"/>
    </xf>
    <xf numFmtId="0" fontId="38" fillId="0" borderId="53" xfId="26" applyFont="1" applyBorder="1" applyAlignment="1">
      <alignment horizontal="center"/>
    </xf>
    <xf numFmtId="0" fontId="46" fillId="0" borderId="54" xfId="26" applyFont="1" applyBorder="1" applyAlignment="1">
      <alignment horizontal="center"/>
    </xf>
    <xf numFmtId="0" fontId="46" fillId="0" borderId="0" xfId="26" applyFont="1" applyAlignment="1">
      <alignment horizontal="center"/>
    </xf>
    <xf numFmtId="0" fontId="38" fillId="0" borderId="2" xfId="26" applyFont="1" applyBorder="1" applyAlignment="1">
      <alignment horizontal="center" vertical="top" wrapText="1"/>
    </xf>
    <xf numFmtId="0" fontId="39" fillId="0" borderId="46" xfId="26" applyFont="1" applyBorder="1" applyAlignment="1">
      <alignment horizontal="center" vertical="center" wrapText="1"/>
    </xf>
    <xf numFmtId="0" fontId="39" fillId="0" borderId="47" xfId="26" applyFont="1" applyBorder="1" applyAlignment="1">
      <alignment horizontal="center" vertical="center" wrapText="1"/>
    </xf>
    <xf numFmtId="0" fontId="35" fillId="0" borderId="33" xfId="26" applyFont="1" applyBorder="1" applyAlignment="1">
      <alignment horizontal="center" vertical="center" wrapText="1"/>
    </xf>
    <xf numFmtId="0" fontId="35" fillId="0" borderId="17" xfId="26" applyFont="1" applyBorder="1" applyAlignment="1">
      <alignment horizontal="center" vertical="center" wrapText="1"/>
    </xf>
    <xf numFmtId="0" fontId="35" fillId="0" borderId="39" xfId="26" applyFont="1" applyBorder="1" applyAlignment="1">
      <alignment horizontal="center" vertical="center" wrapText="1"/>
    </xf>
    <xf numFmtId="0" fontId="39" fillId="0" borderId="32" xfId="26" applyFont="1" applyBorder="1" applyAlignment="1">
      <alignment horizontal="center" vertical="center" wrapText="1"/>
    </xf>
    <xf numFmtId="0" fontId="35" fillId="0" borderId="47" xfId="26" applyFont="1" applyBorder="1" applyAlignment="1">
      <alignment horizontal="center" vertical="center"/>
    </xf>
    <xf numFmtId="0" fontId="35" fillId="0" borderId="55" xfId="26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 textRotation="90" shrinkToFit="1"/>
    </xf>
    <xf numFmtId="0" fontId="26" fillId="0" borderId="27" xfId="0" applyFont="1" applyBorder="1" applyAlignment="1">
      <alignment horizontal="center" vertical="center" textRotation="90" shrinkToFit="1"/>
    </xf>
    <xf numFmtId="0" fontId="26" fillId="0" borderId="28" xfId="0" applyFont="1" applyBorder="1" applyAlignment="1">
      <alignment horizontal="center" vertical="center" textRotation="90" shrinkToFit="1"/>
    </xf>
    <xf numFmtId="0" fontId="34" fillId="0" borderId="27" xfId="0" applyFont="1" applyBorder="1" applyAlignment="1">
      <alignment horizontal="center" vertical="center" textRotation="90" shrinkToFit="1"/>
    </xf>
    <xf numFmtId="0" fontId="30" fillId="0" borderId="29" xfId="0" applyFont="1" applyBorder="1" applyAlignment="1">
      <alignment horizontal="center" vertical="center" textRotation="90" shrinkToFit="1"/>
    </xf>
    <xf numFmtId="0" fontId="30" fillId="0" borderId="27" xfId="0" applyFont="1" applyBorder="1" applyAlignment="1">
      <alignment horizontal="center" vertical="center" textRotation="90" shrinkToFit="1"/>
    </xf>
    <xf numFmtId="0" fontId="30" fillId="0" borderId="28" xfId="0" applyFont="1" applyBorder="1" applyAlignment="1">
      <alignment horizontal="center" vertical="center" textRotation="90" shrinkToFit="1"/>
    </xf>
    <xf numFmtId="0" fontId="30" fillId="0" borderId="30" xfId="0" applyFont="1" applyBorder="1" applyAlignment="1">
      <alignment horizontal="center" vertical="center" textRotation="90" shrinkToFit="1"/>
    </xf>
    <xf numFmtId="0" fontId="27" fillId="0" borderId="3" xfId="0" applyFont="1" applyBorder="1" applyAlignment="1">
      <alignment horizontal="left" vertical="center" shrinkToFit="1"/>
    </xf>
    <xf numFmtId="0" fontId="27" fillId="0" borderId="4" xfId="0" applyFont="1" applyBorder="1" applyAlignment="1">
      <alignment horizontal="left" vertical="center" shrinkToFit="1"/>
    </xf>
    <xf numFmtId="0" fontId="27" fillId="0" borderId="5" xfId="0" applyFont="1" applyBorder="1" applyAlignment="1">
      <alignment horizontal="left" vertical="center" shrinkToFit="1"/>
    </xf>
    <xf numFmtId="0" fontId="27" fillId="0" borderId="43" xfId="0" applyFont="1" applyBorder="1" applyAlignment="1">
      <alignment horizontal="left" vertical="center" shrinkToFit="1"/>
    </xf>
    <xf numFmtId="0" fontId="26" fillId="0" borderId="3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31" fillId="0" borderId="3" xfId="0" applyFont="1" applyBorder="1" applyAlignment="1">
      <alignment horizontal="left" vertical="center" shrinkToFit="1"/>
    </xf>
    <xf numFmtId="0" fontId="26" fillId="0" borderId="4" xfId="0" applyFont="1" applyBorder="1" applyAlignment="1">
      <alignment horizontal="center" vertical="center" shrinkToFit="1"/>
    </xf>
    <xf numFmtId="0" fontId="26" fillId="0" borderId="43" xfId="0" applyFont="1" applyBorder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7" fillId="0" borderId="31" xfId="0" applyFont="1" applyBorder="1" applyAlignment="1">
      <alignment horizontal="left" vertical="center" shrinkToFit="1"/>
    </xf>
    <xf numFmtId="0" fontId="27" fillId="0" borderId="25" xfId="0" applyFont="1" applyBorder="1" applyAlignment="1">
      <alignment horizontal="left" vertical="center" shrinkToFit="1"/>
    </xf>
    <xf numFmtId="0" fontId="27" fillId="0" borderId="38" xfId="0" applyFont="1" applyBorder="1" applyAlignment="1">
      <alignment horizontal="left" vertical="center" shrinkToFit="1"/>
    </xf>
    <xf numFmtId="0" fontId="27" fillId="0" borderId="44" xfId="0" applyFont="1" applyBorder="1" applyAlignment="1">
      <alignment horizontal="left" vertical="center" shrinkToFit="1"/>
    </xf>
    <xf numFmtId="0" fontId="26" fillId="0" borderId="31" xfId="0" applyFont="1" applyBorder="1" applyAlignment="1">
      <alignment horizontal="center" vertical="center" shrinkToFit="1"/>
    </xf>
    <xf numFmtId="0" fontId="26" fillId="0" borderId="38" xfId="0" applyFont="1" applyBorder="1" applyAlignment="1">
      <alignment horizontal="center" vertical="center" shrinkToFit="1"/>
    </xf>
    <xf numFmtId="0" fontId="26" fillId="0" borderId="25" xfId="0" applyFont="1" applyBorder="1" applyAlignment="1">
      <alignment horizontal="center" vertical="center" shrinkToFit="1"/>
    </xf>
    <xf numFmtId="0" fontId="26" fillId="0" borderId="41" xfId="0" applyFont="1" applyBorder="1" applyAlignment="1">
      <alignment horizontal="center" vertical="center" shrinkToFit="1"/>
    </xf>
    <xf numFmtId="0" fontId="26" fillId="0" borderId="3" xfId="0" applyFont="1" applyBorder="1" applyAlignment="1">
      <alignment horizontal="left" vertical="center" shrinkToFit="1"/>
    </xf>
    <xf numFmtId="0" fontId="26" fillId="0" borderId="4" xfId="0" applyFont="1" applyBorder="1" applyAlignment="1">
      <alignment horizontal="left" vertical="center" shrinkToFit="1"/>
    </xf>
    <xf numFmtId="0" fontId="26" fillId="0" borderId="40" xfId="0" applyFont="1" applyBorder="1" applyAlignment="1">
      <alignment horizontal="left" vertical="center" shrinkToFit="1"/>
    </xf>
    <xf numFmtId="0" fontId="27" fillId="0" borderId="3" xfId="0" applyFont="1" applyBorder="1" applyAlignment="1">
      <alignment horizontal="center" vertical="center" shrinkToFit="1"/>
    </xf>
    <xf numFmtId="0" fontId="27" fillId="0" borderId="5" xfId="0" applyFont="1" applyBorder="1" applyAlignment="1">
      <alignment horizontal="center" vertical="center" shrinkToFit="1"/>
    </xf>
    <xf numFmtId="0" fontId="27" fillId="0" borderId="4" xfId="0" applyFont="1" applyBorder="1" applyAlignment="1">
      <alignment horizontal="center" vertical="center" shrinkToFit="1"/>
    </xf>
    <xf numFmtId="0" fontId="27" fillId="0" borderId="40" xfId="0" applyFont="1" applyBorder="1" applyAlignment="1">
      <alignment horizontal="center" vertical="center" shrinkToFit="1"/>
    </xf>
    <xf numFmtId="0" fontId="33" fillId="0" borderId="4" xfId="0" applyFont="1" applyBorder="1" applyAlignment="1">
      <alignment horizontal="center" vertical="center" shrinkToFit="1"/>
    </xf>
    <xf numFmtId="0" fontId="26" fillId="4" borderId="4" xfId="0" applyFont="1" applyFill="1" applyBorder="1" applyAlignment="1">
      <alignment horizontal="left" vertical="center" shrinkToFit="1"/>
    </xf>
    <xf numFmtId="0" fontId="33" fillId="0" borderId="3" xfId="0" applyFont="1" applyBorder="1" applyAlignment="1">
      <alignment horizontal="center" vertical="center" shrinkToFit="1"/>
    </xf>
    <xf numFmtId="0" fontId="112" fillId="0" borderId="3" xfId="0" applyFont="1" applyBorder="1" applyAlignment="1">
      <alignment horizontal="left" vertical="center" shrinkToFit="1"/>
    </xf>
    <xf numFmtId="0" fontId="113" fillId="0" borderId="4" xfId="0" applyFont="1" applyBorder="1" applyAlignment="1">
      <alignment horizontal="left" vertical="center" shrinkToFit="1"/>
    </xf>
    <xf numFmtId="0" fontId="29" fillId="0" borderId="4" xfId="0" applyFont="1" applyBorder="1" applyAlignment="1">
      <alignment horizontal="center" vertical="center" shrinkToFit="1"/>
    </xf>
    <xf numFmtId="0" fontId="26" fillId="0" borderId="4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1" fillId="0" borderId="3" xfId="0" applyFont="1" applyBorder="1" applyAlignment="1">
      <alignment vertical="center" shrinkToFit="1"/>
    </xf>
    <xf numFmtId="0" fontId="27" fillId="0" borderId="4" xfId="0" applyFont="1" applyBorder="1" applyAlignment="1">
      <alignment vertical="center" shrinkToFit="1"/>
    </xf>
    <xf numFmtId="0" fontId="27" fillId="0" borderId="3" xfId="0" applyFont="1" applyBorder="1" applyAlignment="1">
      <alignment vertical="center" shrinkToFit="1"/>
    </xf>
    <xf numFmtId="1" fontId="26" fillId="0" borderId="4" xfId="0" applyNumberFormat="1" applyFont="1" applyBorder="1" applyAlignment="1">
      <alignment horizontal="center" vertical="center" shrinkToFit="1"/>
    </xf>
    <xf numFmtId="0" fontId="26" fillId="0" borderId="43" xfId="0" applyFont="1" applyBorder="1" applyAlignment="1">
      <alignment horizontal="center" vertical="center"/>
    </xf>
    <xf numFmtId="0" fontId="31" fillId="0" borderId="3" xfId="0" applyFont="1" applyBorder="1" applyAlignment="1">
      <alignment horizontal="left" shrinkToFit="1"/>
    </xf>
    <xf numFmtId="0" fontId="27" fillId="0" borderId="4" xfId="0" applyFont="1" applyBorder="1" applyAlignment="1">
      <alignment horizontal="left" shrinkToFit="1"/>
    </xf>
    <xf numFmtId="0" fontId="26" fillId="0" borderId="6" xfId="0" applyFont="1" applyBorder="1" applyAlignment="1">
      <alignment horizontal="center" vertical="center" shrinkToFit="1"/>
    </xf>
    <xf numFmtId="0" fontId="113" fillId="0" borderId="3" xfId="0" applyFont="1" applyBorder="1" applyAlignment="1">
      <alignment horizontal="left" vertical="center" shrinkToFit="1"/>
    </xf>
    <xf numFmtId="0" fontId="29" fillId="4" borderId="4" xfId="0" applyFont="1" applyFill="1" applyBorder="1" applyAlignment="1">
      <alignment horizontal="center" vertical="center" shrinkToFit="1"/>
    </xf>
    <xf numFmtId="0" fontId="29" fillId="4" borderId="40" xfId="0" applyFont="1" applyFill="1" applyBorder="1" applyAlignment="1">
      <alignment horizontal="center" vertical="center" shrinkToFit="1"/>
    </xf>
    <xf numFmtId="0" fontId="31" fillId="0" borderId="4" xfId="0" applyFont="1" applyBorder="1" applyAlignment="1">
      <alignment horizontal="left" vertical="center" shrinkToFit="1"/>
    </xf>
    <xf numFmtId="0" fontId="31" fillId="0" borderId="5" xfId="0" applyFont="1" applyBorder="1" applyAlignment="1">
      <alignment horizontal="left" vertical="center" shrinkToFit="1"/>
    </xf>
    <xf numFmtId="1" fontId="26" fillId="0" borderId="6" xfId="0" applyNumberFormat="1" applyFont="1" applyBorder="1" applyAlignment="1">
      <alignment horizontal="center" vertical="center" shrinkToFit="1"/>
    </xf>
    <xf numFmtId="0" fontId="116" fillId="0" borderId="5" xfId="0" applyFont="1" applyBorder="1" applyAlignment="1">
      <alignment horizontal="left" vertical="center" shrinkToFit="1"/>
    </xf>
    <xf numFmtId="0" fontId="114" fillId="0" borderId="6" xfId="0" applyFont="1" applyBorder="1" applyAlignment="1">
      <alignment horizontal="left" vertical="center" shrinkToFit="1"/>
    </xf>
    <xf numFmtId="0" fontId="115" fillId="0" borderId="6" xfId="0" applyFont="1" applyBorder="1" applyAlignment="1">
      <alignment horizontal="center" vertical="center" shrinkToFit="1"/>
    </xf>
    <xf numFmtId="0" fontId="115" fillId="0" borderId="3" xfId="0" applyFont="1" applyBorder="1" applyAlignment="1">
      <alignment horizontal="center" vertical="center" shrinkToFit="1"/>
    </xf>
    <xf numFmtId="0" fontId="115" fillId="0" borderId="4" xfId="0" applyFont="1" applyBorder="1" applyAlignment="1">
      <alignment horizontal="center" vertical="center" shrinkToFit="1"/>
    </xf>
    <xf numFmtId="0" fontId="115" fillId="0" borderId="5" xfId="0" applyFont="1" applyBorder="1" applyAlignment="1">
      <alignment horizontal="center" vertical="center" shrinkToFit="1"/>
    </xf>
    <xf numFmtId="0" fontId="26" fillId="0" borderId="28" xfId="0" applyFont="1" applyBorder="1" applyAlignment="1">
      <alignment horizontal="center" vertical="center" shrinkToFit="1"/>
    </xf>
    <xf numFmtId="0" fontId="26" fillId="0" borderId="8" xfId="0" applyFont="1" applyBorder="1" applyAlignment="1">
      <alignment horizontal="center" vertical="center" shrinkToFit="1"/>
    </xf>
    <xf numFmtId="0" fontId="26" fillId="0" borderId="9" xfId="0" applyFont="1" applyBorder="1" applyAlignment="1">
      <alignment horizontal="center" vertical="center" shrinkToFit="1"/>
    </xf>
    <xf numFmtId="0" fontId="27" fillId="0" borderId="6" xfId="0" applyFont="1" applyBorder="1" applyAlignment="1">
      <alignment horizontal="left" vertical="center" shrinkToFit="1"/>
    </xf>
    <xf numFmtId="0" fontId="33" fillId="0" borderId="4" xfId="0" applyFont="1" applyBorder="1" applyAlignment="1">
      <alignment horizontal="left" vertical="center" shrinkToFit="1"/>
    </xf>
    <xf numFmtId="0" fontId="27" fillId="0" borderId="20" xfId="0" applyFont="1" applyBorder="1" applyAlignment="1">
      <alignment vertical="center" shrinkToFit="1"/>
    </xf>
    <xf numFmtId="0" fontId="26" fillId="0" borderId="5" xfId="0" applyFont="1" applyBorder="1" applyAlignment="1">
      <alignment horizontal="left" vertical="center" shrinkToFit="1"/>
    </xf>
    <xf numFmtId="0" fontId="27" fillId="0" borderId="17" xfId="0" applyFont="1" applyBorder="1" applyAlignment="1">
      <alignment horizontal="left" vertical="center" shrinkToFit="1"/>
    </xf>
    <xf numFmtId="0" fontId="26" fillId="0" borderId="17" xfId="0" applyFont="1" applyBorder="1" applyAlignment="1">
      <alignment horizontal="left" vertical="center" shrinkToFit="1"/>
    </xf>
    <xf numFmtId="0" fontId="26" fillId="0" borderId="32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33" xfId="0" applyFont="1" applyBorder="1" applyAlignment="1">
      <alignment vertical="center" shrinkToFit="1"/>
    </xf>
    <xf numFmtId="0" fontId="26" fillId="0" borderId="32" xfId="0" applyFont="1" applyBorder="1" applyAlignment="1">
      <alignment vertical="center" shrinkToFit="1"/>
    </xf>
    <xf numFmtId="0" fontId="26" fillId="0" borderId="39" xfId="0" applyFont="1" applyBorder="1" applyAlignment="1">
      <alignment horizontal="left" vertical="center" shrinkToFit="1"/>
    </xf>
    <xf numFmtId="0" fontId="25" fillId="0" borderId="13" xfId="0" applyFont="1" applyBorder="1" applyAlignment="1">
      <alignment horizontal="center" wrapText="1" shrinkToFit="1"/>
    </xf>
    <xf numFmtId="0" fontId="25" fillId="0" borderId="14" xfId="0" applyFont="1" applyBorder="1" applyAlignment="1">
      <alignment horizontal="center" wrapText="1" shrinkToFit="1"/>
    </xf>
    <xf numFmtId="0" fontId="25" fillId="0" borderId="15" xfId="0" applyFont="1" applyBorder="1" applyAlignment="1">
      <alignment horizontal="center" wrapText="1" shrinkToFit="1"/>
    </xf>
    <xf numFmtId="0" fontId="25" fillId="0" borderId="18" xfId="0" applyFont="1" applyBorder="1" applyAlignment="1">
      <alignment horizontal="center" wrapText="1" shrinkToFit="1"/>
    </xf>
    <xf numFmtId="0" fontId="25" fillId="0" borderId="0" xfId="0" applyFont="1" applyAlignment="1">
      <alignment horizontal="center" wrapText="1" shrinkToFit="1"/>
    </xf>
    <xf numFmtId="0" fontId="25" fillId="0" borderId="19" xfId="0" applyFont="1" applyBorder="1" applyAlignment="1">
      <alignment horizontal="center" wrapText="1" shrinkToFit="1"/>
    </xf>
    <xf numFmtId="0" fontId="25" fillId="0" borderId="21" xfId="0" applyFont="1" applyBorder="1" applyAlignment="1">
      <alignment horizontal="center" wrapText="1" shrinkToFit="1"/>
    </xf>
    <xf numFmtId="0" fontId="25" fillId="0" borderId="22" xfId="0" applyFont="1" applyBorder="1" applyAlignment="1">
      <alignment horizontal="center" wrapText="1" shrinkToFit="1"/>
    </xf>
    <xf numFmtId="0" fontId="25" fillId="0" borderId="23" xfId="0" applyFont="1" applyBorder="1" applyAlignment="1">
      <alignment horizontal="center" wrapText="1" shrinkToFit="1"/>
    </xf>
    <xf numFmtId="0" fontId="26" fillId="2" borderId="4" xfId="0" applyFont="1" applyFill="1" applyBorder="1" applyAlignment="1">
      <alignment horizontal="left" vertical="center" shrinkToFit="1"/>
    </xf>
    <xf numFmtId="0" fontId="26" fillId="2" borderId="40" xfId="0" applyFont="1" applyFill="1" applyBorder="1" applyAlignment="1">
      <alignment horizontal="left" vertical="center" shrinkToFit="1"/>
    </xf>
    <xf numFmtId="0" fontId="26" fillId="0" borderId="26" xfId="0" applyFont="1" applyBorder="1" applyAlignment="1">
      <alignment horizontal="center" vertical="center" textRotation="90" shrinkToFit="1"/>
    </xf>
    <xf numFmtId="0" fontId="32" fillId="0" borderId="0" xfId="0" applyFont="1" applyAlignment="1">
      <alignment horizontal="center" vertical="center" shrinkToFit="1"/>
    </xf>
    <xf numFmtId="0" fontId="24" fillId="0" borderId="0" xfId="0" applyFont="1" applyAlignment="1">
      <alignment vertical="center" shrinkToFit="1"/>
    </xf>
    <xf numFmtId="0" fontId="27" fillId="0" borderId="16" xfId="0" applyFont="1" applyBorder="1" applyAlignment="1">
      <alignment horizontal="left" vertical="center" shrinkToFit="1"/>
    </xf>
    <xf numFmtId="0" fontId="26" fillId="0" borderId="39" xfId="0" applyFont="1" applyBorder="1" applyAlignment="1">
      <alignment horizontal="center" vertical="center" shrinkToFit="1"/>
    </xf>
    <xf numFmtId="0" fontId="0" fillId="0" borderId="4" xfId="0" applyBorder="1"/>
    <xf numFmtId="0" fontId="0" fillId="0" borderId="40" xfId="0" applyBorder="1"/>
    <xf numFmtId="0" fontId="31" fillId="0" borderId="3" xfId="0" applyFont="1" applyBorder="1" applyAlignment="1">
      <alignment horizontal="center" vertical="center" shrinkToFit="1"/>
    </xf>
    <xf numFmtId="0" fontId="30" fillId="0" borderId="4" xfId="0" applyFont="1" applyBorder="1" applyAlignment="1">
      <alignment horizontal="center" vertical="center" shrinkToFit="1"/>
    </xf>
    <xf numFmtId="0" fontId="26" fillId="0" borderId="31" xfId="0" applyFont="1" applyBorder="1" applyAlignment="1">
      <alignment horizontal="left" vertical="center" shrinkToFit="1"/>
    </xf>
    <xf numFmtId="0" fontId="26" fillId="0" borderId="2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center" vertical="center" textRotation="90" shrinkToFit="1"/>
    </xf>
    <xf numFmtId="0" fontId="28" fillId="0" borderId="3" xfId="0" applyFont="1" applyBorder="1" applyAlignment="1">
      <alignment horizontal="left" vertical="center" shrinkToFit="1"/>
    </xf>
    <xf numFmtId="0" fontId="31" fillId="0" borderId="4" xfId="0" applyFont="1" applyBorder="1" applyAlignment="1">
      <alignment horizontal="center" vertical="center" shrinkToFit="1"/>
    </xf>
    <xf numFmtId="0" fontId="31" fillId="0" borderId="5" xfId="0" applyFont="1" applyBorder="1" applyAlignment="1">
      <alignment horizontal="center" vertical="center" shrinkToFit="1"/>
    </xf>
    <xf numFmtId="0" fontId="27" fillId="0" borderId="3" xfId="0" applyFont="1" applyBorder="1" applyAlignment="1">
      <alignment horizontal="left" shrinkToFit="1"/>
    </xf>
    <xf numFmtId="0" fontId="27" fillId="0" borderId="4" xfId="0" applyFont="1" applyBorder="1" applyAlignment="1">
      <alignment horizontal="center" shrinkToFit="1"/>
    </xf>
    <xf numFmtId="49" fontId="26" fillId="0" borderId="4" xfId="0" applyNumberFormat="1" applyFont="1" applyBorder="1" applyAlignment="1">
      <alignment horizontal="center" vertical="center" shrinkToFit="1"/>
    </xf>
    <xf numFmtId="49" fontId="26" fillId="0" borderId="6" xfId="0" applyNumberFormat="1" applyFont="1" applyBorder="1" applyAlignment="1">
      <alignment horizontal="center" vertical="center" shrinkToFit="1"/>
    </xf>
    <xf numFmtId="0" fontId="27" fillId="0" borderId="5" xfId="0" applyFont="1" applyBorder="1" applyAlignment="1">
      <alignment vertical="center" shrinkToFit="1"/>
    </xf>
    <xf numFmtId="49" fontId="26" fillId="0" borderId="3" xfId="0" applyNumberFormat="1" applyFont="1" applyBorder="1" applyAlignment="1">
      <alignment horizontal="center" vertical="center" shrinkToFit="1"/>
    </xf>
    <xf numFmtId="0" fontId="27" fillId="0" borderId="9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24" xfId="0" applyFont="1" applyBorder="1" applyAlignment="1">
      <alignment vertical="center" shrinkToFit="1"/>
    </xf>
    <xf numFmtId="0" fontId="27" fillId="0" borderId="25" xfId="0" applyFont="1" applyBorder="1" applyAlignment="1">
      <alignment vertical="center" shrinkToFit="1"/>
    </xf>
    <xf numFmtId="0" fontId="26" fillId="0" borderId="41" xfId="0" applyFont="1" applyBorder="1" applyAlignment="1">
      <alignment horizontal="left" vertical="center" shrinkToFit="1"/>
    </xf>
    <xf numFmtId="0" fontId="23" fillId="0" borderId="13" xfId="0" applyFont="1" applyBorder="1" applyAlignment="1">
      <alignment horizontal="center" vertical="center" shrinkToFit="1"/>
    </xf>
    <xf numFmtId="0" fontId="24" fillId="0" borderId="14" xfId="0" applyFont="1" applyBorder="1" applyAlignment="1">
      <alignment vertical="center" shrinkToFit="1"/>
    </xf>
    <xf numFmtId="0" fontId="24" fillId="0" borderId="15" xfId="0" applyFont="1" applyBorder="1" applyAlignment="1">
      <alignment vertical="center" shrinkToFit="1"/>
    </xf>
    <xf numFmtId="0" fontId="26" fillId="0" borderId="14" xfId="0" applyFont="1" applyBorder="1" applyAlignment="1">
      <alignment horizontal="center" wrapText="1" shrinkToFit="1"/>
    </xf>
    <xf numFmtId="0" fontId="26" fillId="0" borderId="15" xfId="0" applyFont="1" applyBorder="1" applyAlignment="1">
      <alignment horizontal="center" wrapText="1" shrinkToFit="1"/>
    </xf>
    <xf numFmtId="0" fontId="26" fillId="0" borderId="18" xfId="0" applyFont="1" applyBorder="1" applyAlignment="1">
      <alignment horizontal="center" wrapText="1" shrinkToFit="1"/>
    </xf>
    <xf numFmtId="0" fontId="26" fillId="0" borderId="0" xfId="0" applyFont="1" applyAlignment="1">
      <alignment horizontal="center" wrapText="1" shrinkToFit="1"/>
    </xf>
    <xf numFmtId="0" fontId="26" fillId="0" borderId="19" xfId="0" applyFont="1" applyBorder="1" applyAlignment="1">
      <alignment horizontal="center" wrapText="1" shrinkToFit="1"/>
    </xf>
    <xf numFmtId="0" fontId="26" fillId="0" borderId="21" xfId="0" applyFont="1" applyBorder="1" applyAlignment="1">
      <alignment horizontal="center" wrapText="1" shrinkToFit="1"/>
    </xf>
    <xf numFmtId="0" fontId="26" fillId="0" borderId="22" xfId="0" applyFont="1" applyBorder="1" applyAlignment="1">
      <alignment horizontal="center" wrapText="1" shrinkToFit="1"/>
    </xf>
    <xf numFmtId="0" fontId="26" fillId="0" borderId="23" xfId="0" applyFont="1" applyBorder="1" applyAlignment="1">
      <alignment horizontal="center" wrapText="1" shrinkToFit="1"/>
    </xf>
    <xf numFmtId="15" fontId="26" fillId="0" borderId="4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9" fillId="0" borderId="0" xfId="25" applyFont="1" applyAlignment="1">
      <alignment horizontal="left" vertical="center" shrinkToFit="1"/>
    </xf>
    <xf numFmtId="0" fontId="5" fillId="0" borderId="1" xfId="25" applyFont="1" applyBorder="1" applyAlignment="1">
      <alignment horizontal="center" wrapText="1" shrinkToFit="1"/>
    </xf>
    <xf numFmtId="0" fontId="6" fillId="0" borderId="2" xfId="25" applyFont="1" applyBorder="1" applyAlignment="1">
      <alignment horizontal="center" shrinkToFit="1"/>
    </xf>
    <xf numFmtId="0" fontId="6" fillId="0" borderId="7" xfId="25" applyFont="1" applyBorder="1" applyAlignment="1">
      <alignment horizontal="center" shrinkToFit="1"/>
    </xf>
    <xf numFmtId="0" fontId="6" fillId="0" borderId="0" xfId="25" applyFont="1" applyAlignment="1">
      <alignment horizontal="center" shrinkToFit="1"/>
    </xf>
    <xf numFmtId="0" fontId="11" fillId="0" borderId="0" xfId="25" applyFont="1" applyAlignment="1">
      <alignment horizontal="left" vertical="top" wrapText="1"/>
    </xf>
    <xf numFmtId="0" fontId="11" fillId="0" borderId="9" xfId="25" applyFont="1" applyBorder="1" applyAlignment="1">
      <alignment horizontal="left" vertical="top" wrapText="1"/>
    </xf>
    <xf numFmtId="0" fontId="7" fillId="0" borderId="0" xfId="25" applyFont="1" applyAlignment="1">
      <alignment horizontal="center" vertical="center" shrinkToFit="1"/>
    </xf>
    <xf numFmtId="0" fontId="16" fillId="0" borderId="0" xfId="25" applyFont="1" applyAlignment="1">
      <alignment horizontal="left" vertical="center" shrinkToFit="1"/>
    </xf>
    <xf numFmtId="0" fontId="9" fillId="0" borderId="0" xfId="25" applyFont="1" applyAlignment="1">
      <alignment horizontal="center" vertical="center" shrinkToFit="1"/>
    </xf>
    <xf numFmtId="0" fontId="9" fillId="0" borderId="9" xfId="25" applyFont="1" applyBorder="1" applyAlignment="1">
      <alignment horizontal="left" vertical="center" shrinkToFit="1"/>
    </xf>
    <xf numFmtId="0" fontId="9" fillId="0" borderId="9" xfId="25" applyFont="1" applyBorder="1" applyAlignment="1">
      <alignment horizontal="center" vertical="center" shrinkToFit="1"/>
    </xf>
    <xf numFmtId="0" fontId="9" fillId="0" borderId="1" xfId="25" applyFont="1" applyBorder="1" applyAlignment="1">
      <alignment horizontal="left" vertical="center"/>
    </xf>
    <xf numFmtId="0" fontId="9" fillId="0" borderId="2" xfId="25" applyFont="1" applyBorder="1" applyAlignment="1">
      <alignment horizontal="left" vertical="center"/>
    </xf>
    <xf numFmtId="0" fontId="9" fillId="0" borderId="2" xfId="25" applyFont="1" applyBorder="1" applyAlignment="1">
      <alignment horizontal="center" vertical="center" shrinkToFit="1"/>
    </xf>
    <xf numFmtId="0" fontId="14" fillId="0" borderId="0" xfId="25" applyFont="1" applyAlignment="1">
      <alignment horizontal="left" vertical="center" shrinkToFit="1"/>
    </xf>
    <xf numFmtId="0" fontId="14" fillId="0" borderId="1" xfId="25" applyFont="1" applyBorder="1" applyAlignment="1">
      <alignment horizontal="left" vertical="center" shrinkToFit="1"/>
    </xf>
    <xf numFmtId="0" fontId="14" fillId="0" borderId="2" xfId="25" applyFont="1" applyBorder="1" applyAlignment="1">
      <alignment horizontal="left" vertical="center" shrinkToFit="1"/>
    </xf>
    <xf numFmtId="0" fontId="14" fillId="0" borderId="7" xfId="25" applyFont="1" applyBorder="1" applyAlignment="1">
      <alignment horizontal="left" vertical="center" shrinkToFit="1"/>
    </xf>
    <xf numFmtId="0" fontId="15" fillId="0" borderId="7" xfId="25" applyFont="1" applyBorder="1" applyAlignment="1">
      <alignment horizontal="left" vertical="center" shrinkToFit="1"/>
    </xf>
    <xf numFmtId="0" fontId="9" fillId="0" borderId="7" xfId="25" applyFont="1" applyBorder="1" applyAlignment="1">
      <alignment horizontal="left" vertical="center" shrinkToFit="1"/>
    </xf>
    <xf numFmtId="0" fontId="14" fillId="0" borderId="0" xfId="25" applyFont="1" applyAlignment="1">
      <alignment horizontal="center" vertical="center" shrinkToFit="1"/>
    </xf>
    <xf numFmtId="0" fontId="9" fillId="0" borderId="0" xfId="25" applyFont="1" applyAlignment="1">
      <alignment horizontal="center" vertical="top" shrinkToFit="1"/>
    </xf>
    <xf numFmtId="0" fontId="9" fillId="0" borderId="9" xfId="25" applyFont="1" applyBorder="1" applyAlignment="1">
      <alignment horizontal="center" vertical="top" shrinkToFit="1"/>
    </xf>
    <xf numFmtId="0" fontId="9" fillId="0" borderId="7" xfId="25" applyFont="1" applyBorder="1" applyAlignment="1">
      <alignment vertical="center" shrinkToFit="1"/>
    </xf>
    <xf numFmtId="0" fontId="9" fillId="0" borderId="0" xfId="25" applyFont="1" applyAlignment="1">
      <alignment vertical="center" shrinkToFit="1"/>
    </xf>
    <xf numFmtId="49" fontId="9" fillId="0" borderId="0" xfId="25" applyNumberFormat="1" applyFont="1" applyAlignment="1">
      <alignment horizontal="left" vertical="center" shrinkToFit="1"/>
    </xf>
    <xf numFmtId="0" fontId="9" fillId="0" borderId="0" xfId="25" applyFont="1" applyAlignment="1">
      <alignment horizontal="left" vertical="center"/>
    </xf>
    <xf numFmtId="0" fontId="11" fillId="0" borderId="7" xfId="25" applyFont="1" applyBorder="1" applyAlignment="1">
      <alignment horizontal="right" vertical="center" shrinkToFit="1"/>
    </xf>
    <xf numFmtId="0" fontId="11" fillId="0" borderId="0" xfId="25" applyFont="1" applyAlignment="1">
      <alignment horizontal="right" vertical="center" shrinkToFit="1"/>
    </xf>
    <xf numFmtId="0" fontId="9" fillId="0" borderId="0" xfId="25" applyFont="1" applyAlignment="1">
      <alignment horizontal="right" vertical="center"/>
    </xf>
    <xf numFmtId="0" fontId="9" fillId="0" borderId="11" xfId="25" applyFont="1" applyBorder="1" applyAlignment="1">
      <alignment horizontal="left" vertical="center" shrinkToFit="1"/>
    </xf>
    <xf numFmtId="0" fontId="9" fillId="0" borderId="2" xfId="25" applyFont="1" applyBorder="1" applyAlignment="1">
      <alignment horizontal="left" vertical="center" shrinkToFit="1"/>
    </xf>
    <xf numFmtId="0" fontId="18" fillId="0" borderId="0" xfId="25" applyFont="1" applyAlignment="1">
      <alignment horizontal="left" vertical="top" shrinkToFit="1"/>
    </xf>
    <xf numFmtId="0" fontId="8" fillId="0" borderId="0" xfId="25" applyFont="1" applyAlignment="1">
      <alignment horizontal="center" vertical="center" shrinkToFit="1"/>
    </xf>
    <xf numFmtId="0" fontId="3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3" xfId="0" applyBorder="1" applyAlignment="1">
      <alignment horizontal="left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5" xfId="0" applyBorder="1" applyAlignment="1">
      <alignment horizontal="left" vertical="center" shrinkToFi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</cellXfs>
  <cellStyles count="106">
    <cellStyle name="?鹎%U龡&amp;H鼼_x0008_V_x0011_._x0012__x0007__x0001__x0001_" xfId="12" xr:uid="{00000000-0005-0000-0000-000000000000}"/>
    <cellStyle name="Comma [0]_Assumptions" xfId="17" xr:uid="{00000000-0005-0000-0000-000001000000}"/>
    <cellStyle name="Comma_Assumptions" xfId="16" xr:uid="{00000000-0005-0000-0000-000002000000}"/>
    <cellStyle name="Currency [0]_Assumptions" xfId="3" xr:uid="{00000000-0005-0000-0000-000003000000}"/>
    <cellStyle name="Currency_Assumptions" xfId="1" xr:uid="{00000000-0005-0000-0000-000004000000}"/>
    <cellStyle name="Grey" xfId="18" xr:uid="{00000000-0005-0000-0000-000005000000}"/>
    <cellStyle name="GreyOrWhite" xfId="14" xr:uid="{00000000-0005-0000-0000-000006000000}"/>
    <cellStyle name="Header1" xfId="20" xr:uid="{00000000-0005-0000-0000-000007000000}"/>
    <cellStyle name="Header2" xfId="21" xr:uid="{00000000-0005-0000-0000-000008000000}"/>
    <cellStyle name="Input [yellow]" xfId="2" xr:uid="{00000000-0005-0000-0000-000009000000}"/>
    <cellStyle name="Normal - Style1" xfId="22" xr:uid="{00000000-0005-0000-0000-00000A000000}"/>
    <cellStyle name="Normal_Assumptions" xfId="11" xr:uid="{00000000-0005-0000-0000-00000B000000}"/>
    <cellStyle name="Normal_DSFW 021218" xfId="15" xr:uid="{00000000-0005-0000-0000-00000C000000}"/>
    <cellStyle name="Percent [2]" xfId="13" xr:uid="{00000000-0005-0000-0000-00000D000000}"/>
    <cellStyle name="Yellow" xfId="23" xr:uid="{00000000-0005-0000-0000-00000E000000}"/>
    <cellStyle name="標準_Valve list" xfId="24" xr:uid="{00000000-0005-0000-0000-00000F000000}"/>
    <cellStyle name="常规" xfId="0" builtinId="0"/>
    <cellStyle name="常规 10" xfId="25" xr:uid="{00000000-0005-0000-0000-000011000000}"/>
    <cellStyle name="常规 2" xfId="28" xr:uid="{00000000-0005-0000-0000-000012000000}"/>
    <cellStyle name="常规 2 2" xfId="29" xr:uid="{00000000-0005-0000-0000-000013000000}"/>
    <cellStyle name="常规 2 2 2" xfId="30" xr:uid="{00000000-0005-0000-0000-000014000000}"/>
    <cellStyle name="常规 2 2 2 2" xfId="31" xr:uid="{00000000-0005-0000-0000-000015000000}"/>
    <cellStyle name="常规 2 2 3" xfId="32" xr:uid="{00000000-0005-0000-0000-000016000000}"/>
    <cellStyle name="常规 2 2 4" xfId="4" xr:uid="{00000000-0005-0000-0000-000017000000}"/>
    <cellStyle name="常规 2 3" xfId="33" xr:uid="{00000000-0005-0000-0000-000018000000}"/>
    <cellStyle name="常规 2 3 2" xfId="34" xr:uid="{00000000-0005-0000-0000-000019000000}"/>
    <cellStyle name="常规 2 4" xfId="35" xr:uid="{00000000-0005-0000-0000-00001A000000}"/>
    <cellStyle name="常规 2 5" xfId="36" xr:uid="{00000000-0005-0000-0000-00001B000000}"/>
    <cellStyle name="常规 29" xfId="37" xr:uid="{00000000-0005-0000-0000-00001C000000}"/>
    <cellStyle name="常规 29 2" xfId="38" xr:uid="{00000000-0005-0000-0000-00001D000000}"/>
    <cellStyle name="常规 29 2 2" xfId="40" xr:uid="{00000000-0005-0000-0000-00001E000000}"/>
    <cellStyle name="常规 29 2 2 2" xfId="43" xr:uid="{00000000-0005-0000-0000-00001F000000}"/>
    <cellStyle name="常规 29 2 3" xfId="46" xr:uid="{00000000-0005-0000-0000-000020000000}"/>
    <cellStyle name="常规 29 2 4" xfId="48" xr:uid="{00000000-0005-0000-0000-000021000000}"/>
    <cellStyle name="常规 29 3" xfId="49" xr:uid="{00000000-0005-0000-0000-000022000000}"/>
    <cellStyle name="常规 29 3 2" xfId="51" xr:uid="{00000000-0005-0000-0000-000023000000}"/>
    <cellStyle name="常规 29 4" xfId="52" xr:uid="{00000000-0005-0000-0000-000024000000}"/>
    <cellStyle name="常规 29 5" xfId="53" xr:uid="{00000000-0005-0000-0000-000025000000}"/>
    <cellStyle name="常规 3" xfId="54" xr:uid="{00000000-0005-0000-0000-000026000000}"/>
    <cellStyle name="常规 3 2" xfId="55" xr:uid="{00000000-0005-0000-0000-000027000000}"/>
    <cellStyle name="常规 3 2 2" xfId="56" xr:uid="{00000000-0005-0000-0000-000028000000}"/>
    <cellStyle name="常规 3 2 2 2" xfId="57" xr:uid="{00000000-0005-0000-0000-000029000000}"/>
    <cellStyle name="常规 3 3" xfId="58" xr:uid="{00000000-0005-0000-0000-00002A000000}"/>
    <cellStyle name="常规 3 3 2" xfId="59" xr:uid="{00000000-0005-0000-0000-00002B000000}"/>
    <cellStyle name="常规 3 3 2 2" xfId="60" xr:uid="{00000000-0005-0000-0000-00002C000000}"/>
    <cellStyle name="常规 3 3 3" xfId="61" xr:uid="{00000000-0005-0000-0000-00002D000000}"/>
    <cellStyle name="常规 3 3 3 2" xfId="62" xr:uid="{00000000-0005-0000-0000-00002E000000}"/>
    <cellStyle name="常规 3 3 4" xfId="27" xr:uid="{00000000-0005-0000-0000-00002F000000}"/>
    <cellStyle name="常规 3 4" xfId="63" xr:uid="{00000000-0005-0000-0000-000030000000}"/>
    <cellStyle name="常规 3 4 2" xfId="64" xr:uid="{00000000-0005-0000-0000-000031000000}"/>
    <cellStyle name="常规 3 5" xfId="65" xr:uid="{00000000-0005-0000-0000-000032000000}"/>
    <cellStyle name="常规 3 5 2" xfId="19" xr:uid="{00000000-0005-0000-0000-000033000000}"/>
    <cellStyle name="常规 30" xfId="66" xr:uid="{00000000-0005-0000-0000-000034000000}"/>
    <cellStyle name="常规 30 2" xfId="67" xr:uid="{00000000-0005-0000-0000-000035000000}"/>
    <cellStyle name="常规 30 2 2" xfId="68" xr:uid="{00000000-0005-0000-0000-000036000000}"/>
    <cellStyle name="常规 30 2 2 2" xfId="69" xr:uid="{00000000-0005-0000-0000-000037000000}"/>
    <cellStyle name="常规 30 2 3" xfId="70" xr:uid="{00000000-0005-0000-0000-000038000000}"/>
    <cellStyle name="常规 30 2 4" xfId="71" xr:uid="{00000000-0005-0000-0000-000039000000}"/>
    <cellStyle name="常规 30 3" xfId="72" xr:uid="{00000000-0005-0000-0000-00003A000000}"/>
    <cellStyle name="常规 30 3 2" xfId="73" xr:uid="{00000000-0005-0000-0000-00003B000000}"/>
    <cellStyle name="常规 30 4" xfId="74" xr:uid="{00000000-0005-0000-0000-00003C000000}"/>
    <cellStyle name="常规 30 5" xfId="75" xr:uid="{00000000-0005-0000-0000-00003D000000}"/>
    <cellStyle name="常规 4" xfId="76" xr:uid="{00000000-0005-0000-0000-00003E000000}"/>
    <cellStyle name="常规 4 2" xfId="77" xr:uid="{00000000-0005-0000-0000-00003F000000}"/>
    <cellStyle name="常规 4 2 2" xfId="45" xr:uid="{00000000-0005-0000-0000-000040000000}"/>
    <cellStyle name="常规 4 2 2 2" xfId="79" xr:uid="{00000000-0005-0000-0000-000041000000}"/>
    <cellStyle name="常规 4 3" xfId="39" xr:uid="{00000000-0005-0000-0000-000042000000}"/>
    <cellStyle name="常规 4 3 2" xfId="42" xr:uid="{00000000-0005-0000-0000-000043000000}"/>
    <cellStyle name="常规 4 3 2 2" xfId="80" xr:uid="{00000000-0005-0000-0000-000044000000}"/>
    <cellStyle name="常规 4 3 3" xfId="81" xr:uid="{00000000-0005-0000-0000-000045000000}"/>
    <cellStyle name="常规 4 3 3 2" xfId="82" xr:uid="{00000000-0005-0000-0000-000046000000}"/>
    <cellStyle name="常规 4 3 4" xfId="83" xr:uid="{00000000-0005-0000-0000-000047000000}"/>
    <cellStyle name="常规 4 4" xfId="44" xr:uid="{00000000-0005-0000-0000-000048000000}"/>
    <cellStyle name="常规 4 4 2" xfId="78" xr:uid="{00000000-0005-0000-0000-000049000000}"/>
    <cellStyle name="常规 4 5" xfId="47" xr:uid="{00000000-0005-0000-0000-00004A000000}"/>
    <cellStyle name="常规 4 5 2" xfId="84" xr:uid="{00000000-0005-0000-0000-00004B000000}"/>
    <cellStyle name="常规 5" xfId="85" xr:uid="{00000000-0005-0000-0000-00004C000000}"/>
    <cellStyle name="常规 5 2" xfId="7" xr:uid="{00000000-0005-0000-0000-00004D000000}"/>
    <cellStyle name="常规 5 2 2" xfId="8" xr:uid="{00000000-0005-0000-0000-00004E000000}"/>
    <cellStyle name="常规 5 3" xfId="50" xr:uid="{00000000-0005-0000-0000-00004F000000}"/>
    <cellStyle name="常规 5 3 2" xfId="86" xr:uid="{00000000-0005-0000-0000-000050000000}"/>
    <cellStyle name="常规 5 4" xfId="41" xr:uid="{00000000-0005-0000-0000-000051000000}"/>
    <cellStyle name="常规 6" xfId="6" xr:uid="{00000000-0005-0000-0000-000052000000}"/>
    <cellStyle name="常规 6 2" xfId="87" xr:uid="{00000000-0005-0000-0000-000053000000}"/>
    <cellStyle name="常规 7" xfId="88" xr:uid="{00000000-0005-0000-0000-000054000000}"/>
    <cellStyle name="常规 7 2" xfId="89" xr:uid="{00000000-0005-0000-0000-000055000000}"/>
    <cellStyle name="常规 79" xfId="90" xr:uid="{00000000-0005-0000-0000-000056000000}"/>
    <cellStyle name="常规 8" xfId="91" xr:uid="{00000000-0005-0000-0000-000057000000}"/>
    <cellStyle name="常规 8 2" xfId="10" xr:uid="{00000000-0005-0000-0000-000058000000}"/>
    <cellStyle name="常规 9" xfId="92" xr:uid="{00000000-0005-0000-0000-000059000000}"/>
    <cellStyle name="常规_Q6A01-9002CNEW(调节阀)" xfId="93" xr:uid="{00000000-0005-0000-0000-00005A000000}"/>
    <cellStyle name="常规_QCE4-005" xfId="26" xr:uid="{00000000-0005-0000-0000-00005B000000}"/>
    <cellStyle name="超链接" xfId="5" builtinId="8"/>
    <cellStyle name="好" xfId="9" builtinId="26"/>
    <cellStyle name="好 2" xfId="94" xr:uid="{00000000-0005-0000-0000-00005E000000}"/>
    <cellStyle name="好 2 2" xfId="95" xr:uid="{00000000-0005-0000-0000-00005F000000}"/>
    <cellStyle name="好 2 2 2" xfId="96" xr:uid="{00000000-0005-0000-0000-000060000000}"/>
    <cellStyle name="好 2 3" xfId="97" xr:uid="{00000000-0005-0000-0000-000061000000}"/>
    <cellStyle name="好 2 4" xfId="98" xr:uid="{00000000-0005-0000-0000-000062000000}"/>
    <cellStyle name="好 3" xfId="99" xr:uid="{00000000-0005-0000-0000-000063000000}"/>
    <cellStyle name="好 3 2" xfId="100" xr:uid="{00000000-0005-0000-0000-000064000000}"/>
    <cellStyle name="好 4" xfId="101" xr:uid="{00000000-0005-0000-0000-000065000000}"/>
    <cellStyle name="好 5" xfId="102" xr:uid="{00000000-0005-0000-0000-000066000000}"/>
    <cellStyle name="好 6" xfId="103" xr:uid="{00000000-0005-0000-0000-000067000000}"/>
    <cellStyle name="千位[0]_laroux" xfId="104" xr:uid="{00000000-0005-0000-0000-000068000000}"/>
    <cellStyle name="千位_laroux" xfId="105" xr:uid="{00000000-0005-0000-0000-000069000000}"/>
  </cellStyles>
  <dxfs count="7">
    <dxf>
      <font>
        <color theme="0"/>
      </font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  <alignment horizontal="center"/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  <alignment horizontal="center"/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  <fill>
        <patternFill patternType="none"/>
      </fill>
      <alignment vertical="top"/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  <fill>
        <patternFill patternType="none"/>
      </fill>
      <alignment vertical="top"/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  <fill>
        <patternFill patternType="none"/>
      </fill>
      <alignment vertical="top"/>
    </dxf>
    <dxf>
      <font>
        <b val="0"/>
        <i val="0"/>
        <strike val="0"/>
        <u val="none"/>
        <sz val="12"/>
        <color theme="0" tint="-0.89996032593768116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5" dropStyle="combo" dx="16" fmlaLink="$T$2" fmlaRange="taglist" sel="1" val="0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Drop" dropLines="5" dropStyle="combo" dx="16" fmlaLink="$T$2" fmlaRange="srlist" sel="1" val="0"/>
</file>

<file path=xl/ctrlProps/ctrlProp5.xml><?xml version="1.0" encoding="utf-8"?>
<formControlPr xmlns="http://schemas.microsoft.com/office/spreadsheetml/2009/9/main" objectType="Drop" dropLines="5" dropStyle="combo" dx="16" fmlaLink="$T$2" fmlaRange="taglist" sel="1" val="0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Drop" dropLines="5" dropStyle="combo" dx="16" fmlaLink="$T$2" fmlaRange="srlist" sel="1" val="0"/>
</file>

<file path=xl/ctrlProps/ctrlProp9.xml><?xml version="1.0" encoding="utf-8"?>
<formControlPr xmlns="http://schemas.microsoft.com/office/spreadsheetml/2009/9/main" objectType="Drop" dropLines="5" dropStyle="combo" dx="16" fmlaLink="$T$2" fmlaRange="srlist" sel="1" val="0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Drop" dropLines="5" dropStyle="combo" dx="16" fmlaLink="$T$2" fmlaRange="srlist" sel="1" val="0"/>
</file>

<file path=xl/ctrlProps/ctrlProp1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5385</xdr:rowOff>
    </xdr:from>
    <xdr:to>
      <xdr:col>4</xdr:col>
      <xdr:colOff>28575</xdr:colOff>
      <xdr:row>3</xdr:row>
      <xdr:rowOff>142875</xdr:rowOff>
    </xdr:to>
    <xdr:pic>
      <xdr:nvPicPr>
        <xdr:cNvPr id="2" name="图片 1" descr="注册商标草案(图)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24001" t="24614" r="29778" b="49651"/>
        <a:stretch>
          <a:fillRect/>
        </a:stretch>
      </xdr:blipFill>
      <xdr:spPr>
        <a:xfrm>
          <a:off x="238125" y="281305"/>
          <a:ext cx="819150" cy="4997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</xdr:row>
          <xdr:rowOff>19050</xdr:rowOff>
        </xdr:from>
        <xdr:to>
          <xdr:col>28</xdr:col>
          <xdr:colOff>180975</xdr:colOff>
          <xdr:row>3</xdr:row>
          <xdr:rowOff>123825</xdr:rowOff>
        </xdr:to>
        <xdr:sp macro="" textlink="">
          <xdr:nvSpPr>
            <xdr:cNvPr id="75818" name="Drop Down 42" hidden="1">
              <a:extLst>
                <a:ext uri="{63B3BB69-23CF-44E3-9099-C40C66FF867C}">
                  <a14:compatExt spid="_x0000_s75818"/>
                </a:ext>
                <a:ext uri="{FF2B5EF4-FFF2-40B4-BE49-F238E27FC236}">
                  <a16:creationId xmlns:a16="http://schemas.microsoft.com/office/drawing/2014/main" id="{00000000-0008-0000-0400-00002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7</xdr:row>
          <xdr:rowOff>104775</xdr:rowOff>
        </xdr:from>
        <xdr:to>
          <xdr:col>29</xdr:col>
          <xdr:colOff>228600</xdr:colOff>
          <xdr:row>9</xdr:row>
          <xdr:rowOff>0</xdr:rowOff>
        </xdr:to>
        <xdr:sp macro="" textlink="">
          <xdr:nvSpPr>
            <xdr:cNvPr id="75820" name="Button 44" hidden="1">
              <a:extLst>
                <a:ext uri="{63B3BB69-23CF-44E3-9099-C40C66FF867C}">
                  <a14:compatExt spid="_x0000_s75820"/>
                </a:ext>
                <a:ext uri="{FF2B5EF4-FFF2-40B4-BE49-F238E27FC236}">
                  <a16:creationId xmlns:a16="http://schemas.microsoft.com/office/drawing/2014/main" id="{00000000-0008-0000-0400-00002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打印全部数据表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9</xdr:row>
          <xdr:rowOff>114300</xdr:rowOff>
        </xdr:from>
        <xdr:to>
          <xdr:col>29</xdr:col>
          <xdr:colOff>228600</xdr:colOff>
          <xdr:row>10</xdr:row>
          <xdr:rowOff>152400</xdr:rowOff>
        </xdr:to>
        <xdr:sp macro="" textlink="">
          <xdr:nvSpPr>
            <xdr:cNvPr id="75821" name="Button 45" hidden="1">
              <a:extLst>
                <a:ext uri="{63B3BB69-23CF-44E3-9099-C40C66FF867C}">
                  <a14:compatExt spid="_x0000_s75821"/>
                </a:ext>
                <a:ext uri="{FF2B5EF4-FFF2-40B4-BE49-F238E27FC236}">
                  <a16:creationId xmlns:a16="http://schemas.microsoft.com/office/drawing/2014/main" id="{00000000-0008-0000-0400-00002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打印当前数据表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190500</xdr:colOff>
          <xdr:row>1</xdr:row>
          <xdr:rowOff>19050</xdr:rowOff>
        </xdr:from>
        <xdr:to>
          <xdr:col>31</xdr:col>
          <xdr:colOff>76200</xdr:colOff>
          <xdr:row>3</xdr:row>
          <xdr:rowOff>104775</xdr:rowOff>
        </xdr:to>
        <xdr:sp macro="" textlink="">
          <xdr:nvSpPr>
            <xdr:cNvPr id="75822" name="Drop Down 46" hidden="1">
              <a:extLst>
                <a:ext uri="{63B3BB69-23CF-44E3-9099-C40C66FF867C}">
                  <a14:compatExt spid="_x0000_s75822"/>
                </a:ext>
                <a:ext uri="{FF2B5EF4-FFF2-40B4-BE49-F238E27FC236}">
                  <a16:creationId xmlns:a16="http://schemas.microsoft.com/office/drawing/2014/main" id="{00000000-0008-0000-0400-00002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</xdr:row>
      <xdr:rowOff>33960</xdr:rowOff>
    </xdr:from>
    <xdr:to>
      <xdr:col>4</xdr:col>
      <xdr:colOff>0</xdr:colOff>
      <xdr:row>3</xdr:row>
      <xdr:rowOff>171450</xdr:rowOff>
    </xdr:to>
    <xdr:pic>
      <xdr:nvPicPr>
        <xdr:cNvPr id="2" name="图片 1" descr="注册商标草案(图)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24001" t="24614" r="29778" b="49651"/>
        <a:stretch>
          <a:fillRect/>
        </a:stretch>
      </xdr:blipFill>
      <xdr:spPr>
        <a:xfrm>
          <a:off x="209550" y="309880"/>
          <a:ext cx="819150" cy="4997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</xdr:row>
          <xdr:rowOff>19050</xdr:rowOff>
        </xdr:from>
        <xdr:to>
          <xdr:col>28</xdr:col>
          <xdr:colOff>180975</xdr:colOff>
          <xdr:row>3</xdr:row>
          <xdr:rowOff>123825</xdr:rowOff>
        </xdr:to>
        <xdr:sp macro="" textlink="">
          <xdr:nvSpPr>
            <xdr:cNvPr id="79873" name="Drop Dow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5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7</xdr:row>
          <xdr:rowOff>104775</xdr:rowOff>
        </xdr:from>
        <xdr:to>
          <xdr:col>29</xdr:col>
          <xdr:colOff>0</xdr:colOff>
          <xdr:row>9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5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打印全部数据表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9</xdr:row>
          <xdr:rowOff>114300</xdr:rowOff>
        </xdr:from>
        <xdr:to>
          <xdr:col>29</xdr:col>
          <xdr:colOff>0</xdr:colOff>
          <xdr:row>10</xdr:row>
          <xdr:rowOff>152400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5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打印当前数据表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47625</xdr:rowOff>
        </xdr:from>
        <xdr:to>
          <xdr:col>29</xdr:col>
          <xdr:colOff>714375</xdr:colOff>
          <xdr:row>3</xdr:row>
          <xdr:rowOff>133350</xdr:rowOff>
        </xdr:to>
        <xdr:sp macro="" textlink="">
          <xdr:nvSpPr>
            <xdr:cNvPr id="79878" name="Drop Dow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5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198782</xdr:colOff>
      <xdr:row>1</xdr:row>
      <xdr:rowOff>53010</xdr:rowOff>
    </xdr:from>
    <xdr:to>
      <xdr:col>3</xdr:col>
      <xdr:colOff>178172</xdr:colOff>
      <xdr:row>4</xdr:row>
      <xdr:rowOff>83484</xdr:rowOff>
    </xdr:to>
    <xdr:pic>
      <xdr:nvPicPr>
        <xdr:cNvPr id="3" name="图片 2" descr="注册商标草案(图)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24001" t="24614" r="29778" b="49651"/>
        <a:stretch>
          <a:fillRect/>
        </a:stretch>
      </xdr:blipFill>
      <xdr:spPr>
        <a:xfrm>
          <a:off x="198755" y="290830"/>
          <a:ext cx="922020" cy="563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552449</xdr:colOff>
      <xdr:row>0</xdr:row>
      <xdr:rowOff>142875</xdr:rowOff>
    </xdr:from>
    <xdr:to>
      <xdr:col>2</xdr:col>
      <xdr:colOff>123825</xdr:colOff>
      <xdr:row>3</xdr:row>
      <xdr:rowOff>180976</xdr:rowOff>
    </xdr:to>
    <xdr:pic>
      <xdr:nvPicPr>
        <xdr:cNvPr id="2" name="图片 1" descr="注册商标草案(图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24001" t="24614" r="29778" b="49651"/>
        <a:stretch>
          <a:fillRect/>
        </a:stretch>
      </xdr:blipFill>
      <xdr:spPr>
        <a:xfrm>
          <a:off x="551815" y="142875"/>
          <a:ext cx="101028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342900</xdr:colOff>
          <xdr:row>2</xdr:row>
          <xdr:rowOff>161925</xdr:rowOff>
        </xdr:from>
        <xdr:to>
          <xdr:col>14</xdr:col>
          <xdr:colOff>371475</xdr:colOff>
          <xdr:row>4</xdr:row>
          <xdr:rowOff>219075</xdr:rowOff>
        </xdr:to>
        <xdr:sp macro="" textlink="">
          <xdr:nvSpPr>
            <xdr:cNvPr id="83970" name="Drop Dow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9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6</xdr:row>
          <xdr:rowOff>114300</xdr:rowOff>
        </xdr:from>
        <xdr:to>
          <xdr:col>15</xdr:col>
          <xdr:colOff>371475</xdr:colOff>
          <xdr:row>7</xdr:row>
          <xdr:rowOff>133350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9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打印全部数据表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8</xdr:row>
          <xdr:rowOff>47625</xdr:rowOff>
        </xdr:from>
        <xdr:to>
          <xdr:col>15</xdr:col>
          <xdr:colOff>371475</xdr:colOff>
          <xdr:row>9</xdr:row>
          <xdr:rowOff>47625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09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打印当前数据表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381000</xdr:colOff>
      <xdr:row>10</xdr:row>
      <xdr:rowOff>111125</xdr:rowOff>
    </xdr:to>
    <xdr:sp macro="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962025" y="1476375"/>
          <a:ext cx="3810000" cy="1016000"/>
        </a:xfrm>
        <a:prstGeom prst="rect">
          <a:avLst/>
        </a:prstGeom>
        <a:blipFill>
          <a:blip xmlns:r="http://schemas.openxmlformats.org/officeDocument/2006/relationships" r:embed="rId1" cstate="print"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304800</xdr:rowOff>
        </xdr:from>
        <xdr:to>
          <xdr:col>10</xdr:col>
          <xdr:colOff>419100</xdr:colOff>
          <xdr:row>2</xdr:row>
          <xdr:rowOff>104775</xdr:rowOff>
        </xdr:to>
        <xdr:sp macro="" textlink="">
          <xdr:nvSpPr>
            <xdr:cNvPr id="84994" name="Drop Down 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0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2</xdr:row>
          <xdr:rowOff>314325</xdr:rowOff>
        </xdr:from>
        <xdr:to>
          <xdr:col>10</xdr:col>
          <xdr:colOff>552450</xdr:colOff>
          <xdr:row>3</xdr:row>
          <xdr:rowOff>314325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0A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插入图片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4037;&#20316;&#25991;&#26723;(ST)/&#36873;&#22411;&#25253;&#20215;/&#33021;&#28304;/&#20869;&#33945;&#21476;&#27704;&#21644;&#27679;&#21270;&#24037;&#26377;&#38480;&#20844;&#21496;-&#19977;&#26399;203&#21488;&#35843;&#33410;&#38400;&#37319;&#36141;&#35745;&#21010;&#21450;&#25968;&#25454;/Cv&#35745;&#31639;&#20070;-&#20869;&#33945;&#2147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6873;&#22411;&#26631;&#20070;\2018&#24180;\&#23665;&#35199;&#28510;&#23453;&#38598;&#22242;\&#35843;&#33410;&#38400;(2018.01.03)\&#23665;&#35199;&#28510;&#23453;&#30002;&#37255;&#39033;&#30446;&#26631;&#20070;\&#31070;&#36890;&#25968;&#25454;&#34920;&#35797;&#29992;&#292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原始计算书"/>
      <sheetName val="原始数据提取"/>
      <sheetName val="原始数据提取2"/>
      <sheetName val="科海数据"/>
      <sheetName val="Sheet2"/>
      <sheetName val="Cv计算书"/>
      <sheetName val="Language"/>
    </sheetNames>
    <sheetDataSet>
      <sheetData sheetId="0"/>
      <sheetData sheetId="1">
        <row r="1">
          <cell r="D1">
            <v>1</v>
          </cell>
        </row>
      </sheetData>
      <sheetData sheetId="2">
        <row r="7">
          <cell r="C7">
            <v>1</v>
          </cell>
          <cell r="D7" t="str">
            <v>TCV-1713</v>
          </cell>
        </row>
        <row r="8">
          <cell r="C8">
            <v>2</v>
          </cell>
          <cell r="D8" t="str">
            <v>TCV-1722</v>
          </cell>
        </row>
        <row r="9">
          <cell r="C9">
            <v>3</v>
          </cell>
          <cell r="D9" t="str">
            <v>TCV-1758</v>
          </cell>
        </row>
        <row r="10">
          <cell r="C10">
            <v>4</v>
          </cell>
          <cell r="D10" t="str">
            <v>TCV-1759</v>
          </cell>
        </row>
        <row r="11">
          <cell r="C11">
            <v>5</v>
          </cell>
          <cell r="D11" t="str">
            <v>TCV-1749</v>
          </cell>
        </row>
        <row r="12">
          <cell r="C12">
            <v>6</v>
          </cell>
          <cell r="D12" t="str">
            <v>TCV-1733</v>
          </cell>
        </row>
        <row r="13">
          <cell r="C13">
            <v>7</v>
          </cell>
          <cell r="D13" t="str">
            <v>PCV-1769</v>
          </cell>
        </row>
        <row r="14">
          <cell r="C14">
            <v>8</v>
          </cell>
          <cell r="D14" t="str">
            <v>PCV-1701</v>
          </cell>
        </row>
        <row r="15">
          <cell r="C15">
            <v>9</v>
          </cell>
          <cell r="D15" t="str">
            <v>PCV-1702A</v>
          </cell>
        </row>
        <row r="16">
          <cell r="C16">
            <v>10</v>
          </cell>
          <cell r="D16" t="str">
            <v>PCV-1702B</v>
          </cell>
        </row>
        <row r="17">
          <cell r="C17">
            <v>11</v>
          </cell>
          <cell r="D17" t="str">
            <v>PCV-1706</v>
          </cell>
        </row>
        <row r="18">
          <cell r="C18">
            <v>12</v>
          </cell>
          <cell r="D18" t="str">
            <v>PCV-1707</v>
          </cell>
        </row>
        <row r="19">
          <cell r="C19">
            <v>13</v>
          </cell>
          <cell r="D19" t="str">
            <v>PCV-1709a</v>
          </cell>
        </row>
        <row r="20">
          <cell r="C20">
            <v>14</v>
          </cell>
          <cell r="D20" t="str">
            <v>PCV-1709b</v>
          </cell>
        </row>
        <row r="21">
          <cell r="C21">
            <v>15</v>
          </cell>
          <cell r="D21" t="str">
            <v>PCV-1711A</v>
          </cell>
        </row>
        <row r="22">
          <cell r="C22">
            <v>16</v>
          </cell>
          <cell r="D22" t="str">
            <v>PCV-1711B</v>
          </cell>
        </row>
        <row r="23">
          <cell r="C23">
            <v>17</v>
          </cell>
          <cell r="D23" t="str">
            <v>PCV-1714A</v>
          </cell>
        </row>
        <row r="24">
          <cell r="C24">
            <v>18</v>
          </cell>
          <cell r="D24" t="str">
            <v>PCV-1714B</v>
          </cell>
        </row>
        <row r="25">
          <cell r="C25">
            <v>19</v>
          </cell>
          <cell r="D25" t="str">
            <v>PCV-1715AB</v>
          </cell>
        </row>
        <row r="26">
          <cell r="C26">
            <v>20</v>
          </cell>
          <cell r="D26" t="str">
            <v>PCV-1717</v>
          </cell>
        </row>
        <row r="27">
          <cell r="C27">
            <v>21</v>
          </cell>
          <cell r="D27" t="str">
            <v>PCV-1720</v>
          </cell>
        </row>
        <row r="28">
          <cell r="C28">
            <v>22</v>
          </cell>
          <cell r="D28" t="str">
            <v>PCV-1721</v>
          </cell>
        </row>
        <row r="29">
          <cell r="C29">
            <v>23</v>
          </cell>
          <cell r="D29" t="str">
            <v>PCV-1723A</v>
          </cell>
        </row>
        <row r="30">
          <cell r="C30">
            <v>24</v>
          </cell>
          <cell r="D30" t="str">
            <v>PCV-1723B</v>
          </cell>
        </row>
        <row r="31">
          <cell r="C31">
            <v>25</v>
          </cell>
          <cell r="D31" t="str">
            <v>PCV-1724</v>
          </cell>
        </row>
        <row r="32">
          <cell r="C32">
            <v>26</v>
          </cell>
          <cell r="D32" t="str">
            <v>PCV-1725</v>
          </cell>
        </row>
        <row r="33">
          <cell r="C33">
            <v>27</v>
          </cell>
          <cell r="D33" t="str">
            <v>LCV-1701</v>
          </cell>
        </row>
        <row r="34">
          <cell r="C34">
            <v>28</v>
          </cell>
          <cell r="D34" t="str">
            <v>LCV-1702</v>
          </cell>
        </row>
        <row r="35">
          <cell r="C35">
            <v>29</v>
          </cell>
          <cell r="D35" t="str">
            <v>LCV-1703</v>
          </cell>
        </row>
        <row r="36">
          <cell r="C36">
            <v>30</v>
          </cell>
          <cell r="D36" t="str">
            <v>LCV-1704</v>
          </cell>
        </row>
        <row r="37">
          <cell r="C37">
            <v>31</v>
          </cell>
          <cell r="D37" t="str">
            <v>LCV-1705</v>
          </cell>
        </row>
        <row r="38">
          <cell r="C38">
            <v>32</v>
          </cell>
          <cell r="D38" t="str">
            <v>LCV-1706</v>
          </cell>
        </row>
        <row r="39">
          <cell r="C39">
            <v>33</v>
          </cell>
          <cell r="D39" t="str">
            <v>LCV-1707</v>
          </cell>
        </row>
        <row r="40">
          <cell r="C40">
            <v>34</v>
          </cell>
          <cell r="D40" t="str">
            <v>LCV-1710</v>
          </cell>
        </row>
        <row r="41">
          <cell r="C41">
            <v>35</v>
          </cell>
          <cell r="D41" t="str">
            <v>LCV-1709</v>
          </cell>
        </row>
        <row r="42">
          <cell r="C42">
            <v>36</v>
          </cell>
          <cell r="D42" t="str">
            <v>LCV-1712</v>
          </cell>
        </row>
        <row r="43">
          <cell r="C43">
            <v>37</v>
          </cell>
          <cell r="D43" t="str">
            <v>LCV-1713</v>
          </cell>
        </row>
        <row r="44">
          <cell r="C44">
            <v>38</v>
          </cell>
          <cell r="D44" t="str">
            <v>LCV-1716</v>
          </cell>
        </row>
        <row r="45">
          <cell r="C45">
            <v>39</v>
          </cell>
          <cell r="D45" t="str">
            <v>LCV-1717</v>
          </cell>
        </row>
        <row r="46">
          <cell r="C46">
            <v>40</v>
          </cell>
          <cell r="D46" t="str">
            <v>LCV-1726</v>
          </cell>
        </row>
        <row r="47">
          <cell r="C47">
            <v>41</v>
          </cell>
          <cell r="D47" t="str">
            <v>FCV-1702</v>
          </cell>
        </row>
        <row r="48">
          <cell r="C48">
            <v>42</v>
          </cell>
          <cell r="D48" t="str">
            <v>FCV-1703A</v>
          </cell>
        </row>
        <row r="49">
          <cell r="C49">
            <v>43</v>
          </cell>
          <cell r="D49" t="str">
            <v>FCV-1703B</v>
          </cell>
        </row>
        <row r="50">
          <cell r="C50">
            <v>44</v>
          </cell>
          <cell r="D50" t="str">
            <v>FCV-1704</v>
          </cell>
        </row>
        <row r="51">
          <cell r="C51">
            <v>45</v>
          </cell>
          <cell r="D51" t="str">
            <v>FCV-1705</v>
          </cell>
        </row>
        <row r="52">
          <cell r="C52">
            <v>46</v>
          </cell>
          <cell r="D52" t="str">
            <v>FCV-1706</v>
          </cell>
        </row>
        <row r="53">
          <cell r="C53">
            <v>47</v>
          </cell>
          <cell r="D53" t="str">
            <v>FCV-1711</v>
          </cell>
        </row>
        <row r="54">
          <cell r="C54">
            <v>48</v>
          </cell>
          <cell r="D54" t="str">
            <v>FCV-1712</v>
          </cell>
        </row>
        <row r="55">
          <cell r="C55">
            <v>49</v>
          </cell>
          <cell r="D55" t="str">
            <v>FCV-1715</v>
          </cell>
        </row>
        <row r="56">
          <cell r="C56">
            <v>50</v>
          </cell>
          <cell r="D56" t="str">
            <v>FCV-1716</v>
          </cell>
        </row>
        <row r="57">
          <cell r="C57">
            <v>51</v>
          </cell>
          <cell r="D57" t="str">
            <v>FCV-1717</v>
          </cell>
        </row>
        <row r="58">
          <cell r="C58">
            <v>52</v>
          </cell>
          <cell r="D58" t="str">
            <v>FCV-1722</v>
          </cell>
        </row>
        <row r="59">
          <cell r="C59">
            <v>53</v>
          </cell>
          <cell r="D59" t="str">
            <v>FCV-1723</v>
          </cell>
        </row>
        <row r="60">
          <cell r="C60">
            <v>54</v>
          </cell>
          <cell r="D60" t="str">
            <v>FCV-1725</v>
          </cell>
        </row>
        <row r="61">
          <cell r="C61">
            <v>55</v>
          </cell>
          <cell r="D61" t="str">
            <v>FCV-1727</v>
          </cell>
        </row>
        <row r="62">
          <cell r="C62">
            <v>56</v>
          </cell>
          <cell r="D62" t="str">
            <v>FCV-1728</v>
          </cell>
        </row>
        <row r="63">
          <cell r="C63">
            <v>57</v>
          </cell>
          <cell r="D63" t="str">
            <v>FCV-1729</v>
          </cell>
        </row>
        <row r="64">
          <cell r="C64">
            <v>58</v>
          </cell>
          <cell r="D64" t="str">
            <v>FCV-1731</v>
          </cell>
        </row>
        <row r="65">
          <cell r="C65">
            <v>59</v>
          </cell>
          <cell r="D65" t="str">
            <v>HCV-1701</v>
          </cell>
        </row>
        <row r="66">
          <cell r="C66">
            <v>60</v>
          </cell>
          <cell r="D66" t="str">
            <v>HCV-1702</v>
          </cell>
        </row>
        <row r="67">
          <cell r="C67">
            <v>1</v>
          </cell>
          <cell r="D67" t="str">
            <v>TV-1807A～D</v>
          </cell>
        </row>
        <row r="68">
          <cell r="C68">
            <v>2</v>
          </cell>
          <cell r="D68" t="str">
            <v>TV-1813A～D</v>
          </cell>
        </row>
        <row r="69">
          <cell r="C69">
            <v>3</v>
          </cell>
          <cell r="D69" t="str">
            <v>PV-1815A～D-1</v>
          </cell>
        </row>
        <row r="70">
          <cell r="C70">
            <v>4</v>
          </cell>
          <cell r="D70" t="str">
            <v>PV-1815A～D-2</v>
          </cell>
        </row>
        <row r="71">
          <cell r="C71">
            <v>5</v>
          </cell>
          <cell r="D71" t="str">
            <v>PV-1816</v>
          </cell>
        </row>
        <row r="72">
          <cell r="C72">
            <v>6</v>
          </cell>
          <cell r="D72" t="str">
            <v>LV-1805</v>
          </cell>
        </row>
        <row r="73">
          <cell r="C73">
            <v>7</v>
          </cell>
          <cell r="D73" t="str">
            <v>PV-1817-1</v>
          </cell>
        </row>
        <row r="74">
          <cell r="C74">
            <v>8</v>
          </cell>
          <cell r="D74" t="str">
            <v>PV-1817-2</v>
          </cell>
        </row>
        <row r="75">
          <cell r="C75">
            <v>9</v>
          </cell>
          <cell r="D75" t="str">
            <v>TV-1831</v>
          </cell>
        </row>
        <row r="76">
          <cell r="C76">
            <v>10</v>
          </cell>
          <cell r="D76" t="str">
            <v>PV-1821</v>
          </cell>
        </row>
        <row r="77">
          <cell r="C77">
            <v>11</v>
          </cell>
          <cell r="D77" t="str">
            <v>FV-1811</v>
          </cell>
        </row>
        <row r="78">
          <cell r="C78">
            <v>12</v>
          </cell>
          <cell r="D78" t="str">
            <v>LV-1808</v>
          </cell>
        </row>
        <row r="79">
          <cell r="C79">
            <v>13</v>
          </cell>
          <cell r="D79" t="str">
            <v>FV-1816</v>
          </cell>
        </row>
        <row r="80">
          <cell r="C80">
            <v>14</v>
          </cell>
          <cell r="D80" t="str">
            <v>FV-1817</v>
          </cell>
        </row>
        <row r="81">
          <cell r="C81">
            <v>15</v>
          </cell>
          <cell r="D81" t="str">
            <v>PV-1824</v>
          </cell>
        </row>
        <row r="82">
          <cell r="C82">
            <v>16</v>
          </cell>
          <cell r="D82" t="str">
            <v>PV-1825</v>
          </cell>
        </row>
        <row r="83">
          <cell r="C83">
            <v>17</v>
          </cell>
          <cell r="D83" t="str">
            <v>LV-1818</v>
          </cell>
        </row>
        <row r="84">
          <cell r="C84">
            <v>18</v>
          </cell>
          <cell r="D84" t="str">
            <v>LV-1820</v>
          </cell>
        </row>
        <row r="85">
          <cell r="C85">
            <v>19</v>
          </cell>
          <cell r="D85" t="str">
            <v>PV-1828</v>
          </cell>
        </row>
        <row r="86">
          <cell r="C86">
            <v>20</v>
          </cell>
          <cell r="D86" t="str">
            <v>LV-1821</v>
          </cell>
        </row>
        <row r="87">
          <cell r="C87">
            <v>21</v>
          </cell>
          <cell r="D87" t="str">
            <v>PV-1829</v>
          </cell>
        </row>
        <row r="88">
          <cell r="C88">
            <v>22</v>
          </cell>
          <cell r="D88" t="str">
            <v>LV-1822</v>
          </cell>
        </row>
        <row r="89">
          <cell r="C89">
            <v>23</v>
          </cell>
          <cell r="D89" t="str">
            <v>PV-1830</v>
          </cell>
        </row>
        <row r="90">
          <cell r="C90">
            <v>24</v>
          </cell>
          <cell r="D90" t="str">
            <v>LV-1823</v>
          </cell>
        </row>
        <row r="91">
          <cell r="C91">
            <v>25</v>
          </cell>
          <cell r="D91" t="str">
            <v>PV-1831</v>
          </cell>
        </row>
        <row r="92">
          <cell r="C92">
            <v>26</v>
          </cell>
          <cell r="D92" t="str">
            <v>PV-1834</v>
          </cell>
        </row>
        <row r="93">
          <cell r="C93">
            <v>27</v>
          </cell>
          <cell r="D93" t="str">
            <v>TV-1873</v>
          </cell>
        </row>
        <row r="94">
          <cell r="C94">
            <v>28</v>
          </cell>
          <cell r="D94" t="str">
            <v>PV-1835</v>
          </cell>
        </row>
        <row r="95">
          <cell r="C95">
            <v>29</v>
          </cell>
          <cell r="D95" t="str">
            <v>TV-1877</v>
          </cell>
        </row>
        <row r="96">
          <cell r="C96">
            <v>30</v>
          </cell>
          <cell r="D96" t="str">
            <v>LV-1826</v>
          </cell>
        </row>
        <row r="97">
          <cell r="C97">
            <v>31</v>
          </cell>
          <cell r="D97" t="str">
            <v>位号暂缺</v>
          </cell>
        </row>
        <row r="98">
          <cell r="C98">
            <v>32</v>
          </cell>
          <cell r="D98" t="str">
            <v>FV-1804A～D</v>
          </cell>
        </row>
        <row r="99">
          <cell r="C99">
            <v>33</v>
          </cell>
          <cell r="D99" t="str">
            <v>PV-1803</v>
          </cell>
        </row>
        <row r="100">
          <cell r="C100">
            <v>34</v>
          </cell>
          <cell r="D100" t="str">
            <v>PV-1806</v>
          </cell>
        </row>
      </sheetData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神通数据源"/>
      <sheetName val="计算书"/>
      <sheetName val="神通控制阀规格数据表"/>
      <sheetName val="神通电动控制阀规格数据表"/>
      <sheetName val="神通控制阀规格数据表 英文版"/>
      <sheetName val="备件清单"/>
      <sheetName val="配件清单"/>
      <sheetName val="气包清单"/>
      <sheetName val="附件询价单"/>
      <sheetName val="阀本体询价单"/>
      <sheetName val="执行机构询价单"/>
      <sheetName val="Sheet1"/>
      <sheetName val="一览表"/>
    </sheetNames>
    <sheetDataSet>
      <sheetData sheetId="0" refreshError="1"/>
      <sheetData sheetId="1" refreshError="1">
        <row r="6">
          <cell r="G6" t="str">
            <v>合同生效后 天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0000000}" name="列表24" displayName="列表24" ref="AF2:AI18" totalsRowShown="0">
  <autoFilter ref="AF2:AI18" xr:uid="{00000000-0009-0000-0100-000018000000}"/>
  <tableColumns count="4">
    <tableColumn id="1" xr3:uid="{00000000-0010-0000-0000-000001000000}" name="单作用齿轮齿条式气缸型" dataDxfId="6"/>
    <tableColumn id="2" xr3:uid="{00000000-0010-0000-0000-000002000000}" name="双作用齿轮齿条式气缸型" dataDxfId="5"/>
    <tableColumn id="3" xr3:uid="{00000000-0010-0000-0000-000003000000}" name="单作用活塞式气缸型" dataDxfId="4"/>
    <tableColumn id="4" xr3:uid="{00000000-0010-0000-0000-000004000000}" name="双作用活塞式气缸型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1000000}" name="列表26" displayName="列表26" ref="AM2:AM80" totalsRowShown="0">
  <autoFilter ref="AM2:AM80" xr:uid="{00000000-0009-0000-0100-00001A000000}"/>
  <tableColumns count="1">
    <tableColumn id="1" xr3:uid="{00000000-0010-0000-0100-000001000000}" name="电动开关型" dataDxfId="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2000000}" name="列表25" displayName="列表25" ref="AL2:AL80" totalsRowShown="0">
  <autoFilter ref="AL2:AL80" xr:uid="{00000000-0009-0000-0100-000019000000}"/>
  <tableColumns count="1">
    <tableColumn id="1" xr3:uid="{00000000-0010-0000-0200-000001000000}" name="电动调节型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B125"/>
  <sheetViews>
    <sheetView zoomScale="80" zoomScaleNormal="80" workbookViewId="0">
      <pane xSplit="3" ySplit="2" topLeftCell="BP3" activePane="bottomRight" state="frozen"/>
      <selection pane="topRight"/>
      <selection pane="bottomLeft"/>
      <selection pane="bottomRight" activeCell="BZ6" sqref="BZ6:CA20"/>
    </sheetView>
  </sheetViews>
  <sheetFormatPr defaultColWidth="9" defaultRowHeight="15" customHeight="1"/>
  <cols>
    <col min="1" max="1" width="2.625" style="196" customWidth="1"/>
    <col min="2" max="2" width="19.25" style="197" customWidth="1"/>
    <col min="3" max="3" width="1.25" style="198" customWidth="1"/>
    <col min="4" max="4" width="10.75" style="198" customWidth="1"/>
    <col min="5" max="5" width="20.375" style="196" customWidth="1"/>
    <col min="6" max="6" width="9.125" style="196" customWidth="1"/>
    <col min="7" max="7" width="11.75" style="196" customWidth="1"/>
    <col min="8" max="8" width="8.875" style="196" customWidth="1"/>
    <col min="9" max="9" width="10" style="196" customWidth="1"/>
    <col min="10" max="10" width="9.5" style="196" customWidth="1"/>
    <col min="11" max="11" width="20.25" style="196" customWidth="1"/>
    <col min="12" max="12" width="11.5" style="196" customWidth="1"/>
    <col min="13" max="13" width="21.25" style="196" customWidth="1"/>
    <col min="14" max="14" width="12.125" style="196" customWidth="1"/>
    <col min="15" max="15" width="7.75" style="196" customWidth="1"/>
    <col min="16" max="16" width="15.625" style="196" customWidth="1"/>
    <col min="17" max="17" width="9.75" style="196" customWidth="1"/>
    <col min="18" max="18" width="29.25" style="196" customWidth="1"/>
    <col min="19" max="19" width="13.125" style="196" customWidth="1"/>
    <col min="20" max="20" width="18" style="196" customWidth="1"/>
    <col min="21" max="21" width="10.5" style="196" customWidth="1"/>
    <col min="22" max="22" width="12.25" style="196" customWidth="1"/>
    <col min="23" max="23" width="25.625" style="196" customWidth="1"/>
    <col min="24" max="24" width="16.875" style="196" customWidth="1"/>
    <col min="25" max="25" width="24.125" style="196" customWidth="1"/>
    <col min="26" max="26" width="19.875" style="196" customWidth="1"/>
    <col min="27" max="27" width="17.25" style="196" customWidth="1"/>
    <col min="28" max="28" width="17.125" style="196" customWidth="1"/>
    <col min="29" max="29" width="16.5" style="196" customWidth="1"/>
    <col min="30" max="30" width="11.875" style="196" customWidth="1"/>
    <col min="31" max="31" width="7.75" style="196" customWidth="1"/>
    <col min="32" max="32" width="10.875" style="196" customWidth="1"/>
    <col min="33" max="33" width="10.75" style="196" customWidth="1"/>
    <col min="34" max="34" width="10" style="196" customWidth="1"/>
    <col min="35" max="35" width="10.375" style="196" customWidth="1"/>
    <col min="36" max="36" width="15.625" style="196" customWidth="1"/>
    <col min="37" max="37" width="14.625" style="196" customWidth="1"/>
    <col min="38" max="38" width="13.5" style="196" customWidth="1"/>
    <col min="39" max="40" width="14.125" style="196" customWidth="1"/>
    <col min="41" max="41" width="21" style="196" customWidth="1"/>
    <col min="42" max="42" width="18.75" style="196" customWidth="1"/>
    <col min="43" max="43" width="29.625" style="196" customWidth="1"/>
    <col min="44" max="46" width="21" style="196" customWidth="1"/>
    <col min="47" max="47" width="21.125" style="196" customWidth="1"/>
    <col min="48" max="48" width="16.125" style="196" customWidth="1"/>
    <col min="49" max="49" width="20.5" style="196" customWidth="1"/>
    <col min="50" max="50" width="12.625" style="196" customWidth="1"/>
    <col min="51" max="51" width="26" style="196" customWidth="1"/>
    <col min="52" max="52" width="13.375" style="196" customWidth="1"/>
    <col min="53" max="53" width="13.5" style="196" customWidth="1"/>
    <col min="54" max="54" width="15.75" style="196" customWidth="1"/>
    <col min="55" max="55" width="18.25" style="196" customWidth="1"/>
    <col min="56" max="57" width="12.125" style="196" customWidth="1"/>
    <col min="58" max="58" width="18.875" style="196" customWidth="1"/>
    <col min="59" max="59" width="27.5" style="196" customWidth="1"/>
    <col min="60" max="60" width="13" style="196" customWidth="1"/>
    <col min="61" max="61" width="20.75" style="196" customWidth="1"/>
    <col min="62" max="62" width="14.5" style="196" customWidth="1"/>
    <col min="63" max="65" width="9" style="196"/>
    <col min="66" max="66" width="19.375" style="196" customWidth="1"/>
    <col min="67" max="67" width="29.625" style="196" customWidth="1"/>
    <col min="68" max="68" width="49.25" style="196" customWidth="1"/>
    <col min="69" max="69" width="14.375" style="196" customWidth="1"/>
    <col min="70" max="71" width="9" style="196"/>
    <col min="72" max="72" width="9.75" style="196" customWidth="1"/>
    <col min="73" max="73" width="12.375" style="196" customWidth="1"/>
    <col min="74" max="74" width="7.375" style="199" customWidth="1"/>
    <col min="75" max="75" width="14.5" style="196" customWidth="1"/>
    <col min="76" max="76" width="5" style="199" customWidth="1"/>
    <col min="77" max="77" width="5" style="196" customWidth="1"/>
    <col min="78" max="16384" width="9" style="196"/>
  </cols>
  <sheetData>
    <row r="1" spans="1:80" ht="15" customHeight="1">
      <c r="B1" s="304" t="s">
        <v>0</v>
      </c>
      <c r="E1" s="196" t="s">
        <v>1</v>
      </c>
      <c r="K1" s="196" t="s">
        <v>2</v>
      </c>
      <c r="R1" s="196" t="s">
        <v>3</v>
      </c>
      <c r="W1" s="196" t="s">
        <v>4</v>
      </c>
      <c r="AD1" s="196" t="s">
        <v>5</v>
      </c>
      <c r="AQ1" s="196" t="s">
        <v>6</v>
      </c>
      <c r="BW1" s="195"/>
      <c r="BY1" s="195"/>
    </row>
    <row r="2" spans="1:80" s="195" customFormat="1" ht="15" customHeight="1">
      <c r="B2" s="304"/>
      <c r="D2" s="201" t="s">
        <v>7</v>
      </c>
      <c r="E2" s="202" t="s">
        <v>8</v>
      </c>
      <c r="F2" s="203" t="s">
        <v>9</v>
      </c>
      <c r="G2" s="203" t="s">
        <v>10</v>
      </c>
      <c r="H2" s="203" t="s">
        <v>11</v>
      </c>
      <c r="I2" s="203" t="s">
        <v>12</v>
      </c>
      <c r="J2" s="203" t="s">
        <v>13</v>
      </c>
      <c r="K2" s="215" t="s">
        <v>14</v>
      </c>
      <c r="L2" s="215" t="s">
        <v>15</v>
      </c>
      <c r="M2" s="215" t="s">
        <v>16</v>
      </c>
      <c r="N2" s="215" t="s">
        <v>17</v>
      </c>
      <c r="O2" s="215" t="s">
        <v>18</v>
      </c>
      <c r="P2" s="215" t="s">
        <v>19</v>
      </c>
      <c r="Q2" s="215" t="s">
        <v>20</v>
      </c>
      <c r="R2" s="219" t="s">
        <v>21</v>
      </c>
      <c r="S2" s="219" t="s">
        <v>22</v>
      </c>
      <c r="T2" s="219" t="s">
        <v>23</v>
      </c>
      <c r="U2" s="219" t="s">
        <v>24</v>
      </c>
      <c r="V2" s="219" t="s">
        <v>25</v>
      </c>
      <c r="W2" s="220" t="s">
        <v>26</v>
      </c>
      <c r="X2" s="220" t="s">
        <v>27</v>
      </c>
      <c r="Y2" s="220" t="s">
        <v>28</v>
      </c>
      <c r="Z2" s="221" t="s">
        <v>29</v>
      </c>
      <c r="AA2" s="221" t="s">
        <v>30</v>
      </c>
      <c r="AB2" s="221" t="s">
        <v>31</v>
      </c>
      <c r="AC2" s="221" t="s">
        <v>32</v>
      </c>
      <c r="AD2" s="222" t="s">
        <v>33</v>
      </c>
      <c r="AE2" s="222" t="s">
        <v>34</v>
      </c>
      <c r="AF2" s="223" t="s">
        <v>35</v>
      </c>
      <c r="AG2" s="223" t="s">
        <v>36</v>
      </c>
      <c r="AH2" s="223" t="s">
        <v>37</v>
      </c>
      <c r="AI2" s="223" t="s">
        <v>38</v>
      </c>
      <c r="AJ2" s="223" t="s">
        <v>39</v>
      </c>
      <c r="AK2" s="223" t="s">
        <v>40</v>
      </c>
      <c r="AL2" s="223" t="s">
        <v>41</v>
      </c>
      <c r="AM2" s="223" t="s">
        <v>42</v>
      </c>
      <c r="AN2" s="223" t="s">
        <v>43</v>
      </c>
      <c r="AO2" s="222" t="s">
        <v>44</v>
      </c>
      <c r="AP2" s="222" t="s">
        <v>45</v>
      </c>
      <c r="AQ2" s="226" t="s">
        <v>46</v>
      </c>
      <c r="AR2" s="226" t="s">
        <v>47</v>
      </c>
      <c r="AS2" s="226" t="s">
        <v>48</v>
      </c>
      <c r="AT2" s="226" t="s">
        <v>49</v>
      </c>
      <c r="AU2" s="226" t="s">
        <v>50</v>
      </c>
      <c r="AV2" s="226" t="s">
        <v>51</v>
      </c>
      <c r="AW2" s="226" t="s">
        <v>52</v>
      </c>
      <c r="AX2" s="226" t="s">
        <v>53</v>
      </c>
      <c r="AY2" s="226" t="s">
        <v>54</v>
      </c>
      <c r="AZ2" s="226" t="s">
        <v>55</v>
      </c>
      <c r="BA2" s="226" t="s">
        <v>56</v>
      </c>
      <c r="BB2" s="226" t="s">
        <v>57</v>
      </c>
      <c r="BC2" s="226" t="s">
        <v>58</v>
      </c>
      <c r="BD2" s="226" t="s">
        <v>59</v>
      </c>
      <c r="BE2" s="226" t="s">
        <v>60</v>
      </c>
      <c r="BF2" s="226" t="s">
        <v>61</v>
      </c>
      <c r="BG2" s="226" t="s">
        <v>62</v>
      </c>
      <c r="BH2" s="226" t="s">
        <v>63</v>
      </c>
      <c r="BI2" s="226" t="s">
        <v>64</v>
      </c>
      <c r="BJ2" s="229" t="s">
        <v>65</v>
      </c>
      <c r="BN2" s="231" t="s">
        <v>66</v>
      </c>
      <c r="BV2" s="199"/>
      <c r="BX2" s="199"/>
    </row>
    <row r="3" spans="1:80">
      <c r="A3" s="195"/>
      <c r="B3" s="204" t="s">
        <v>67</v>
      </c>
      <c r="D3" s="198" t="s">
        <v>68</v>
      </c>
      <c r="E3" s="196" t="s">
        <v>69</v>
      </c>
      <c r="F3" s="196" t="s">
        <v>70</v>
      </c>
      <c r="G3" s="196" t="s">
        <v>71</v>
      </c>
      <c r="H3" s="196" t="s">
        <v>72</v>
      </c>
      <c r="I3" s="196" t="s">
        <v>73</v>
      </c>
      <c r="J3" s="196" t="s">
        <v>74</v>
      </c>
      <c r="K3" s="216" t="s">
        <v>75</v>
      </c>
      <c r="L3" s="196" t="s">
        <v>76</v>
      </c>
      <c r="M3" s="196" t="s">
        <v>77</v>
      </c>
      <c r="N3" s="196" t="s">
        <v>78</v>
      </c>
      <c r="O3" s="196" t="s">
        <v>79</v>
      </c>
      <c r="P3" s="196" t="s">
        <v>80</v>
      </c>
      <c r="Q3" s="196" t="s">
        <v>81</v>
      </c>
      <c r="R3" s="196" t="s">
        <v>82</v>
      </c>
      <c r="S3" s="196" t="s">
        <v>1871</v>
      </c>
      <c r="T3" s="196" t="s">
        <v>84</v>
      </c>
      <c r="U3" s="196" t="s">
        <v>85</v>
      </c>
      <c r="V3" s="196" t="s">
        <v>86</v>
      </c>
      <c r="W3" s="198">
        <v>304</v>
      </c>
      <c r="X3" s="196" t="s">
        <v>87</v>
      </c>
      <c r="Y3" s="198">
        <v>304</v>
      </c>
      <c r="Z3" s="196" t="s">
        <v>85</v>
      </c>
      <c r="AA3" s="196" t="s">
        <v>85</v>
      </c>
      <c r="AB3" s="196" t="s">
        <v>85</v>
      </c>
      <c r="AC3" s="198">
        <v>304</v>
      </c>
      <c r="AD3" s="196" t="s">
        <v>85</v>
      </c>
      <c r="AE3" s="224" t="s">
        <v>88</v>
      </c>
      <c r="AF3" s="196" t="s">
        <v>89</v>
      </c>
      <c r="AG3" s="196" t="s">
        <v>89</v>
      </c>
      <c r="AH3" s="196" t="s">
        <v>90</v>
      </c>
      <c r="AI3" s="196" t="s">
        <v>90</v>
      </c>
      <c r="AJ3" s="196" t="s">
        <v>91</v>
      </c>
      <c r="AK3" s="196" t="s">
        <v>91</v>
      </c>
      <c r="AL3" s="195" t="s">
        <v>92</v>
      </c>
      <c r="AM3" s="195" t="s">
        <v>93</v>
      </c>
      <c r="AN3" s="196">
        <v>1</v>
      </c>
      <c r="AO3" s="196" t="s">
        <v>85</v>
      </c>
      <c r="AP3" s="196" t="s">
        <v>85</v>
      </c>
      <c r="AQ3" s="198" t="s">
        <v>1855</v>
      </c>
      <c r="AR3" s="196" t="s">
        <v>1855</v>
      </c>
      <c r="AS3" s="196" t="s">
        <v>1855</v>
      </c>
      <c r="AT3" s="196" t="s">
        <v>1855</v>
      </c>
      <c r="AU3" s="196" t="s">
        <v>1855</v>
      </c>
      <c r="AV3" s="196" t="s">
        <v>1856</v>
      </c>
      <c r="AW3" s="196" t="s">
        <v>1856</v>
      </c>
      <c r="AX3" s="196" t="s">
        <v>1856</v>
      </c>
      <c r="AY3" s="196" t="s">
        <v>1856</v>
      </c>
      <c r="AZ3" s="196" t="s">
        <v>1856</v>
      </c>
      <c r="BA3" s="196" t="s">
        <v>1856</v>
      </c>
      <c r="BB3" s="196" t="s">
        <v>1856</v>
      </c>
      <c r="BC3" s="196" t="s">
        <v>1856</v>
      </c>
      <c r="BD3" s="196" t="s">
        <v>1856</v>
      </c>
      <c r="BE3" s="196" t="s">
        <v>1856</v>
      </c>
      <c r="BF3" s="196" t="s">
        <v>1856</v>
      </c>
      <c r="BG3" s="196" t="s">
        <v>1856</v>
      </c>
      <c r="BH3" s="196" t="s">
        <v>1856</v>
      </c>
      <c r="BI3" s="196" t="s">
        <v>94</v>
      </c>
      <c r="BN3" s="232"/>
      <c r="BO3" s="233" t="s">
        <v>95</v>
      </c>
      <c r="BP3" s="234" t="s">
        <v>96</v>
      </c>
      <c r="BQ3" s="196" t="s">
        <v>33</v>
      </c>
      <c r="BS3" s="196" t="s">
        <v>97</v>
      </c>
      <c r="BT3" s="235" t="s">
        <v>98</v>
      </c>
      <c r="BU3" s="196" t="s">
        <v>99</v>
      </c>
      <c r="BV3" s="247"/>
      <c r="BW3" s="195"/>
      <c r="BY3" s="195"/>
    </row>
    <row r="4" spans="1:80" ht="14.25" customHeight="1">
      <c r="A4" s="195"/>
      <c r="B4" s="200"/>
      <c r="C4" s="205"/>
      <c r="D4" s="198" t="s">
        <v>100</v>
      </c>
      <c r="E4" s="196" t="s">
        <v>101</v>
      </c>
      <c r="F4" s="196" t="s">
        <v>102</v>
      </c>
      <c r="G4" s="196" t="s">
        <v>103</v>
      </c>
      <c r="H4" s="196" t="s">
        <v>104</v>
      </c>
      <c r="I4" s="196" t="s">
        <v>105</v>
      </c>
      <c r="J4" s="196" t="s">
        <v>106</v>
      </c>
      <c r="K4" s="216" t="s">
        <v>107</v>
      </c>
      <c r="L4" s="196" t="s">
        <v>108</v>
      </c>
      <c r="M4" s="196" t="s">
        <v>109</v>
      </c>
      <c r="N4" s="196" t="s">
        <v>110</v>
      </c>
      <c r="O4" s="196" t="s">
        <v>111</v>
      </c>
      <c r="P4" s="196" t="s">
        <v>112</v>
      </c>
      <c r="Q4" s="196" t="s">
        <v>113</v>
      </c>
      <c r="R4" s="196" t="s">
        <v>114</v>
      </c>
      <c r="S4" s="217" t="s">
        <v>115</v>
      </c>
      <c r="T4" s="217" t="s">
        <v>116</v>
      </c>
      <c r="U4" s="196" t="s">
        <v>117</v>
      </c>
      <c r="V4" s="196" t="s">
        <v>118</v>
      </c>
      <c r="W4" s="198" t="s">
        <v>119</v>
      </c>
      <c r="X4" s="196" t="s">
        <v>120</v>
      </c>
      <c r="Y4" s="198" t="s">
        <v>119</v>
      </c>
      <c r="Z4" s="196" t="s">
        <v>121</v>
      </c>
      <c r="AA4" s="196" t="s">
        <v>121</v>
      </c>
      <c r="AB4" s="224" t="s">
        <v>122</v>
      </c>
      <c r="AC4" s="198" t="s">
        <v>121</v>
      </c>
      <c r="AD4" s="196" t="s">
        <v>123</v>
      </c>
      <c r="AE4" s="196" t="s">
        <v>124</v>
      </c>
      <c r="AF4" s="196" t="s">
        <v>125</v>
      </c>
      <c r="AG4" s="196" t="s">
        <v>125</v>
      </c>
      <c r="AH4" s="196" t="s">
        <v>126</v>
      </c>
      <c r="AI4" s="196" t="s">
        <v>126</v>
      </c>
      <c r="AJ4" s="196" t="s">
        <v>127</v>
      </c>
      <c r="AK4" s="196" t="s">
        <v>127</v>
      </c>
      <c r="AL4" s="195" t="s">
        <v>128</v>
      </c>
      <c r="AM4" s="195" t="s">
        <v>129</v>
      </c>
      <c r="AN4" s="196">
        <v>2</v>
      </c>
      <c r="AO4" s="227" t="s">
        <v>130</v>
      </c>
      <c r="AP4" s="196" t="s">
        <v>131</v>
      </c>
      <c r="AQ4" s="196" t="s">
        <v>132</v>
      </c>
      <c r="AR4" s="196" t="s">
        <v>133</v>
      </c>
      <c r="AS4" s="196" t="s">
        <v>133</v>
      </c>
      <c r="AT4" s="196" t="s">
        <v>134</v>
      </c>
      <c r="AU4" s="196" t="s">
        <v>135</v>
      </c>
      <c r="AV4" s="196" t="s">
        <v>136</v>
      </c>
      <c r="AW4" s="196" t="s">
        <v>137</v>
      </c>
      <c r="AX4" s="196" t="s">
        <v>138</v>
      </c>
      <c r="AY4" s="196" t="s">
        <v>139</v>
      </c>
      <c r="AZ4" s="196" t="s">
        <v>140</v>
      </c>
      <c r="BA4" s="196" t="s">
        <v>141</v>
      </c>
      <c r="BB4" s="196" t="s">
        <v>142</v>
      </c>
      <c r="BC4" s="196" t="s">
        <v>143</v>
      </c>
      <c r="BD4" s="196" t="s">
        <v>144</v>
      </c>
      <c r="BE4" s="196" t="s">
        <v>145</v>
      </c>
      <c r="BF4" s="196" t="s">
        <v>146</v>
      </c>
      <c r="BG4" s="196" t="s">
        <v>147</v>
      </c>
      <c r="BH4" s="196" t="s">
        <v>148</v>
      </c>
      <c r="BI4" s="196" t="s">
        <v>149</v>
      </c>
      <c r="BN4" s="216" t="s">
        <v>75</v>
      </c>
      <c r="BO4" s="236" t="s">
        <v>150</v>
      </c>
      <c r="BP4" s="237" t="s">
        <v>96</v>
      </c>
      <c r="BQ4" s="196" t="s">
        <v>151</v>
      </c>
      <c r="BS4" s="196" t="s">
        <v>152</v>
      </c>
      <c r="BT4" s="235" t="s">
        <v>153</v>
      </c>
      <c r="BU4" s="196" t="s">
        <v>154</v>
      </c>
      <c r="BV4" s="247"/>
      <c r="BW4" s="195"/>
      <c r="BY4" s="195"/>
      <c r="CA4" s="195"/>
      <c r="CB4" s="195"/>
    </row>
    <row r="5" spans="1:80" ht="15.75">
      <c r="A5" s="206"/>
      <c r="B5" s="207" t="s">
        <v>155</v>
      </c>
      <c r="C5" s="205"/>
      <c r="D5" s="198" t="s">
        <v>156</v>
      </c>
      <c r="E5" s="196" t="s">
        <v>157</v>
      </c>
      <c r="F5" s="196" t="s">
        <v>158</v>
      </c>
      <c r="G5" s="196" t="s">
        <v>159</v>
      </c>
      <c r="I5" s="196" t="s">
        <v>160</v>
      </c>
      <c r="J5" s="196" t="s">
        <v>161</v>
      </c>
      <c r="K5" s="216" t="s">
        <v>162</v>
      </c>
      <c r="L5" s="196" t="s">
        <v>163</v>
      </c>
      <c r="M5" s="196" t="s">
        <v>164</v>
      </c>
      <c r="N5" s="196" t="s">
        <v>165</v>
      </c>
      <c r="O5" s="196" t="s">
        <v>166</v>
      </c>
      <c r="P5" s="196" t="s">
        <v>167</v>
      </c>
      <c r="Q5" s="196" t="s">
        <v>168</v>
      </c>
      <c r="R5" s="196" t="s">
        <v>169</v>
      </c>
      <c r="S5" s="196" t="s">
        <v>170</v>
      </c>
      <c r="T5" s="217" t="s">
        <v>171</v>
      </c>
      <c r="U5" s="196" t="s">
        <v>172</v>
      </c>
      <c r="V5" s="196" t="s">
        <v>173</v>
      </c>
      <c r="W5" s="198" t="s">
        <v>174</v>
      </c>
      <c r="X5" s="196" t="s">
        <v>175</v>
      </c>
      <c r="Y5" s="198" t="s">
        <v>174</v>
      </c>
      <c r="Z5" s="196" t="s">
        <v>176</v>
      </c>
      <c r="AA5" s="196" t="s">
        <v>177</v>
      </c>
      <c r="AB5" s="196" t="s">
        <v>170</v>
      </c>
      <c r="AC5" s="198" t="s">
        <v>178</v>
      </c>
      <c r="AD5" s="196" t="s">
        <v>179</v>
      </c>
      <c r="AE5" s="196" t="s">
        <v>180</v>
      </c>
      <c r="AF5" s="196" t="s">
        <v>181</v>
      </c>
      <c r="AG5" s="196" t="s">
        <v>181</v>
      </c>
      <c r="AH5" s="196" t="s">
        <v>182</v>
      </c>
      <c r="AI5" s="196" t="s">
        <v>182</v>
      </c>
      <c r="AJ5" s="196" t="s">
        <v>183</v>
      </c>
      <c r="AK5" s="196" t="s">
        <v>183</v>
      </c>
      <c r="AL5" s="195" t="s">
        <v>184</v>
      </c>
      <c r="AM5" s="195" t="s">
        <v>185</v>
      </c>
      <c r="AN5" s="196">
        <v>3</v>
      </c>
      <c r="AO5" s="227" t="s">
        <v>186</v>
      </c>
      <c r="AP5" s="196" t="s">
        <v>187</v>
      </c>
      <c r="AQ5" s="196" t="s">
        <v>188</v>
      </c>
      <c r="AR5" s="196" t="s">
        <v>189</v>
      </c>
      <c r="AT5" s="196" t="s">
        <v>190</v>
      </c>
      <c r="AU5" s="196" t="s">
        <v>191</v>
      </c>
      <c r="AV5" s="196" t="s">
        <v>192</v>
      </c>
      <c r="AW5" s="196" t="s">
        <v>193</v>
      </c>
      <c r="AX5" s="196" t="s">
        <v>194</v>
      </c>
      <c r="AY5" s="196" t="s">
        <v>195</v>
      </c>
      <c r="AZ5" s="196" t="s">
        <v>196</v>
      </c>
      <c r="BA5" s="196" t="s">
        <v>197</v>
      </c>
      <c r="BB5" s="196" t="s">
        <v>198</v>
      </c>
      <c r="BC5" s="196" t="s">
        <v>199</v>
      </c>
      <c r="BD5" s="196" t="s">
        <v>200</v>
      </c>
      <c r="BE5" s="196" t="s">
        <v>201</v>
      </c>
      <c r="BF5" s="196" t="s">
        <v>202</v>
      </c>
      <c r="BG5" s="196" t="s">
        <v>203</v>
      </c>
      <c r="BH5" s="196" t="s">
        <v>204</v>
      </c>
      <c r="BI5" s="196" t="s">
        <v>205</v>
      </c>
      <c r="BN5" s="216" t="s">
        <v>107</v>
      </c>
      <c r="BO5" s="236" t="s">
        <v>206</v>
      </c>
      <c r="BP5" s="237" t="s">
        <v>96</v>
      </c>
      <c r="BQ5" s="196" t="s">
        <v>207</v>
      </c>
      <c r="BS5" s="196" t="s">
        <v>208</v>
      </c>
      <c r="BT5" s="196" t="s">
        <v>209</v>
      </c>
      <c r="BU5" s="196" t="s">
        <v>210</v>
      </c>
      <c r="BV5" s="247"/>
      <c r="BW5" s="195"/>
      <c r="BY5" s="195"/>
    </row>
    <row r="6" spans="1:80" ht="15.75">
      <c r="B6" s="207" t="s">
        <v>211</v>
      </c>
      <c r="C6" s="205"/>
      <c r="D6" s="198" t="s">
        <v>212</v>
      </c>
      <c r="E6" s="196" t="s">
        <v>213</v>
      </c>
      <c r="F6" s="196" t="s">
        <v>214</v>
      </c>
      <c r="G6" s="196" t="s">
        <v>215</v>
      </c>
      <c r="I6" s="196" t="s">
        <v>216</v>
      </c>
      <c r="J6" s="196" t="s">
        <v>217</v>
      </c>
      <c r="K6" s="216" t="s">
        <v>218</v>
      </c>
      <c r="L6" s="196" t="s">
        <v>219</v>
      </c>
      <c r="M6" s="196" t="s">
        <v>220</v>
      </c>
      <c r="N6" s="196" t="s">
        <v>221</v>
      </c>
      <c r="O6" s="196" t="s">
        <v>222</v>
      </c>
      <c r="P6" s="196" t="s">
        <v>223</v>
      </c>
      <c r="Q6" s="196" t="s">
        <v>224</v>
      </c>
      <c r="R6" s="196" t="s">
        <v>225</v>
      </c>
      <c r="S6" s="196" t="s">
        <v>226</v>
      </c>
      <c r="T6" s="196" t="s">
        <v>227</v>
      </c>
      <c r="U6" s="196" t="s">
        <v>156</v>
      </c>
      <c r="V6" s="196" t="s">
        <v>228</v>
      </c>
      <c r="W6" s="198" t="s">
        <v>178</v>
      </c>
      <c r="X6" s="196" t="s">
        <v>229</v>
      </c>
      <c r="Y6" s="198" t="s">
        <v>178</v>
      </c>
      <c r="Z6" s="224" t="s">
        <v>230</v>
      </c>
      <c r="AA6" s="196" t="s">
        <v>176</v>
      </c>
      <c r="AB6" s="196" t="s">
        <v>231</v>
      </c>
      <c r="AC6" s="198" t="s">
        <v>176</v>
      </c>
      <c r="AD6" s="196" t="s">
        <v>232</v>
      </c>
      <c r="AE6" s="196" t="s">
        <v>233</v>
      </c>
      <c r="AF6" s="196" t="s">
        <v>234</v>
      </c>
      <c r="AG6" s="196" t="s">
        <v>234</v>
      </c>
      <c r="AH6" s="196" t="s">
        <v>235</v>
      </c>
      <c r="AI6" s="196" t="s">
        <v>235</v>
      </c>
      <c r="AJ6" s="196" t="s">
        <v>236</v>
      </c>
      <c r="AK6" s="196" t="s">
        <v>237</v>
      </c>
      <c r="AL6" s="195" t="s">
        <v>238</v>
      </c>
      <c r="AM6" s="195" t="s">
        <v>239</v>
      </c>
      <c r="AO6" s="196" t="s">
        <v>240</v>
      </c>
      <c r="AP6" s="196" t="s">
        <v>241</v>
      </c>
      <c r="AQ6" s="196" t="s">
        <v>242</v>
      </c>
      <c r="AR6" s="196" t="s">
        <v>243</v>
      </c>
      <c r="AT6" s="196" t="s">
        <v>244</v>
      </c>
      <c r="AU6" s="196" t="s">
        <v>245</v>
      </c>
      <c r="AV6" s="196" t="s">
        <v>246</v>
      </c>
      <c r="AW6" s="196" t="s">
        <v>247</v>
      </c>
      <c r="AX6" s="196" t="s">
        <v>248</v>
      </c>
      <c r="AY6" s="196" t="s">
        <v>249</v>
      </c>
      <c r="AZ6" s="196" t="s">
        <v>250</v>
      </c>
      <c r="BA6" s="196" t="s">
        <v>251</v>
      </c>
      <c r="BB6" s="196" t="s">
        <v>252</v>
      </c>
      <c r="BC6" s="196" t="s">
        <v>253</v>
      </c>
      <c r="BD6" s="196" t="s">
        <v>254</v>
      </c>
      <c r="BF6" s="196" t="s">
        <v>255</v>
      </c>
      <c r="BG6" s="196" t="s">
        <v>256</v>
      </c>
      <c r="BH6" s="196" t="s">
        <v>257</v>
      </c>
      <c r="BI6" s="196" t="s">
        <v>258</v>
      </c>
      <c r="BN6" s="216" t="s">
        <v>162</v>
      </c>
      <c r="BO6" s="236" t="s">
        <v>259</v>
      </c>
      <c r="BP6" s="237" t="s">
        <v>260</v>
      </c>
      <c r="BQ6" s="196" t="s">
        <v>41</v>
      </c>
      <c r="BS6" s="196" t="s">
        <v>261</v>
      </c>
      <c r="BT6" s="196" t="s">
        <v>262</v>
      </c>
      <c r="BU6" s="196" t="s">
        <v>263</v>
      </c>
      <c r="BV6" s="247"/>
      <c r="BW6" s="195"/>
      <c r="BY6" s="195"/>
      <c r="BZ6" s="305" t="s">
        <v>1929</v>
      </c>
      <c r="CA6" s="305">
        <v>186</v>
      </c>
    </row>
    <row r="7" spans="1:80" ht="15.75">
      <c r="B7" s="204" t="s">
        <v>264</v>
      </c>
      <c r="C7" s="205"/>
      <c r="D7" s="198" t="s">
        <v>265</v>
      </c>
      <c r="E7" s="249" t="s">
        <v>1841</v>
      </c>
      <c r="F7" s="196" t="s">
        <v>266</v>
      </c>
      <c r="G7" s="196" t="s">
        <v>267</v>
      </c>
      <c r="K7" s="216" t="s">
        <v>268</v>
      </c>
      <c r="L7" s="196" t="s">
        <v>269</v>
      </c>
      <c r="M7" s="196" t="s">
        <v>270</v>
      </c>
      <c r="N7" s="196" t="s">
        <v>271</v>
      </c>
      <c r="O7" s="196" t="s">
        <v>272</v>
      </c>
      <c r="P7" s="196" t="s">
        <v>273</v>
      </c>
      <c r="Q7" s="196" t="s">
        <v>274</v>
      </c>
      <c r="R7" s="196" t="s">
        <v>275</v>
      </c>
      <c r="S7" s="196" t="s">
        <v>85</v>
      </c>
      <c r="T7" s="196" t="s">
        <v>83</v>
      </c>
      <c r="V7" s="196" t="s">
        <v>276</v>
      </c>
      <c r="W7" s="198" t="s">
        <v>277</v>
      </c>
      <c r="X7" s="196" t="s">
        <v>278</v>
      </c>
      <c r="Y7" s="198" t="s">
        <v>277</v>
      </c>
      <c r="Z7" s="196" t="s">
        <v>279</v>
      </c>
      <c r="AA7" s="196" t="s">
        <v>177</v>
      </c>
      <c r="AB7" s="196" t="s">
        <v>280</v>
      </c>
      <c r="AC7" s="198">
        <v>316</v>
      </c>
      <c r="AD7" s="196" t="s">
        <v>281</v>
      </c>
      <c r="AE7" s="196" t="s">
        <v>282</v>
      </c>
      <c r="AF7" s="196" t="s">
        <v>283</v>
      </c>
      <c r="AG7" s="196" t="s">
        <v>283</v>
      </c>
      <c r="AH7" s="196" t="s">
        <v>284</v>
      </c>
      <c r="AI7" s="196" t="s">
        <v>284</v>
      </c>
      <c r="AJ7" s="196" t="s">
        <v>237</v>
      </c>
      <c r="AK7" s="196" t="s">
        <v>285</v>
      </c>
      <c r="AL7" s="195" t="s">
        <v>286</v>
      </c>
      <c r="AM7" s="195" t="s">
        <v>287</v>
      </c>
      <c r="AO7" s="196" t="s">
        <v>288</v>
      </c>
      <c r="AP7" s="196" t="s">
        <v>289</v>
      </c>
      <c r="AQ7" s="196" t="s">
        <v>290</v>
      </c>
      <c r="AR7" s="196" t="s">
        <v>291</v>
      </c>
      <c r="AT7" s="196" t="s">
        <v>292</v>
      </c>
      <c r="AU7" s="196" t="s">
        <v>293</v>
      </c>
      <c r="AV7" s="196" t="s">
        <v>294</v>
      </c>
      <c r="AW7" s="196" t="s">
        <v>295</v>
      </c>
      <c r="AY7" s="196" t="s">
        <v>172</v>
      </c>
      <c r="AZ7" s="196" t="s">
        <v>296</v>
      </c>
      <c r="BA7" s="196" t="s">
        <v>297</v>
      </c>
      <c r="BB7" s="196" t="s">
        <v>298</v>
      </c>
      <c r="BC7" s="196" t="s">
        <v>299</v>
      </c>
      <c r="BD7" s="196" t="s">
        <v>300</v>
      </c>
      <c r="BF7" s="196" t="s">
        <v>301</v>
      </c>
      <c r="BG7" s="196" t="s">
        <v>302</v>
      </c>
      <c r="BH7" s="196" t="s">
        <v>303</v>
      </c>
      <c r="BI7" s="196" t="s">
        <v>304</v>
      </c>
      <c r="BN7" s="238"/>
      <c r="BO7" s="239" t="s">
        <v>305</v>
      </c>
      <c r="BQ7" s="196" t="s">
        <v>42</v>
      </c>
      <c r="BS7" s="216" t="s">
        <v>306</v>
      </c>
      <c r="BT7" s="227" t="s">
        <v>307</v>
      </c>
      <c r="BU7" s="196" t="s">
        <v>308</v>
      </c>
      <c r="BV7" s="247"/>
      <c r="BW7" s="195"/>
      <c r="BY7" s="195"/>
      <c r="BZ7" s="306"/>
      <c r="CA7" s="306"/>
    </row>
    <row r="8" spans="1:80" ht="15.75">
      <c r="B8" s="204" t="s">
        <v>309</v>
      </c>
      <c r="C8" s="205"/>
      <c r="D8" s="198" t="s">
        <v>310</v>
      </c>
      <c r="E8" s="249" t="s">
        <v>1843</v>
      </c>
      <c r="F8" s="196" t="s">
        <v>311</v>
      </c>
      <c r="G8" s="196" t="s">
        <v>312</v>
      </c>
      <c r="K8" s="216" t="s">
        <v>313</v>
      </c>
      <c r="L8" s="196" t="s">
        <v>314</v>
      </c>
      <c r="N8" s="196" t="s">
        <v>315</v>
      </c>
      <c r="O8" s="196" t="s">
        <v>316</v>
      </c>
      <c r="P8" s="196" t="s">
        <v>317</v>
      </c>
      <c r="Q8" s="196" t="s">
        <v>318</v>
      </c>
      <c r="R8" s="196" t="s">
        <v>319</v>
      </c>
      <c r="S8" s="196" t="s">
        <v>320</v>
      </c>
      <c r="T8" s="196" t="s">
        <v>321</v>
      </c>
      <c r="V8" s="196" t="s">
        <v>322</v>
      </c>
      <c r="W8" s="198" t="s">
        <v>323</v>
      </c>
      <c r="X8" s="196" t="s">
        <v>324</v>
      </c>
      <c r="Y8" s="198" t="s">
        <v>323</v>
      </c>
      <c r="Z8" s="196" t="s">
        <v>325</v>
      </c>
      <c r="AA8" s="224" t="s">
        <v>230</v>
      </c>
      <c r="AC8" s="198" t="s">
        <v>230</v>
      </c>
      <c r="AD8" s="196" t="s">
        <v>326</v>
      </c>
      <c r="AE8" s="196" t="s">
        <v>327</v>
      </c>
      <c r="AF8" s="196" t="s">
        <v>328</v>
      </c>
      <c r="AG8" s="196" t="s">
        <v>328</v>
      </c>
      <c r="AI8" s="196" t="s">
        <v>329</v>
      </c>
      <c r="AJ8" s="196" t="s">
        <v>285</v>
      </c>
      <c r="AK8" s="196" t="s">
        <v>330</v>
      </c>
      <c r="AL8" s="195" t="s">
        <v>331</v>
      </c>
      <c r="AM8" s="195" t="s">
        <v>332</v>
      </c>
      <c r="AO8" s="196" t="s">
        <v>333</v>
      </c>
      <c r="AP8" s="196" t="s">
        <v>334</v>
      </c>
      <c r="AQ8" s="196" t="s">
        <v>335</v>
      </c>
      <c r="AR8" s="196" t="s">
        <v>336</v>
      </c>
      <c r="AT8" s="196" t="s">
        <v>337</v>
      </c>
      <c r="AU8" s="196" t="s">
        <v>338</v>
      </c>
      <c r="AV8" s="196" t="s">
        <v>339</v>
      </c>
      <c r="AW8" s="196" t="s">
        <v>340</v>
      </c>
      <c r="AY8" s="196" t="s">
        <v>341</v>
      </c>
      <c r="AZ8" s="196" t="s">
        <v>342</v>
      </c>
      <c r="BA8" s="196" t="s">
        <v>343</v>
      </c>
      <c r="BB8" s="196" t="s">
        <v>344</v>
      </c>
      <c r="BC8" s="196" t="s">
        <v>345</v>
      </c>
      <c r="BD8" s="196" t="s">
        <v>346</v>
      </c>
      <c r="BG8" s="196" t="s">
        <v>347</v>
      </c>
      <c r="BH8" s="196" t="s">
        <v>348</v>
      </c>
      <c r="BI8" s="196" t="s">
        <v>349</v>
      </c>
      <c r="BN8" s="216"/>
      <c r="BO8" s="240" t="s">
        <v>350</v>
      </c>
      <c r="BP8" s="237" t="s">
        <v>351</v>
      </c>
      <c r="BQ8" s="196" t="s">
        <v>43</v>
      </c>
      <c r="BS8" s="216">
        <v>0</v>
      </c>
      <c r="BT8" s="227" t="s">
        <v>352</v>
      </c>
      <c r="BU8" s="196" t="s">
        <v>353</v>
      </c>
      <c r="BV8" s="247"/>
      <c r="BW8" s="195"/>
      <c r="BY8" s="195"/>
      <c r="BZ8" s="307"/>
      <c r="CA8" s="307"/>
    </row>
    <row r="9" spans="1:80" ht="15" customHeight="1">
      <c r="B9" s="204" t="s">
        <v>354</v>
      </c>
      <c r="C9" s="205"/>
      <c r="D9" s="198" t="s">
        <v>355</v>
      </c>
      <c r="E9" s="249" t="s">
        <v>1842</v>
      </c>
      <c r="G9" s="196" t="s">
        <v>356</v>
      </c>
      <c r="K9" s="216" t="s">
        <v>357</v>
      </c>
      <c r="L9" s="196" t="s">
        <v>358</v>
      </c>
      <c r="N9" s="196" t="s">
        <v>359</v>
      </c>
      <c r="O9" s="196" t="s">
        <v>360</v>
      </c>
      <c r="P9" s="196" t="s">
        <v>361</v>
      </c>
      <c r="Q9" s="196" t="s">
        <v>85</v>
      </c>
      <c r="T9" s="196" t="s">
        <v>85</v>
      </c>
      <c r="V9" s="196" t="s">
        <v>362</v>
      </c>
      <c r="W9" s="198">
        <v>316</v>
      </c>
      <c r="X9" s="196" t="s">
        <v>363</v>
      </c>
      <c r="Y9" s="198">
        <v>316</v>
      </c>
      <c r="Z9" s="196" t="s">
        <v>364</v>
      </c>
      <c r="AA9" s="196" t="s">
        <v>365</v>
      </c>
      <c r="AB9" s="224"/>
      <c r="AC9" s="198" t="s">
        <v>366</v>
      </c>
      <c r="AD9" s="196" t="s">
        <v>367</v>
      </c>
      <c r="AF9" s="196" t="s">
        <v>368</v>
      </c>
      <c r="AG9" s="196" t="s">
        <v>368</v>
      </c>
      <c r="AI9" s="196" t="s">
        <v>369</v>
      </c>
      <c r="AJ9" s="196" t="s">
        <v>330</v>
      </c>
      <c r="AK9" s="196" t="s">
        <v>370</v>
      </c>
      <c r="AL9" s="195" t="s">
        <v>371</v>
      </c>
      <c r="AM9" s="195" t="s">
        <v>372</v>
      </c>
      <c r="AO9" s="196" t="s">
        <v>373</v>
      </c>
      <c r="AP9" s="196" t="s">
        <v>374</v>
      </c>
      <c r="AQ9" s="196" t="s">
        <v>375</v>
      </c>
      <c r="AR9" s="196" t="s">
        <v>376</v>
      </c>
      <c r="AT9" s="196" t="s">
        <v>377</v>
      </c>
      <c r="AU9" s="196" t="s">
        <v>378</v>
      </c>
      <c r="AV9" s="196" t="s">
        <v>379</v>
      </c>
      <c r="AW9" s="196" t="s">
        <v>380</v>
      </c>
      <c r="AY9" s="196" t="s">
        <v>381</v>
      </c>
      <c r="AZ9" s="196" t="s">
        <v>382</v>
      </c>
      <c r="BA9" s="196" t="s">
        <v>383</v>
      </c>
      <c r="BB9" s="196" t="s">
        <v>384</v>
      </c>
      <c r="BC9" s="196" t="s">
        <v>385</v>
      </c>
      <c r="BG9" s="196" t="s">
        <v>386</v>
      </c>
      <c r="BH9" s="196" t="s">
        <v>387</v>
      </c>
      <c r="BN9" s="216" t="s">
        <v>218</v>
      </c>
      <c r="BO9" s="236" t="s">
        <v>388</v>
      </c>
      <c r="BP9" s="237" t="s">
        <v>389</v>
      </c>
      <c r="BQ9" s="196" t="s">
        <v>390</v>
      </c>
      <c r="BS9" s="216"/>
      <c r="BU9" s="196" t="s">
        <v>391</v>
      </c>
      <c r="BW9" s="195"/>
      <c r="BY9" s="195"/>
      <c r="BZ9" s="308" t="s">
        <v>1930</v>
      </c>
      <c r="CA9" s="308">
        <v>310</v>
      </c>
    </row>
    <row r="10" spans="1:80" ht="15" customHeight="1">
      <c r="B10" s="204" t="s">
        <v>392</v>
      </c>
      <c r="C10" s="205"/>
      <c r="D10" s="198" t="s">
        <v>393</v>
      </c>
      <c r="E10" s="249" t="s">
        <v>1845</v>
      </c>
      <c r="G10" s="196" t="s">
        <v>394</v>
      </c>
      <c r="K10" s="216" t="s">
        <v>395</v>
      </c>
      <c r="L10" s="196" t="s">
        <v>396</v>
      </c>
      <c r="N10" s="196" t="s">
        <v>397</v>
      </c>
      <c r="O10" s="217" t="s">
        <v>398</v>
      </c>
      <c r="P10" s="198" t="s">
        <v>399</v>
      </c>
      <c r="V10" s="196" t="s">
        <v>400</v>
      </c>
      <c r="W10" s="198" t="s">
        <v>401</v>
      </c>
      <c r="X10" s="196" t="s">
        <v>402</v>
      </c>
      <c r="Y10" s="198" t="s">
        <v>401</v>
      </c>
      <c r="Z10" s="196" t="s">
        <v>403</v>
      </c>
      <c r="AA10" s="196" t="s">
        <v>325</v>
      </c>
      <c r="AB10" s="224"/>
      <c r="AC10" s="196" t="s">
        <v>325</v>
      </c>
      <c r="AD10" s="196" t="s">
        <v>404</v>
      </c>
      <c r="AF10" s="196" t="s">
        <v>405</v>
      </c>
      <c r="AG10" s="196" t="s">
        <v>405</v>
      </c>
      <c r="AJ10" s="196" t="s">
        <v>370</v>
      </c>
      <c r="AK10" s="196" t="s">
        <v>406</v>
      </c>
      <c r="AL10" s="195" t="s">
        <v>407</v>
      </c>
      <c r="AM10" s="195" t="s">
        <v>408</v>
      </c>
      <c r="AO10" s="196" t="s">
        <v>409</v>
      </c>
      <c r="AP10" s="196" t="s">
        <v>410</v>
      </c>
      <c r="AQ10" s="196" t="s">
        <v>411</v>
      </c>
      <c r="AT10" s="196" t="s">
        <v>412</v>
      </c>
      <c r="AU10" s="196" t="s">
        <v>413</v>
      </c>
      <c r="AV10" s="196" t="s">
        <v>409</v>
      </c>
      <c r="AW10" s="196" t="s">
        <v>414</v>
      </c>
      <c r="AY10" s="196" t="s">
        <v>415</v>
      </c>
      <c r="AZ10" s="217" t="s">
        <v>416</v>
      </c>
      <c r="BB10" s="196" t="s">
        <v>417</v>
      </c>
      <c r="BC10" s="196" t="s">
        <v>418</v>
      </c>
      <c r="BG10" s="196" t="s">
        <v>419</v>
      </c>
      <c r="BH10" s="196" t="s">
        <v>420</v>
      </c>
      <c r="BI10" s="230"/>
      <c r="BN10" s="238"/>
      <c r="BO10" s="239" t="s">
        <v>421</v>
      </c>
      <c r="BS10" s="240"/>
      <c r="BT10" s="240"/>
      <c r="BU10" s="196" t="s">
        <v>422</v>
      </c>
      <c r="BW10" s="195"/>
      <c r="BY10" s="195"/>
      <c r="BZ10" s="308"/>
      <c r="CA10" s="308"/>
    </row>
    <row r="11" spans="1:80" ht="15" customHeight="1">
      <c r="B11" s="204" t="s">
        <v>423</v>
      </c>
      <c r="C11" s="205"/>
      <c r="D11" s="198" t="s">
        <v>424</v>
      </c>
      <c r="K11" s="216" t="s">
        <v>425</v>
      </c>
      <c r="L11" s="196" t="s">
        <v>426</v>
      </c>
      <c r="O11" s="217" t="s">
        <v>427</v>
      </c>
      <c r="P11" s="198" t="s">
        <v>428</v>
      </c>
      <c r="W11" s="198" t="s">
        <v>429</v>
      </c>
      <c r="X11" s="196" t="s">
        <v>430</v>
      </c>
      <c r="Y11" s="198" t="s">
        <v>429</v>
      </c>
      <c r="Z11" s="196" t="s">
        <v>431</v>
      </c>
      <c r="AA11" s="196" t="s">
        <v>432</v>
      </c>
      <c r="AC11" s="198" t="s">
        <v>433</v>
      </c>
      <c r="AD11" s="196" t="s">
        <v>434</v>
      </c>
      <c r="AF11" s="196" t="s">
        <v>435</v>
      </c>
      <c r="AG11" s="196" t="s">
        <v>435</v>
      </c>
      <c r="AJ11" s="196" t="s">
        <v>406</v>
      </c>
      <c r="AK11" s="196" t="s">
        <v>436</v>
      </c>
      <c r="AL11" s="195" t="s">
        <v>437</v>
      </c>
      <c r="AM11" s="195" t="s">
        <v>438</v>
      </c>
      <c r="AO11" s="196" t="s">
        <v>439</v>
      </c>
      <c r="AP11" s="196" t="s">
        <v>440</v>
      </c>
      <c r="AQ11" s="196" t="s">
        <v>441</v>
      </c>
      <c r="AT11" s="196" t="s">
        <v>442</v>
      </c>
      <c r="AU11" s="196" t="s">
        <v>443</v>
      </c>
      <c r="AW11" s="196" t="s">
        <v>444</v>
      </c>
      <c r="AY11" s="196" t="s">
        <v>445</v>
      </c>
      <c r="AZ11" s="196" t="s">
        <v>117</v>
      </c>
      <c r="BB11" s="196" t="s">
        <v>446</v>
      </c>
      <c r="BC11" s="196" t="s">
        <v>447</v>
      </c>
      <c r="BG11" s="196" t="s">
        <v>448</v>
      </c>
      <c r="BH11" s="196" t="s">
        <v>449</v>
      </c>
      <c r="BN11" s="216" t="s">
        <v>268</v>
      </c>
      <c r="BO11" s="236" t="s">
        <v>450</v>
      </c>
      <c r="BP11" s="237" t="s">
        <v>451</v>
      </c>
      <c r="BS11" s="241"/>
      <c r="BT11" s="241"/>
      <c r="BU11" s="196" t="s">
        <v>452</v>
      </c>
      <c r="BW11" s="195"/>
      <c r="BY11" s="195"/>
      <c r="BZ11" s="308"/>
      <c r="CA11" s="308"/>
    </row>
    <row r="12" spans="1:80" ht="15" customHeight="1">
      <c r="C12" s="205"/>
      <c r="D12" s="198" t="s">
        <v>453</v>
      </c>
      <c r="E12" s="249"/>
      <c r="K12" s="216" t="s">
        <v>454</v>
      </c>
      <c r="L12" s="196" t="s">
        <v>455</v>
      </c>
      <c r="P12" s="198" t="s">
        <v>456</v>
      </c>
      <c r="W12" s="198" t="s">
        <v>366</v>
      </c>
      <c r="X12" s="196" t="s">
        <v>457</v>
      </c>
      <c r="Y12" s="198" t="s">
        <v>366</v>
      </c>
      <c r="Z12" s="196" t="s">
        <v>458</v>
      </c>
      <c r="AA12" s="196" t="s">
        <v>431</v>
      </c>
      <c r="AC12" s="198" t="s">
        <v>459</v>
      </c>
      <c r="AD12" s="196" t="s">
        <v>460</v>
      </c>
      <c r="AF12" s="196" t="s">
        <v>461</v>
      </c>
      <c r="AG12" s="196" t="s">
        <v>461</v>
      </c>
      <c r="AJ12" s="196" t="s">
        <v>436</v>
      </c>
      <c r="AK12" s="196" t="s">
        <v>462</v>
      </c>
      <c r="AL12" s="195" t="s">
        <v>463</v>
      </c>
      <c r="AM12" s="195" t="s">
        <v>464</v>
      </c>
      <c r="AO12" s="196" t="s">
        <v>465</v>
      </c>
      <c r="AP12" s="196" t="s">
        <v>466</v>
      </c>
      <c r="AQ12" s="196" t="s">
        <v>467</v>
      </c>
      <c r="AT12" s="196" t="s">
        <v>468</v>
      </c>
      <c r="AU12" s="196" t="s">
        <v>469</v>
      </c>
      <c r="AW12" s="196" t="s">
        <v>470</v>
      </c>
      <c r="AY12" s="196" t="s">
        <v>471</v>
      </c>
      <c r="AZ12" s="196" t="s">
        <v>472</v>
      </c>
      <c r="BB12" s="196" t="s">
        <v>473</v>
      </c>
      <c r="BC12" s="196" t="s">
        <v>474</v>
      </c>
      <c r="BG12" s="196" t="s">
        <v>475</v>
      </c>
      <c r="BH12" s="196" t="s">
        <v>476</v>
      </c>
      <c r="BN12" s="238"/>
      <c r="BO12" s="239" t="s">
        <v>477</v>
      </c>
      <c r="BS12" s="241"/>
      <c r="BT12" s="241"/>
      <c r="BU12" s="196" t="s">
        <v>478</v>
      </c>
      <c r="BW12" s="195"/>
      <c r="BY12" s="195"/>
      <c r="BZ12" s="308" t="s">
        <v>1931</v>
      </c>
      <c r="CA12" s="308">
        <v>550</v>
      </c>
    </row>
    <row r="13" spans="1:80" ht="15" customHeight="1">
      <c r="A13" s="208"/>
      <c r="B13" s="207" t="s">
        <v>479</v>
      </c>
      <c r="C13" s="205"/>
      <c r="D13" s="198" t="s">
        <v>480</v>
      </c>
      <c r="E13" s="249"/>
      <c r="K13" s="216" t="s">
        <v>481</v>
      </c>
      <c r="L13" s="196" t="s">
        <v>482</v>
      </c>
      <c r="P13" s="196" t="s">
        <v>483</v>
      </c>
      <c r="W13" s="198" t="s">
        <v>484</v>
      </c>
      <c r="X13" s="196" t="s">
        <v>485</v>
      </c>
      <c r="Y13" s="196" t="s">
        <v>399</v>
      </c>
      <c r="Z13" s="196" t="s">
        <v>83</v>
      </c>
      <c r="AA13" s="196" t="s">
        <v>486</v>
      </c>
      <c r="AC13" s="198" t="s">
        <v>487</v>
      </c>
      <c r="AD13" s="196" t="s">
        <v>488</v>
      </c>
      <c r="AF13" s="196" t="s">
        <v>489</v>
      </c>
      <c r="AG13" s="196" t="s">
        <v>489</v>
      </c>
      <c r="AJ13" s="196" t="s">
        <v>462</v>
      </c>
      <c r="AK13" s="196" t="s">
        <v>490</v>
      </c>
      <c r="AL13" s="195" t="s">
        <v>491</v>
      </c>
      <c r="AM13" s="195" t="s">
        <v>492</v>
      </c>
      <c r="AO13" s="196" t="s">
        <v>493</v>
      </c>
      <c r="AP13" s="196" t="s">
        <v>494</v>
      </c>
      <c r="AQ13" s="196" t="s">
        <v>495</v>
      </c>
      <c r="AT13" s="196" t="s">
        <v>496</v>
      </c>
      <c r="AU13" s="196" t="s">
        <v>497</v>
      </c>
      <c r="AW13" s="196" t="s">
        <v>498</v>
      </c>
      <c r="AY13" s="196" t="s">
        <v>381</v>
      </c>
      <c r="AZ13" s="196" t="s">
        <v>499</v>
      </c>
      <c r="BB13" s="196" t="s">
        <v>500</v>
      </c>
      <c r="BC13" s="196" t="s">
        <v>501</v>
      </c>
      <c r="BG13" s="196" t="s">
        <v>502</v>
      </c>
      <c r="BH13" s="196" t="s">
        <v>503</v>
      </c>
      <c r="BN13" s="216"/>
      <c r="BO13" s="240" t="s">
        <v>504</v>
      </c>
      <c r="BP13" s="237" t="s">
        <v>505</v>
      </c>
      <c r="BS13" s="241"/>
      <c r="BT13" s="242"/>
      <c r="BU13" s="196" t="s">
        <v>506</v>
      </c>
      <c r="BW13" s="195"/>
      <c r="BY13" s="195"/>
      <c r="BZ13" s="308"/>
      <c r="CA13" s="308"/>
    </row>
    <row r="14" spans="1:80" ht="15" customHeight="1">
      <c r="B14" s="204" t="s">
        <v>507</v>
      </c>
      <c r="C14" s="205"/>
      <c r="D14" s="198" t="s">
        <v>508</v>
      </c>
      <c r="E14" s="249"/>
      <c r="K14" s="216" t="s">
        <v>509</v>
      </c>
      <c r="L14" s="196" t="s">
        <v>510</v>
      </c>
      <c r="P14" s="196" t="s">
        <v>511</v>
      </c>
      <c r="W14" s="198" t="s">
        <v>512</v>
      </c>
      <c r="X14" s="196" t="s">
        <v>513</v>
      </c>
      <c r="Y14" s="198" t="s">
        <v>484</v>
      </c>
      <c r="Z14" s="196" t="s">
        <v>514</v>
      </c>
      <c r="AA14" s="196" t="s">
        <v>515</v>
      </c>
      <c r="AC14" s="196" t="s">
        <v>516</v>
      </c>
      <c r="AD14" s="196" t="s">
        <v>517</v>
      </c>
      <c r="AF14" s="196" t="s">
        <v>518</v>
      </c>
      <c r="AG14" s="196" t="s">
        <v>518</v>
      </c>
      <c r="AJ14" s="196" t="s">
        <v>490</v>
      </c>
      <c r="AK14" s="196" t="s">
        <v>519</v>
      </c>
      <c r="AL14" s="195" t="s">
        <v>520</v>
      </c>
      <c r="AM14" s="195" t="s">
        <v>521</v>
      </c>
      <c r="AO14" s="196" t="s">
        <v>522</v>
      </c>
      <c r="AP14" s="196" t="s">
        <v>523</v>
      </c>
      <c r="AQ14" s="196" t="s">
        <v>524</v>
      </c>
      <c r="AT14" s="196" t="s">
        <v>525</v>
      </c>
      <c r="AU14" s="196" t="s">
        <v>526</v>
      </c>
      <c r="AW14" s="196" t="s">
        <v>527</v>
      </c>
      <c r="AY14" s="196" t="s">
        <v>528</v>
      </c>
      <c r="AZ14" s="196" t="s">
        <v>529</v>
      </c>
      <c r="BB14" s="196" t="s">
        <v>530</v>
      </c>
      <c r="BC14" s="196" t="s">
        <v>531</v>
      </c>
      <c r="BG14" s="196" t="s">
        <v>532</v>
      </c>
      <c r="BN14" s="216" t="s">
        <v>313</v>
      </c>
      <c r="BO14" s="236" t="s">
        <v>533</v>
      </c>
      <c r="BP14" s="237" t="s">
        <v>534</v>
      </c>
      <c r="BS14" s="241"/>
      <c r="BT14" s="241"/>
      <c r="BU14" s="196" t="s">
        <v>535</v>
      </c>
      <c r="BW14" s="195"/>
      <c r="BY14" s="195"/>
      <c r="BZ14" s="308"/>
      <c r="CA14" s="308"/>
    </row>
    <row r="15" spans="1:80" ht="15" customHeight="1">
      <c r="B15" s="207" t="s">
        <v>536</v>
      </c>
      <c r="C15" s="205"/>
      <c r="D15" s="198" t="s">
        <v>537</v>
      </c>
      <c r="K15" s="216" t="s">
        <v>538</v>
      </c>
      <c r="L15" s="196" t="s">
        <v>539</v>
      </c>
      <c r="P15" s="196" t="s">
        <v>540</v>
      </c>
      <c r="W15" s="198" t="s">
        <v>541</v>
      </c>
      <c r="X15" s="196" t="s">
        <v>542</v>
      </c>
      <c r="Y15" s="198" t="s">
        <v>512</v>
      </c>
      <c r="Z15" s="196" t="s">
        <v>543</v>
      </c>
      <c r="AA15" s="196" t="s">
        <v>544</v>
      </c>
      <c r="AC15" s="198" t="s">
        <v>545</v>
      </c>
      <c r="AD15" s="196" t="s">
        <v>546</v>
      </c>
      <c r="AF15" s="196" t="s">
        <v>547</v>
      </c>
      <c r="AG15" s="196" t="s">
        <v>547</v>
      </c>
      <c r="AJ15" s="196" t="s">
        <v>519</v>
      </c>
      <c r="AK15" s="196" t="s">
        <v>548</v>
      </c>
      <c r="AL15" s="195" t="s">
        <v>549</v>
      </c>
      <c r="AM15" s="195" t="s">
        <v>550</v>
      </c>
      <c r="AO15" s="196" t="s">
        <v>551</v>
      </c>
      <c r="AP15" s="196" t="s">
        <v>552</v>
      </c>
      <c r="AQ15" s="196" t="s">
        <v>553</v>
      </c>
      <c r="AT15" s="196" t="s">
        <v>554</v>
      </c>
      <c r="AU15" s="196" t="s">
        <v>555</v>
      </c>
      <c r="AW15" s="196" t="s">
        <v>556</v>
      </c>
      <c r="AY15" s="196" t="s">
        <v>557</v>
      </c>
      <c r="AZ15" s="217" t="s">
        <v>558</v>
      </c>
      <c r="BC15" s="196" t="s">
        <v>559</v>
      </c>
      <c r="BG15" s="196" t="s">
        <v>560</v>
      </c>
      <c r="BN15" s="216"/>
      <c r="BO15" s="240" t="s">
        <v>561</v>
      </c>
      <c r="BP15" s="237" t="s">
        <v>562</v>
      </c>
      <c r="BS15" s="241"/>
      <c r="BT15" s="242"/>
      <c r="BW15" s="195"/>
      <c r="BY15" s="195"/>
      <c r="BZ15" s="308" t="s">
        <v>1932</v>
      </c>
      <c r="CA15" s="308">
        <v>950</v>
      </c>
    </row>
    <row r="16" spans="1:80" ht="15" customHeight="1">
      <c r="B16" s="196" t="s">
        <v>17</v>
      </c>
      <c r="C16" s="205"/>
      <c r="D16" s="198" t="s">
        <v>563</v>
      </c>
      <c r="K16" s="216" t="s">
        <v>564</v>
      </c>
      <c r="L16" s="196" t="s">
        <v>565</v>
      </c>
      <c r="P16" s="196" t="s">
        <v>566</v>
      </c>
      <c r="W16" s="198" t="s">
        <v>567</v>
      </c>
      <c r="X16" s="196" t="s">
        <v>568</v>
      </c>
      <c r="Y16" s="196" t="s">
        <v>569</v>
      </c>
      <c r="Z16" s="196" t="s">
        <v>570</v>
      </c>
      <c r="AA16" s="196" t="s">
        <v>571</v>
      </c>
      <c r="AC16" s="196" t="s">
        <v>572</v>
      </c>
      <c r="AD16" s="196" t="s">
        <v>573</v>
      </c>
      <c r="AF16" s="196" t="s">
        <v>574</v>
      </c>
      <c r="AG16" s="196" t="s">
        <v>574</v>
      </c>
      <c r="AJ16" s="196" t="s">
        <v>548</v>
      </c>
      <c r="AK16" s="196" t="s">
        <v>575</v>
      </c>
      <c r="AL16" s="195" t="s">
        <v>576</v>
      </c>
      <c r="AM16" s="195" t="s">
        <v>577</v>
      </c>
      <c r="AO16" s="227"/>
      <c r="AP16" s="196" t="s">
        <v>578</v>
      </c>
      <c r="AQ16" s="196" t="s">
        <v>579</v>
      </c>
      <c r="AT16" s="196" t="s">
        <v>580</v>
      </c>
      <c r="AU16" s="196" t="s">
        <v>581</v>
      </c>
      <c r="AW16" s="196" t="s">
        <v>582</v>
      </c>
      <c r="AY16" s="196" t="s">
        <v>583</v>
      </c>
      <c r="AZ16" s="196" t="s">
        <v>584</v>
      </c>
      <c r="BC16" s="196" t="s">
        <v>585</v>
      </c>
      <c r="BG16" s="217" t="s">
        <v>586</v>
      </c>
      <c r="BN16" s="216" t="s">
        <v>357</v>
      </c>
      <c r="BO16" s="236" t="s">
        <v>587</v>
      </c>
      <c r="BP16" s="237" t="s">
        <v>588</v>
      </c>
      <c r="BS16" s="241"/>
      <c r="BT16" s="241"/>
      <c r="BW16" s="195"/>
      <c r="BY16" s="195"/>
      <c r="BZ16" s="308"/>
      <c r="CA16" s="308"/>
    </row>
    <row r="17" spans="1:79" ht="15" customHeight="1">
      <c r="B17" s="204" t="s">
        <v>589</v>
      </c>
      <c r="C17" s="205"/>
      <c r="D17" s="198" t="s">
        <v>590</v>
      </c>
      <c r="K17" s="216" t="s">
        <v>591</v>
      </c>
      <c r="L17" s="196" t="s">
        <v>592</v>
      </c>
      <c r="P17" s="198">
        <v>304</v>
      </c>
      <c r="W17" s="198" t="s">
        <v>593</v>
      </c>
      <c r="X17" s="196" t="s">
        <v>594</v>
      </c>
      <c r="Y17" s="198" t="s">
        <v>541</v>
      </c>
      <c r="Z17" s="196" t="s">
        <v>595</v>
      </c>
      <c r="AA17" s="196" t="s">
        <v>596</v>
      </c>
      <c r="AC17" s="196" t="s">
        <v>597</v>
      </c>
      <c r="AD17" s="196" t="s">
        <v>598</v>
      </c>
      <c r="AF17" s="196" t="s">
        <v>599</v>
      </c>
      <c r="AG17" s="196" t="s">
        <v>599</v>
      </c>
      <c r="AJ17" s="196" t="s">
        <v>600</v>
      </c>
      <c r="AK17" s="196" t="s">
        <v>601</v>
      </c>
      <c r="AL17" s="195" t="s">
        <v>602</v>
      </c>
      <c r="AM17" s="195" t="s">
        <v>603</v>
      </c>
      <c r="AP17" s="196" t="s">
        <v>604</v>
      </c>
      <c r="AQ17" s="196" t="s">
        <v>605</v>
      </c>
      <c r="AT17" s="196" t="s">
        <v>606</v>
      </c>
      <c r="AU17" s="196" t="s">
        <v>607</v>
      </c>
      <c r="AW17" s="196" t="s">
        <v>608</v>
      </c>
      <c r="AY17" s="217" t="s">
        <v>609</v>
      </c>
      <c r="AZ17" s="196" t="s">
        <v>610</v>
      </c>
      <c r="BC17" s="217" t="s">
        <v>611</v>
      </c>
      <c r="BG17" s="217" t="s">
        <v>612</v>
      </c>
      <c r="BN17" s="216" t="s">
        <v>395</v>
      </c>
      <c r="BO17" s="236" t="s">
        <v>613</v>
      </c>
      <c r="BP17" s="237" t="s">
        <v>614</v>
      </c>
      <c r="BR17" s="240"/>
      <c r="BS17" s="241"/>
      <c r="BT17" s="241"/>
      <c r="BZ17" s="308"/>
      <c r="CA17" s="308"/>
    </row>
    <row r="18" spans="1:79" ht="15" customHeight="1">
      <c r="B18" s="204" t="s">
        <v>615</v>
      </c>
      <c r="C18" s="205"/>
      <c r="D18" s="198" t="s">
        <v>616</v>
      </c>
      <c r="K18" s="216" t="s">
        <v>617</v>
      </c>
      <c r="P18" s="198">
        <v>316</v>
      </c>
      <c r="W18" s="198" t="s">
        <v>618</v>
      </c>
      <c r="X18" s="196" t="s">
        <v>619</v>
      </c>
      <c r="Y18" s="198" t="s">
        <v>567</v>
      </c>
      <c r="AC18" s="196" t="s">
        <v>620</v>
      </c>
      <c r="AF18" s="196" t="s">
        <v>621</v>
      </c>
      <c r="AG18" s="196" t="s">
        <v>621</v>
      </c>
      <c r="AJ18" s="196" t="s">
        <v>575</v>
      </c>
      <c r="AK18" s="196" t="s">
        <v>622</v>
      </c>
      <c r="AL18" s="195" t="s">
        <v>623</v>
      </c>
      <c r="AM18" s="195" t="s">
        <v>624</v>
      </c>
      <c r="AP18" s="196" t="s">
        <v>625</v>
      </c>
      <c r="AQ18" s="196" t="s">
        <v>626</v>
      </c>
      <c r="AT18" s="196" t="s">
        <v>627</v>
      </c>
      <c r="AU18" s="196" t="s">
        <v>628</v>
      </c>
      <c r="AW18" s="196" t="s">
        <v>629</v>
      </c>
      <c r="AY18" s="217" t="s">
        <v>630</v>
      </c>
      <c r="AZ18" s="196" t="s">
        <v>631</v>
      </c>
      <c r="BC18" s="196" t="s">
        <v>632</v>
      </c>
      <c r="BG18" s="217" t="s">
        <v>633</v>
      </c>
      <c r="BN18" s="238"/>
      <c r="BO18" s="243" t="s">
        <v>634</v>
      </c>
      <c r="BS18" s="216"/>
      <c r="BZ18" s="308" t="s">
        <v>1933</v>
      </c>
      <c r="CA18" s="308">
        <v>2100</v>
      </c>
    </row>
    <row r="19" spans="1:79" ht="15" customHeight="1">
      <c r="B19" s="204" t="s">
        <v>635</v>
      </c>
      <c r="C19" s="205"/>
      <c r="D19" s="198" t="s">
        <v>636</v>
      </c>
      <c r="K19" s="216" t="s">
        <v>637</v>
      </c>
      <c r="P19" s="198" t="s">
        <v>178</v>
      </c>
      <c r="W19" s="196" t="s">
        <v>433</v>
      </c>
      <c r="X19" s="196" t="s">
        <v>638</v>
      </c>
      <c r="Y19" s="198" t="s">
        <v>593</v>
      </c>
      <c r="AC19" s="198"/>
      <c r="AJ19" s="196" t="s">
        <v>601</v>
      </c>
      <c r="AK19" s="196" t="s">
        <v>639</v>
      </c>
      <c r="AL19" s="195" t="s">
        <v>640</v>
      </c>
      <c r="AM19" s="195" t="s">
        <v>641</v>
      </c>
      <c r="AP19" s="196" t="s">
        <v>642</v>
      </c>
      <c r="AQ19" s="217" t="s">
        <v>643</v>
      </c>
      <c r="AT19" s="196" t="s">
        <v>644</v>
      </c>
      <c r="AU19" s="196" t="s">
        <v>645</v>
      </c>
      <c r="AW19" s="196" t="s">
        <v>646</v>
      </c>
      <c r="AY19" s="196" t="s">
        <v>610</v>
      </c>
      <c r="AZ19" s="196" t="s">
        <v>647</v>
      </c>
      <c r="BC19" s="196" t="s">
        <v>648</v>
      </c>
      <c r="BG19" s="217" t="s">
        <v>649</v>
      </c>
      <c r="BN19" s="216"/>
      <c r="BO19" s="240" t="s">
        <v>650</v>
      </c>
      <c r="BP19" s="237" t="s">
        <v>651</v>
      </c>
      <c r="BS19" s="216"/>
      <c r="BZ19" s="308"/>
      <c r="CA19" s="308"/>
    </row>
    <row r="20" spans="1:79" ht="15" customHeight="1">
      <c r="C20" s="205"/>
      <c r="D20" s="196" t="s">
        <v>652</v>
      </c>
      <c r="P20" s="196" t="s">
        <v>366</v>
      </c>
      <c r="W20" s="198" t="s">
        <v>596</v>
      </c>
      <c r="X20" s="196" t="s">
        <v>653</v>
      </c>
      <c r="Y20" s="198" t="s">
        <v>618</v>
      </c>
      <c r="AC20" s="198"/>
      <c r="AJ20" s="196" t="s">
        <v>622</v>
      </c>
      <c r="AK20" s="196" t="s">
        <v>654</v>
      </c>
      <c r="AL20" s="195" t="s">
        <v>655</v>
      </c>
      <c r="AM20" s="195" t="s">
        <v>656</v>
      </c>
      <c r="AP20" s="196" t="s">
        <v>657</v>
      </c>
      <c r="AQ20" s="196" t="s">
        <v>658</v>
      </c>
      <c r="AT20" s="196" t="s">
        <v>659</v>
      </c>
      <c r="AU20" s="196" t="s">
        <v>660</v>
      </c>
      <c r="AW20" s="196" t="s">
        <v>661</v>
      </c>
      <c r="AZ20" s="217" t="s">
        <v>662</v>
      </c>
      <c r="BC20" s="217" t="s">
        <v>663</v>
      </c>
      <c r="BG20" s="196" t="s">
        <v>664</v>
      </c>
      <c r="BN20" s="238"/>
      <c r="BO20" s="243" t="s">
        <v>665</v>
      </c>
      <c r="BS20" s="216"/>
      <c r="BZ20" s="308"/>
      <c r="CA20" s="308"/>
    </row>
    <row r="21" spans="1:79" ht="15" customHeight="1">
      <c r="A21" s="209"/>
      <c r="B21" s="207" t="s">
        <v>666</v>
      </c>
      <c r="C21" s="210"/>
      <c r="D21" s="196" t="s">
        <v>667</v>
      </c>
      <c r="P21" s="198">
        <v>321</v>
      </c>
      <c r="W21" s="196" t="s">
        <v>516</v>
      </c>
      <c r="X21" s="196" t="s">
        <v>668</v>
      </c>
      <c r="Y21" s="198" t="s">
        <v>433</v>
      </c>
      <c r="AC21" s="198"/>
      <c r="AJ21" s="196" t="s">
        <v>669</v>
      </c>
      <c r="AK21" s="196" t="s">
        <v>670</v>
      </c>
      <c r="AL21" s="195" t="s">
        <v>671</v>
      </c>
      <c r="AM21" s="195" t="s">
        <v>672</v>
      </c>
      <c r="AP21" s="196" t="s">
        <v>673</v>
      </c>
      <c r="AQ21" s="217" t="s">
        <v>674</v>
      </c>
      <c r="AT21" s="196" t="s">
        <v>675</v>
      </c>
      <c r="AU21" s="196" t="s">
        <v>676</v>
      </c>
      <c r="AW21" s="196" t="s">
        <v>677</v>
      </c>
      <c r="AZ21" s="196" t="s">
        <v>172</v>
      </c>
      <c r="BC21" s="196" t="s">
        <v>678</v>
      </c>
      <c r="BN21" s="216" t="s">
        <v>425</v>
      </c>
      <c r="BO21" s="236" t="s">
        <v>679</v>
      </c>
      <c r="BP21" s="237" t="s">
        <v>680</v>
      </c>
      <c r="BS21" s="216"/>
    </row>
    <row r="22" spans="1:79" ht="15" customHeight="1">
      <c r="B22" s="204" t="s">
        <v>681</v>
      </c>
      <c r="C22" s="210"/>
      <c r="D22" s="196" t="s">
        <v>682</v>
      </c>
      <c r="P22" s="198">
        <v>347</v>
      </c>
      <c r="W22" s="198" t="s">
        <v>683</v>
      </c>
      <c r="X22" s="196" t="s">
        <v>684</v>
      </c>
      <c r="Y22" s="198" t="s">
        <v>596</v>
      </c>
      <c r="AC22" s="198"/>
      <c r="AJ22" s="196" t="s">
        <v>685</v>
      </c>
      <c r="AK22" s="196" t="s">
        <v>686</v>
      </c>
      <c r="AL22" s="195" t="s">
        <v>687</v>
      </c>
      <c r="AM22" s="195" t="s">
        <v>688</v>
      </c>
      <c r="AP22" s="196" t="s">
        <v>689</v>
      </c>
      <c r="AQ22" s="196" t="s">
        <v>690</v>
      </c>
      <c r="AT22" s="196" t="s">
        <v>691</v>
      </c>
      <c r="AU22" s="196" t="s">
        <v>692</v>
      </c>
      <c r="AW22" s="196" t="s">
        <v>693</v>
      </c>
      <c r="AZ22" s="196" t="s">
        <v>341</v>
      </c>
      <c r="BC22" s="217" t="s">
        <v>694</v>
      </c>
      <c r="BN22" s="238"/>
      <c r="BO22" s="243" t="s">
        <v>695</v>
      </c>
      <c r="BS22" s="216"/>
    </row>
    <row r="23" spans="1:79" ht="15" customHeight="1">
      <c r="B23" s="197" t="s">
        <v>22</v>
      </c>
      <c r="C23" s="210"/>
      <c r="D23" s="196" t="s">
        <v>696</v>
      </c>
      <c r="P23" s="196" t="s">
        <v>433</v>
      </c>
      <c r="W23" s="198" t="s">
        <v>697</v>
      </c>
      <c r="X23" s="196" t="s">
        <v>698</v>
      </c>
      <c r="Y23" s="196" t="s">
        <v>516</v>
      </c>
      <c r="AC23" s="198"/>
      <c r="AJ23" s="196" t="s">
        <v>639</v>
      </c>
      <c r="AK23" s="196" t="s">
        <v>699</v>
      </c>
      <c r="AL23" s="195" t="s">
        <v>700</v>
      </c>
      <c r="AM23" s="195" t="s">
        <v>701</v>
      </c>
      <c r="AP23" s="196" t="s">
        <v>702</v>
      </c>
      <c r="AQ23" s="217" t="s">
        <v>703</v>
      </c>
      <c r="AT23" s="196" t="s">
        <v>704</v>
      </c>
      <c r="AU23" s="196" t="s">
        <v>705</v>
      </c>
      <c r="AW23" s="196" t="s">
        <v>706</v>
      </c>
      <c r="AZ23" s="196" t="s">
        <v>707</v>
      </c>
      <c r="BC23" s="196" t="s">
        <v>708</v>
      </c>
      <c r="BG23" s="196" t="s">
        <v>709</v>
      </c>
      <c r="BN23" s="216"/>
      <c r="BO23" s="240" t="s">
        <v>710</v>
      </c>
      <c r="BP23" s="237" t="s">
        <v>711</v>
      </c>
      <c r="BS23" s="216"/>
    </row>
    <row r="24" spans="1:79" ht="15" customHeight="1">
      <c r="B24" s="197" t="s">
        <v>23</v>
      </c>
      <c r="C24" s="210"/>
      <c r="D24" s="196" t="s">
        <v>712</v>
      </c>
      <c r="P24" s="198" t="s">
        <v>683</v>
      </c>
      <c r="W24" s="198" t="s">
        <v>713</v>
      </c>
      <c r="X24" s="196" t="s">
        <v>714</v>
      </c>
      <c r="Y24" s="196" t="s">
        <v>683</v>
      </c>
      <c r="AC24" s="198"/>
      <c r="AJ24" s="196" t="s">
        <v>654</v>
      </c>
      <c r="AL24" s="195" t="s">
        <v>715</v>
      </c>
      <c r="AM24" s="195" t="s">
        <v>716</v>
      </c>
      <c r="AP24" s="196" t="s">
        <v>717</v>
      </c>
      <c r="AQ24" s="196" t="s">
        <v>718</v>
      </c>
      <c r="AT24" s="196" t="s">
        <v>719</v>
      </c>
      <c r="AU24" s="196" t="s">
        <v>720</v>
      </c>
      <c r="AW24" s="196" t="s">
        <v>721</v>
      </c>
      <c r="AZ24" s="196" t="s">
        <v>722</v>
      </c>
      <c r="BC24" s="196" t="s">
        <v>723</v>
      </c>
      <c r="BN24" s="232"/>
      <c r="BO24" s="239" t="s">
        <v>724</v>
      </c>
      <c r="BS24" s="216"/>
    </row>
    <row r="25" spans="1:79" ht="15" customHeight="1">
      <c r="B25" s="197" t="s">
        <v>24</v>
      </c>
      <c r="D25" s="196" t="s">
        <v>725</v>
      </c>
      <c r="P25" s="196" t="s">
        <v>726</v>
      </c>
      <c r="W25" s="198" t="s">
        <v>727</v>
      </c>
      <c r="X25" s="196" t="s">
        <v>728</v>
      </c>
      <c r="Y25" s="198" t="s">
        <v>729</v>
      </c>
      <c r="AC25" s="198"/>
      <c r="AJ25" s="196" t="s">
        <v>670</v>
      </c>
      <c r="AL25" s="195" t="s">
        <v>730</v>
      </c>
      <c r="AM25" s="195" t="s">
        <v>731</v>
      </c>
      <c r="AP25" s="196" t="s">
        <v>732</v>
      </c>
      <c r="AQ25" s="217" t="s">
        <v>733</v>
      </c>
      <c r="AT25" s="196" t="s">
        <v>734</v>
      </c>
      <c r="AU25" s="196" t="s">
        <v>735</v>
      </c>
      <c r="AW25" s="196" t="s">
        <v>736</v>
      </c>
      <c r="AZ25" s="196" t="s">
        <v>737</v>
      </c>
      <c r="BC25" s="217" t="s">
        <v>738</v>
      </c>
      <c r="BN25" s="232"/>
      <c r="BO25" s="239" t="s">
        <v>739</v>
      </c>
      <c r="BS25" s="216"/>
    </row>
    <row r="26" spans="1:79" ht="15" customHeight="1">
      <c r="B26" s="197" t="s">
        <v>25</v>
      </c>
      <c r="D26" s="196" t="s">
        <v>740</v>
      </c>
      <c r="P26" s="196" t="s">
        <v>741</v>
      </c>
      <c r="W26" s="198" t="s">
        <v>742</v>
      </c>
      <c r="X26" s="196" t="s">
        <v>743</v>
      </c>
      <c r="Y26" s="196" t="s">
        <v>744</v>
      </c>
      <c r="AC26" s="198"/>
      <c r="AJ26" s="196" t="s">
        <v>686</v>
      </c>
      <c r="AL26" s="195" t="s">
        <v>745</v>
      </c>
      <c r="AM26" s="195" t="s">
        <v>746</v>
      </c>
      <c r="AQ26" s="217" t="s">
        <v>747</v>
      </c>
      <c r="AT26" s="196" t="s">
        <v>748</v>
      </c>
      <c r="AU26" s="196" t="s">
        <v>749</v>
      </c>
      <c r="AW26" s="196" t="s">
        <v>750</v>
      </c>
      <c r="AZ26" s="196" t="s">
        <v>751</v>
      </c>
      <c r="BC26" s="217" t="s">
        <v>752</v>
      </c>
      <c r="BN26" s="232"/>
      <c r="BO26" s="239" t="s">
        <v>753</v>
      </c>
      <c r="BS26" s="216"/>
    </row>
    <row r="27" spans="1:79" ht="15" customHeight="1">
      <c r="D27" s="196" t="s">
        <v>754</v>
      </c>
      <c r="P27" s="196" t="s">
        <v>755</v>
      </c>
      <c r="W27" s="196" t="s">
        <v>223</v>
      </c>
      <c r="X27" s="196" t="s">
        <v>756</v>
      </c>
      <c r="Y27" s="196" t="s">
        <v>757</v>
      </c>
      <c r="AC27" s="198"/>
      <c r="AJ27" s="196" t="s">
        <v>699</v>
      </c>
      <c r="AL27" s="195" t="s">
        <v>758</v>
      </c>
      <c r="AM27" s="195" t="s">
        <v>759</v>
      </c>
      <c r="AQ27" s="217" t="s">
        <v>760</v>
      </c>
      <c r="AT27" s="196" t="s">
        <v>761</v>
      </c>
      <c r="AU27" s="196" t="s">
        <v>762</v>
      </c>
      <c r="AW27" s="196" t="s">
        <v>763</v>
      </c>
      <c r="AZ27" s="217" t="s">
        <v>764</v>
      </c>
      <c r="BC27" s="196" t="s">
        <v>765</v>
      </c>
      <c r="BN27" s="232"/>
      <c r="BO27" s="239" t="s">
        <v>766</v>
      </c>
      <c r="BS27" s="216"/>
    </row>
    <row r="28" spans="1:79" ht="15" customHeight="1">
      <c r="A28" s="211"/>
      <c r="B28" s="207" t="s">
        <v>767</v>
      </c>
      <c r="D28" s="196" t="s">
        <v>768</v>
      </c>
      <c r="P28" s="196" t="s">
        <v>769</v>
      </c>
      <c r="W28" s="198" t="s">
        <v>770</v>
      </c>
      <c r="X28" s="196" t="s">
        <v>771</v>
      </c>
      <c r="Y28" s="196" t="s">
        <v>772</v>
      </c>
      <c r="AC28" s="198"/>
      <c r="AL28" s="195" t="s">
        <v>773</v>
      </c>
      <c r="AM28" s="195" t="s">
        <v>774</v>
      </c>
      <c r="AQ28" s="217" t="s">
        <v>775</v>
      </c>
      <c r="AT28" s="196" t="s">
        <v>776</v>
      </c>
      <c r="AU28" s="196" t="s">
        <v>777</v>
      </c>
      <c r="BC28" s="196" t="s">
        <v>778</v>
      </c>
      <c r="BN28" s="216" t="s">
        <v>454</v>
      </c>
      <c r="BO28" s="240" t="s">
        <v>779</v>
      </c>
      <c r="BP28" s="237" t="s">
        <v>780</v>
      </c>
      <c r="BS28" s="216"/>
    </row>
    <row r="29" spans="1:79" ht="15" customHeight="1">
      <c r="B29" s="197" t="s">
        <v>26</v>
      </c>
      <c r="D29" s="196" t="s">
        <v>781</v>
      </c>
      <c r="P29" s="196" t="s">
        <v>782</v>
      </c>
      <c r="W29" s="198" t="s">
        <v>783</v>
      </c>
      <c r="X29" s="196" t="s">
        <v>784</v>
      </c>
      <c r="Y29" s="196" t="s">
        <v>785</v>
      </c>
      <c r="AC29" s="198"/>
      <c r="AL29" s="195" t="s">
        <v>786</v>
      </c>
      <c r="AM29" s="195" t="s">
        <v>787</v>
      </c>
      <c r="AQ29" s="217" t="s">
        <v>788</v>
      </c>
      <c r="AT29" s="196" t="s">
        <v>789</v>
      </c>
      <c r="AU29" s="196" t="s">
        <v>790</v>
      </c>
      <c r="BC29" s="196" t="s">
        <v>791</v>
      </c>
      <c r="BN29" s="216" t="s">
        <v>481</v>
      </c>
      <c r="BO29" s="240" t="s">
        <v>792</v>
      </c>
      <c r="BP29" s="237" t="s">
        <v>793</v>
      </c>
      <c r="BS29" s="216"/>
    </row>
    <row r="30" spans="1:79" ht="15" customHeight="1">
      <c r="B30" s="197" t="s">
        <v>27</v>
      </c>
      <c r="D30" s="196" t="s">
        <v>794</v>
      </c>
      <c r="P30" s="196" t="s">
        <v>795</v>
      </c>
      <c r="W30" s="198" t="s">
        <v>796</v>
      </c>
      <c r="X30" s="196" t="s">
        <v>797</v>
      </c>
      <c r="Y30" s="198" t="s">
        <v>83</v>
      </c>
      <c r="AL30" s="195" t="s">
        <v>798</v>
      </c>
      <c r="AM30" s="195" t="s">
        <v>799</v>
      </c>
      <c r="AQ30" s="217" t="s">
        <v>800</v>
      </c>
      <c r="AT30" s="196" t="s">
        <v>801</v>
      </c>
      <c r="AU30" s="196" t="s">
        <v>802</v>
      </c>
      <c r="BC30" s="196" t="s">
        <v>803</v>
      </c>
      <c r="BN30" s="216" t="s">
        <v>509</v>
      </c>
      <c r="BO30" s="236" t="s">
        <v>804</v>
      </c>
      <c r="BP30" s="237" t="s">
        <v>805</v>
      </c>
      <c r="BS30" s="216"/>
    </row>
    <row r="31" spans="1:79" ht="15" customHeight="1">
      <c r="B31" s="197" t="s">
        <v>28</v>
      </c>
      <c r="D31" s="196" t="s">
        <v>806</v>
      </c>
      <c r="P31" s="196" t="s">
        <v>807</v>
      </c>
      <c r="W31" s="198" t="s">
        <v>808</v>
      </c>
      <c r="X31" s="196" t="s">
        <v>809</v>
      </c>
      <c r="Y31" s="196" t="s">
        <v>810</v>
      </c>
      <c r="AL31" s="195" t="s">
        <v>811</v>
      </c>
      <c r="AM31" s="195" t="s">
        <v>812</v>
      </c>
      <c r="AQ31" s="217" t="s">
        <v>813</v>
      </c>
      <c r="AT31" s="196" t="s">
        <v>814</v>
      </c>
      <c r="AU31" s="196" t="s">
        <v>815</v>
      </c>
      <c r="BC31" s="196" t="s">
        <v>816</v>
      </c>
      <c r="BN31" s="232"/>
      <c r="BO31" s="233" t="s">
        <v>817</v>
      </c>
      <c r="BP31" s="237" t="s">
        <v>818</v>
      </c>
      <c r="BS31" s="216"/>
    </row>
    <row r="32" spans="1:79" ht="15" customHeight="1">
      <c r="B32" s="197" t="s">
        <v>29</v>
      </c>
      <c r="D32" s="196" t="s">
        <v>819</v>
      </c>
      <c r="P32" s="196" t="s">
        <v>820</v>
      </c>
      <c r="W32" s="196" t="s">
        <v>821</v>
      </c>
      <c r="X32" s="196" t="s">
        <v>822</v>
      </c>
      <c r="Y32" s="196" t="s">
        <v>823</v>
      </c>
      <c r="AC32" s="198"/>
      <c r="AL32" s="195" t="s">
        <v>824</v>
      </c>
      <c r="AM32" s="195" t="s">
        <v>825</v>
      </c>
      <c r="AQ32" s="196" t="s">
        <v>826</v>
      </c>
      <c r="AT32" s="196" t="s">
        <v>827</v>
      </c>
      <c r="AU32" s="196" t="s">
        <v>828</v>
      </c>
      <c r="BC32" s="196" t="s">
        <v>829</v>
      </c>
      <c r="BN32" s="232"/>
      <c r="BO32" s="233" t="s">
        <v>830</v>
      </c>
      <c r="BP32" s="237"/>
      <c r="BS32" s="216"/>
    </row>
    <row r="33" spans="1:71" ht="15" customHeight="1">
      <c r="B33" s="197" t="s">
        <v>30</v>
      </c>
      <c r="D33" s="196" t="s">
        <v>831</v>
      </c>
      <c r="P33" s="196" t="s">
        <v>545</v>
      </c>
      <c r="W33" s="196" t="s">
        <v>832</v>
      </c>
      <c r="X33" s="196" t="s">
        <v>833</v>
      </c>
      <c r="Y33" s="196" t="s">
        <v>834</v>
      </c>
      <c r="AC33" s="198"/>
      <c r="AL33" s="195" t="s">
        <v>835</v>
      </c>
      <c r="AM33" s="195" t="s">
        <v>836</v>
      </c>
      <c r="AQ33" s="196" t="s">
        <v>837</v>
      </c>
      <c r="AT33" s="196" t="s">
        <v>1859</v>
      </c>
      <c r="AU33" s="217" t="s">
        <v>838</v>
      </c>
      <c r="BC33" s="196" t="s">
        <v>839</v>
      </c>
      <c r="BN33" s="216"/>
      <c r="BO33" s="240" t="s">
        <v>840</v>
      </c>
      <c r="BP33" s="237" t="s">
        <v>841</v>
      </c>
      <c r="BS33" s="216"/>
    </row>
    <row r="34" spans="1:71" ht="15" customHeight="1">
      <c r="B34" s="197" t="s">
        <v>31</v>
      </c>
      <c r="D34" s="196" t="s">
        <v>842</v>
      </c>
      <c r="P34" s="198" t="s">
        <v>570</v>
      </c>
      <c r="W34" s="196" t="s">
        <v>843</v>
      </c>
      <c r="X34" s="196" t="s">
        <v>844</v>
      </c>
      <c r="Y34" s="196" t="s">
        <v>845</v>
      </c>
      <c r="AL34" s="195" t="s">
        <v>846</v>
      </c>
      <c r="AM34" s="195" t="s">
        <v>846</v>
      </c>
      <c r="AQ34" s="196" t="s">
        <v>847</v>
      </c>
      <c r="AU34" s="217" t="s">
        <v>848</v>
      </c>
      <c r="BC34" s="196" t="s">
        <v>849</v>
      </c>
      <c r="BN34" s="216"/>
      <c r="BO34" s="240" t="s">
        <v>850</v>
      </c>
      <c r="BP34" s="237" t="s">
        <v>851</v>
      </c>
      <c r="BS34" s="216"/>
    </row>
    <row r="35" spans="1:71" ht="15" customHeight="1">
      <c r="B35" s="197" t="s">
        <v>32</v>
      </c>
      <c r="D35" s="196" t="s">
        <v>852</v>
      </c>
      <c r="K35" s="216"/>
      <c r="W35" s="196" t="s">
        <v>853</v>
      </c>
      <c r="X35" s="196" t="s">
        <v>854</v>
      </c>
      <c r="Y35" s="196" t="s">
        <v>855</v>
      </c>
      <c r="AL35" s="195" t="s">
        <v>856</v>
      </c>
      <c r="AM35" s="195" t="s">
        <v>856</v>
      </c>
      <c r="AQ35" s="196" t="s">
        <v>857</v>
      </c>
      <c r="AU35" s="217" t="s">
        <v>858</v>
      </c>
      <c r="BC35" s="196" t="s">
        <v>859</v>
      </c>
      <c r="BN35" s="216"/>
      <c r="BO35" s="240" t="s">
        <v>860</v>
      </c>
      <c r="BP35" s="237" t="s">
        <v>861</v>
      </c>
      <c r="BS35" s="216"/>
    </row>
    <row r="36" spans="1:71" ht="15" customHeight="1">
      <c r="D36" s="196" t="s">
        <v>862</v>
      </c>
      <c r="W36" s="196" t="s">
        <v>863</v>
      </c>
      <c r="X36" s="196" t="s">
        <v>864</v>
      </c>
      <c r="Y36" s="196" t="s">
        <v>865</v>
      </c>
      <c r="AL36" s="195" t="s">
        <v>866</v>
      </c>
      <c r="AM36" s="195" t="s">
        <v>866</v>
      </c>
      <c r="AQ36" s="196" t="s">
        <v>867</v>
      </c>
      <c r="AU36" s="217" t="s">
        <v>868</v>
      </c>
      <c r="BC36" s="196" t="s">
        <v>869</v>
      </c>
      <c r="BN36" s="216"/>
      <c r="BO36" s="240" t="s">
        <v>870</v>
      </c>
      <c r="BP36" s="237" t="s">
        <v>871</v>
      </c>
      <c r="BS36" s="216"/>
    </row>
    <row r="37" spans="1:71" ht="15" customHeight="1">
      <c r="A37" s="212"/>
      <c r="B37" s="207" t="s">
        <v>872</v>
      </c>
      <c r="D37" s="196" t="s">
        <v>873</v>
      </c>
      <c r="W37" s="196" t="s">
        <v>855</v>
      </c>
      <c r="X37" s="196" t="s">
        <v>874</v>
      </c>
      <c r="Y37" s="198" t="s">
        <v>570</v>
      </c>
      <c r="AL37" s="195" t="s">
        <v>875</v>
      </c>
      <c r="AM37" s="195" t="s">
        <v>875</v>
      </c>
      <c r="AQ37" s="217" t="s">
        <v>876</v>
      </c>
      <c r="AU37" s="217" t="s">
        <v>877</v>
      </c>
      <c r="BC37" s="196" t="s">
        <v>878</v>
      </c>
      <c r="BN37" s="216" t="s">
        <v>538</v>
      </c>
      <c r="BO37" s="244" t="s">
        <v>879</v>
      </c>
      <c r="BP37" s="237" t="s">
        <v>880</v>
      </c>
      <c r="BS37" s="216"/>
    </row>
    <row r="38" spans="1:71" ht="15" customHeight="1">
      <c r="B38" s="197" t="s">
        <v>33</v>
      </c>
      <c r="D38" s="196" t="s">
        <v>881</v>
      </c>
      <c r="W38" s="196" t="s">
        <v>865</v>
      </c>
      <c r="X38" s="196" t="s">
        <v>882</v>
      </c>
      <c r="Y38" s="225" t="s">
        <v>883</v>
      </c>
      <c r="AL38" s="195" t="s">
        <v>884</v>
      </c>
      <c r="AM38" s="195" t="s">
        <v>884</v>
      </c>
      <c r="AQ38" s="196" t="s">
        <v>885</v>
      </c>
      <c r="AU38" s="196" t="s">
        <v>886</v>
      </c>
      <c r="BC38" s="196" t="s">
        <v>887</v>
      </c>
      <c r="BN38" s="216" t="s">
        <v>564</v>
      </c>
      <c r="BO38" s="244" t="s">
        <v>888</v>
      </c>
      <c r="BP38" s="237" t="s">
        <v>889</v>
      </c>
      <c r="BS38" s="216"/>
    </row>
    <row r="39" spans="1:71" ht="15" customHeight="1">
      <c r="B39" s="197" t="s">
        <v>34</v>
      </c>
      <c r="D39" s="196" t="s">
        <v>890</v>
      </c>
      <c r="W39" s="198" t="s">
        <v>755</v>
      </c>
      <c r="X39" s="196" t="s">
        <v>891</v>
      </c>
      <c r="Y39" s="196" t="s">
        <v>892</v>
      </c>
      <c r="AL39" s="195" t="s">
        <v>893</v>
      </c>
      <c r="AM39" s="195" t="s">
        <v>893</v>
      </c>
      <c r="AQ39" s="217" t="s">
        <v>894</v>
      </c>
      <c r="AU39" s="196" t="s">
        <v>895</v>
      </c>
      <c r="BC39" s="196" t="s">
        <v>896</v>
      </c>
      <c r="BN39" s="216"/>
      <c r="BO39" s="240" t="s">
        <v>897</v>
      </c>
      <c r="BP39" s="237" t="s">
        <v>898</v>
      </c>
      <c r="BS39" s="216"/>
    </row>
    <row r="40" spans="1:71" ht="15" customHeight="1">
      <c r="B40" s="197" t="s">
        <v>151</v>
      </c>
      <c r="D40" s="196" t="s">
        <v>899</v>
      </c>
      <c r="W40" s="198" t="s">
        <v>782</v>
      </c>
      <c r="X40" s="196" t="s">
        <v>900</v>
      </c>
      <c r="AL40" s="195" t="s">
        <v>901</v>
      </c>
      <c r="AM40" s="195" t="s">
        <v>901</v>
      </c>
      <c r="AQ40" s="196" t="s">
        <v>902</v>
      </c>
      <c r="AU40" s="196" t="s">
        <v>413</v>
      </c>
      <c r="BC40" s="196" t="s">
        <v>903</v>
      </c>
      <c r="BN40" s="216"/>
      <c r="BO40" s="240" t="s">
        <v>904</v>
      </c>
      <c r="BP40" s="237" t="s">
        <v>905</v>
      </c>
      <c r="BS40" s="216"/>
    </row>
    <row r="41" spans="1:71" ht="15" customHeight="1">
      <c r="B41" s="197" t="s">
        <v>207</v>
      </c>
      <c r="D41" s="196" t="s">
        <v>906</v>
      </c>
      <c r="K41" s="216"/>
      <c r="W41" s="198" t="s">
        <v>769</v>
      </c>
      <c r="X41" s="196" t="s">
        <v>907</v>
      </c>
      <c r="AL41" s="195" t="s">
        <v>908</v>
      </c>
      <c r="AM41" s="195" t="s">
        <v>908</v>
      </c>
      <c r="AQ41" s="217" t="s">
        <v>909</v>
      </c>
      <c r="BC41" s="196" t="s">
        <v>910</v>
      </c>
      <c r="BN41" s="216"/>
      <c r="BO41" s="240" t="s">
        <v>911</v>
      </c>
      <c r="BP41" s="237" t="s">
        <v>912</v>
      </c>
      <c r="BS41" s="216"/>
    </row>
    <row r="42" spans="1:71" ht="15" customHeight="1">
      <c r="B42" s="197" t="s">
        <v>41</v>
      </c>
      <c r="D42" s="196" t="s">
        <v>913</v>
      </c>
      <c r="W42" s="198" t="s">
        <v>795</v>
      </c>
      <c r="X42" s="196" t="s">
        <v>914</v>
      </c>
      <c r="AF42" s="196" t="s">
        <v>915</v>
      </c>
      <c r="AL42" s="195" t="s">
        <v>916</v>
      </c>
      <c r="AM42" s="195" t="s">
        <v>916</v>
      </c>
      <c r="AQ42" s="196" t="s">
        <v>917</v>
      </c>
      <c r="AU42" s="228"/>
      <c r="BC42" s="196" t="s">
        <v>918</v>
      </c>
      <c r="BN42" s="216"/>
      <c r="BO42" s="240" t="s">
        <v>919</v>
      </c>
      <c r="BP42" s="237" t="s">
        <v>920</v>
      </c>
      <c r="BS42" s="216"/>
    </row>
    <row r="43" spans="1:71" ht="15" customHeight="1">
      <c r="B43" s="197" t="s">
        <v>42</v>
      </c>
      <c r="D43" s="198" t="s">
        <v>921</v>
      </c>
      <c r="W43" s="198" t="s">
        <v>545</v>
      </c>
      <c r="X43" s="196" t="s">
        <v>922</v>
      </c>
      <c r="AL43" s="195" t="s">
        <v>923</v>
      </c>
      <c r="AM43" s="195" t="s">
        <v>923</v>
      </c>
      <c r="AQ43" s="217" t="s">
        <v>924</v>
      </c>
      <c r="BC43" s="196" t="s">
        <v>925</v>
      </c>
      <c r="BN43" s="216" t="s">
        <v>591</v>
      </c>
      <c r="BO43" s="240" t="s">
        <v>926</v>
      </c>
      <c r="BP43" s="237" t="s">
        <v>927</v>
      </c>
      <c r="BS43" s="216"/>
    </row>
    <row r="44" spans="1:71" ht="15" customHeight="1">
      <c r="B44" s="197" t="s">
        <v>44</v>
      </c>
      <c r="W44" s="198" t="s">
        <v>570</v>
      </c>
      <c r="X44" s="196" t="s">
        <v>928</v>
      </c>
      <c r="AL44" s="195" t="s">
        <v>929</v>
      </c>
      <c r="AM44" s="195" t="s">
        <v>929</v>
      </c>
      <c r="AQ44" s="217" t="s">
        <v>930</v>
      </c>
      <c r="BC44" s="196" t="s">
        <v>931</v>
      </c>
      <c r="BN44" s="216" t="s">
        <v>617</v>
      </c>
      <c r="BO44" s="236" t="s">
        <v>932</v>
      </c>
      <c r="BP44" s="237" t="s">
        <v>933</v>
      </c>
      <c r="BS44" s="216"/>
    </row>
    <row r="45" spans="1:71" ht="15" customHeight="1">
      <c r="B45" s="197" t="s">
        <v>45</v>
      </c>
      <c r="K45" s="216"/>
      <c r="W45" s="198" t="s">
        <v>620</v>
      </c>
      <c r="X45" s="196" t="s">
        <v>934</v>
      </c>
      <c r="AL45" s="195" t="s">
        <v>935</v>
      </c>
      <c r="AM45" s="195" t="s">
        <v>935</v>
      </c>
      <c r="AQ45" s="217" t="s">
        <v>936</v>
      </c>
      <c r="BN45" s="216"/>
      <c r="BO45" s="240" t="s">
        <v>937</v>
      </c>
      <c r="BP45" s="237" t="s">
        <v>938</v>
      </c>
      <c r="BS45" s="218"/>
    </row>
    <row r="46" spans="1:71" ht="15" customHeight="1">
      <c r="B46" s="197" t="s">
        <v>43</v>
      </c>
      <c r="X46" s="196" t="s">
        <v>939</v>
      </c>
      <c r="AL46" s="195" t="s">
        <v>940</v>
      </c>
      <c r="AM46" s="195" t="s">
        <v>940</v>
      </c>
      <c r="AQ46" s="217" t="s">
        <v>941</v>
      </c>
      <c r="BN46" s="216"/>
      <c r="BO46" s="240" t="s">
        <v>942</v>
      </c>
      <c r="BP46" s="237" t="s">
        <v>943</v>
      </c>
      <c r="BS46" s="216"/>
    </row>
    <row r="47" spans="1:71" ht="15" customHeight="1">
      <c r="A47" s="213"/>
      <c r="B47" s="214" t="s">
        <v>944</v>
      </c>
      <c r="K47" s="216"/>
      <c r="X47" s="196" t="s">
        <v>945</v>
      </c>
      <c r="AL47" s="195" t="s">
        <v>946</v>
      </c>
      <c r="AM47" s="195" t="s">
        <v>946</v>
      </c>
      <c r="AQ47" s="217" t="s">
        <v>947</v>
      </c>
      <c r="BN47" s="216" t="s">
        <v>637</v>
      </c>
      <c r="BO47" s="245" t="s">
        <v>948</v>
      </c>
      <c r="BP47" s="237" t="s">
        <v>949</v>
      </c>
      <c r="BS47" s="216"/>
    </row>
    <row r="48" spans="1:71" ht="15" customHeight="1">
      <c r="B48" s="197" t="s">
        <v>46</v>
      </c>
      <c r="K48" s="216"/>
      <c r="X48" s="198" t="s">
        <v>950</v>
      </c>
      <c r="AL48" s="195" t="s">
        <v>951</v>
      </c>
      <c r="AM48" s="195" t="s">
        <v>951</v>
      </c>
      <c r="AQ48" s="217" t="s">
        <v>952</v>
      </c>
      <c r="BN48" s="216"/>
      <c r="BO48" s="240" t="s">
        <v>953</v>
      </c>
      <c r="BP48" s="237" t="s">
        <v>954</v>
      </c>
      <c r="BS48" s="216"/>
    </row>
    <row r="49" spans="2:71" ht="15" customHeight="1">
      <c r="B49" s="197" t="s">
        <v>47</v>
      </c>
      <c r="K49" s="216"/>
      <c r="X49" s="196" t="s">
        <v>955</v>
      </c>
      <c r="AL49" s="195" t="s">
        <v>956</v>
      </c>
      <c r="AM49" s="195" t="s">
        <v>956</v>
      </c>
      <c r="AQ49" s="217" t="s">
        <v>957</v>
      </c>
      <c r="BN49" s="216"/>
      <c r="BO49" s="240" t="s">
        <v>958</v>
      </c>
      <c r="BP49" s="237" t="s">
        <v>959</v>
      </c>
      <c r="BS49" s="216"/>
    </row>
    <row r="50" spans="2:71" ht="15" customHeight="1">
      <c r="B50" s="197" t="s">
        <v>49</v>
      </c>
      <c r="K50" s="216"/>
      <c r="AL50" s="195" t="s">
        <v>960</v>
      </c>
      <c r="AM50" s="195" t="s">
        <v>960</v>
      </c>
      <c r="AQ50" s="196" t="s">
        <v>961</v>
      </c>
      <c r="BN50" s="216"/>
      <c r="BO50" s="240" t="s">
        <v>962</v>
      </c>
      <c r="BP50" s="237" t="s">
        <v>963</v>
      </c>
      <c r="BS50" s="216"/>
    </row>
    <row r="51" spans="2:71" ht="15" customHeight="1">
      <c r="B51" s="197" t="s">
        <v>50</v>
      </c>
      <c r="K51" s="216"/>
      <c r="AL51" s="195" t="s">
        <v>964</v>
      </c>
      <c r="AM51" s="195" t="s">
        <v>964</v>
      </c>
      <c r="AQ51" s="196" t="s">
        <v>965</v>
      </c>
      <c r="BN51" s="216"/>
      <c r="BO51" s="240" t="s">
        <v>966</v>
      </c>
      <c r="BP51" s="237" t="s">
        <v>967</v>
      </c>
      <c r="BS51" s="216"/>
    </row>
    <row r="52" spans="2:71" ht="15" customHeight="1">
      <c r="B52" s="197" t="s">
        <v>51</v>
      </c>
      <c r="K52" s="216"/>
      <c r="AL52" s="195" t="s">
        <v>968</v>
      </c>
      <c r="AM52" s="195" t="s">
        <v>968</v>
      </c>
      <c r="AQ52" s="196" t="s">
        <v>969</v>
      </c>
      <c r="BN52" s="216"/>
      <c r="BO52" s="240" t="s">
        <v>970</v>
      </c>
      <c r="BP52" s="237" t="s">
        <v>971</v>
      </c>
      <c r="BS52" s="195"/>
    </row>
    <row r="53" spans="2:71" ht="15" customHeight="1">
      <c r="B53" s="197" t="s">
        <v>52</v>
      </c>
      <c r="K53" s="216"/>
      <c r="AL53" s="195" t="s">
        <v>972</v>
      </c>
      <c r="AM53" s="195" t="s">
        <v>972</v>
      </c>
      <c r="AQ53" s="196" t="s">
        <v>973</v>
      </c>
      <c r="BN53" s="216"/>
      <c r="BO53" s="240" t="s">
        <v>974</v>
      </c>
      <c r="BP53" s="237" t="s">
        <v>975</v>
      </c>
    </row>
    <row r="54" spans="2:71" ht="15" customHeight="1">
      <c r="B54" s="197" t="s">
        <v>53</v>
      </c>
      <c r="K54" s="216"/>
      <c r="AL54" s="195" t="s">
        <v>976</v>
      </c>
      <c r="AM54" s="195" t="s">
        <v>976</v>
      </c>
      <c r="AQ54" s="196" t="s">
        <v>977</v>
      </c>
      <c r="BN54" s="216"/>
      <c r="BO54" s="240" t="s">
        <v>978</v>
      </c>
      <c r="BP54" s="237" t="s">
        <v>979</v>
      </c>
    </row>
    <row r="55" spans="2:71" ht="15" customHeight="1">
      <c r="B55" s="197" t="s">
        <v>54</v>
      </c>
      <c r="K55" s="216"/>
      <c r="AL55" s="195" t="s">
        <v>980</v>
      </c>
      <c r="AM55" s="195" t="s">
        <v>980</v>
      </c>
      <c r="AQ55" s="217" t="s">
        <v>981</v>
      </c>
      <c r="AU55" s="228"/>
      <c r="BN55" s="216"/>
      <c r="BO55" s="246" t="s">
        <v>982</v>
      </c>
      <c r="BP55" s="237" t="s">
        <v>983</v>
      </c>
    </row>
    <row r="56" spans="2:71" ht="15" customHeight="1">
      <c r="B56" s="197" t="s">
        <v>55</v>
      </c>
      <c r="K56" s="216"/>
      <c r="AL56" s="195" t="s">
        <v>984</v>
      </c>
      <c r="AM56" s="195" t="s">
        <v>984</v>
      </c>
      <c r="AQ56" s="196" t="s">
        <v>985</v>
      </c>
      <c r="AU56" s="228"/>
      <c r="BN56" s="216"/>
      <c r="BO56" s="240" t="s">
        <v>986</v>
      </c>
      <c r="BP56" s="237" t="s">
        <v>987</v>
      </c>
    </row>
    <row r="57" spans="2:71" ht="15" customHeight="1">
      <c r="B57" s="197" t="s">
        <v>56</v>
      </c>
      <c r="K57" s="218"/>
      <c r="AL57" s="195" t="s">
        <v>988</v>
      </c>
      <c r="AM57" s="195" t="s">
        <v>988</v>
      </c>
      <c r="AQ57" s="217" t="s">
        <v>989</v>
      </c>
      <c r="AU57" s="228"/>
      <c r="BN57" s="218"/>
      <c r="BO57" s="240" t="s">
        <v>990</v>
      </c>
      <c r="BP57" s="237" t="s">
        <v>991</v>
      </c>
    </row>
    <row r="58" spans="2:71" ht="15" customHeight="1">
      <c r="B58" s="197" t="s">
        <v>57</v>
      </c>
      <c r="K58" s="216"/>
      <c r="AL58" s="195" t="s">
        <v>992</v>
      </c>
      <c r="AM58" s="195" t="s">
        <v>992</v>
      </c>
      <c r="AQ58" s="196" t="s">
        <v>993</v>
      </c>
      <c r="AU58" s="228"/>
      <c r="BN58" s="216"/>
      <c r="BO58" s="240" t="s">
        <v>994</v>
      </c>
      <c r="BP58" s="237" t="s">
        <v>995</v>
      </c>
    </row>
    <row r="59" spans="2:71" ht="15" customHeight="1">
      <c r="B59" s="197" t="s">
        <v>58</v>
      </c>
      <c r="K59" s="216"/>
      <c r="AL59" s="195" t="s">
        <v>996</v>
      </c>
      <c r="AM59" s="195" t="s">
        <v>996</v>
      </c>
      <c r="AQ59" s="217" t="s">
        <v>997</v>
      </c>
      <c r="BN59" s="216"/>
      <c r="BO59" s="240" t="s">
        <v>998</v>
      </c>
      <c r="BP59" s="237" t="s">
        <v>999</v>
      </c>
    </row>
    <row r="60" spans="2:71" ht="15" customHeight="1">
      <c r="B60" s="197" t="s">
        <v>59</v>
      </c>
      <c r="K60" s="216"/>
      <c r="AL60" s="195" t="s">
        <v>1000</v>
      </c>
      <c r="AM60" s="195" t="s">
        <v>1000</v>
      </c>
      <c r="AQ60" s="196" t="s">
        <v>1001</v>
      </c>
      <c r="BN60" s="216"/>
      <c r="BO60" s="240" t="s">
        <v>1002</v>
      </c>
      <c r="BP60" s="237" t="s">
        <v>1003</v>
      </c>
    </row>
    <row r="61" spans="2:71" ht="15" customHeight="1">
      <c r="B61" s="197" t="s">
        <v>63</v>
      </c>
      <c r="K61" s="216"/>
      <c r="AL61" s="195" t="s">
        <v>1004</v>
      </c>
      <c r="AM61" s="195" t="s">
        <v>1004</v>
      </c>
      <c r="AQ61" s="217" t="s">
        <v>1005</v>
      </c>
      <c r="BN61" s="216"/>
      <c r="BO61" s="240" t="s">
        <v>1006</v>
      </c>
      <c r="BP61" s="237" t="s">
        <v>1007</v>
      </c>
    </row>
    <row r="62" spans="2:71" ht="15" customHeight="1">
      <c r="B62" s="197" t="s">
        <v>64</v>
      </c>
      <c r="K62" s="216"/>
      <c r="AL62" s="195" t="s">
        <v>1008</v>
      </c>
      <c r="AM62" s="195" t="s">
        <v>1008</v>
      </c>
      <c r="AQ62" s="217" t="s">
        <v>1009</v>
      </c>
      <c r="BN62" s="216"/>
      <c r="BO62" s="240" t="s">
        <v>1010</v>
      </c>
      <c r="BP62" s="237" t="s">
        <v>1011</v>
      </c>
    </row>
    <row r="63" spans="2:71" ht="15" customHeight="1">
      <c r="K63" s="216"/>
      <c r="AL63" s="195" t="s">
        <v>1012</v>
      </c>
      <c r="AM63" s="195" t="s">
        <v>1012</v>
      </c>
      <c r="AQ63" s="217" t="s">
        <v>1013</v>
      </c>
      <c r="BN63" s="216"/>
      <c r="BO63" s="240" t="s">
        <v>1014</v>
      </c>
      <c r="BP63" s="237" t="s">
        <v>1015</v>
      </c>
    </row>
    <row r="64" spans="2:71" ht="15" customHeight="1">
      <c r="B64" s="207" t="s">
        <v>1016</v>
      </c>
      <c r="K64" s="216"/>
      <c r="AL64" s="195" t="s">
        <v>1017</v>
      </c>
      <c r="AM64" s="195" t="s">
        <v>1017</v>
      </c>
      <c r="AQ64" s="217" t="s">
        <v>1018</v>
      </c>
      <c r="BN64" s="216"/>
      <c r="BO64" s="240" t="s">
        <v>1019</v>
      </c>
      <c r="BP64" s="196" t="s">
        <v>1020</v>
      </c>
    </row>
    <row r="65" spans="2:67" ht="15" customHeight="1">
      <c r="AL65" s="195" t="s">
        <v>1021</v>
      </c>
      <c r="AM65" s="195" t="s">
        <v>1021</v>
      </c>
      <c r="AQ65" s="217" t="s">
        <v>1022</v>
      </c>
      <c r="BN65" s="195"/>
      <c r="BO65" s="227" t="s">
        <v>1023</v>
      </c>
    </row>
    <row r="66" spans="2:67" ht="15" customHeight="1">
      <c r="B66" s="207" t="s">
        <v>1024</v>
      </c>
      <c r="AL66" s="195" t="s">
        <v>1025</v>
      </c>
      <c r="AM66" s="195" t="s">
        <v>1025</v>
      </c>
      <c r="AQ66" s="217" t="s">
        <v>1026</v>
      </c>
    </row>
    <row r="67" spans="2:67" ht="15" customHeight="1">
      <c r="AL67" s="195" t="s">
        <v>1027</v>
      </c>
      <c r="AM67" s="195" t="s">
        <v>1027</v>
      </c>
      <c r="AQ67" s="217" t="s">
        <v>1028</v>
      </c>
    </row>
    <row r="68" spans="2:67" ht="15" customHeight="1">
      <c r="AL68" s="195" t="s">
        <v>1029</v>
      </c>
      <c r="AM68" s="195" t="s">
        <v>1029</v>
      </c>
      <c r="AQ68" s="196" t="s">
        <v>1030</v>
      </c>
    </row>
    <row r="69" spans="2:67" ht="15" customHeight="1">
      <c r="AL69" s="195" t="s">
        <v>1031</v>
      </c>
      <c r="AM69" s="195" t="s">
        <v>1031</v>
      </c>
      <c r="AQ69" s="196" t="s">
        <v>1032</v>
      </c>
    </row>
    <row r="70" spans="2:67" ht="15" customHeight="1">
      <c r="AL70" s="195" t="s">
        <v>1033</v>
      </c>
      <c r="AM70" s="195" t="s">
        <v>1033</v>
      </c>
      <c r="AQ70" s="196" t="s">
        <v>1034</v>
      </c>
    </row>
    <row r="71" spans="2:67" ht="15" customHeight="1">
      <c r="AL71" s="195" t="s">
        <v>1035</v>
      </c>
      <c r="AM71" s="195" t="s">
        <v>1035</v>
      </c>
      <c r="AQ71" s="196" t="s">
        <v>1036</v>
      </c>
    </row>
    <row r="72" spans="2:67" ht="15" customHeight="1">
      <c r="AL72" s="195" t="s">
        <v>1037</v>
      </c>
      <c r="AM72" s="195" t="s">
        <v>1037</v>
      </c>
      <c r="AQ72" s="196" t="s">
        <v>1038</v>
      </c>
    </row>
    <row r="73" spans="2:67" ht="15" customHeight="1">
      <c r="AL73" s="195" t="s">
        <v>1039</v>
      </c>
      <c r="AM73" s="195" t="s">
        <v>1039</v>
      </c>
      <c r="AQ73" s="217" t="s">
        <v>1040</v>
      </c>
    </row>
    <row r="74" spans="2:67" ht="15" customHeight="1">
      <c r="AL74" s="195" t="s">
        <v>1041</v>
      </c>
      <c r="AM74" s="195" t="s">
        <v>1041</v>
      </c>
      <c r="AQ74" s="196" t="s">
        <v>1042</v>
      </c>
    </row>
    <row r="75" spans="2:67" ht="15" customHeight="1">
      <c r="AL75" s="195" t="s">
        <v>1043</v>
      </c>
      <c r="AM75" s="195" t="s">
        <v>1043</v>
      </c>
      <c r="AQ75" s="217" t="s">
        <v>1044</v>
      </c>
    </row>
    <row r="76" spans="2:67" ht="15" customHeight="1">
      <c r="AL76" s="195" t="s">
        <v>1045</v>
      </c>
      <c r="AM76" s="195" t="s">
        <v>1045</v>
      </c>
      <c r="AQ76" s="196" t="s">
        <v>1046</v>
      </c>
    </row>
    <row r="77" spans="2:67" ht="15" customHeight="1">
      <c r="AL77" s="195" t="s">
        <v>1047</v>
      </c>
      <c r="AM77" s="195" t="s">
        <v>1047</v>
      </c>
      <c r="AQ77" s="217" t="s">
        <v>1048</v>
      </c>
    </row>
    <row r="78" spans="2:67" ht="15" customHeight="1">
      <c r="AL78" s="195" t="s">
        <v>1049</v>
      </c>
      <c r="AM78" s="195" t="s">
        <v>1049</v>
      </c>
      <c r="AQ78" s="196" t="s">
        <v>1050</v>
      </c>
    </row>
    <row r="79" spans="2:67" ht="15" customHeight="1">
      <c r="AL79" s="195" t="s">
        <v>1051</v>
      </c>
      <c r="AM79" s="195" t="s">
        <v>1051</v>
      </c>
      <c r="AQ79" s="217" t="s">
        <v>1052</v>
      </c>
    </row>
    <row r="80" spans="2:67" ht="15" customHeight="1">
      <c r="AL80" s="195" t="s">
        <v>1053</v>
      </c>
      <c r="AM80" s="195" t="s">
        <v>1053</v>
      </c>
      <c r="AQ80" s="217" t="s">
        <v>1054</v>
      </c>
    </row>
    <row r="81" spans="38:43" ht="15" customHeight="1">
      <c r="AL81" s="195" t="s">
        <v>1055</v>
      </c>
      <c r="AM81" s="195"/>
      <c r="AQ81" s="217" t="s">
        <v>1056</v>
      </c>
    </row>
    <row r="82" spans="38:43" ht="15" customHeight="1">
      <c r="AL82" s="195" t="s">
        <v>1057</v>
      </c>
      <c r="AM82" s="195"/>
      <c r="AQ82" s="217" t="s">
        <v>1058</v>
      </c>
    </row>
    <row r="83" spans="38:43" ht="15" customHeight="1">
      <c r="AL83" s="195" t="s">
        <v>1059</v>
      </c>
      <c r="AM83" s="195"/>
      <c r="AQ83" s="217" t="s">
        <v>1060</v>
      </c>
    </row>
    <row r="84" spans="38:43" ht="15" customHeight="1">
      <c r="AL84" s="195" t="s">
        <v>1061</v>
      </c>
      <c r="AM84" s="195"/>
      <c r="AQ84" s="217" t="s">
        <v>1062</v>
      </c>
    </row>
    <row r="85" spans="38:43" ht="15" customHeight="1">
      <c r="AL85" s="195" t="s">
        <v>1063</v>
      </c>
      <c r="AM85" s="195"/>
      <c r="AQ85" s="217" t="s">
        <v>1064</v>
      </c>
    </row>
    <row r="86" spans="38:43" ht="15" customHeight="1">
      <c r="AL86" s="195" t="s">
        <v>1065</v>
      </c>
      <c r="AM86" s="195"/>
      <c r="AQ86" s="196" t="s">
        <v>1066</v>
      </c>
    </row>
    <row r="87" spans="38:43" ht="15" customHeight="1">
      <c r="AL87" s="195" t="s">
        <v>1067</v>
      </c>
      <c r="AM87" s="195"/>
      <c r="AQ87" s="196" t="s">
        <v>1068</v>
      </c>
    </row>
    <row r="88" spans="38:43" ht="15" customHeight="1">
      <c r="AL88" s="195" t="s">
        <v>1069</v>
      </c>
      <c r="AM88" s="195"/>
      <c r="AQ88" s="196" t="s">
        <v>1070</v>
      </c>
    </row>
    <row r="89" spans="38:43" ht="15" customHeight="1">
      <c r="AQ89" s="196" t="s">
        <v>1071</v>
      </c>
    </row>
    <row r="90" spans="38:43" ht="15" customHeight="1">
      <c r="AQ90" s="196" t="s">
        <v>1072</v>
      </c>
    </row>
    <row r="91" spans="38:43" ht="15" customHeight="1">
      <c r="AQ91" s="196" t="s">
        <v>1073</v>
      </c>
    </row>
    <row r="92" spans="38:43" ht="15" customHeight="1">
      <c r="AQ92" s="196" t="s">
        <v>1074</v>
      </c>
    </row>
    <row r="93" spans="38:43" ht="15" customHeight="1">
      <c r="AQ93" s="196" t="s">
        <v>1075</v>
      </c>
    </row>
    <row r="94" spans="38:43" ht="15" customHeight="1">
      <c r="AQ94" s="196" t="s">
        <v>1076</v>
      </c>
    </row>
    <row r="95" spans="38:43" ht="15" customHeight="1">
      <c r="AQ95" s="196" t="s">
        <v>1077</v>
      </c>
    </row>
    <row r="96" spans="38:43" ht="15" customHeight="1">
      <c r="AQ96" s="196" t="s">
        <v>1078</v>
      </c>
    </row>
    <row r="97" spans="43:43" ht="15" customHeight="1">
      <c r="AQ97" s="196" t="s">
        <v>1079</v>
      </c>
    </row>
    <row r="98" spans="43:43" ht="15" customHeight="1">
      <c r="AQ98" s="196" t="s">
        <v>1080</v>
      </c>
    </row>
    <row r="99" spans="43:43" ht="15" customHeight="1">
      <c r="AQ99" s="196" t="s">
        <v>1081</v>
      </c>
    </row>
    <row r="100" spans="43:43" ht="15" customHeight="1">
      <c r="AQ100" s="196" t="s">
        <v>1082</v>
      </c>
    </row>
    <row r="101" spans="43:43" ht="15" customHeight="1">
      <c r="AQ101" s="196" t="s">
        <v>1083</v>
      </c>
    </row>
    <row r="102" spans="43:43" ht="15" customHeight="1">
      <c r="AQ102" s="196" t="s">
        <v>1084</v>
      </c>
    </row>
    <row r="103" spans="43:43" ht="15" customHeight="1">
      <c r="AQ103" s="196" t="s">
        <v>1085</v>
      </c>
    </row>
    <row r="104" spans="43:43" ht="15" customHeight="1">
      <c r="AQ104" s="196" t="s">
        <v>1086</v>
      </c>
    </row>
    <row r="105" spans="43:43" ht="15" customHeight="1">
      <c r="AQ105" s="196" t="s">
        <v>1087</v>
      </c>
    </row>
    <row r="106" spans="43:43" ht="15" customHeight="1">
      <c r="AQ106" s="196" t="s">
        <v>1088</v>
      </c>
    </row>
    <row r="107" spans="43:43" ht="15" customHeight="1">
      <c r="AQ107" s="196" t="s">
        <v>1089</v>
      </c>
    </row>
    <row r="108" spans="43:43" ht="15" customHeight="1">
      <c r="AQ108" s="196" t="s">
        <v>1090</v>
      </c>
    </row>
    <row r="109" spans="43:43" ht="15" customHeight="1">
      <c r="AQ109" s="196" t="s">
        <v>1091</v>
      </c>
    </row>
    <row r="110" spans="43:43" ht="15" customHeight="1">
      <c r="AQ110" s="196" t="s">
        <v>1092</v>
      </c>
    </row>
    <row r="111" spans="43:43" ht="15" customHeight="1">
      <c r="AQ111" s="196" t="s">
        <v>1093</v>
      </c>
    </row>
    <row r="112" spans="43:43" ht="15" customHeight="1">
      <c r="AQ112" s="196" t="s">
        <v>1094</v>
      </c>
    </row>
    <row r="113" spans="43:43" ht="15" customHeight="1">
      <c r="AQ113" s="196" t="s">
        <v>1095</v>
      </c>
    </row>
    <row r="114" spans="43:43" ht="15" customHeight="1">
      <c r="AQ114" s="196" t="s">
        <v>1096</v>
      </c>
    </row>
    <row r="115" spans="43:43" ht="15" customHeight="1">
      <c r="AQ115" s="217" t="s">
        <v>1097</v>
      </c>
    </row>
    <row r="116" spans="43:43" ht="15" customHeight="1">
      <c r="AQ116" s="217" t="s">
        <v>1098</v>
      </c>
    </row>
    <row r="117" spans="43:43" ht="15" customHeight="1">
      <c r="AQ117" s="217" t="s">
        <v>1099</v>
      </c>
    </row>
    <row r="118" spans="43:43" ht="15" customHeight="1">
      <c r="AQ118" s="217" t="s">
        <v>1100</v>
      </c>
    </row>
    <row r="119" spans="43:43" ht="15" customHeight="1">
      <c r="AQ119" s="217" t="s">
        <v>1101</v>
      </c>
    </row>
    <row r="120" spans="43:43" ht="15" customHeight="1">
      <c r="AQ120" s="217" t="s">
        <v>1102</v>
      </c>
    </row>
    <row r="121" spans="43:43" ht="15" customHeight="1">
      <c r="AQ121" s="196" t="s">
        <v>1103</v>
      </c>
    </row>
    <row r="122" spans="43:43" ht="15" customHeight="1">
      <c r="AQ122" s="196" t="s">
        <v>1104</v>
      </c>
    </row>
    <row r="123" spans="43:43" ht="15" customHeight="1">
      <c r="AQ123" s="198">
        <v>3730</v>
      </c>
    </row>
    <row r="124" spans="43:43" ht="15" customHeight="1">
      <c r="AQ124" s="196" t="s">
        <v>1105</v>
      </c>
    </row>
    <row r="125" spans="43:43" ht="15" customHeight="1">
      <c r="AQ125" s="196" t="s">
        <v>1106</v>
      </c>
    </row>
  </sheetData>
  <mergeCells count="11">
    <mergeCell ref="BZ12:BZ14"/>
    <mergeCell ref="CA12:CA14"/>
    <mergeCell ref="BZ15:BZ17"/>
    <mergeCell ref="CA15:CA17"/>
    <mergeCell ref="BZ18:BZ20"/>
    <mergeCell ref="CA18:CA20"/>
    <mergeCell ref="B1:B2"/>
    <mergeCell ref="BZ6:BZ8"/>
    <mergeCell ref="CA6:CA8"/>
    <mergeCell ref="BZ9:BZ11"/>
    <mergeCell ref="CA9:CA11"/>
  </mergeCells>
  <phoneticPr fontId="107" type="noConversion"/>
  <dataValidations count="2">
    <dataValidation type="custom" allowBlank="1" showInputMessage="1" showErrorMessage="1" sqref="F3" xr:uid="{00000000-0002-0000-0000-000000000000}">
      <formula1>COUNTIF(F:F,F2)=1</formula1>
    </dataValidation>
    <dataValidation type="custom" allowBlank="1" showInputMessage="1" showErrorMessage="1" sqref="F4" xr:uid="{00000000-0002-0000-0000-000001000000}">
      <formula1>COUNTIF(F:F,F4)=1</formula1>
    </dataValidation>
  </dataValidations>
  <hyperlinks>
    <hyperlink ref="B5" location="Data!E2" display="工艺条件" xr:uid="{00000000-0004-0000-0000-000000000000}"/>
    <hyperlink ref="B6" location="Data!E2" display="介质状态" xr:uid="{00000000-0004-0000-0000-000001000000}"/>
    <hyperlink ref="B21" location="Data!P2" display="阀盖" xr:uid="{00000000-0004-0000-0000-000002000000}"/>
    <hyperlink ref="B28" location="Data!U2" display="阀内件" xr:uid="{00000000-0004-0000-0000-000003000000}"/>
    <hyperlink ref="B37" location="Data!AB2" display="执行机构" xr:uid="{00000000-0004-0000-0000-000004000000}"/>
    <hyperlink ref="B47" location="Data!AJ2" display="附件" xr:uid="{00000000-0004-0000-0000-000005000000}"/>
    <hyperlink ref="B66" location="Data!BD2" display="阀门名称" xr:uid="{00000000-0004-0000-0000-000006000000}"/>
    <hyperlink ref="B64" location="Data!AZ2" display="客户名称" xr:uid="{00000000-0004-0000-0000-000007000000}"/>
    <hyperlink ref="B3" location="Data!D2" display="阀门口径" xr:uid="{00000000-0004-0000-0000-000008000000}"/>
    <hyperlink ref="B7" location="Data!F2" display="流量单位" xr:uid="{00000000-0004-0000-0000-000009000000}"/>
    <hyperlink ref="B8" location="Data!G2" display="压力单位" xr:uid="{00000000-0004-0000-0000-00000A000000}"/>
    <hyperlink ref="B9" location="Data!H2" display="温度单位" xr:uid="{00000000-0004-0000-0000-00000B000000}"/>
    <hyperlink ref="B10" location="Data!I2" display="密度单位" xr:uid="{00000000-0004-0000-0000-00000C000000}"/>
    <hyperlink ref="B11" location="Data!J2" display="粘度单位" xr:uid="{00000000-0004-0000-0000-00000D000000}"/>
    <hyperlink ref="B22" location="Data!P2" display="阀盖类型" xr:uid="{00000000-0004-0000-0000-00000E000000}"/>
  </hyperlinks>
  <pageMargins left="0.75" right="0.75" top="1" bottom="1" header="0.5" footer="0.5"/>
  <pageSetup paperSize="9" orientation="portrait" r:id="rId1"/>
  <headerFooter alignWithMargins="0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FH99"/>
  <sheetViews>
    <sheetView workbookViewId="0">
      <selection activeCell="H18" sqref="H18"/>
    </sheetView>
  </sheetViews>
  <sheetFormatPr defaultRowHeight="14.25"/>
  <cols>
    <col min="1" max="1" width="7.75" style="249" customWidth="1"/>
    <col min="2" max="2" width="11" style="249" customWidth="1"/>
    <col min="3" max="3" width="16.875" style="249" bestFit="1" customWidth="1"/>
    <col min="4" max="4" width="25.75" style="249" bestFit="1" customWidth="1"/>
    <col min="5" max="5" width="12.625" style="249" bestFit="1" customWidth="1"/>
    <col min="6" max="6" width="5.5" style="249" customWidth="1"/>
    <col min="7" max="7" width="9.5" style="249" bestFit="1" customWidth="1"/>
    <col min="8" max="9" width="12.75" style="249" bestFit="1" customWidth="1"/>
    <col min="10" max="16" width="9" style="249" bestFit="1" customWidth="1"/>
    <col min="17" max="17" width="5.875" style="249" bestFit="1" customWidth="1"/>
    <col min="18" max="22" width="7.25" style="249" bestFit="1" customWidth="1"/>
    <col min="23" max="34" width="9.5" style="249" bestFit="1" customWidth="1"/>
    <col min="35" max="35" width="6.375" style="249" bestFit="1" customWidth="1"/>
    <col min="36" max="40" width="7.25" style="249" customWidth="1"/>
    <col min="41" max="46" width="11.625" style="249" bestFit="1" customWidth="1"/>
    <col min="47" max="47" width="5.5" style="249" bestFit="1" customWidth="1"/>
    <col min="48" max="52" width="7.25" style="249" bestFit="1" customWidth="1"/>
    <col min="53" max="58" width="9.5" style="249" bestFit="1" customWidth="1"/>
    <col min="59" max="59" width="9.5" style="249" customWidth="1"/>
    <col min="60" max="60" width="9.5" style="249" bestFit="1" customWidth="1"/>
    <col min="61" max="64" width="9.5" style="250" customWidth="1"/>
    <col min="65" max="65" width="7.625" style="250" bestFit="1" customWidth="1"/>
    <col min="66" max="69" width="7.625" style="250" customWidth="1"/>
    <col min="70" max="70" width="10.5" style="250" bestFit="1" customWidth="1"/>
    <col min="71" max="74" width="10.5" style="249" customWidth="1"/>
    <col min="75" max="75" width="13.375" style="249" bestFit="1" customWidth="1"/>
    <col min="76" max="77" width="10" style="250" bestFit="1" customWidth="1"/>
    <col min="78" max="78" width="5.875" style="250" bestFit="1" customWidth="1"/>
    <col min="79" max="79" width="9.5" style="249" bestFit="1" customWidth="1"/>
    <col min="80" max="83" width="9.5" style="249" customWidth="1"/>
    <col min="84" max="84" width="13.875" style="249" bestFit="1" customWidth="1"/>
    <col min="85" max="88" width="13.875" style="249" customWidth="1"/>
    <col min="89" max="89" width="9.5" style="249" bestFit="1" customWidth="1"/>
    <col min="90" max="93" width="9.5" style="249" customWidth="1"/>
    <col min="94" max="94" width="9.5" style="249" bestFit="1" customWidth="1"/>
    <col min="95" max="98" width="9.5" style="249" customWidth="1"/>
    <col min="99" max="99" width="13.875" style="249" bestFit="1" customWidth="1"/>
    <col min="100" max="104" width="13.875" style="249" customWidth="1"/>
    <col min="105" max="105" width="18.375" style="249" bestFit="1" customWidth="1"/>
    <col min="106" max="110" width="18.375" style="249" customWidth="1"/>
    <col min="111" max="111" width="16.125" style="249" bestFit="1" customWidth="1"/>
    <col min="112" max="116" width="16.125" style="249" customWidth="1"/>
    <col min="117" max="117" width="11.625" style="249" bestFit="1" customWidth="1"/>
    <col min="118" max="121" width="11.625" style="249" customWidth="1"/>
    <col min="122" max="122" width="18.875" style="249" bestFit="1" customWidth="1"/>
    <col min="123" max="127" width="18.875" style="249" customWidth="1"/>
    <col min="128" max="128" width="13.875" style="249" bestFit="1" customWidth="1"/>
    <col min="129" max="133" width="13.875" style="249" customWidth="1"/>
    <col min="134" max="134" width="13.875" style="249" bestFit="1" customWidth="1"/>
    <col min="135" max="138" width="9" style="249"/>
    <col min="139" max="139" width="55.25" style="249" customWidth="1"/>
    <col min="140" max="16384" width="9" style="249"/>
  </cols>
  <sheetData>
    <row r="1" spans="1:164">
      <c r="C1" s="249">
        <v>1</v>
      </c>
      <c r="D1" s="249">
        <v>2</v>
      </c>
      <c r="E1" s="249">
        <v>3</v>
      </c>
      <c r="F1" s="249">
        <v>4</v>
      </c>
      <c r="G1" s="249">
        <v>5</v>
      </c>
      <c r="H1" s="249">
        <v>6</v>
      </c>
      <c r="I1" s="249">
        <v>7</v>
      </c>
      <c r="J1" s="249">
        <v>8</v>
      </c>
      <c r="K1" s="249">
        <v>9</v>
      </c>
      <c r="L1" s="249">
        <v>10</v>
      </c>
      <c r="M1" s="249">
        <v>11</v>
      </c>
      <c r="N1" s="249">
        <v>12</v>
      </c>
      <c r="O1" s="249">
        <v>13</v>
      </c>
      <c r="P1" s="249">
        <v>14</v>
      </c>
      <c r="Q1" s="249">
        <v>15</v>
      </c>
      <c r="R1" s="249">
        <v>16</v>
      </c>
      <c r="S1" s="249">
        <v>17</v>
      </c>
      <c r="T1" s="249">
        <v>18</v>
      </c>
      <c r="U1" s="249">
        <v>19</v>
      </c>
      <c r="V1" s="249">
        <v>20</v>
      </c>
      <c r="W1" s="249">
        <v>21</v>
      </c>
      <c r="X1" s="249">
        <v>22</v>
      </c>
      <c r="Y1" s="249">
        <v>23</v>
      </c>
      <c r="Z1" s="249">
        <v>24</v>
      </c>
      <c r="AA1" s="249">
        <v>25</v>
      </c>
      <c r="AB1" s="249">
        <v>26</v>
      </c>
      <c r="AC1" s="249">
        <v>27</v>
      </c>
      <c r="AD1" s="249">
        <v>28</v>
      </c>
      <c r="AE1" s="249">
        <v>29</v>
      </c>
      <c r="AF1" s="249">
        <v>30</v>
      </c>
      <c r="AG1" s="249">
        <v>31</v>
      </c>
      <c r="AH1" s="249">
        <v>32</v>
      </c>
      <c r="AI1" s="249">
        <v>33</v>
      </c>
      <c r="AJ1" s="249">
        <v>34</v>
      </c>
      <c r="AK1" s="249">
        <v>35</v>
      </c>
      <c r="AL1" s="249">
        <v>36</v>
      </c>
      <c r="AM1" s="249">
        <v>37</v>
      </c>
      <c r="AN1" s="249">
        <v>38</v>
      </c>
      <c r="AO1" s="249">
        <v>39</v>
      </c>
      <c r="AP1" s="249">
        <v>40</v>
      </c>
      <c r="AQ1" s="249">
        <v>41</v>
      </c>
      <c r="AR1" s="249">
        <v>42</v>
      </c>
      <c r="AS1" s="249">
        <v>43</v>
      </c>
      <c r="AT1" s="249">
        <v>44</v>
      </c>
      <c r="AU1" s="249">
        <v>45</v>
      </c>
      <c r="AV1" s="249">
        <v>46</v>
      </c>
      <c r="AW1" s="249">
        <v>47</v>
      </c>
      <c r="AX1" s="249">
        <v>48</v>
      </c>
      <c r="AY1" s="249">
        <v>49</v>
      </c>
      <c r="AZ1" s="249">
        <v>50</v>
      </c>
      <c r="BA1" s="249">
        <v>51</v>
      </c>
      <c r="BB1" s="249">
        <v>52</v>
      </c>
      <c r="BC1" s="249">
        <v>53</v>
      </c>
      <c r="BD1" s="249">
        <v>54</v>
      </c>
      <c r="BE1" s="249">
        <v>55</v>
      </c>
      <c r="BF1" s="249">
        <v>56</v>
      </c>
      <c r="BG1" s="249">
        <v>57</v>
      </c>
      <c r="BH1" s="249">
        <v>58</v>
      </c>
      <c r="BI1" s="250">
        <v>59</v>
      </c>
      <c r="BJ1" s="250">
        <v>60</v>
      </c>
      <c r="BK1" s="250">
        <v>61</v>
      </c>
      <c r="BL1" s="250">
        <v>62</v>
      </c>
      <c r="BM1" s="250">
        <v>63</v>
      </c>
      <c r="BN1" s="250">
        <v>64</v>
      </c>
      <c r="BO1" s="250">
        <v>65</v>
      </c>
      <c r="BP1" s="250">
        <v>66</v>
      </c>
      <c r="BQ1" s="250">
        <v>67</v>
      </c>
      <c r="BR1" s="250">
        <v>68</v>
      </c>
      <c r="BS1" s="249">
        <v>69</v>
      </c>
      <c r="BT1" s="249">
        <v>70</v>
      </c>
      <c r="BU1" s="249">
        <v>71</v>
      </c>
      <c r="BV1" s="249">
        <v>72</v>
      </c>
      <c r="BW1" s="249">
        <v>73</v>
      </c>
      <c r="BX1" s="250">
        <v>74</v>
      </c>
      <c r="BY1" s="250">
        <v>75</v>
      </c>
      <c r="BZ1" s="250">
        <v>76</v>
      </c>
      <c r="CA1" s="249">
        <v>77</v>
      </c>
      <c r="CB1" s="249">
        <v>78</v>
      </c>
      <c r="CC1" s="249">
        <v>79</v>
      </c>
      <c r="CD1" s="249">
        <v>80</v>
      </c>
      <c r="CE1" s="249">
        <v>81</v>
      </c>
      <c r="CF1" s="249">
        <v>82</v>
      </c>
      <c r="CG1" s="249">
        <v>83</v>
      </c>
      <c r="CH1" s="249">
        <v>84</v>
      </c>
      <c r="CI1" s="249">
        <v>85</v>
      </c>
      <c r="CJ1" s="249">
        <v>86</v>
      </c>
      <c r="CK1" s="249">
        <v>87</v>
      </c>
      <c r="CL1" s="249">
        <v>88</v>
      </c>
      <c r="CM1" s="249">
        <v>89</v>
      </c>
      <c r="CN1" s="249">
        <v>90</v>
      </c>
      <c r="CO1" s="249">
        <v>91</v>
      </c>
      <c r="CP1" s="249">
        <v>92</v>
      </c>
      <c r="CQ1" s="249">
        <v>93</v>
      </c>
      <c r="CR1" s="249">
        <v>94</v>
      </c>
      <c r="CS1" s="249">
        <v>95</v>
      </c>
      <c r="CT1" s="249">
        <v>96</v>
      </c>
      <c r="CU1" s="249">
        <v>97</v>
      </c>
      <c r="CV1" s="249">
        <v>98</v>
      </c>
      <c r="CW1" s="249">
        <v>99</v>
      </c>
      <c r="CX1" s="249">
        <v>100</v>
      </c>
      <c r="CY1" s="249">
        <v>101</v>
      </c>
      <c r="CZ1" s="249">
        <v>102</v>
      </c>
      <c r="DA1" s="249">
        <v>103</v>
      </c>
      <c r="DB1" s="249">
        <v>104</v>
      </c>
      <c r="DC1" s="249">
        <v>105</v>
      </c>
      <c r="DD1" s="249">
        <v>106</v>
      </c>
      <c r="DE1" s="249">
        <v>107</v>
      </c>
      <c r="DF1" s="249">
        <v>108</v>
      </c>
      <c r="DG1" s="249">
        <v>109</v>
      </c>
      <c r="DH1" s="249">
        <v>110</v>
      </c>
      <c r="DI1" s="249">
        <v>111</v>
      </c>
      <c r="DJ1" s="249">
        <v>112</v>
      </c>
      <c r="DK1" s="249">
        <v>113</v>
      </c>
      <c r="DL1" s="249">
        <v>114</v>
      </c>
      <c r="DM1" s="249">
        <v>115</v>
      </c>
      <c r="DN1" s="249">
        <v>116</v>
      </c>
      <c r="DO1" s="249">
        <v>117</v>
      </c>
      <c r="DP1" s="249">
        <v>118</v>
      </c>
      <c r="DQ1" s="249">
        <v>119</v>
      </c>
      <c r="DR1" s="249">
        <v>120</v>
      </c>
      <c r="DS1" s="249">
        <v>121</v>
      </c>
      <c r="DT1" s="249">
        <v>122</v>
      </c>
      <c r="DU1" s="249">
        <v>123</v>
      </c>
      <c r="DV1" s="249">
        <v>124</v>
      </c>
      <c r="DW1" s="249">
        <v>125</v>
      </c>
      <c r="DX1" s="249">
        <v>126</v>
      </c>
      <c r="DY1" s="249">
        <v>127</v>
      </c>
      <c r="DZ1" s="249">
        <v>128</v>
      </c>
      <c r="EA1" s="249">
        <v>129</v>
      </c>
      <c r="EB1" s="249">
        <v>130</v>
      </c>
      <c r="EC1" s="249">
        <v>131</v>
      </c>
      <c r="ED1" s="249">
        <v>132</v>
      </c>
      <c r="EE1" s="249">
        <v>133</v>
      </c>
      <c r="EF1" s="249">
        <v>134</v>
      </c>
      <c r="EG1" s="249">
        <v>135</v>
      </c>
      <c r="EH1" s="249">
        <v>136</v>
      </c>
      <c r="EI1" s="249">
        <v>137</v>
      </c>
      <c r="EJ1" s="249">
        <v>138</v>
      </c>
      <c r="EK1" s="249">
        <v>139</v>
      </c>
      <c r="EL1" s="249">
        <v>140</v>
      </c>
      <c r="EM1" s="249">
        <v>141</v>
      </c>
      <c r="EN1" s="249">
        <v>142</v>
      </c>
      <c r="EO1" s="249">
        <v>143</v>
      </c>
      <c r="EP1" s="249">
        <v>144</v>
      </c>
      <c r="EQ1" s="249">
        <v>145</v>
      </c>
      <c r="ER1" s="249">
        <v>146</v>
      </c>
      <c r="ES1" s="249">
        <v>147</v>
      </c>
      <c r="ET1" s="249">
        <v>148</v>
      </c>
      <c r="EU1" s="249">
        <v>149</v>
      </c>
      <c r="EV1" s="249">
        <v>150</v>
      </c>
      <c r="EW1" s="249">
        <v>151</v>
      </c>
      <c r="EX1" s="249">
        <v>152</v>
      </c>
      <c r="EY1" s="249">
        <v>153</v>
      </c>
      <c r="EZ1" s="249">
        <v>154</v>
      </c>
      <c r="FA1" s="249">
        <v>155</v>
      </c>
      <c r="FB1" s="249">
        <v>156</v>
      </c>
      <c r="FC1" s="249">
        <v>157</v>
      </c>
      <c r="FD1" s="249">
        <v>158</v>
      </c>
      <c r="FE1" s="249">
        <v>159</v>
      </c>
      <c r="FF1" s="249">
        <v>160</v>
      </c>
      <c r="FG1" s="249">
        <v>161</v>
      </c>
      <c r="FH1" s="249">
        <v>162</v>
      </c>
    </row>
    <row r="2" spans="1:164">
      <c r="D2" s="249" t="s">
        <v>1284</v>
      </c>
      <c r="H2" s="249" t="s">
        <v>1821</v>
      </c>
      <c r="I2" s="249" t="s">
        <v>1151</v>
      </c>
      <c r="J2" s="249" t="s">
        <v>1161</v>
      </c>
      <c r="L2" s="249" t="s">
        <v>1120</v>
      </c>
    </row>
    <row r="3" spans="1:164" ht="15.75">
      <c r="A3" s="249">
        <v>16384</v>
      </c>
      <c r="AC3" s="250" t="s">
        <v>1689</v>
      </c>
      <c r="AD3" s="250" t="s">
        <v>1689</v>
      </c>
      <c r="AE3" s="250" t="s">
        <v>1689</v>
      </c>
      <c r="AF3" s="250" t="s">
        <v>1689</v>
      </c>
      <c r="AG3" s="250" t="s">
        <v>1689</v>
      </c>
      <c r="AH3" s="250" t="s">
        <v>1689</v>
      </c>
      <c r="CA3" s="251"/>
      <c r="CB3" s="251"/>
      <c r="CC3" s="251"/>
      <c r="CD3" s="251"/>
      <c r="CE3" s="251"/>
      <c r="CF3" s="251"/>
      <c r="CG3" s="251"/>
      <c r="CH3" s="251"/>
      <c r="CI3" s="251"/>
      <c r="CJ3" s="251"/>
      <c r="CK3" s="251"/>
      <c r="CL3" s="251"/>
      <c r="CM3" s="251"/>
      <c r="CN3" s="251"/>
      <c r="CO3" s="251"/>
      <c r="CP3" s="251"/>
      <c r="CQ3" s="251"/>
      <c r="CR3" s="251"/>
      <c r="CS3" s="251"/>
      <c r="CT3" s="251"/>
      <c r="CU3" s="251"/>
      <c r="CV3" s="251"/>
      <c r="CW3" s="251"/>
      <c r="CX3" s="251"/>
      <c r="CY3" s="251"/>
      <c r="CZ3" s="251"/>
      <c r="DA3" s="251"/>
      <c r="DB3" s="251"/>
      <c r="DC3" s="251"/>
      <c r="DD3" s="251"/>
      <c r="DE3" s="251"/>
      <c r="DF3" s="251"/>
      <c r="DG3" s="251"/>
      <c r="DH3" s="251"/>
      <c r="DI3" s="251"/>
      <c r="DJ3" s="251"/>
      <c r="DK3" s="251"/>
      <c r="DL3" s="251"/>
      <c r="DM3" s="251"/>
      <c r="DN3" s="251"/>
      <c r="DO3" s="251"/>
      <c r="DP3" s="251"/>
      <c r="DQ3" s="251"/>
      <c r="DR3" s="251"/>
      <c r="DS3" s="251"/>
      <c r="DT3" s="251"/>
      <c r="DU3" s="251"/>
      <c r="DV3" s="251"/>
      <c r="DW3" s="251" t="s">
        <v>1833</v>
      </c>
      <c r="DX3" s="251" t="s">
        <v>1833</v>
      </c>
      <c r="DY3" s="251" t="s">
        <v>1833</v>
      </c>
      <c r="DZ3" s="251" t="s">
        <v>1833</v>
      </c>
      <c r="EA3" s="251" t="s">
        <v>1833</v>
      </c>
      <c r="EB3" s="251" t="s">
        <v>1833</v>
      </c>
      <c r="EC3" s="251"/>
      <c r="ED3" s="251"/>
      <c r="EE3" s="251"/>
      <c r="EF3" s="251"/>
      <c r="EG3" s="251"/>
      <c r="EH3" s="251"/>
    </row>
    <row r="4" spans="1:164" ht="15.75">
      <c r="AC4" s="252" t="s">
        <v>1835</v>
      </c>
      <c r="AD4" s="252" t="s">
        <v>1835</v>
      </c>
      <c r="AE4" s="252" t="s">
        <v>1835</v>
      </c>
      <c r="AF4" s="252" t="s">
        <v>1835</v>
      </c>
      <c r="AG4" s="252" t="s">
        <v>1835</v>
      </c>
      <c r="AH4" s="252" t="s">
        <v>1835</v>
      </c>
      <c r="CA4" s="253" t="s">
        <v>1808</v>
      </c>
      <c r="CB4" s="253" t="s">
        <v>1808</v>
      </c>
      <c r="CC4" s="253" t="s">
        <v>1808</v>
      </c>
      <c r="CD4" s="253" t="s">
        <v>1808</v>
      </c>
      <c r="CE4" s="253" t="s">
        <v>1808</v>
      </c>
      <c r="CF4" s="253" t="s">
        <v>1809</v>
      </c>
      <c r="CG4" s="253" t="s">
        <v>1809</v>
      </c>
      <c r="CH4" s="253" t="s">
        <v>1809</v>
      </c>
      <c r="CI4" s="253" t="s">
        <v>1809</v>
      </c>
      <c r="CJ4" s="253" t="s">
        <v>1809</v>
      </c>
      <c r="CK4" s="253" t="s">
        <v>1810</v>
      </c>
      <c r="CL4" s="253" t="s">
        <v>1810</v>
      </c>
      <c r="CM4" s="253" t="s">
        <v>1810</v>
      </c>
      <c r="CN4" s="253" t="s">
        <v>1810</v>
      </c>
      <c r="CO4" s="253" t="s">
        <v>1810</v>
      </c>
      <c r="CP4" s="253" t="s">
        <v>1811</v>
      </c>
      <c r="CQ4" s="253" t="s">
        <v>1811</v>
      </c>
      <c r="CR4" s="253" t="s">
        <v>1811</v>
      </c>
      <c r="CS4" s="253" t="s">
        <v>1811</v>
      </c>
      <c r="CT4" s="253" t="s">
        <v>1811</v>
      </c>
      <c r="CU4" s="253" t="s">
        <v>1812</v>
      </c>
      <c r="CV4" s="253" t="s">
        <v>1812</v>
      </c>
      <c r="CW4" s="253" t="s">
        <v>1812</v>
      </c>
      <c r="CX4" s="253" t="s">
        <v>1812</v>
      </c>
      <c r="CY4" s="253" t="s">
        <v>1812</v>
      </c>
      <c r="CZ4" s="253" t="s">
        <v>1813</v>
      </c>
      <c r="DA4" s="253" t="s">
        <v>1813</v>
      </c>
      <c r="DB4" s="253" t="s">
        <v>1813</v>
      </c>
      <c r="DC4" s="253" t="s">
        <v>1813</v>
      </c>
      <c r="DD4" s="253" t="s">
        <v>1813</v>
      </c>
      <c r="DE4" s="253" t="s">
        <v>1813</v>
      </c>
      <c r="DF4" s="253" t="s">
        <v>1814</v>
      </c>
      <c r="DG4" s="253" t="s">
        <v>1814</v>
      </c>
      <c r="DH4" s="253" t="s">
        <v>1814</v>
      </c>
      <c r="DI4" s="253" t="s">
        <v>1814</v>
      </c>
      <c r="DJ4" s="253" t="s">
        <v>1814</v>
      </c>
      <c r="DK4" s="253" t="s">
        <v>1814</v>
      </c>
      <c r="DL4" s="253" t="s">
        <v>1815</v>
      </c>
      <c r="DM4" s="253" t="s">
        <v>1815</v>
      </c>
      <c r="DN4" s="253" t="s">
        <v>1815</v>
      </c>
      <c r="DO4" s="253" t="s">
        <v>1815</v>
      </c>
      <c r="DP4" s="253" t="s">
        <v>1815</v>
      </c>
      <c r="DQ4" s="253" t="s">
        <v>1815</v>
      </c>
      <c r="DR4" s="253" t="s">
        <v>1816</v>
      </c>
      <c r="DS4" s="253" t="s">
        <v>1816</v>
      </c>
      <c r="DT4" s="253" t="s">
        <v>1816</v>
      </c>
      <c r="DU4" s="253" t="s">
        <v>1816</v>
      </c>
      <c r="DV4" s="253" t="s">
        <v>1816</v>
      </c>
      <c r="DW4" s="253" t="s">
        <v>1817</v>
      </c>
      <c r="DX4" s="253" t="s">
        <v>1817</v>
      </c>
      <c r="DY4" s="253" t="s">
        <v>1817</v>
      </c>
      <c r="DZ4" s="253" t="s">
        <v>1817</v>
      </c>
      <c r="EA4" s="253" t="s">
        <v>1817</v>
      </c>
      <c r="EB4" s="253" t="s">
        <v>1817</v>
      </c>
      <c r="EC4" s="253" t="s">
        <v>1818</v>
      </c>
      <c r="ED4" s="253" t="s">
        <v>1818</v>
      </c>
      <c r="EE4" s="253" t="s">
        <v>1818</v>
      </c>
      <c r="EF4" s="253" t="s">
        <v>1818</v>
      </c>
      <c r="EG4" s="253" t="s">
        <v>1818</v>
      </c>
      <c r="EH4" s="253" t="s">
        <v>1818</v>
      </c>
      <c r="EI4" s="249" t="s">
        <v>1867</v>
      </c>
      <c r="EJ4" s="249" t="s">
        <v>1844</v>
      </c>
      <c r="EK4" s="249" t="s">
        <v>1844</v>
      </c>
      <c r="EL4" s="249" t="s">
        <v>1844</v>
      </c>
      <c r="EM4" s="249" t="s">
        <v>1844</v>
      </c>
      <c r="EN4" s="249" t="s">
        <v>1844</v>
      </c>
      <c r="EO4" s="249" t="s">
        <v>1860</v>
      </c>
      <c r="EP4" s="249" t="s">
        <v>1860</v>
      </c>
      <c r="EQ4" s="249" t="s">
        <v>1860</v>
      </c>
      <c r="ER4" s="249" t="s">
        <v>1860</v>
      </c>
      <c r="ES4" s="249" t="s">
        <v>1860</v>
      </c>
      <c r="ET4" s="249" t="s">
        <v>1861</v>
      </c>
      <c r="EU4" s="249" t="s">
        <v>1861</v>
      </c>
      <c r="EV4" s="249" t="s">
        <v>1861</v>
      </c>
      <c r="EW4" s="249" t="s">
        <v>1861</v>
      </c>
      <c r="EX4" s="249" t="s">
        <v>1861</v>
      </c>
      <c r="EY4" s="249" t="s">
        <v>1862</v>
      </c>
      <c r="EZ4" s="249" t="s">
        <v>1862</v>
      </c>
      <c r="FA4" s="249" t="s">
        <v>1862</v>
      </c>
      <c r="FB4" s="249" t="s">
        <v>1862</v>
      </c>
      <c r="FC4" s="249" t="s">
        <v>1862</v>
      </c>
      <c r="FD4" s="249" t="s">
        <v>1863</v>
      </c>
      <c r="FE4" s="249" t="s">
        <v>1863</v>
      </c>
      <c r="FF4" s="249" t="s">
        <v>1863</v>
      </c>
      <c r="FG4" s="249" t="s">
        <v>1863</v>
      </c>
      <c r="FH4" s="249" t="s">
        <v>1863</v>
      </c>
    </row>
    <row r="5" spans="1:164" ht="15.75">
      <c r="D5" s="253" t="s">
        <v>1284</v>
      </c>
      <c r="E5" s="253" t="s">
        <v>1171</v>
      </c>
      <c r="F5" s="253" t="s">
        <v>1819</v>
      </c>
      <c r="G5" s="253" t="s">
        <v>1820</v>
      </c>
      <c r="H5" s="249" t="s">
        <v>1821</v>
      </c>
      <c r="I5" s="249" t="s">
        <v>1151</v>
      </c>
      <c r="J5" s="249" t="s">
        <v>1161</v>
      </c>
      <c r="K5" s="249" t="s">
        <v>1161</v>
      </c>
      <c r="L5" s="249" t="s">
        <v>1152</v>
      </c>
      <c r="M5" s="249" t="s">
        <v>1152</v>
      </c>
      <c r="N5" s="249" t="s">
        <v>1152</v>
      </c>
      <c r="O5" s="249" t="s">
        <v>1152</v>
      </c>
      <c r="P5" s="249" t="s">
        <v>1152</v>
      </c>
      <c r="Q5" s="253" t="s">
        <v>1836</v>
      </c>
      <c r="R5" s="253" t="s">
        <v>1836</v>
      </c>
      <c r="S5" s="253" t="s">
        <v>1836</v>
      </c>
      <c r="T5" s="253" t="s">
        <v>1836</v>
      </c>
      <c r="U5" s="253" t="s">
        <v>1836</v>
      </c>
      <c r="V5" s="253" t="s">
        <v>1836</v>
      </c>
      <c r="W5" s="253" t="s">
        <v>1822</v>
      </c>
      <c r="X5" s="253" t="s">
        <v>1822</v>
      </c>
      <c r="Y5" s="253" t="s">
        <v>1822</v>
      </c>
      <c r="Z5" s="253" t="s">
        <v>1822</v>
      </c>
      <c r="AA5" s="253" t="s">
        <v>1822</v>
      </c>
      <c r="AB5" s="253" t="s">
        <v>1822</v>
      </c>
      <c r="AC5" s="250" t="s">
        <v>1689</v>
      </c>
      <c r="AD5" s="250" t="s">
        <v>1689</v>
      </c>
      <c r="AE5" s="250" t="s">
        <v>1689</v>
      </c>
      <c r="AF5" s="250" t="s">
        <v>1689</v>
      </c>
      <c r="AG5" s="250" t="s">
        <v>1689</v>
      </c>
      <c r="AH5" s="250" t="s">
        <v>1689</v>
      </c>
      <c r="AI5" s="253" t="s">
        <v>1156</v>
      </c>
      <c r="AJ5" s="253" t="s">
        <v>1156</v>
      </c>
      <c r="AK5" s="253" t="s">
        <v>1156</v>
      </c>
      <c r="AL5" s="253" t="s">
        <v>1156</v>
      </c>
      <c r="AM5" s="253" t="s">
        <v>1156</v>
      </c>
      <c r="AN5" s="253" t="s">
        <v>1156</v>
      </c>
      <c r="AO5" s="253" t="s">
        <v>1160</v>
      </c>
      <c r="AP5" s="253" t="s">
        <v>1160</v>
      </c>
      <c r="AQ5" s="253" t="s">
        <v>1160</v>
      </c>
      <c r="AR5" s="253" t="s">
        <v>1160</v>
      </c>
      <c r="AS5" s="253" t="s">
        <v>1160</v>
      </c>
      <c r="AT5" s="253" t="s">
        <v>1160</v>
      </c>
      <c r="AU5" s="253" t="s">
        <v>1837</v>
      </c>
      <c r="AV5" s="253" t="s">
        <v>1837</v>
      </c>
      <c r="AW5" s="253" t="s">
        <v>1837</v>
      </c>
      <c r="AX5" s="253" t="s">
        <v>1837</v>
      </c>
      <c r="AY5" s="253" t="s">
        <v>1837</v>
      </c>
      <c r="AZ5" s="253" t="s">
        <v>1837</v>
      </c>
      <c r="BA5" s="253" t="s">
        <v>1823</v>
      </c>
      <c r="BB5" s="253" t="s">
        <v>1823</v>
      </c>
      <c r="BC5" s="253" t="s">
        <v>1823</v>
      </c>
      <c r="BD5" s="253" t="s">
        <v>1823</v>
      </c>
      <c r="BE5" s="253" t="s">
        <v>1823</v>
      </c>
      <c r="BF5" s="253" t="s">
        <v>1823</v>
      </c>
      <c r="BG5" s="253" t="s">
        <v>1824</v>
      </c>
      <c r="BH5" s="253" t="s">
        <v>1824</v>
      </c>
      <c r="BI5" s="252" t="s">
        <v>1864</v>
      </c>
      <c r="BJ5" s="252" t="s">
        <v>1864</v>
      </c>
      <c r="BK5" s="252" t="s">
        <v>1864</v>
      </c>
      <c r="BL5" s="252" t="s">
        <v>1864</v>
      </c>
      <c r="BM5" s="252" t="s">
        <v>1864</v>
      </c>
      <c r="BN5" s="252" t="s">
        <v>1825</v>
      </c>
      <c r="BO5" s="252" t="s">
        <v>1825</v>
      </c>
      <c r="BP5" s="252" t="s">
        <v>1825</v>
      </c>
      <c r="BQ5" s="252" t="s">
        <v>1825</v>
      </c>
      <c r="BR5" s="252" t="s">
        <v>1825</v>
      </c>
      <c r="BS5" s="253" t="s">
        <v>1826</v>
      </c>
      <c r="BT5" s="253" t="s">
        <v>1826</v>
      </c>
      <c r="BU5" s="253" t="s">
        <v>1826</v>
      </c>
      <c r="BV5" s="253" t="s">
        <v>1826</v>
      </c>
      <c r="BW5" s="253" t="s">
        <v>1826</v>
      </c>
      <c r="BX5" s="252" t="s">
        <v>1431</v>
      </c>
      <c r="BY5" s="252" t="s">
        <v>1680</v>
      </c>
      <c r="BZ5" s="252" t="s">
        <v>1868</v>
      </c>
      <c r="CA5" s="251" t="s">
        <v>1725</v>
      </c>
      <c r="CB5" s="251" t="s">
        <v>1725</v>
      </c>
      <c r="CC5" s="251" t="s">
        <v>1725</v>
      </c>
      <c r="CD5" s="251" t="s">
        <v>1725</v>
      </c>
      <c r="CE5" s="251" t="s">
        <v>1725</v>
      </c>
      <c r="CF5" s="251" t="s">
        <v>1729</v>
      </c>
      <c r="CG5" s="251" t="s">
        <v>1729</v>
      </c>
      <c r="CH5" s="251" t="s">
        <v>1729</v>
      </c>
      <c r="CI5" s="251" t="s">
        <v>1729</v>
      </c>
      <c r="CJ5" s="251" t="s">
        <v>1729</v>
      </c>
      <c r="CK5" s="251" t="s">
        <v>1827</v>
      </c>
      <c r="CL5" s="251" t="s">
        <v>1827</v>
      </c>
      <c r="CM5" s="251" t="s">
        <v>1827</v>
      </c>
      <c r="CN5" s="251" t="s">
        <v>1827</v>
      </c>
      <c r="CO5" s="251" t="s">
        <v>1827</v>
      </c>
      <c r="CP5" s="251" t="s">
        <v>1828</v>
      </c>
      <c r="CQ5" s="251" t="s">
        <v>1828</v>
      </c>
      <c r="CR5" s="251" t="s">
        <v>1828</v>
      </c>
      <c r="CS5" s="251" t="s">
        <v>1828</v>
      </c>
      <c r="CT5" s="251" t="s">
        <v>1828</v>
      </c>
      <c r="CU5" s="251" t="s">
        <v>1829</v>
      </c>
      <c r="CV5" s="251" t="s">
        <v>1829</v>
      </c>
      <c r="CW5" s="251" t="s">
        <v>1829</v>
      </c>
      <c r="CX5" s="251" t="s">
        <v>1829</v>
      </c>
      <c r="CY5" s="251" t="s">
        <v>1829</v>
      </c>
      <c r="CZ5" s="251" t="s">
        <v>1830</v>
      </c>
      <c r="DA5" s="251" t="s">
        <v>1830</v>
      </c>
      <c r="DB5" s="251" t="s">
        <v>1830</v>
      </c>
      <c r="DC5" s="251" t="s">
        <v>1830</v>
      </c>
      <c r="DD5" s="251" t="s">
        <v>1830</v>
      </c>
      <c r="DE5" s="251" t="s">
        <v>1830</v>
      </c>
      <c r="DF5" s="251" t="s">
        <v>1831</v>
      </c>
      <c r="DG5" s="251" t="s">
        <v>1831</v>
      </c>
      <c r="DH5" s="251" t="s">
        <v>1831</v>
      </c>
      <c r="DI5" s="251" t="s">
        <v>1831</v>
      </c>
      <c r="DJ5" s="251" t="s">
        <v>1831</v>
      </c>
      <c r="DK5" s="251" t="s">
        <v>1831</v>
      </c>
      <c r="DL5" s="251" t="s">
        <v>1832</v>
      </c>
      <c r="DM5" s="251" t="s">
        <v>1832</v>
      </c>
      <c r="DN5" s="251" t="s">
        <v>1832</v>
      </c>
      <c r="DO5" s="251" t="s">
        <v>1832</v>
      </c>
      <c r="DP5" s="251" t="s">
        <v>1832</v>
      </c>
      <c r="DQ5" s="251" t="s">
        <v>1832</v>
      </c>
      <c r="DR5" s="251" t="s">
        <v>79</v>
      </c>
      <c r="DS5" s="251" t="s">
        <v>79</v>
      </c>
      <c r="DT5" s="251" t="s">
        <v>79</v>
      </c>
      <c r="DU5" s="251" t="s">
        <v>79</v>
      </c>
      <c r="DV5" s="251" t="s">
        <v>79</v>
      </c>
      <c r="DW5" s="253" t="s">
        <v>1817</v>
      </c>
      <c r="DX5" s="253" t="s">
        <v>1817</v>
      </c>
      <c r="DY5" s="253" t="s">
        <v>1817</v>
      </c>
      <c r="DZ5" s="253" t="s">
        <v>1817</v>
      </c>
      <c r="EA5" s="253" t="s">
        <v>1817</v>
      </c>
      <c r="EB5" s="253" t="s">
        <v>1817</v>
      </c>
      <c r="EC5" s="251" t="s">
        <v>1834</v>
      </c>
      <c r="ED5" s="251" t="s">
        <v>1834</v>
      </c>
      <c r="EE5" s="251" t="s">
        <v>1834</v>
      </c>
      <c r="EF5" s="251" t="s">
        <v>1834</v>
      </c>
      <c r="EG5" s="251" t="s">
        <v>1834</v>
      </c>
      <c r="EH5" s="251" t="s">
        <v>1834</v>
      </c>
      <c r="EJ5" s="249">
        <v>1</v>
      </c>
      <c r="EK5" s="249">
        <v>2</v>
      </c>
      <c r="EL5" s="249">
        <v>3</v>
      </c>
      <c r="EM5" s="249">
        <v>4</v>
      </c>
      <c r="EN5" s="249">
        <v>5</v>
      </c>
      <c r="EO5" s="249" t="s">
        <v>1727</v>
      </c>
      <c r="EP5" s="249" t="s">
        <v>1727</v>
      </c>
      <c r="EQ5" s="249" t="s">
        <v>1727</v>
      </c>
      <c r="ER5" s="249" t="s">
        <v>1727</v>
      </c>
      <c r="ES5" s="249" t="s">
        <v>1727</v>
      </c>
      <c r="ET5" s="249" t="s">
        <v>1731</v>
      </c>
      <c r="EU5" s="249" t="s">
        <v>1731</v>
      </c>
      <c r="EV5" s="249" t="s">
        <v>1731</v>
      </c>
      <c r="EW5" s="249" t="s">
        <v>1731</v>
      </c>
      <c r="EX5" s="249" t="s">
        <v>1731</v>
      </c>
      <c r="EY5" s="249" t="s">
        <v>1865</v>
      </c>
      <c r="EZ5" s="249" t="s">
        <v>1865</v>
      </c>
      <c r="FA5" s="249" t="s">
        <v>1865</v>
      </c>
      <c r="FB5" s="249" t="s">
        <v>1865</v>
      </c>
      <c r="FC5" s="249" t="s">
        <v>1865</v>
      </c>
      <c r="FD5" s="249" t="s">
        <v>1866</v>
      </c>
      <c r="FE5" s="249" t="s">
        <v>1866</v>
      </c>
      <c r="FF5" s="249" t="s">
        <v>1866</v>
      </c>
      <c r="FG5" s="249" t="s">
        <v>1866</v>
      </c>
      <c r="FH5" s="249" t="s">
        <v>1866</v>
      </c>
    </row>
    <row r="6" spans="1:164">
      <c r="A6" s="249" t="s">
        <v>1838</v>
      </c>
      <c r="B6" s="249" t="s">
        <v>1839</v>
      </c>
      <c r="C6" s="249" t="s">
        <v>1143</v>
      </c>
      <c r="J6" s="249" t="s">
        <v>1784</v>
      </c>
      <c r="K6" s="249" t="s">
        <v>1840</v>
      </c>
      <c r="L6" s="249" t="s">
        <v>1527</v>
      </c>
      <c r="M6" s="249" t="s">
        <v>1528</v>
      </c>
      <c r="N6" s="249" t="s">
        <v>1529</v>
      </c>
      <c r="O6" s="249" t="s">
        <v>1530</v>
      </c>
      <c r="P6" s="249" t="s">
        <v>1531</v>
      </c>
      <c r="Q6" s="249" t="s">
        <v>1784</v>
      </c>
      <c r="R6" s="249" t="s">
        <v>1527</v>
      </c>
      <c r="S6" s="249" t="s">
        <v>1528</v>
      </c>
      <c r="T6" s="249" t="s">
        <v>1529</v>
      </c>
      <c r="U6" s="249" t="s">
        <v>1530</v>
      </c>
      <c r="V6" s="249" t="s">
        <v>1531</v>
      </c>
      <c r="W6" s="249" t="s">
        <v>1784</v>
      </c>
      <c r="X6" s="249" t="s">
        <v>1527</v>
      </c>
      <c r="Y6" s="249" t="s">
        <v>1528</v>
      </c>
      <c r="Z6" s="249" t="s">
        <v>1529</v>
      </c>
      <c r="AA6" s="249" t="s">
        <v>1530</v>
      </c>
      <c r="AB6" s="249" t="s">
        <v>1531</v>
      </c>
      <c r="AC6" s="249" t="s">
        <v>1784</v>
      </c>
      <c r="AD6" s="249" t="s">
        <v>1527</v>
      </c>
      <c r="AE6" s="249" t="s">
        <v>1528</v>
      </c>
      <c r="AF6" s="249" t="s">
        <v>1529</v>
      </c>
      <c r="AG6" s="249" t="s">
        <v>1530</v>
      </c>
      <c r="AH6" s="249" t="s">
        <v>1531</v>
      </c>
      <c r="AI6" s="249" t="s">
        <v>1784</v>
      </c>
      <c r="AJ6" s="249" t="s">
        <v>1527</v>
      </c>
      <c r="AK6" s="249" t="s">
        <v>1528</v>
      </c>
      <c r="AL6" s="249" t="s">
        <v>1529</v>
      </c>
      <c r="AM6" s="249" t="s">
        <v>1530</v>
      </c>
      <c r="AN6" s="249" t="s">
        <v>1531</v>
      </c>
      <c r="AO6" s="249" t="s">
        <v>1784</v>
      </c>
      <c r="AP6" s="249" t="s">
        <v>1527</v>
      </c>
      <c r="AQ6" s="249" t="s">
        <v>1528</v>
      </c>
      <c r="AR6" s="249" t="s">
        <v>1529</v>
      </c>
      <c r="AS6" s="249" t="s">
        <v>1530</v>
      </c>
      <c r="AT6" s="249" t="s">
        <v>1531</v>
      </c>
      <c r="AU6" s="249" t="s">
        <v>1784</v>
      </c>
      <c r="AV6" s="249" t="s">
        <v>1527</v>
      </c>
      <c r="AW6" s="249" t="s">
        <v>1528</v>
      </c>
      <c r="AX6" s="249" t="s">
        <v>1529</v>
      </c>
      <c r="AY6" s="249" t="s">
        <v>1530</v>
      </c>
      <c r="AZ6" s="249" t="s">
        <v>1531</v>
      </c>
      <c r="BA6" s="249" t="s">
        <v>1784</v>
      </c>
      <c r="BB6" s="249" t="s">
        <v>1527</v>
      </c>
      <c r="BC6" s="249" t="s">
        <v>1528</v>
      </c>
      <c r="BD6" s="249" t="s">
        <v>1529</v>
      </c>
      <c r="BE6" s="249" t="s">
        <v>1530</v>
      </c>
      <c r="BF6" s="249" t="s">
        <v>1531</v>
      </c>
      <c r="BG6" s="249" t="s">
        <v>1784</v>
      </c>
      <c r="BH6" s="249" t="s">
        <v>1527</v>
      </c>
      <c r="BI6" s="250" t="s">
        <v>1527</v>
      </c>
      <c r="BJ6" s="250" t="s">
        <v>1528</v>
      </c>
      <c r="BK6" s="250" t="s">
        <v>1529</v>
      </c>
      <c r="BL6" s="250" t="s">
        <v>1530</v>
      </c>
      <c r="BM6" s="250" t="s">
        <v>1531</v>
      </c>
      <c r="BN6" s="250" t="s">
        <v>1527</v>
      </c>
      <c r="BO6" s="250" t="s">
        <v>1528</v>
      </c>
      <c r="BP6" s="250" t="s">
        <v>1529</v>
      </c>
      <c r="BQ6" s="250" t="s">
        <v>1530</v>
      </c>
      <c r="BR6" s="250" t="s">
        <v>1531</v>
      </c>
      <c r="BS6" s="249" t="s">
        <v>1527</v>
      </c>
      <c r="BT6" s="249" t="s">
        <v>1528</v>
      </c>
      <c r="BU6" s="249" t="s">
        <v>1529</v>
      </c>
      <c r="BV6" s="249" t="s">
        <v>1530</v>
      </c>
      <c r="BW6" s="249" t="s">
        <v>1531</v>
      </c>
      <c r="CA6" s="249" t="s">
        <v>1527</v>
      </c>
      <c r="CB6" s="249" t="s">
        <v>1528</v>
      </c>
      <c r="CC6" s="249" t="s">
        <v>1529</v>
      </c>
      <c r="CD6" s="249" t="s">
        <v>1530</v>
      </c>
      <c r="CE6" s="249" t="s">
        <v>1531</v>
      </c>
      <c r="CF6" s="249" t="s">
        <v>1527</v>
      </c>
      <c r="CG6" s="249" t="s">
        <v>1528</v>
      </c>
      <c r="CH6" s="249" t="s">
        <v>1529</v>
      </c>
      <c r="CI6" s="249" t="s">
        <v>1530</v>
      </c>
      <c r="CJ6" s="249" t="s">
        <v>1531</v>
      </c>
      <c r="CK6" s="249" t="s">
        <v>1527</v>
      </c>
      <c r="CL6" s="249" t="s">
        <v>1528</v>
      </c>
      <c r="CM6" s="249" t="s">
        <v>1529</v>
      </c>
      <c r="CN6" s="249" t="s">
        <v>1530</v>
      </c>
      <c r="CO6" s="249" t="s">
        <v>1531</v>
      </c>
      <c r="CP6" s="249" t="s">
        <v>1527</v>
      </c>
      <c r="CQ6" s="249" t="s">
        <v>1528</v>
      </c>
      <c r="CR6" s="249" t="s">
        <v>1529</v>
      </c>
      <c r="CS6" s="249" t="s">
        <v>1530</v>
      </c>
      <c r="CT6" s="249" t="s">
        <v>1531</v>
      </c>
      <c r="CU6" s="249" t="s">
        <v>1527</v>
      </c>
      <c r="CV6" s="249" t="s">
        <v>1528</v>
      </c>
      <c r="CW6" s="249" t="s">
        <v>1529</v>
      </c>
      <c r="CX6" s="249" t="s">
        <v>1530</v>
      </c>
      <c r="CY6" s="249" t="s">
        <v>1531</v>
      </c>
      <c r="CZ6" s="249" t="s">
        <v>1784</v>
      </c>
      <c r="DA6" s="249" t="s">
        <v>1527</v>
      </c>
      <c r="DB6" s="249" t="s">
        <v>1528</v>
      </c>
      <c r="DC6" s="249" t="s">
        <v>1529</v>
      </c>
      <c r="DD6" s="249" t="s">
        <v>1530</v>
      </c>
      <c r="DE6" s="249" t="s">
        <v>1531</v>
      </c>
      <c r="DF6" s="249" t="s">
        <v>1784</v>
      </c>
      <c r="DG6" s="249" t="s">
        <v>1527</v>
      </c>
      <c r="DH6" s="249" t="s">
        <v>1528</v>
      </c>
      <c r="DI6" s="249" t="s">
        <v>1529</v>
      </c>
      <c r="DJ6" s="249" t="s">
        <v>1530</v>
      </c>
      <c r="DK6" s="249" t="s">
        <v>1531</v>
      </c>
      <c r="DL6" s="249" t="s">
        <v>1784</v>
      </c>
      <c r="DM6" s="249" t="s">
        <v>1527</v>
      </c>
      <c r="DN6" s="249" t="s">
        <v>1528</v>
      </c>
      <c r="DO6" s="249" t="s">
        <v>1529</v>
      </c>
      <c r="DP6" s="249" t="s">
        <v>1530</v>
      </c>
      <c r="DQ6" s="249" t="s">
        <v>1531</v>
      </c>
      <c r="DR6" s="249" t="s">
        <v>1527</v>
      </c>
      <c r="DS6" s="249" t="s">
        <v>1528</v>
      </c>
      <c r="DT6" s="249" t="s">
        <v>1529</v>
      </c>
      <c r="DU6" s="249" t="s">
        <v>1530</v>
      </c>
      <c r="DV6" s="249" t="s">
        <v>1531</v>
      </c>
      <c r="DW6" s="249" t="s">
        <v>1784</v>
      </c>
      <c r="DX6" s="249" t="s">
        <v>1527</v>
      </c>
      <c r="DY6" s="249" t="s">
        <v>1528</v>
      </c>
      <c r="DZ6" s="249" t="s">
        <v>1529</v>
      </c>
      <c r="EA6" s="249" t="s">
        <v>1530</v>
      </c>
      <c r="EB6" s="249" t="s">
        <v>1531</v>
      </c>
      <c r="EC6" s="249" t="s">
        <v>1784</v>
      </c>
      <c r="ED6" s="249" t="s">
        <v>1527</v>
      </c>
      <c r="EE6" s="249" t="s">
        <v>1528</v>
      </c>
      <c r="EF6" s="249" t="s">
        <v>1529</v>
      </c>
      <c r="EG6" s="249" t="s">
        <v>1530</v>
      </c>
      <c r="EH6" s="249" t="s">
        <v>1531</v>
      </c>
      <c r="EO6" s="249" t="s">
        <v>1527</v>
      </c>
      <c r="EP6" s="249" t="s">
        <v>1528</v>
      </c>
      <c r="EQ6" s="249" t="s">
        <v>1529</v>
      </c>
      <c r="ER6" s="249" t="s">
        <v>1530</v>
      </c>
      <c r="ES6" s="249" t="s">
        <v>1531</v>
      </c>
      <c r="ET6" s="249" t="s">
        <v>1527</v>
      </c>
      <c r="EU6" s="249" t="s">
        <v>1528</v>
      </c>
      <c r="EV6" s="249" t="s">
        <v>1529</v>
      </c>
      <c r="EW6" s="249" t="s">
        <v>1530</v>
      </c>
      <c r="EX6" s="249" t="s">
        <v>1531</v>
      </c>
      <c r="EY6" s="249" t="s">
        <v>1527</v>
      </c>
      <c r="EZ6" s="249" t="s">
        <v>1528</v>
      </c>
      <c r="FA6" s="249" t="s">
        <v>1529</v>
      </c>
      <c r="FB6" s="249" t="s">
        <v>1530</v>
      </c>
      <c r="FC6" s="249" t="s">
        <v>1531</v>
      </c>
      <c r="FD6" s="249" t="s">
        <v>1527</v>
      </c>
      <c r="FE6" s="249" t="s">
        <v>1528</v>
      </c>
      <c r="FF6" s="249" t="s">
        <v>1529</v>
      </c>
      <c r="FG6" s="249" t="s">
        <v>1530</v>
      </c>
      <c r="FH6" s="249" t="s">
        <v>1531</v>
      </c>
    </row>
    <row r="7" spans="1:164">
      <c r="A7" s="249">
        <v>8</v>
      </c>
      <c r="B7" s="254">
        <v>1</v>
      </c>
      <c r="C7" s="249" t="s">
        <v>1909</v>
      </c>
      <c r="D7" s="250" t="s">
        <v>1902</v>
      </c>
      <c r="E7" s="250" t="s">
        <v>218</v>
      </c>
      <c r="F7" s="249" t="s">
        <v>1903</v>
      </c>
      <c r="G7" s="250" t="s">
        <v>1927</v>
      </c>
      <c r="H7" s="249" t="s">
        <v>1904</v>
      </c>
      <c r="I7" s="249" t="s">
        <v>1905</v>
      </c>
      <c r="J7" s="249" t="s">
        <v>1534</v>
      </c>
      <c r="K7" s="249" t="s">
        <v>1414</v>
      </c>
      <c r="L7" s="249" t="s">
        <v>1845</v>
      </c>
      <c r="M7" s="249" t="s">
        <v>1414</v>
      </c>
      <c r="N7" s="249" t="s">
        <v>1414</v>
      </c>
      <c r="O7" s="249" t="s">
        <v>1414</v>
      </c>
      <c r="P7" s="249" t="s">
        <v>1414</v>
      </c>
      <c r="Q7" s="249" t="s">
        <v>70</v>
      </c>
      <c r="R7" s="249">
        <v>3655</v>
      </c>
      <c r="S7" s="249" t="s">
        <v>1414</v>
      </c>
      <c r="T7" s="249" t="s">
        <v>1414</v>
      </c>
      <c r="U7" s="249" t="s">
        <v>1414</v>
      </c>
      <c r="V7" s="249" t="s">
        <v>1414</v>
      </c>
      <c r="W7" s="249" t="s">
        <v>1906</v>
      </c>
      <c r="X7" s="249">
        <v>2710</v>
      </c>
      <c r="Y7" s="249" t="s">
        <v>1414</v>
      </c>
      <c r="Z7" s="249" t="s">
        <v>1414</v>
      </c>
      <c r="AA7" s="249" t="s">
        <v>1414</v>
      </c>
      <c r="AB7" s="249" t="s">
        <v>1414</v>
      </c>
      <c r="AC7" s="249" t="s">
        <v>1906</v>
      </c>
      <c r="AD7" s="249">
        <v>2020</v>
      </c>
      <c r="AE7" s="249" t="s">
        <v>1414</v>
      </c>
      <c r="AF7" s="249" t="s">
        <v>1414</v>
      </c>
      <c r="AG7" s="249" t="s">
        <v>1414</v>
      </c>
      <c r="AH7" s="249" t="s">
        <v>1414</v>
      </c>
      <c r="AI7" s="250" t="s">
        <v>1525</v>
      </c>
      <c r="AJ7" s="250">
        <v>157</v>
      </c>
      <c r="AK7" s="250" t="s">
        <v>1414</v>
      </c>
      <c r="AL7" s="249" t="s">
        <v>1414</v>
      </c>
      <c r="AM7" s="249" t="s">
        <v>1414</v>
      </c>
      <c r="AN7" s="249" t="s">
        <v>1414</v>
      </c>
      <c r="AO7" s="249" t="s">
        <v>1414</v>
      </c>
      <c r="AP7" s="249" t="s">
        <v>1414</v>
      </c>
      <c r="AQ7" s="249" t="s">
        <v>1414</v>
      </c>
      <c r="AR7" s="249" t="s">
        <v>1414</v>
      </c>
      <c r="AS7" s="249" t="s">
        <v>1414</v>
      </c>
      <c r="AT7" s="249" t="s">
        <v>1414</v>
      </c>
      <c r="AU7" s="249" t="s">
        <v>1414</v>
      </c>
      <c r="AV7" s="249">
        <v>86.8</v>
      </c>
      <c r="AW7" s="249" t="s">
        <v>1414</v>
      </c>
      <c r="AX7" s="249" t="s">
        <v>1414</v>
      </c>
      <c r="AY7" s="249" t="s">
        <v>1414</v>
      </c>
      <c r="AZ7" s="249" t="s">
        <v>1414</v>
      </c>
      <c r="BA7" s="249" t="s">
        <v>1540</v>
      </c>
      <c r="BB7" s="249">
        <v>2.5000000000000001E-2</v>
      </c>
      <c r="BC7" s="249" t="s">
        <v>1414</v>
      </c>
      <c r="BD7" s="249" t="s">
        <v>1414</v>
      </c>
      <c r="BE7" s="249" t="s">
        <v>1414</v>
      </c>
      <c r="BF7" s="249" t="s">
        <v>1414</v>
      </c>
      <c r="BG7" s="249" t="s">
        <v>1907</v>
      </c>
      <c r="BH7" s="249">
        <v>3620</v>
      </c>
      <c r="BI7" s="250">
        <v>25.89</v>
      </c>
      <c r="BJ7" s="250" t="s">
        <v>1414</v>
      </c>
      <c r="BK7" s="250" t="s">
        <v>1414</v>
      </c>
      <c r="BL7" s="250" t="s">
        <v>1414</v>
      </c>
      <c r="BM7" s="250" t="s">
        <v>1414</v>
      </c>
      <c r="BN7" s="250">
        <v>47.94</v>
      </c>
      <c r="BO7" s="250" t="s">
        <v>1414</v>
      </c>
      <c r="BP7" s="250" t="s">
        <v>1414</v>
      </c>
      <c r="BQ7" s="250" t="s">
        <v>1414</v>
      </c>
      <c r="BR7" s="250" t="s">
        <v>1414</v>
      </c>
      <c r="BS7" s="249">
        <v>75.900000000000006</v>
      </c>
      <c r="BT7" s="249" t="s">
        <v>1414</v>
      </c>
      <c r="BU7" s="249" t="s">
        <v>1414</v>
      </c>
      <c r="BV7" s="249" t="s">
        <v>1414</v>
      </c>
      <c r="BW7" s="249" t="s">
        <v>1414</v>
      </c>
      <c r="BX7" s="250" t="s">
        <v>1900</v>
      </c>
      <c r="BY7" s="250" t="s">
        <v>1900</v>
      </c>
      <c r="BZ7" s="250">
        <v>54</v>
      </c>
      <c r="CA7" s="249">
        <v>0.94</v>
      </c>
      <c r="CB7" s="249" t="s">
        <v>1414</v>
      </c>
      <c r="CC7" s="249" t="s">
        <v>1414</v>
      </c>
      <c r="CD7" s="249" t="s">
        <v>1414</v>
      </c>
      <c r="CE7" s="249" t="s">
        <v>1414</v>
      </c>
      <c r="CF7" s="249">
        <v>1</v>
      </c>
      <c r="CG7" s="249" t="s">
        <v>1414</v>
      </c>
      <c r="CH7" s="249" t="s">
        <v>1414</v>
      </c>
      <c r="CI7" s="249" t="s">
        <v>1414</v>
      </c>
      <c r="CJ7" s="249" t="s">
        <v>1414</v>
      </c>
      <c r="CK7" s="249">
        <v>0.09</v>
      </c>
      <c r="CL7" s="249" t="s">
        <v>1414</v>
      </c>
      <c r="CM7" s="249" t="s">
        <v>1414</v>
      </c>
      <c r="CN7" s="249" t="s">
        <v>1414</v>
      </c>
      <c r="CO7" s="249" t="s">
        <v>1414</v>
      </c>
      <c r="CP7" s="249" t="s">
        <v>1414</v>
      </c>
      <c r="CQ7" s="249" t="s">
        <v>1414</v>
      </c>
      <c r="CR7" s="249" t="s">
        <v>1414</v>
      </c>
      <c r="CS7" s="249" t="s">
        <v>1414</v>
      </c>
      <c r="CT7" s="249" t="s">
        <v>1414</v>
      </c>
      <c r="CU7" s="249" t="s">
        <v>1414</v>
      </c>
      <c r="CV7" s="249" t="s">
        <v>1414</v>
      </c>
      <c r="CW7" s="249" t="s">
        <v>1414</v>
      </c>
      <c r="CX7" s="249" t="s">
        <v>1414</v>
      </c>
      <c r="CY7" s="249" t="s">
        <v>1414</v>
      </c>
      <c r="CZ7" s="249" t="s">
        <v>1414</v>
      </c>
      <c r="DA7" s="249" t="s">
        <v>1414</v>
      </c>
      <c r="DB7" s="249" t="s">
        <v>1414</v>
      </c>
      <c r="DC7" s="249" t="s">
        <v>1414</v>
      </c>
      <c r="DD7" s="249" t="s">
        <v>1414</v>
      </c>
      <c r="DE7" s="249" t="s">
        <v>1414</v>
      </c>
      <c r="DF7" s="249" t="s">
        <v>1414</v>
      </c>
      <c r="DG7" s="249" t="s">
        <v>1414</v>
      </c>
      <c r="DH7" s="249" t="s">
        <v>1414</v>
      </c>
      <c r="DI7" s="249" t="s">
        <v>1414</v>
      </c>
      <c r="DJ7" s="249" t="s">
        <v>1414</v>
      </c>
      <c r="DK7" s="249" t="s">
        <v>1414</v>
      </c>
      <c r="DL7" s="249" t="s">
        <v>1414</v>
      </c>
      <c r="DM7" s="249" t="s">
        <v>1414</v>
      </c>
      <c r="DN7" s="249" t="s">
        <v>1414</v>
      </c>
      <c r="DO7" s="249" t="s">
        <v>1414</v>
      </c>
      <c r="DP7" s="249" t="s">
        <v>1414</v>
      </c>
      <c r="DQ7" s="249" t="s">
        <v>1414</v>
      </c>
      <c r="DR7" s="249" t="s">
        <v>1414</v>
      </c>
      <c r="DS7" s="249" t="s">
        <v>1414</v>
      </c>
      <c r="DT7" s="249" t="s">
        <v>1414</v>
      </c>
      <c r="DU7" s="249" t="s">
        <v>1414</v>
      </c>
      <c r="DV7" s="249" t="s">
        <v>1414</v>
      </c>
      <c r="DW7" s="249" t="s">
        <v>1908</v>
      </c>
      <c r="DX7" s="249">
        <v>0.15</v>
      </c>
      <c r="DY7" s="249" t="s">
        <v>1414</v>
      </c>
      <c r="DZ7" s="249" t="s">
        <v>1414</v>
      </c>
      <c r="EA7" s="249" t="s">
        <v>1414</v>
      </c>
      <c r="EB7" s="249" t="s">
        <v>1414</v>
      </c>
      <c r="EC7" s="249" t="s">
        <v>1908</v>
      </c>
      <c r="ED7" s="249">
        <v>0.14000000000000001</v>
      </c>
      <c r="EE7" s="249" t="s">
        <v>1414</v>
      </c>
      <c r="EF7" s="249" t="s">
        <v>1414</v>
      </c>
      <c r="EG7" s="249" t="s">
        <v>1414</v>
      </c>
      <c r="EH7" s="249" t="s">
        <v>1414</v>
      </c>
      <c r="EI7" s="249" t="s">
        <v>1414</v>
      </c>
      <c r="EJ7" s="249" t="s">
        <v>307</v>
      </c>
      <c r="EK7" s="249" t="s">
        <v>307</v>
      </c>
      <c r="EL7" s="249" t="s">
        <v>307</v>
      </c>
      <c r="EM7" s="249" t="s">
        <v>1414</v>
      </c>
      <c r="EN7" s="249" t="s">
        <v>307</v>
      </c>
      <c r="EO7" s="249">
        <v>0.74</v>
      </c>
      <c r="EP7" s="249" t="s">
        <v>1414</v>
      </c>
      <c r="EQ7" s="249" t="s">
        <v>1414</v>
      </c>
      <c r="ER7" s="249" t="s">
        <v>1414</v>
      </c>
      <c r="ES7" s="249" t="s">
        <v>1414</v>
      </c>
      <c r="ET7" s="249">
        <v>0.87</v>
      </c>
      <c r="EU7" s="249" t="s">
        <v>1414</v>
      </c>
      <c r="EV7" s="249" t="s">
        <v>1414</v>
      </c>
      <c r="EW7" s="249" t="s">
        <v>1414</v>
      </c>
      <c r="EX7" s="249" t="s">
        <v>1414</v>
      </c>
      <c r="EY7" s="249">
        <v>28.83</v>
      </c>
      <c r="EZ7" s="249" t="s">
        <v>1414</v>
      </c>
      <c r="FA7" s="249" t="s">
        <v>1414</v>
      </c>
      <c r="FB7" s="249" t="s">
        <v>1414</v>
      </c>
      <c r="FC7" s="249" t="s">
        <v>1414</v>
      </c>
      <c r="FD7" s="249">
        <v>16253.74</v>
      </c>
      <c r="FE7" s="249" t="s">
        <v>1414</v>
      </c>
      <c r="FF7" s="249" t="s">
        <v>1414</v>
      </c>
      <c r="FG7" s="249" t="s">
        <v>1414</v>
      </c>
      <c r="FH7" s="249" t="s">
        <v>1414</v>
      </c>
    </row>
    <row r="8" spans="1:164">
      <c r="B8" s="254"/>
      <c r="D8" s="250"/>
      <c r="E8" s="250"/>
      <c r="G8" s="250"/>
      <c r="AI8" s="250"/>
      <c r="AJ8" s="250"/>
      <c r="AK8" s="250"/>
    </row>
    <row r="9" spans="1:164">
      <c r="B9" s="254"/>
      <c r="D9" s="250"/>
      <c r="E9" s="250"/>
      <c r="G9" s="250"/>
      <c r="AI9" s="250"/>
      <c r="AJ9" s="250"/>
      <c r="AK9" s="250"/>
    </row>
    <row r="10" spans="1:164">
      <c r="B10" s="254"/>
      <c r="D10" s="250"/>
      <c r="E10" s="250"/>
      <c r="G10" s="250"/>
      <c r="AI10" s="250"/>
      <c r="AJ10" s="250"/>
      <c r="AK10" s="250"/>
    </row>
    <row r="11" spans="1:164">
      <c r="B11" s="254"/>
      <c r="D11" s="250"/>
      <c r="E11" s="250"/>
      <c r="G11" s="250"/>
      <c r="AI11" s="250"/>
      <c r="AJ11" s="250"/>
      <c r="AK11" s="250"/>
    </row>
    <row r="12" spans="1:164">
      <c r="B12" s="254"/>
      <c r="D12" s="250"/>
      <c r="E12" s="250"/>
      <c r="G12" s="250"/>
      <c r="AI12" s="250"/>
      <c r="AJ12" s="250"/>
      <c r="AK12" s="250"/>
    </row>
    <row r="13" spans="1:164">
      <c r="B13" s="254"/>
      <c r="D13" s="250"/>
      <c r="E13" s="250"/>
      <c r="G13" s="250"/>
      <c r="AI13" s="250"/>
      <c r="AJ13" s="250"/>
      <c r="AK13" s="250"/>
    </row>
    <row r="14" spans="1:164" ht="13.5" customHeight="1">
      <c r="B14" s="254"/>
      <c r="D14" s="250"/>
      <c r="E14" s="250"/>
      <c r="G14" s="250"/>
      <c r="AI14" s="250"/>
      <c r="AJ14" s="250"/>
      <c r="AK14" s="250"/>
    </row>
    <row r="15" spans="1:164" ht="13.5" customHeight="1">
      <c r="B15" s="254"/>
      <c r="D15" s="250"/>
      <c r="E15" s="250"/>
      <c r="G15" s="250"/>
      <c r="AI15" s="250"/>
      <c r="AJ15" s="250"/>
      <c r="AK15" s="250"/>
    </row>
    <row r="16" spans="1:164" ht="13.5" customHeight="1">
      <c r="B16" s="254"/>
      <c r="D16" s="250"/>
      <c r="E16" s="250"/>
      <c r="G16" s="250"/>
      <c r="AI16" s="250"/>
      <c r="AJ16" s="250"/>
      <c r="AK16" s="250"/>
    </row>
    <row r="17" spans="2:37">
      <c r="B17" s="254"/>
      <c r="D17" s="250"/>
      <c r="E17" s="250"/>
      <c r="G17" s="250"/>
      <c r="AI17" s="250"/>
      <c r="AJ17" s="250"/>
      <c r="AK17" s="250"/>
    </row>
    <row r="18" spans="2:37" ht="13.5" customHeight="1">
      <c r="B18" s="254"/>
      <c r="D18" s="250"/>
      <c r="E18" s="250"/>
      <c r="G18" s="250"/>
      <c r="AI18" s="250"/>
      <c r="AJ18" s="250"/>
      <c r="AK18" s="250"/>
    </row>
    <row r="19" spans="2:37" ht="13.5" customHeight="1">
      <c r="B19" s="254"/>
      <c r="D19" s="250"/>
      <c r="E19" s="250"/>
      <c r="G19" s="250"/>
      <c r="AI19" s="250"/>
      <c r="AJ19" s="250"/>
      <c r="AK19" s="250"/>
    </row>
    <row r="20" spans="2:37" ht="13.5" customHeight="1">
      <c r="B20" s="254"/>
      <c r="D20" s="250"/>
      <c r="E20" s="250"/>
      <c r="G20" s="250"/>
      <c r="AI20" s="250"/>
      <c r="AJ20" s="250"/>
      <c r="AK20" s="250"/>
    </row>
    <row r="21" spans="2:37">
      <c r="B21" s="254"/>
      <c r="D21" s="250"/>
      <c r="E21" s="250"/>
      <c r="G21" s="250"/>
      <c r="AI21" s="250"/>
      <c r="AJ21" s="250"/>
      <c r="AK21" s="250"/>
    </row>
    <row r="22" spans="2:37" ht="13.5" customHeight="1">
      <c r="B22" s="254"/>
      <c r="D22" s="250"/>
      <c r="E22" s="250"/>
      <c r="G22" s="250"/>
      <c r="AI22" s="250"/>
      <c r="AJ22" s="250"/>
      <c r="AK22" s="250"/>
    </row>
    <row r="23" spans="2:37" ht="13.5" customHeight="1">
      <c r="B23" s="254"/>
      <c r="D23" s="250"/>
      <c r="E23" s="250"/>
      <c r="G23" s="250"/>
      <c r="AI23" s="250"/>
      <c r="AJ23" s="250"/>
      <c r="AK23" s="250"/>
    </row>
    <row r="24" spans="2:37" ht="13.5" customHeight="1">
      <c r="B24" s="254"/>
      <c r="D24" s="250"/>
      <c r="E24" s="250"/>
      <c r="G24" s="250"/>
      <c r="AI24" s="250"/>
      <c r="AJ24" s="250"/>
      <c r="AK24" s="250"/>
    </row>
    <row r="25" spans="2:37" ht="13.5" customHeight="1">
      <c r="B25" s="254"/>
      <c r="D25" s="250"/>
      <c r="E25" s="250"/>
      <c r="G25" s="250"/>
      <c r="AI25" s="250"/>
      <c r="AJ25" s="250"/>
      <c r="AK25" s="250"/>
    </row>
    <row r="26" spans="2:37">
      <c r="B26" s="254"/>
      <c r="D26" s="250"/>
      <c r="E26" s="250"/>
      <c r="G26" s="250"/>
      <c r="AI26" s="250"/>
      <c r="AJ26" s="250"/>
      <c r="AK26" s="250"/>
    </row>
    <row r="27" spans="2:37">
      <c r="B27" s="254"/>
      <c r="D27" s="250"/>
      <c r="E27" s="250"/>
      <c r="G27" s="250"/>
      <c r="AI27" s="250"/>
      <c r="AJ27" s="250"/>
      <c r="AK27" s="250"/>
    </row>
    <row r="28" spans="2:37">
      <c r="B28" s="254"/>
      <c r="D28" s="250"/>
      <c r="E28" s="250"/>
      <c r="G28" s="250"/>
      <c r="AI28" s="250"/>
      <c r="AJ28" s="250"/>
      <c r="AK28" s="250"/>
    </row>
    <row r="29" spans="2:37">
      <c r="B29" s="254"/>
      <c r="D29" s="250"/>
      <c r="E29" s="250"/>
      <c r="G29" s="250"/>
      <c r="AI29" s="250"/>
      <c r="AJ29" s="250"/>
      <c r="AK29" s="250"/>
    </row>
    <row r="30" spans="2:37">
      <c r="B30" s="254"/>
      <c r="D30" s="250"/>
      <c r="E30" s="250"/>
      <c r="G30" s="250"/>
      <c r="AI30" s="250"/>
      <c r="AJ30" s="250"/>
      <c r="AK30" s="250"/>
    </row>
    <row r="31" spans="2:37">
      <c r="B31" s="254"/>
      <c r="D31" s="250"/>
      <c r="E31" s="250"/>
      <c r="G31" s="250"/>
      <c r="AI31" s="250"/>
      <c r="AJ31" s="250"/>
      <c r="AK31" s="250"/>
    </row>
    <row r="32" spans="2:37">
      <c r="B32" s="254"/>
      <c r="D32" s="250"/>
      <c r="E32" s="250"/>
      <c r="G32" s="250"/>
      <c r="AI32" s="250"/>
      <c r="AJ32" s="250"/>
      <c r="AK32" s="250"/>
    </row>
    <row r="33" spans="2:37">
      <c r="B33" s="254"/>
      <c r="D33" s="250"/>
      <c r="E33" s="250"/>
      <c r="G33" s="250"/>
      <c r="AI33" s="250"/>
      <c r="AJ33" s="250"/>
      <c r="AK33" s="250"/>
    </row>
    <row r="34" spans="2:37">
      <c r="B34" s="254"/>
      <c r="D34" s="250"/>
      <c r="E34" s="250"/>
      <c r="G34" s="250"/>
      <c r="AI34" s="250"/>
      <c r="AJ34" s="250"/>
      <c r="AK34" s="250"/>
    </row>
    <row r="35" spans="2:37">
      <c r="B35" s="254"/>
      <c r="D35" s="250"/>
      <c r="E35" s="250"/>
      <c r="G35" s="250"/>
      <c r="AI35" s="250"/>
      <c r="AJ35" s="250"/>
      <c r="AK35" s="250"/>
    </row>
    <row r="36" spans="2:37">
      <c r="B36" s="254"/>
      <c r="D36" s="250"/>
      <c r="E36" s="250"/>
      <c r="G36" s="250"/>
      <c r="AI36" s="250"/>
      <c r="AJ36" s="250"/>
      <c r="AK36" s="250"/>
    </row>
    <row r="37" spans="2:37">
      <c r="B37" s="254"/>
      <c r="D37" s="250"/>
      <c r="E37" s="250"/>
      <c r="G37" s="250"/>
      <c r="AI37" s="250"/>
      <c r="AJ37" s="250"/>
      <c r="AK37" s="250"/>
    </row>
    <row r="38" spans="2:37">
      <c r="B38" s="254"/>
      <c r="D38" s="250"/>
      <c r="E38" s="250"/>
      <c r="G38" s="250"/>
      <c r="AI38" s="250"/>
      <c r="AJ38" s="250"/>
      <c r="AK38" s="250"/>
    </row>
    <row r="39" spans="2:37">
      <c r="B39" s="254"/>
      <c r="D39" s="250"/>
      <c r="E39" s="250"/>
      <c r="G39" s="250"/>
      <c r="AI39" s="250"/>
      <c r="AJ39" s="250"/>
      <c r="AK39" s="250"/>
    </row>
    <row r="40" spans="2:37">
      <c r="B40" s="254"/>
      <c r="D40" s="250"/>
      <c r="E40" s="250"/>
      <c r="G40" s="250"/>
      <c r="AI40" s="250"/>
      <c r="AJ40" s="250"/>
      <c r="AK40" s="250"/>
    </row>
    <row r="41" spans="2:37">
      <c r="B41" s="254"/>
      <c r="D41" s="250"/>
      <c r="E41" s="250"/>
      <c r="G41" s="250"/>
      <c r="AI41" s="250"/>
      <c r="AJ41" s="250"/>
      <c r="AK41" s="250"/>
    </row>
    <row r="42" spans="2:37">
      <c r="B42" s="254"/>
      <c r="D42" s="250"/>
      <c r="E42" s="250"/>
      <c r="G42" s="250"/>
      <c r="AI42" s="250"/>
      <c r="AJ42" s="250"/>
      <c r="AK42" s="250"/>
    </row>
    <row r="43" spans="2:37">
      <c r="B43" s="254"/>
      <c r="D43" s="250"/>
      <c r="E43" s="250"/>
      <c r="G43" s="250"/>
      <c r="AI43" s="250"/>
      <c r="AJ43" s="250"/>
      <c r="AK43" s="250"/>
    </row>
    <row r="44" spans="2:37">
      <c r="B44" s="254"/>
      <c r="D44" s="250"/>
      <c r="E44" s="250"/>
      <c r="G44" s="250"/>
      <c r="AI44" s="250"/>
      <c r="AJ44" s="250"/>
      <c r="AK44" s="250"/>
    </row>
    <row r="45" spans="2:37">
      <c r="B45" s="254"/>
      <c r="D45" s="250"/>
      <c r="E45" s="250"/>
      <c r="G45" s="250"/>
      <c r="AI45" s="250"/>
      <c r="AJ45" s="250"/>
      <c r="AK45" s="250"/>
    </row>
    <row r="46" spans="2:37">
      <c r="B46" s="254"/>
      <c r="D46" s="250"/>
      <c r="E46" s="250"/>
      <c r="G46" s="250"/>
      <c r="AI46" s="250"/>
      <c r="AJ46" s="250"/>
      <c r="AK46" s="250"/>
    </row>
    <row r="47" spans="2:37">
      <c r="B47" s="254"/>
      <c r="D47" s="250"/>
      <c r="E47" s="250"/>
      <c r="G47" s="250"/>
      <c r="AI47" s="250"/>
      <c r="AJ47" s="250"/>
      <c r="AK47" s="250"/>
    </row>
    <row r="48" spans="2:37">
      <c r="B48" s="254"/>
      <c r="D48" s="250"/>
      <c r="E48" s="250"/>
      <c r="G48" s="250"/>
      <c r="AI48" s="250"/>
      <c r="AJ48" s="250"/>
      <c r="AK48" s="250"/>
    </row>
    <row r="49" spans="2:38">
      <c r="B49" s="254"/>
      <c r="D49" s="250"/>
      <c r="E49" s="250"/>
      <c r="G49" s="250"/>
      <c r="AI49" s="250"/>
      <c r="AJ49" s="250"/>
      <c r="AK49" s="250"/>
    </row>
    <row r="50" spans="2:38">
      <c r="B50" s="254"/>
      <c r="D50" s="250"/>
      <c r="E50" s="250"/>
      <c r="G50" s="250"/>
      <c r="AI50" s="250"/>
      <c r="AJ50" s="250"/>
      <c r="AK50" s="250"/>
      <c r="AL50" s="250"/>
    </row>
    <row r="51" spans="2:38">
      <c r="B51" s="254"/>
      <c r="D51" s="250"/>
      <c r="E51" s="250"/>
      <c r="G51" s="250"/>
      <c r="AI51" s="250"/>
      <c r="AJ51" s="250"/>
      <c r="AK51" s="250"/>
    </row>
    <row r="52" spans="2:38">
      <c r="B52" s="254"/>
      <c r="D52" s="250"/>
      <c r="E52" s="250"/>
      <c r="G52" s="250"/>
      <c r="AI52" s="250"/>
      <c r="AJ52" s="250"/>
      <c r="AK52" s="250"/>
    </row>
    <row r="53" spans="2:38">
      <c r="B53" s="254"/>
      <c r="D53" s="250"/>
      <c r="E53" s="250"/>
      <c r="G53" s="250"/>
      <c r="AI53" s="250"/>
      <c r="AJ53" s="250"/>
      <c r="AK53" s="250"/>
    </row>
    <row r="54" spans="2:38">
      <c r="B54" s="254"/>
      <c r="D54" s="250"/>
      <c r="E54" s="250"/>
      <c r="G54" s="250"/>
      <c r="AI54" s="250"/>
      <c r="AJ54" s="250"/>
      <c r="AK54" s="250"/>
    </row>
    <row r="55" spans="2:38">
      <c r="B55" s="254"/>
      <c r="D55" s="250"/>
      <c r="E55" s="250"/>
      <c r="G55" s="250"/>
      <c r="AI55" s="250"/>
      <c r="AJ55" s="250"/>
      <c r="AK55" s="250"/>
    </row>
    <row r="56" spans="2:38">
      <c r="B56" s="254"/>
      <c r="D56" s="250"/>
      <c r="E56" s="250"/>
      <c r="G56" s="250"/>
      <c r="AI56" s="250"/>
      <c r="AJ56" s="250"/>
      <c r="AK56" s="250"/>
    </row>
    <row r="57" spans="2:38">
      <c r="B57" s="254"/>
      <c r="D57" s="250"/>
      <c r="E57" s="250"/>
      <c r="G57" s="250"/>
      <c r="AI57" s="250"/>
      <c r="AJ57" s="250"/>
      <c r="AK57" s="250"/>
    </row>
    <row r="58" spans="2:38">
      <c r="B58" s="254"/>
      <c r="D58" s="250"/>
      <c r="E58" s="250"/>
      <c r="G58" s="250"/>
      <c r="AI58" s="250"/>
      <c r="AJ58" s="250"/>
      <c r="AK58" s="250"/>
    </row>
    <row r="59" spans="2:38">
      <c r="B59" s="254"/>
      <c r="D59" s="250"/>
      <c r="E59" s="250"/>
      <c r="G59" s="250"/>
      <c r="AI59" s="250"/>
      <c r="AJ59" s="250"/>
      <c r="AK59" s="250"/>
    </row>
    <row r="60" spans="2:38">
      <c r="B60" s="254"/>
      <c r="D60" s="250"/>
      <c r="E60" s="250"/>
      <c r="G60" s="250"/>
      <c r="AI60" s="250"/>
      <c r="AJ60" s="250"/>
      <c r="AK60" s="250"/>
    </row>
    <row r="61" spans="2:38">
      <c r="B61" s="254"/>
      <c r="D61" s="250"/>
      <c r="E61" s="250"/>
      <c r="G61" s="250"/>
      <c r="AI61" s="250"/>
      <c r="AJ61" s="250"/>
      <c r="AK61" s="250"/>
    </row>
    <row r="62" spans="2:38">
      <c r="B62" s="254"/>
      <c r="D62" s="250"/>
      <c r="E62" s="250"/>
      <c r="G62" s="250"/>
      <c r="AI62" s="250"/>
      <c r="AJ62" s="250"/>
      <c r="AK62" s="250"/>
    </row>
    <row r="63" spans="2:38">
      <c r="B63" s="254"/>
      <c r="D63" s="250"/>
      <c r="E63" s="250"/>
      <c r="G63" s="250"/>
      <c r="AI63" s="250"/>
      <c r="AJ63" s="250"/>
      <c r="AK63" s="250"/>
    </row>
    <row r="64" spans="2:38">
      <c r="B64" s="254"/>
      <c r="D64" s="250"/>
      <c r="E64" s="250"/>
      <c r="G64" s="250"/>
      <c r="AI64" s="250"/>
      <c r="AJ64" s="250"/>
      <c r="AK64" s="250"/>
    </row>
    <row r="65" spans="2:38">
      <c r="B65" s="254"/>
      <c r="D65" s="250"/>
      <c r="E65" s="250"/>
      <c r="G65" s="250"/>
      <c r="AI65" s="250"/>
      <c r="AJ65" s="250"/>
      <c r="AK65" s="250"/>
    </row>
    <row r="66" spans="2:38">
      <c r="B66" s="254"/>
      <c r="D66" s="250"/>
      <c r="E66" s="250"/>
      <c r="G66" s="250"/>
      <c r="AI66" s="250"/>
      <c r="AJ66" s="250"/>
      <c r="AK66" s="250"/>
      <c r="AL66" s="250"/>
    </row>
    <row r="67" spans="2:38">
      <c r="B67" s="254"/>
      <c r="D67" s="250"/>
      <c r="E67" s="250"/>
      <c r="G67" s="250"/>
      <c r="AI67" s="250"/>
      <c r="AJ67" s="250"/>
      <c r="AK67" s="250"/>
      <c r="AL67" s="250"/>
    </row>
    <row r="68" spans="2:38">
      <c r="B68" s="254"/>
      <c r="D68" s="250"/>
      <c r="E68" s="250"/>
      <c r="G68" s="250"/>
      <c r="AI68" s="250"/>
      <c r="AJ68" s="250"/>
      <c r="AK68" s="250"/>
      <c r="AL68" s="250"/>
    </row>
    <row r="69" spans="2:38">
      <c r="B69" s="254"/>
      <c r="D69" s="250"/>
      <c r="E69" s="250"/>
      <c r="G69" s="250"/>
      <c r="AI69" s="250"/>
      <c r="AJ69" s="250"/>
      <c r="AK69" s="250"/>
      <c r="AL69" s="250"/>
    </row>
    <row r="70" spans="2:38">
      <c r="B70" s="254"/>
      <c r="D70" s="250"/>
      <c r="E70" s="250"/>
      <c r="G70" s="250"/>
      <c r="AI70" s="250"/>
      <c r="AJ70" s="250"/>
      <c r="AK70" s="250"/>
      <c r="AL70" s="250"/>
    </row>
    <row r="71" spans="2:38">
      <c r="B71" s="254"/>
      <c r="D71" s="250"/>
      <c r="E71" s="250"/>
      <c r="G71" s="250"/>
      <c r="AI71" s="250"/>
      <c r="AJ71" s="250"/>
      <c r="AK71" s="250"/>
      <c r="AL71" s="250"/>
    </row>
    <row r="72" spans="2:38">
      <c r="B72" s="254"/>
      <c r="D72" s="250"/>
      <c r="E72" s="250"/>
      <c r="G72" s="250"/>
      <c r="AI72" s="250"/>
      <c r="AJ72" s="250"/>
      <c r="AK72" s="250"/>
      <c r="AL72" s="250"/>
    </row>
    <row r="73" spans="2:38">
      <c r="B73" s="254"/>
      <c r="D73" s="250"/>
      <c r="E73" s="250"/>
      <c r="G73" s="250"/>
      <c r="AI73" s="250"/>
      <c r="AJ73" s="250"/>
      <c r="AK73" s="250"/>
      <c r="AL73" s="250"/>
    </row>
    <row r="74" spans="2:38">
      <c r="B74" s="254"/>
      <c r="D74" s="250"/>
      <c r="E74" s="250"/>
      <c r="G74" s="250"/>
      <c r="AI74" s="250"/>
      <c r="AJ74" s="250"/>
      <c r="AK74" s="250"/>
      <c r="AL74" s="250"/>
    </row>
    <row r="75" spans="2:38">
      <c r="B75" s="254"/>
      <c r="D75" s="250"/>
      <c r="E75" s="250"/>
      <c r="G75" s="250"/>
      <c r="AI75" s="250"/>
      <c r="AJ75" s="250"/>
      <c r="AK75" s="250"/>
      <c r="AL75" s="250"/>
    </row>
    <row r="76" spans="2:38">
      <c r="B76" s="254"/>
      <c r="D76" s="250"/>
      <c r="E76" s="250"/>
      <c r="G76" s="250"/>
      <c r="AI76" s="250"/>
      <c r="AJ76" s="250"/>
      <c r="AK76" s="250"/>
      <c r="AL76" s="250"/>
    </row>
    <row r="77" spans="2:38">
      <c r="B77" s="254"/>
      <c r="D77" s="250"/>
      <c r="E77" s="250"/>
      <c r="G77" s="250"/>
      <c r="AI77" s="250"/>
      <c r="AJ77" s="250"/>
      <c r="AK77" s="250"/>
      <c r="AL77" s="250"/>
    </row>
    <row r="78" spans="2:38">
      <c r="B78" s="254"/>
      <c r="D78" s="250"/>
      <c r="E78" s="250"/>
      <c r="G78" s="250"/>
      <c r="AI78" s="250"/>
      <c r="AJ78" s="250"/>
      <c r="AK78" s="250"/>
      <c r="AL78" s="250"/>
    </row>
    <row r="79" spans="2:38">
      <c r="B79" s="254"/>
      <c r="D79" s="250"/>
      <c r="E79" s="250"/>
      <c r="G79" s="250"/>
      <c r="AI79" s="250"/>
      <c r="AJ79" s="250"/>
      <c r="AK79" s="250"/>
      <c r="AL79" s="250"/>
    </row>
    <row r="80" spans="2:38">
      <c r="B80" s="254"/>
      <c r="D80" s="250"/>
      <c r="E80" s="250"/>
      <c r="G80" s="250"/>
      <c r="AI80" s="250"/>
      <c r="AJ80" s="250"/>
      <c r="AK80" s="250"/>
      <c r="AL80" s="250"/>
    </row>
    <row r="81" spans="2:38">
      <c r="B81" s="254"/>
      <c r="D81" s="250"/>
      <c r="E81" s="250"/>
      <c r="G81" s="250"/>
      <c r="AI81" s="250"/>
      <c r="AJ81" s="250"/>
      <c r="AK81" s="250"/>
      <c r="AL81" s="250"/>
    </row>
    <row r="82" spans="2:38">
      <c r="B82" s="254"/>
      <c r="D82" s="250"/>
      <c r="E82" s="250"/>
      <c r="G82" s="250"/>
      <c r="AI82" s="250"/>
      <c r="AJ82" s="250"/>
      <c r="AK82" s="250"/>
      <c r="AL82" s="250"/>
    </row>
    <row r="83" spans="2:38">
      <c r="B83" s="254"/>
      <c r="D83" s="250"/>
      <c r="E83" s="250"/>
      <c r="G83" s="250"/>
      <c r="AI83" s="250"/>
      <c r="AJ83" s="250"/>
      <c r="AK83" s="250"/>
      <c r="AL83" s="250"/>
    </row>
    <row r="84" spans="2:38">
      <c r="B84" s="254"/>
      <c r="D84" s="250"/>
      <c r="E84" s="250"/>
      <c r="G84" s="250"/>
      <c r="AI84" s="250"/>
      <c r="AJ84" s="250"/>
      <c r="AK84" s="250"/>
      <c r="AL84" s="250"/>
    </row>
    <row r="85" spans="2:38">
      <c r="B85" s="254"/>
      <c r="D85" s="250"/>
      <c r="E85" s="250"/>
      <c r="G85" s="250"/>
      <c r="AI85" s="250"/>
      <c r="AJ85" s="250"/>
      <c r="AK85" s="250"/>
      <c r="AL85" s="250"/>
    </row>
    <row r="86" spans="2:38">
      <c r="B86" s="254"/>
      <c r="D86" s="250"/>
      <c r="E86" s="250"/>
      <c r="G86" s="250"/>
      <c r="AI86" s="250"/>
      <c r="AJ86" s="250"/>
      <c r="AK86" s="250"/>
      <c r="AL86" s="250"/>
    </row>
    <row r="87" spans="2:38">
      <c r="B87" s="254"/>
      <c r="D87" s="250"/>
      <c r="E87" s="250"/>
      <c r="G87" s="250"/>
      <c r="AI87" s="250"/>
      <c r="AJ87" s="250"/>
      <c r="AK87" s="250"/>
      <c r="AL87" s="250"/>
    </row>
    <row r="88" spans="2:38">
      <c r="B88" s="254"/>
      <c r="D88" s="250"/>
      <c r="E88" s="250"/>
      <c r="G88" s="250"/>
      <c r="AI88" s="250"/>
      <c r="AJ88" s="250"/>
      <c r="AK88" s="250"/>
      <c r="AL88" s="250"/>
    </row>
    <row r="89" spans="2:38">
      <c r="B89" s="254"/>
      <c r="D89" s="250"/>
      <c r="E89" s="250"/>
      <c r="G89" s="250"/>
      <c r="AI89" s="250"/>
      <c r="AJ89" s="250"/>
      <c r="AK89" s="250"/>
      <c r="AL89" s="250"/>
    </row>
    <row r="90" spans="2:38">
      <c r="B90" s="254"/>
      <c r="D90" s="250"/>
      <c r="E90" s="250"/>
      <c r="G90" s="250"/>
      <c r="AI90" s="250"/>
      <c r="AJ90" s="250"/>
      <c r="AK90" s="250"/>
      <c r="AL90" s="250"/>
    </row>
    <row r="91" spans="2:38">
      <c r="B91" s="254"/>
      <c r="D91" s="250"/>
      <c r="E91" s="250"/>
      <c r="G91" s="250"/>
      <c r="AI91" s="250"/>
      <c r="AJ91" s="250"/>
      <c r="AK91" s="250"/>
      <c r="AL91" s="250"/>
    </row>
    <row r="92" spans="2:38">
      <c r="B92" s="254"/>
      <c r="D92" s="250"/>
      <c r="E92" s="250"/>
      <c r="G92" s="250"/>
      <c r="AI92" s="250"/>
      <c r="AJ92" s="250"/>
      <c r="AK92" s="250"/>
      <c r="AL92" s="250"/>
    </row>
    <row r="93" spans="2:38">
      <c r="B93" s="254"/>
      <c r="D93" s="250"/>
      <c r="E93" s="250"/>
      <c r="G93" s="250"/>
      <c r="AI93" s="250"/>
      <c r="AJ93" s="250"/>
      <c r="AK93" s="250"/>
      <c r="AL93" s="250"/>
    </row>
    <row r="94" spans="2:38">
      <c r="B94" s="254"/>
      <c r="D94" s="250"/>
      <c r="E94" s="250"/>
      <c r="G94" s="250"/>
      <c r="AI94" s="250"/>
      <c r="AJ94" s="250"/>
      <c r="AK94" s="250"/>
      <c r="AL94" s="250"/>
    </row>
    <row r="95" spans="2:38">
      <c r="B95" s="254"/>
      <c r="D95" s="250"/>
      <c r="E95" s="250"/>
      <c r="G95" s="250"/>
      <c r="AI95" s="250"/>
      <c r="AJ95" s="250"/>
      <c r="AK95" s="250"/>
      <c r="AL95" s="250"/>
    </row>
    <row r="96" spans="2:38">
      <c r="B96" s="254"/>
      <c r="D96" s="250"/>
      <c r="E96" s="250"/>
      <c r="G96" s="250"/>
      <c r="AI96" s="250"/>
      <c r="AJ96" s="250"/>
      <c r="AK96" s="250"/>
    </row>
    <row r="97" spans="2:37">
      <c r="B97" s="254"/>
      <c r="D97" s="250"/>
      <c r="E97" s="250"/>
      <c r="G97" s="250"/>
      <c r="AI97" s="250"/>
      <c r="AJ97" s="250"/>
      <c r="AK97" s="250"/>
    </row>
    <row r="98" spans="2:37">
      <c r="B98" s="254"/>
      <c r="D98" s="250"/>
      <c r="E98" s="250"/>
      <c r="G98" s="250"/>
      <c r="AI98" s="250"/>
      <c r="AJ98" s="250"/>
      <c r="AK98" s="250"/>
    </row>
    <row r="99" spans="2:37">
      <c r="B99" s="254"/>
      <c r="D99" s="250"/>
      <c r="E99" s="250"/>
      <c r="G99" s="250"/>
      <c r="AI99" s="250"/>
      <c r="AJ99" s="250"/>
      <c r="AK99" s="250"/>
    </row>
  </sheetData>
  <phoneticPr fontId="5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indexed="46"/>
  </sheetPr>
  <dimension ref="A1:JP11"/>
  <sheetViews>
    <sheetView showGridLines="0" zoomScale="90" zoomScaleNormal="90" workbookViewId="0">
      <pane xSplit="8" ySplit="10" topLeftCell="DF11" activePane="bottomRight" state="frozen"/>
      <selection pane="topRight"/>
      <selection pane="bottomLeft"/>
      <selection pane="bottomRight" activeCell="DG11" sqref="DG11"/>
    </sheetView>
  </sheetViews>
  <sheetFormatPr defaultColWidth="0" defaultRowHeight="11.1" customHeight="1"/>
  <cols>
    <col min="1" max="1" width="5.625" style="292" customWidth="1"/>
    <col min="2" max="2" width="15.875" style="292" customWidth="1"/>
    <col min="3" max="3" width="20.625" style="292" customWidth="1"/>
    <col min="4" max="4" width="5.625" style="292" customWidth="1"/>
    <col min="5" max="6" width="10.625" style="292" customWidth="1"/>
    <col min="7" max="7" width="16.625" style="292" customWidth="1"/>
    <col min="8" max="8" width="4.375" style="268" customWidth="1"/>
    <col min="9" max="11" width="12.125" style="268" customWidth="1"/>
    <col min="12" max="12" width="10.375" style="268" customWidth="1"/>
    <col min="13" max="13" width="10.625" style="268" customWidth="1"/>
    <col min="14" max="14" width="12.375" style="268" customWidth="1"/>
    <col min="15" max="15" width="5.625" style="268" customWidth="1"/>
    <col min="16" max="18" width="5.375" style="268" customWidth="1"/>
    <col min="19" max="19" width="8.875" style="268" customWidth="1"/>
    <col min="20" max="20" width="5.375" style="268" customWidth="1"/>
    <col min="21" max="23" width="6.125" style="268" customWidth="1"/>
    <col min="24" max="24" width="5.5" style="268" customWidth="1"/>
    <col min="25" max="25" width="5.375" style="268" customWidth="1"/>
    <col min="26" max="26" width="10.25" style="268" customWidth="1"/>
    <col min="27" max="31" width="7.125" style="268" customWidth="1"/>
    <col min="32" max="42" width="6.125" style="268" customWidth="1"/>
    <col min="43" max="43" width="7" style="268" customWidth="1"/>
    <col min="44" max="48" width="4.5" style="268" customWidth="1"/>
    <col min="49" max="49" width="5.25" style="268" customWidth="1"/>
    <col min="50" max="52" width="4.5" style="268" customWidth="1"/>
    <col min="53" max="53" width="5" style="268" customWidth="1"/>
    <col min="54" max="67" width="6.125" style="268" customWidth="1"/>
    <col min="68" max="72" width="7.375" style="268" customWidth="1"/>
    <col min="73" max="77" width="6.125" style="268" customWidth="1"/>
    <col min="78" max="78" width="18.875" style="268" customWidth="1"/>
    <col min="79" max="79" width="9.125" style="268" customWidth="1"/>
    <col min="80" max="80" width="10.875" style="268" customWidth="1"/>
    <col min="81" max="81" width="11.875" style="268" customWidth="1"/>
    <col min="82" max="84" width="8.5" style="268" customWidth="1"/>
    <col min="85" max="85" width="6.625" style="268" customWidth="1"/>
    <col min="86" max="87" width="8" style="268" customWidth="1"/>
    <col min="88" max="88" width="6.25" style="268" customWidth="1"/>
    <col min="89" max="89" width="8" style="268" customWidth="1"/>
    <col min="90" max="91" width="11" style="268" customWidth="1"/>
    <col min="92" max="92" width="8" style="268" customWidth="1"/>
    <col min="93" max="93" width="6.625" style="268" customWidth="1"/>
    <col min="94" max="94" width="10.625" style="268" customWidth="1"/>
    <col min="95" max="95" width="6.75" style="268" customWidth="1"/>
    <col min="96" max="96" width="7.75" style="268" customWidth="1"/>
    <col min="97" max="97" width="5.5" style="268" customWidth="1"/>
    <col min="98" max="98" width="3.75" style="268" customWidth="1"/>
    <col min="99" max="99" width="7.25" style="268" customWidth="1"/>
    <col min="100" max="100" width="13.75" style="268" customWidth="1"/>
    <col min="101" max="101" width="5.125" style="268" customWidth="1"/>
    <col min="102" max="102" width="14.75" style="268" customWidth="1"/>
    <col min="103" max="104" width="10.5" style="268" customWidth="1"/>
    <col min="105" max="105" width="10.625" style="268" customWidth="1"/>
    <col min="106" max="107" width="11.875" style="268" customWidth="1"/>
    <col min="108" max="108" width="8.5" style="268" customWidth="1"/>
    <col min="109" max="109" width="18.875" style="293" customWidth="1"/>
    <col min="110" max="110" width="10.375" style="293" customWidth="1"/>
    <col min="111" max="111" width="7.25" style="293" customWidth="1"/>
    <col min="112" max="112" width="13" style="293" customWidth="1"/>
    <col min="113" max="113" width="11.375" style="292" customWidth="1"/>
    <col min="114" max="114" width="12.25" style="292" customWidth="1"/>
    <col min="115" max="115" width="9.125" style="292" customWidth="1"/>
    <col min="116" max="123" width="8.375" style="292" customWidth="1"/>
    <col min="124" max="124" width="7.75" style="292" customWidth="1"/>
    <col min="125" max="125" width="14.625" style="293" customWidth="1"/>
    <col min="126" max="126" width="11.5" style="293" customWidth="1"/>
    <col min="127" max="127" width="14" style="293" customWidth="1"/>
    <col min="128" max="129" width="14.125" style="292" customWidth="1"/>
    <col min="130" max="130" width="8.5" style="292" customWidth="1"/>
    <col min="131" max="131" width="7.125" style="292" customWidth="1"/>
    <col min="132" max="136" width="8.5" style="292" customWidth="1"/>
    <col min="137" max="142" width="10.25" style="292" customWidth="1"/>
    <col min="143" max="143" width="9.375" style="292" customWidth="1"/>
    <col min="144" max="145" width="13.125" style="292" customWidth="1"/>
    <col min="146" max="146" width="4.625" style="292" customWidth="1"/>
    <col min="147" max="148" width="8.5" style="292" customWidth="1"/>
    <col min="149" max="149" width="7.375" style="292" customWidth="1"/>
    <col min="150" max="150" width="14" style="293" customWidth="1"/>
    <col min="151" max="155" width="8.5" style="292" customWidth="1"/>
    <col min="156" max="157" width="12.25" style="292" customWidth="1"/>
    <col min="158" max="158" width="8.875" style="292" customWidth="1"/>
    <col min="159" max="159" width="5" style="292" customWidth="1"/>
    <col min="160" max="160" width="5.875" style="292" customWidth="1"/>
    <col min="161" max="161" width="5" style="292" customWidth="1"/>
    <col min="162" max="162" width="10.375" style="292" customWidth="1"/>
    <col min="163" max="165" width="8.5" style="292" customWidth="1"/>
    <col min="166" max="166" width="5" style="292" customWidth="1"/>
    <col min="167" max="167" width="13.5" style="292" customWidth="1"/>
    <col min="168" max="168" width="5" style="292" customWidth="1"/>
    <col min="169" max="169" width="14.125" style="292" customWidth="1"/>
    <col min="170" max="170" width="5.75" style="292" customWidth="1"/>
    <col min="171" max="171" width="9" style="292" customWidth="1"/>
    <col min="172" max="172" width="5.75" style="292" customWidth="1"/>
    <col min="173" max="174" width="7.625" style="292" customWidth="1"/>
    <col min="175" max="175" width="15" style="292" customWidth="1"/>
    <col min="176" max="176" width="6.125" style="292" customWidth="1"/>
    <col min="177" max="179" width="10.5" style="292" customWidth="1"/>
    <col min="180" max="180" width="16.125" style="292" customWidth="1"/>
    <col min="181" max="184" width="11.25" style="292" customWidth="1"/>
    <col min="185" max="187" width="11.375" style="292" customWidth="1"/>
    <col min="188" max="188" width="12.25" style="292" customWidth="1"/>
    <col min="189" max="189" width="9" style="292" customWidth="1"/>
    <col min="190" max="190" width="8.75" style="292" customWidth="1"/>
    <col min="191" max="191" width="8.5" style="292" customWidth="1"/>
    <col min="192" max="193" width="7.875" style="292" customWidth="1"/>
    <col min="194" max="219" width="7.875" style="268" customWidth="1"/>
    <col min="220" max="223" width="8.375" style="292" customWidth="1"/>
    <col min="224" max="224" width="17.25" style="292" customWidth="1"/>
    <col min="225" max="225" width="8.5" style="270" customWidth="1"/>
    <col min="226" max="226" width="13.5" style="270" customWidth="1"/>
    <col min="227" max="227" width="16.25" style="270" customWidth="1"/>
    <col min="228" max="229" width="12.875" style="270" customWidth="1"/>
    <col min="230" max="276" width="0" style="270" hidden="1" customWidth="1"/>
    <col min="277" max="16384" width="8" style="270" hidden="1"/>
  </cols>
  <sheetData>
    <row r="1" spans="1:229" s="257" customFormat="1" ht="15" customHeight="1">
      <c r="A1" s="346" t="s">
        <v>1107</v>
      </c>
      <c r="B1" s="347"/>
      <c r="C1" s="356" t="s">
        <v>1879</v>
      </c>
      <c r="D1" s="357"/>
      <c r="E1" s="357"/>
      <c r="F1" s="357"/>
      <c r="G1" s="358"/>
      <c r="H1" s="255" t="s">
        <v>1108</v>
      </c>
      <c r="I1" s="256"/>
      <c r="J1" s="256"/>
      <c r="K1" s="256"/>
      <c r="L1" s="256"/>
      <c r="GL1" s="256"/>
      <c r="GM1" s="256"/>
      <c r="GN1" s="256"/>
      <c r="GO1" s="256"/>
      <c r="GP1" s="256"/>
      <c r="GQ1" s="256"/>
      <c r="GR1" s="256"/>
      <c r="GS1" s="256"/>
      <c r="GT1" s="256"/>
      <c r="GU1" s="256"/>
      <c r="GV1" s="256"/>
      <c r="GW1" s="256"/>
      <c r="GX1" s="256"/>
      <c r="GY1" s="256"/>
      <c r="GZ1" s="256"/>
      <c r="HA1" s="256"/>
      <c r="HB1" s="256"/>
      <c r="HC1" s="256"/>
      <c r="HD1" s="256"/>
      <c r="HE1" s="256"/>
      <c r="HF1" s="256"/>
      <c r="HG1" s="256"/>
      <c r="HH1" s="256"/>
      <c r="HI1" s="256"/>
      <c r="HJ1" s="256"/>
      <c r="HK1" s="256"/>
    </row>
    <row r="2" spans="1:229" s="257" customFormat="1" ht="15" customHeight="1">
      <c r="A2" s="346" t="s">
        <v>1109</v>
      </c>
      <c r="B2" s="347"/>
      <c r="C2" s="356" t="s">
        <v>1880</v>
      </c>
      <c r="D2" s="359"/>
      <c r="E2" s="359"/>
      <c r="F2" s="359"/>
      <c r="G2" s="359"/>
      <c r="H2" s="347"/>
      <c r="I2" s="258"/>
      <c r="J2" s="258"/>
      <c r="K2" s="258"/>
      <c r="L2" s="258"/>
      <c r="DX2" s="259" t="s">
        <v>1110</v>
      </c>
      <c r="GL2" s="256"/>
      <c r="GM2" s="256"/>
      <c r="GN2" s="256"/>
      <c r="GO2" s="256"/>
      <c r="GP2" s="256"/>
      <c r="GQ2" s="256"/>
      <c r="GR2" s="256"/>
      <c r="GS2" s="256"/>
      <c r="GT2" s="256"/>
      <c r="GU2" s="256"/>
      <c r="GV2" s="256"/>
      <c r="GW2" s="256"/>
      <c r="GX2" s="256"/>
      <c r="GY2" s="256"/>
      <c r="GZ2" s="256"/>
      <c r="HA2" s="256"/>
      <c r="HB2" s="256"/>
      <c r="HC2" s="256"/>
      <c r="HD2" s="256"/>
      <c r="HE2" s="256"/>
      <c r="HF2" s="256"/>
      <c r="HG2" s="256"/>
      <c r="HH2" s="256"/>
      <c r="HI2" s="256"/>
      <c r="HJ2" s="256"/>
      <c r="HK2" s="256"/>
      <c r="HS2" s="260"/>
    </row>
    <row r="3" spans="1:229" s="257" customFormat="1" ht="15" customHeight="1">
      <c r="A3" s="360" t="s">
        <v>1111</v>
      </c>
      <c r="B3" s="361"/>
      <c r="C3" s="361"/>
      <c r="D3" s="361"/>
      <c r="E3" s="361"/>
      <c r="F3" s="361"/>
      <c r="G3" s="361"/>
      <c r="H3" s="362"/>
      <c r="I3" s="256"/>
      <c r="J3" s="256"/>
      <c r="K3" s="256"/>
      <c r="L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S3" s="260"/>
    </row>
    <row r="4" spans="1:229" s="257" customFormat="1" ht="15" customHeight="1">
      <c r="A4" s="343" t="s">
        <v>1112</v>
      </c>
      <c r="B4" s="344"/>
      <c r="C4" s="261"/>
      <c r="D4" s="346" t="s">
        <v>1113</v>
      </c>
      <c r="E4" s="347"/>
      <c r="F4" s="262"/>
      <c r="G4" s="346">
        <f ca="1">TODAY()</f>
        <v>44997</v>
      </c>
      <c r="H4" s="347"/>
      <c r="I4" s="258"/>
      <c r="J4" s="258"/>
      <c r="K4" s="258"/>
      <c r="L4" s="258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</row>
    <row r="5" spans="1:229" s="257" customFormat="1" ht="15" customHeight="1">
      <c r="A5" s="343" t="s">
        <v>1114</v>
      </c>
      <c r="B5" s="344"/>
      <c r="C5" s="261"/>
      <c r="D5" s="345" t="s">
        <v>1115</v>
      </c>
      <c r="E5" s="345"/>
      <c r="F5" s="263"/>
      <c r="G5" s="346"/>
      <c r="H5" s="347"/>
      <c r="I5" s="258"/>
      <c r="J5" s="258"/>
      <c r="K5" s="258"/>
      <c r="L5" s="258"/>
      <c r="GL5" s="256"/>
      <c r="GM5" s="256"/>
      <c r="GN5" s="256"/>
      <c r="GO5" s="256"/>
      <c r="GP5" s="256"/>
      <c r="GQ5" s="256"/>
      <c r="GR5" s="256"/>
      <c r="GS5" s="256"/>
      <c r="GT5" s="256"/>
      <c r="GU5" s="256"/>
      <c r="GV5" s="256"/>
      <c r="GW5" s="256"/>
      <c r="GX5" s="256"/>
      <c r="GY5" s="256"/>
      <c r="GZ5" s="256"/>
      <c r="HA5" s="256"/>
      <c r="HB5" s="256"/>
      <c r="HC5" s="256"/>
      <c r="HD5" s="256"/>
      <c r="HE5" s="256"/>
      <c r="HF5" s="256"/>
      <c r="HG5" s="256"/>
      <c r="HH5" s="256"/>
      <c r="HI5" s="256"/>
      <c r="HJ5" s="256"/>
      <c r="HK5" s="256"/>
    </row>
    <row r="6" spans="1:229" s="257" customFormat="1" ht="15" customHeight="1">
      <c r="A6" s="343" t="s">
        <v>1116</v>
      </c>
      <c r="B6" s="344"/>
      <c r="C6" s="261"/>
      <c r="D6" s="345" t="s">
        <v>1117</v>
      </c>
      <c r="E6" s="345"/>
      <c r="F6" s="263"/>
      <c r="G6" s="346" t="s">
        <v>1118</v>
      </c>
      <c r="H6" s="347"/>
      <c r="I6" s="258">
        <f>COLUMN()</f>
        <v>9</v>
      </c>
      <c r="J6" s="258">
        <f>COLUMN()</f>
        <v>10</v>
      </c>
      <c r="K6" s="258">
        <f>COLUMN()</f>
        <v>11</v>
      </c>
      <c r="L6" s="258">
        <f>COLUMN()</f>
        <v>12</v>
      </c>
      <c r="M6" s="258">
        <f>COLUMN()</f>
        <v>13</v>
      </c>
      <c r="N6" s="258">
        <f>COLUMN()</f>
        <v>14</v>
      </c>
      <c r="O6" s="258">
        <f>COLUMN()</f>
        <v>15</v>
      </c>
      <c r="P6" s="258">
        <f>COLUMN()</f>
        <v>16</v>
      </c>
      <c r="Q6" s="258">
        <f>COLUMN()</f>
        <v>17</v>
      </c>
      <c r="R6" s="258">
        <f>COLUMN()</f>
        <v>18</v>
      </c>
      <c r="S6" s="258">
        <f>COLUMN()</f>
        <v>19</v>
      </c>
      <c r="T6" s="258">
        <f>COLUMN()</f>
        <v>20</v>
      </c>
      <c r="U6" s="258">
        <f>COLUMN()</f>
        <v>21</v>
      </c>
      <c r="V6" s="258">
        <f>COLUMN()</f>
        <v>22</v>
      </c>
      <c r="W6" s="258">
        <f>COLUMN()</f>
        <v>23</v>
      </c>
      <c r="X6" s="258">
        <f>COLUMN()</f>
        <v>24</v>
      </c>
      <c r="Y6" s="258">
        <f>COLUMN()</f>
        <v>25</v>
      </c>
      <c r="Z6" s="258">
        <f>COLUMN()</f>
        <v>26</v>
      </c>
      <c r="AA6" s="258">
        <f>COLUMN()</f>
        <v>27</v>
      </c>
      <c r="AB6" s="258">
        <f>COLUMN()</f>
        <v>28</v>
      </c>
      <c r="AC6" s="258">
        <f>COLUMN()</f>
        <v>29</v>
      </c>
      <c r="AD6" s="258">
        <f>COLUMN()</f>
        <v>30</v>
      </c>
      <c r="AE6" s="258">
        <f>COLUMN()</f>
        <v>31</v>
      </c>
      <c r="AF6" s="258">
        <f>COLUMN()</f>
        <v>32</v>
      </c>
      <c r="AG6" s="258">
        <f>COLUMN()</f>
        <v>33</v>
      </c>
      <c r="AH6" s="258">
        <f>COLUMN()</f>
        <v>34</v>
      </c>
      <c r="AI6" s="258">
        <f>COLUMN()</f>
        <v>35</v>
      </c>
      <c r="AJ6" s="258">
        <f>COLUMN()</f>
        <v>36</v>
      </c>
      <c r="AK6" s="258">
        <f>COLUMN()</f>
        <v>37</v>
      </c>
      <c r="AL6" s="258">
        <f>COLUMN()</f>
        <v>38</v>
      </c>
      <c r="AM6" s="258">
        <f>COLUMN()</f>
        <v>39</v>
      </c>
      <c r="AN6" s="258">
        <f>COLUMN()</f>
        <v>40</v>
      </c>
      <c r="AO6" s="258">
        <f>COLUMN()</f>
        <v>41</v>
      </c>
      <c r="AP6" s="258">
        <f>COLUMN()</f>
        <v>42</v>
      </c>
      <c r="AQ6" s="258">
        <f>COLUMN()</f>
        <v>43</v>
      </c>
      <c r="AR6" s="258">
        <f>COLUMN()</f>
        <v>44</v>
      </c>
      <c r="AS6" s="258">
        <f>COLUMN()</f>
        <v>45</v>
      </c>
      <c r="AT6" s="258">
        <f>COLUMN()</f>
        <v>46</v>
      </c>
      <c r="AU6" s="258">
        <f>COLUMN()</f>
        <v>47</v>
      </c>
      <c r="AV6" s="258">
        <f>COLUMN()</f>
        <v>48</v>
      </c>
      <c r="AW6" s="258">
        <f>COLUMN()</f>
        <v>49</v>
      </c>
      <c r="AX6" s="258">
        <f>COLUMN()</f>
        <v>50</v>
      </c>
      <c r="AY6" s="258">
        <f>COLUMN()</f>
        <v>51</v>
      </c>
      <c r="AZ6" s="258">
        <f>COLUMN()</f>
        <v>52</v>
      </c>
      <c r="BA6" s="258">
        <f>COLUMN()</f>
        <v>53</v>
      </c>
      <c r="BB6" s="258">
        <f>COLUMN()</f>
        <v>54</v>
      </c>
      <c r="BC6" s="258">
        <f>COLUMN()</f>
        <v>55</v>
      </c>
      <c r="BD6" s="258">
        <f>COLUMN()</f>
        <v>56</v>
      </c>
      <c r="BE6" s="258">
        <f>COLUMN()</f>
        <v>57</v>
      </c>
      <c r="BF6" s="258">
        <f>COLUMN()</f>
        <v>58</v>
      </c>
      <c r="BG6" s="258">
        <f>COLUMN()</f>
        <v>59</v>
      </c>
      <c r="BH6" s="258">
        <f>COLUMN()</f>
        <v>60</v>
      </c>
      <c r="BI6" s="258">
        <f>COLUMN()</f>
        <v>61</v>
      </c>
      <c r="BJ6" s="258">
        <f>COLUMN()</f>
        <v>62</v>
      </c>
      <c r="BK6" s="258">
        <f>COLUMN()</f>
        <v>63</v>
      </c>
      <c r="BL6" s="258">
        <f>COLUMN()</f>
        <v>64</v>
      </c>
      <c r="BM6" s="258">
        <f>COLUMN()</f>
        <v>65</v>
      </c>
      <c r="BN6" s="258">
        <f>COLUMN()</f>
        <v>66</v>
      </c>
      <c r="BO6" s="258">
        <f>COLUMN()</f>
        <v>67</v>
      </c>
      <c r="BP6" s="258">
        <f>COLUMN()</f>
        <v>68</v>
      </c>
      <c r="BQ6" s="258">
        <f>COLUMN()</f>
        <v>69</v>
      </c>
      <c r="BR6" s="258">
        <f>COLUMN()</f>
        <v>70</v>
      </c>
      <c r="BS6" s="258">
        <f>COLUMN()</f>
        <v>71</v>
      </c>
      <c r="BT6" s="258">
        <f>COLUMN()</f>
        <v>72</v>
      </c>
      <c r="BU6" s="258">
        <f>COLUMN()</f>
        <v>73</v>
      </c>
      <c r="BV6" s="258">
        <f>COLUMN()</f>
        <v>74</v>
      </c>
      <c r="BW6" s="258">
        <f>COLUMN()</f>
        <v>75</v>
      </c>
      <c r="BX6" s="258">
        <f>COLUMN()</f>
        <v>76</v>
      </c>
      <c r="BY6" s="258">
        <f>COLUMN()</f>
        <v>77</v>
      </c>
      <c r="BZ6" s="258">
        <f>COLUMN()</f>
        <v>78</v>
      </c>
      <c r="CA6" s="258">
        <f>COLUMN()</f>
        <v>79</v>
      </c>
      <c r="CB6" s="258">
        <f>COLUMN()</f>
        <v>80</v>
      </c>
      <c r="CC6" s="258">
        <f>COLUMN()</f>
        <v>81</v>
      </c>
      <c r="CD6" s="258">
        <f>COLUMN()</f>
        <v>82</v>
      </c>
      <c r="CE6" s="258">
        <f>COLUMN()</f>
        <v>83</v>
      </c>
      <c r="CF6" s="258">
        <f>COLUMN()</f>
        <v>84</v>
      </c>
      <c r="CG6" s="258">
        <f>COLUMN()</f>
        <v>85</v>
      </c>
      <c r="CH6" s="258">
        <f>COLUMN()</f>
        <v>86</v>
      </c>
      <c r="CI6" s="258">
        <f>COLUMN()</f>
        <v>87</v>
      </c>
      <c r="CJ6" s="258">
        <f>COLUMN()</f>
        <v>88</v>
      </c>
      <c r="CK6" s="258">
        <f>COLUMN()</f>
        <v>89</v>
      </c>
      <c r="CL6" s="258">
        <f>COLUMN()</f>
        <v>90</v>
      </c>
      <c r="CM6" s="258">
        <f>COLUMN()</f>
        <v>91</v>
      </c>
      <c r="CN6" s="258">
        <f>COLUMN()</f>
        <v>92</v>
      </c>
      <c r="CO6" s="258">
        <f>COLUMN()</f>
        <v>93</v>
      </c>
      <c r="CP6" s="258">
        <f>COLUMN()</f>
        <v>94</v>
      </c>
      <c r="CQ6" s="258">
        <f>COLUMN()</f>
        <v>95</v>
      </c>
      <c r="CR6" s="258">
        <f>COLUMN()</f>
        <v>96</v>
      </c>
      <c r="CS6" s="258">
        <f>COLUMN()</f>
        <v>97</v>
      </c>
      <c r="CT6" s="258">
        <f>COLUMN()</f>
        <v>98</v>
      </c>
      <c r="CU6" s="258">
        <f>COLUMN()</f>
        <v>99</v>
      </c>
      <c r="CV6" s="258">
        <f>COLUMN()</f>
        <v>100</v>
      </c>
      <c r="CW6" s="258">
        <f>COLUMN()</f>
        <v>101</v>
      </c>
      <c r="CX6" s="258">
        <f>COLUMN()</f>
        <v>102</v>
      </c>
      <c r="CY6" s="258">
        <f>COLUMN()</f>
        <v>103</v>
      </c>
      <c r="CZ6" s="258">
        <f>COLUMN()</f>
        <v>104</v>
      </c>
      <c r="DA6" s="258">
        <f>COLUMN()</f>
        <v>105</v>
      </c>
      <c r="DB6" s="258">
        <f>COLUMN()</f>
        <v>106</v>
      </c>
      <c r="DC6" s="258">
        <f>COLUMN()</f>
        <v>107</v>
      </c>
      <c r="DD6" s="258">
        <f>COLUMN()</f>
        <v>108</v>
      </c>
      <c r="DE6" s="258">
        <f>COLUMN()</f>
        <v>109</v>
      </c>
      <c r="DF6" s="258">
        <f>COLUMN()</f>
        <v>110</v>
      </c>
      <c r="DG6" s="258">
        <f>COLUMN()</f>
        <v>111</v>
      </c>
      <c r="DH6" s="258">
        <f>COLUMN()</f>
        <v>112</v>
      </c>
      <c r="DI6" s="258">
        <f>COLUMN()</f>
        <v>113</v>
      </c>
      <c r="DJ6" s="258">
        <f>COLUMN()</f>
        <v>114</v>
      </c>
      <c r="DK6" s="258">
        <f>COLUMN()</f>
        <v>115</v>
      </c>
      <c r="DL6" s="258">
        <f>COLUMN()</f>
        <v>116</v>
      </c>
      <c r="DM6" s="258">
        <f>COLUMN()</f>
        <v>117</v>
      </c>
      <c r="DN6" s="258">
        <f>COLUMN()</f>
        <v>118</v>
      </c>
      <c r="DO6" s="258">
        <f>COLUMN()</f>
        <v>119</v>
      </c>
      <c r="DP6" s="258">
        <f>COLUMN()</f>
        <v>120</v>
      </c>
      <c r="DQ6" s="258">
        <f>COLUMN()</f>
        <v>121</v>
      </c>
      <c r="DR6" s="258">
        <f>COLUMN()</f>
        <v>122</v>
      </c>
      <c r="DS6" s="258">
        <f>COLUMN()</f>
        <v>123</v>
      </c>
      <c r="DT6" s="258">
        <f>COLUMN()</f>
        <v>124</v>
      </c>
      <c r="DU6" s="258">
        <f>COLUMN()</f>
        <v>125</v>
      </c>
      <c r="DV6" s="258">
        <f>COLUMN()</f>
        <v>126</v>
      </c>
      <c r="DW6" s="258">
        <f>COLUMN()</f>
        <v>127</v>
      </c>
      <c r="DX6" s="258">
        <f>COLUMN()</f>
        <v>128</v>
      </c>
      <c r="DY6" s="258">
        <f>COLUMN()</f>
        <v>129</v>
      </c>
      <c r="DZ6" s="258">
        <f>COLUMN()</f>
        <v>130</v>
      </c>
      <c r="EA6" s="258">
        <f>COLUMN()</f>
        <v>131</v>
      </c>
      <c r="EB6" s="258">
        <f>COLUMN()</f>
        <v>132</v>
      </c>
      <c r="EC6" s="258">
        <f>COLUMN()</f>
        <v>133</v>
      </c>
      <c r="ED6" s="258">
        <f>COLUMN()</f>
        <v>134</v>
      </c>
      <c r="EE6" s="258">
        <f>COLUMN()</f>
        <v>135</v>
      </c>
      <c r="EF6" s="258">
        <f>COLUMN()</f>
        <v>136</v>
      </c>
      <c r="EG6" s="258">
        <f>COLUMN()</f>
        <v>137</v>
      </c>
      <c r="EH6" s="258">
        <f>COLUMN()</f>
        <v>138</v>
      </c>
      <c r="EI6" s="258">
        <f>COLUMN()</f>
        <v>139</v>
      </c>
      <c r="EJ6" s="258">
        <f>COLUMN()</f>
        <v>140</v>
      </c>
      <c r="EK6" s="258">
        <f>COLUMN()</f>
        <v>141</v>
      </c>
      <c r="EL6" s="258">
        <f>COLUMN()</f>
        <v>142</v>
      </c>
      <c r="EM6" s="258">
        <f>COLUMN()</f>
        <v>143</v>
      </c>
      <c r="EN6" s="258">
        <f>COLUMN()</f>
        <v>144</v>
      </c>
      <c r="EO6" s="258">
        <f>COLUMN()</f>
        <v>145</v>
      </c>
      <c r="EP6" s="258">
        <f>COLUMN()</f>
        <v>146</v>
      </c>
      <c r="EQ6" s="258">
        <f>COLUMN()</f>
        <v>147</v>
      </c>
      <c r="ER6" s="258">
        <f>COLUMN()</f>
        <v>148</v>
      </c>
      <c r="ES6" s="258">
        <f>COLUMN()</f>
        <v>149</v>
      </c>
      <c r="ET6" s="258">
        <f>COLUMN()</f>
        <v>150</v>
      </c>
      <c r="EU6" s="258">
        <f>COLUMN()</f>
        <v>151</v>
      </c>
      <c r="EV6" s="258">
        <f>COLUMN()</f>
        <v>152</v>
      </c>
      <c r="EW6" s="258">
        <f>COLUMN()</f>
        <v>153</v>
      </c>
      <c r="EX6" s="258">
        <f>COLUMN()</f>
        <v>154</v>
      </c>
      <c r="EY6" s="258">
        <f>COLUMN()</f>
        <v>155</v>
      </c>
      <c r="EZ6" s="258">
        <f>COLUMN()</f>
        <v>156</v>
      </c>
      <c r="FA6" s="258">
        <f>COLUMN()</f>
        <v>157</v>
      </c>
      <c r="FB6" s="258">
        <f>COLUMN()</f>
        <v>158</v>
      </c>
      <c r="FC6" s="258">
        <f>COLUMN()</f>
        <v>159</v>
      </c>
      <c r="FD6" s="258">
        <f>COLUMN()</f>
        <v>160</v>
      </c>
      <c r="FE6" s="258">
        <f>COLUMN()</f>
        <v>161</v>
      </c>
      <c r="FF6" s="258">
        <f>COLUMN()</f>
        <v>162</v>
      </c>
      <c r="FG6" s="258">
        <f>COLUMN()</f>
        <v>163</v>
      </c>
      <c r="FH6" s="258">
        <f>COLUMN()</f>
        <v>164</v>
      </c>
      <c r="FI6" s="258">
        <f>COLUMN()</f>
        <v>165</v>
      </c>
      <c r="FJ6" s="258">
        <f>COLUMN()</f>
        <v>166</v>
      </c>
      <c r="FK6" s="258">
        <f>COLUMN()</f>
        <v>167</v>
      </c>
      <c r="FL6" s="258">
        <f>COLUMN()</f>
        <v>168</v>
      </c>
      <c r="FM6" s="258">
        <f>COLUMN()</f>
        <v>169</v>
      </c>
      <c r="FN6" s="258">
        <f>COLUMN()</f>
        <v>170</v>
      </c>
      <c r="FO6" s="258">
        <f>COLUMN()</f>
        <v>171</v>
      </c>
      <c r="FP6" s="258">
        <f>COLUMN()</f>
        <v>172</v>
      </c>
      <c r="FQ6" s="258">
        <f>COLUMN()</f>
        <v>173</v>
      </c>
      <c r="FR6" s="258">
        <f>COLUMN()</f>
        <v>174</v>
      </c>
      <c r="FS6" s="258">
        <f>COLUMN()</f>
        <v>175</v>
      </c>
      <c r="FT6" s="258">
        <f>COLUMN()</f>
        <v>176</v>
      </c>
      <c r="FU6" s="258">
        <f>COLUMN()</f>
        <v>177</v>
      </c>
      <c r="FV6" s="258">
        <f>COLUMN()</f>
        <v>178</v>
      </c>
      <c r="FW6" s="258">
        <f>COLUMN()</f>
        <v>179</v>
      </c>
      <c r="FX6" s="258">
        <f>COLUMN()</f>
        <v>180</v>
      </c>
      <c r="FY6" s="258">
        <f>COLUMN()</f>
        <v>181</v>
      </c>
      <c r="FZ6" s="258">
        <f>COLUMN()</f>
        <v>182</v>
      </c>
      <c r="GA6" s="258">
        <f>COLUMN()</f>
        <v>183</v>
      </c>
      <c r="GB6" s="258">
        <f>COLUMN()</f>
        <v>184</v>
      </c>
      <c r="GC6" s="258">
        <f>COLUMN()</f>
        <v>185</v>
      </c>
      <c r="GD6" s="258">
        <f>COLUMN()</f>
        <v>186</v>
      </c>
      <c r="GE6" s="258">
        <f>COLUMN()</f>
        <v>187</v>
      </c>
      <c r="GF6" s="258">
        <f>COLUMN()</f>
        <v>188</v>
      </c>
      <c r="GG6" s="258">
        <f>COLUMN()</f>
        <v>189</v>
      </c>
      <c r="GH6" s="258">
        <f>COLUMN()</f>
        <v>190</v>
      </c>
      <c r="GI6" s="258">
        <f>COLUMN()</f>
        <v>191</v>
      </c>
      <c r="GJ6" s="258">
        <f>COLUMN()</f>
        <v>192</v>
      </c>
      <c r="GK6" s="258">
        <f>COLUMN()</f>
        <v>193</v>
      </c>
      <c r="GL6" s="258">
        <f>COLUMN()</f>
        <v>194</v>
      </c>
      <c r="GM6" s="258">
        <f>COLUMN()</f>
        <v>195</v>
      </c>
      <c r="GN6" s="258">
        <f>COLUMN()</f>
        <v>196</v>
      </c>
      <c r="GO6" s="258">
        <f>COLUMN()</f>
        <v>197</v>
      </c>
      <c r="GP6" s="258">
        <f>COLUMN()</f>
        <v>198</v>
      </c>
      <c r="GQ6" s="258">
        <f>COLUMN()</f>
        <v>199</v>
      </c>
      <c r="GR6" s="258">
        <f>COLUMN()</f>
        <v>200</v>
      </c>
      <c r="GS6" s="258">
        <f>COLUMN()</f>
        <v>201</v>
      </c>
      <c r="GT6" s="258">
        <f>COLUMN()</f>
        <v>202</v>
      </c>
      <c r="GU6" s="258">
        <f>COLUMN()</f>
        <v>203</v>
      </c>
      <c r="GV6" s="258">
        <f>COLUMN()</f>
        <v>204</v>
      </c>
      <c r="GW6" s="258">
        <f>COLUMN()</f>
        <v>205</v>
      </c>
      <c r="GX6" s="258">
        <f>COLUMN()</f>
        <v>206</v>
      </c>
      <c r="GY6" s="258">
        <f>COLUMN()</f>
        <v>207</v>
      </c>
      <c r="GZ6" s="258">
        <f>COLUMN()</f>
        <v>208</v>
      </c>
      <c r="HA6" s="258">
        <f>COLUMN()</f>
        <v>209</v>
      </c>
      <c r="HB6" s="258">
        <f>COLUMN()</f>
        <v>210</v>
      </c>
      <c r="HC6" s="258">
        <f>COLUMN()</f>
        <v>211</v>
      </c>
      <c r="HD6" s="258">
        <f>COLUMN()</f>
        <v>212</v>
      </c>
      <c r="HE6" s="258">
        <f>COLUMN()</f>
        <v>213</v>
      </c>
      <c r="HF6" s="258">
        <f>COLUMN()</f>
        <v>214</v>
      </c>
      <c r="HG6" s="258">
        <f>COLUMN()</f>
        <v>215</v>
      </c>
      <c r="HH6" s="258">
        <f>COLUMN()</f>
        <v>216</v>
      </c>
      <c r="HI6" s="258">
        <f>COLUMN()</f>
        <v>217</v>
      </c>
      <c r="HJ6" s="258">
        <f>COLUMN()</f>
        <v>218</v>
      </c>
      <c r="HK6" s="258">
        <f>COLUMN()</f>
        <v>219</v>
      </c>
      <c r="HL6" s="258">
        <f>COLUMN()</f>
        <v>220</v>
      </c>
      <c r="HM6" s="258">
        <f>COLUMN()</f>
        <v>221</v>
      </c>
      <c r="HN6" s="258">
        <f>COLUMN()</f>
        <v>222</v>
      </c>
      <c r="HO6" s="258">
        <f>COLUMN()</f>
        <v>223</v>
      </c>
      <c r="HP6" s="258">
        <f>COLUMN()</f>
        <v>224</v>
      </c>
      <c r="HQ6" s="258">
        <f>COLUMN()</f>
        <v>225</v>
      </c>
      <c r="HR6" s="258">
        <f>COLUMN()</f>
        <v>226</v>
      </c>
      <c r="HS6" s="258">
        <f>COLUMN()</f>
        <v>227</v>
      </c>
      <c r="HT6" s="258">
        <f>COLUMN()</f>
        <v>228</v>
      </c>
      <c r="HU6" s="258">
        <f>COLUMN()</f>
        <v>229</v>
      </c>
    </row>
    <row r="7" spans="1:229" ht="15" customHeight="1">
      <c r="A7" s="264" t="s">
        <v>1119</v>
      </c>
      <c r="B7" s="264" t="s">
        <v>1120</v>
      </c>
      <c r="C7" s="264" t="s">
        <v>1121</v>
      </c>
      <c r="D7" s="264" t="s">
        <v>1122</v>
      </c>
      <c r="E7" s="265"/>
      <c r="F7" s="264" t="s">
        <v>1123</v>
      </c>
      <c r="G7" s="264" t="s">
        <v>1124</v>
      </c>
      <c r="H7" s="266"/>
      <c r="I7" s="267">
        <v>7</v>
      </c>
      <c r="J7" s="267"/>
      <c r="K7" s="267"/>
      <c r="L7" s="267"/>
      <c r="M7" s="268">
        <v>7</v>
      </c>
      <c r="N7" s="268">
        <v>6</v>
      </c>
      <c r="O7" s="268">
        <v>16</v>
      </c>
      <c r="P7" s="268">
        <v>17</v>
      </c>
      <c r="Q7" s="268">
        <v>18</v>
      </c>
      <c r="R7" s="268">
        <v>19</v>
      </c>
      <c r="S7" s="268">
        <v>20</v>
      </c>
      <c r="T7" s="268">
        <v>15</v>
      </c>
      <c r="U7" s="268">
        <v>22</v>
      </c>
      <c r="V7" s="268">
        <v>23</v>
      </c>
      <c r="W7" s="268">
        <v>24</v>
      </c>
      <c r="X7" s="268">
        <v>25</v>
      </c>
      <c r="Y7" s="268">
        <v>26</v>
      </c>
      <c r="Z7" s="268">
        <v>21</v>
      </c>
      <c r="AA7" s="268">
        <v>28</v>
      </c>
      <c r="AB7" s="268">
        <v>29</v>
      </c>
      <c r="AC7" s="268">
        <v>30</v>
      </c>
      <c r="AD7" s="268">
        <v>31</v>
      </c>
      <c r="AE7" s="268">
        <v>32</v>
      </c>
      <c r="AF7" s="268">
        <v>34</v>
      </c>
      <c r="AG7" s="268">
        <v>35</v>
      </c>
      <c r="AH7" s="268">
        <v>36</v>
      </c>
      <c r="AI7" s="268">
        <v>37</v>
      </c>
      <c r="AJ7" s="268">
        <v>38</v>
      </c>
      <c r="AL7" s="268">
        <v>46</v>
      </c>
      <c r="AM7" s="268">
        <v>47</v>
      </c>
      <c r="AN7" s="268">
        <v>48</v>
      </c>
      <c r="AO7" s="268">
        <v>49</v>
      </c>
      <c r="AP7" s="268">
        <v>50</v>
      </c>
      <c r="AQ7" s="268">
        <v>45</v>
      </c>
      <c r="AR7" s="268">
        <v>52</v>
      </c>
      <c r="AS7" s="268">
        <v>53</v>
      </c>
      <c r="AT7" s="268">
        <v>54</v>
      </c>
      <c r="AU7" s="268">
        <v>55</v>
      </c>
      <c r="AV7" s="268">
        <v>56</v>
      </c>
      <c r="AW7" s="268">
        <v>51</v>
      </c>
      <c r="BB7" s="268">
        <v>58</v>
      </c>
      <c r="BC7" s="268">
        <v>8</v>
      </c>
      <c r="BE7" s="268">
        <v>69</v>
      </c>
      <c r="BF7" s="268">
        <v>70</v>
      </c>
      <c r="BG7" s="268">
        <v>71</v>
      </c>
      <c r="BH7" s="268">
        <v>72</v>
      </c>
      <c r="BI7" s="268">
        <v>73</v>
      </c>
      <c r="BJ7" s="268">
        <v>126</v>
      </c>
      <c r="BK7" s="268">
        <v>127</v>
      </c>
      <c r="BL7" s="268">
        <v>128</v>
      </c>
      <c r="BM7" s="268">
        <v>129</v>
      </c>
      <c r="BN7" s="268">
        <v>130</v>
      </c>
      <c r="BO7" s="268">
        <v>125</v>
      </c>
      <c r="BP7" s="268">
        <v>59</v>
      </c>
      <c r="BQ7" s="268">
        <v>60</v>
      </c>
      <c r="BR7" s="268">
        <v>61</v>
      </c>
      <c r="BS7" s="268">
        <v>62</v>
      </c>
      <c r="BT7" s="268">
        <v>63</v>
      </c>
      <c r="BU7" s="268">
        <v>64</v>
      </c>
      <c r="BV7" s="268">
        <v>65</v>
      </c>
      <c r="BW7" s="268">
        <v>66</v>
      </c>
      <c r="BX7" s="268">
        <v>67</v>
      </c>
      <c r="BY7" s="268">
        <v>68</v>
      </c>
      <c r="BZ7" s="268">
        <v>2</v>
      </c>
      <c r="CA7" s="268">
        <v>3</v>
      </c>
      <c r="CB7" s="268">
        <v>18</v>
      </c>
      <c r="CC7" s="268">
        <v>8</v>
      </c>
      <c r="CE7" s="268">
        <v>17</v>
      </c>
      <c r="CF7" s="268">
        <v>19</v>
      </c>
      <c r="CH7" s="268">
        <v>25</v>
      </c>
      <c r="CJ7" s="268">
        <v>4</v>
      </c>
      <c r="CK7" s="268">
        <v>12</v>
      </c>
      <c r="CL7" s="268">
        <v>16</v>
      </c>
      <c r="CN7" s="268">
        <v>29</v>
      </c>
      <c r="CQ7" s="268">
        <v>76</v>
      </c>
      <c r="CR7" s="268">
        <v>5</v>
      </c>
      <c r="CS7" s="268">
        <v>13</v>
      </c>
      <c r="CV7" s="268">
        <v>26</v>
      </c>
      <c r="CW7" s="268">
        <v>75</v>
      </c>
      <c r="CX7" s="268">
        <v>27</v>
      </c>
      <c r="DB7" s="268">
        <v>28</v>
      </c>
      <c r="DE7" s="269"/>
      <c r="DF7" s="269">
        <v>20</v>
      </c>
      <c r="DG7" s="269"/>
      <c r="DH7" s="269"/>
      <c r="DI7" s="268"/>
      <c r="DJ7" s="268">
        <v>23</v>
      </c>
      <c r="DK7" s="268">
        <v>14</v>
      </c>
      <c r="DL7" s="268">
        <v>15</v>
      </c>
      <c r="DM7" s="268"/>
      <c r="DN7" s="268"/>
      <c r="DO7" s="268">
        <v>22</v>
      </c>
      <c r="DP7" s="268"/>
      <c r="DQ7" s="268"/>
      <c r="DR7" s="268">
        <v>21</v>
      </c>
      <c r="DS7" s="268"/>
      <c r="DT7" s="268"/>
      <c r="DU7" s="269"/>
      <c r="DV7" s="269"/>
      <c r="DW7" s="269"/>
      <c r="DX7" s="268"/>
      <c r="DY7" s="268"/>
      <c r="DZ7" s="268"/>
      <c r="EA7" s="268"/>
      <c r="EB7" s="268"/>
      <c r="EC7" s="268"/>
      <c r="ED7" s="268"/>
      <c r="EE7" s="268"/>
      <c r="EF7" s="268"/>
      <c r="EG7" s="268"/>
      <c r="EH7" s="268"/>
      <c r="EI7" s="268"/>
      <c r="EJ7" s="268"/>
      <c r="EK7" s="268"/>
      <c r="EL7" s="268"/>
      <c r="EM7" s="268"/>
      <c r="EN7" s="268"/>
      <c r="EO7" s="268"/>
      <c r="EP7" s="268"/>
      <c r="EQ7" s="268"/>
      <c r="ER7" s="268"/>
      <c r="ES7" s="268"/>
      <c r="ET7" s="269"/>
      <c r="EU7" s="268"/>
      <c r="EV7" s="268"/>
      <c r="EW7" s="268"/>
      <c r="EX7" s="268"/>
      <c r="EY7" s="268"/>
      <c r="EZ7" s="268"/>
      <c r="FA7" s="268"/>
      <c r="FB7" s="268"/>
      <c r="FC7" s="268"/>
      <c r="FD7" s="268"/>
      <c r="FE7" s="268"/>
      <c r="FF7" s="268"/>
      <c r="FG7" s="268"/>
      <c r="FH7" s="268"/>
      <c r="FI7" s="268"/>
      <c r="FJ7" s="268"/>
      <c r="FK7" s="268"/>
      <c r="FL7" s="268"/>
      <c r="FM7" s="268"/>
      <c r="FN7" s="268"/>
      <c r="FO7" s="268"/>
      <c r="FP7" s="268"/>
      <c r="FQ7" s="268"/>
      <c r="FR7" s="268"/>
      <c r="FS7" s="268"/>
      <c r="FT7" s="268"/>
      <c r="FU7" s="268"/>
      <c r="FV7" s="268"/>
      <c r="FW7" s="268"/>
      <c r="FX7" s="268"/>
      <c r="FY7" s="268"/>
      <c r="FZ7" s="268"/>
      <c r="GA7" s="268"/>
      <c r="GB7" s="268"/>
      <c r="GC7" s="268"/>
      <c r="GD7" s="268"/>
      <c r="GE7" s="268"/>
      <c r="GF7" s="268"/>
      <c r="GG7" s="268"/>
      <c r="GH7" s="268"/>
      <c r="GI7" s="268"/>
      <c r="GJ7" s="268"/>
      <c r="GK7" s="268"/>
      <c r="HL7" s="268"/>
      <c r="HM7" s="268"/>
      <c r="HN7" s="268"/>
      <c r="HO7" s="268"/>
      <c r="HP7" s="268"/>
    </row>
    <row r="8" spans="1:229" s="271" customFormat="1" ht="15" customHeight="1">
      <c r="C8" s="272"/>
      <c r="E8" s="273"/>
      <c r="F8" s="273"/>
      <c r="I8" s="348" t="s">
        <v>1125</v>
      </c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49"/>
      <c r="AM8" s="349"/>
      <c r="AN8" s="349"/>
      <c r="AO8" s="349"/>
      <c r="AP8" s="349"/>
      <c r="AQ8" s="349"/>
      <c r="AR8" s="349"/>
      <c r="AS8" s="349"/>
      <c r="AT8" s="349"/>
      <c r="AU8" s="349"/>
      <c r="AV8" s="349"/>
      <c r="AW8" s="349"/>
      <c r="AX8" s="349"/>
      <c r="AY8" s="349"/>
      <c r="AZ8" s="349"/>
      <c r="BA8" s="349"/>
      <c r="BB8" s="349"/>
      <c r="BC8" s="349"/>
      <c r="BD8" s="350"/>
      <c r="BE8" s="351" t="s">
        <v>1126</v>
      </c>
      <c r="BF8" s="351"/>
      <c r="BG8" s="351"/>
      <c r="BH8" s="351"/>
      <c r="BI8" s="351"/>
      <c r="BJ8" s="351"/>
      <c r="BK8" s="351"/>
      <c r="BL8" s="351"/>
      <c r="BM8" s="351"/>
      <c r="BN8" s="351"/>
      <c r="BO8" s="351"/>
      <c r="BP8" s="351"/>
      <c r="BQ8" s="351"/>
      <c r="BR8" s="351"/>
      <c r="BS8" s="351"/>
      <c r="BT8" s="351"/>
      <c r="BU8" s="351"/>
      <c r="BV8" s="351"/>
      <c r="BW8" s="351"/>
      <c r="BX8" s="351"/>
      <c r="BY8" s="351"/>
      <c r="BZ8" s="352" t="s">
        <v>1127</v>
      </c>
      <c r="CA8" s="352"/>
      <c r="CB8" s="352"/>
      <c r="CC8" s="352"/>
      <c r="CD8" s="352"/>
      <c r="CE8" s="352"/>
      <c r="CF8" s="352"/>
      <c r="CG8" s="352"/>
      <c r="CH8" s="352"/>
      <c r="CI8" s="352"/>
      <c r="CJ8" s="352"/>
      <c r="CK8" s="353"/>
      <c r="CL8" s="354" t="s">
        <v>1128</v>
      </c>
      <c r="CM8" s="354"/>
      <c r="CN8" s="354"/>
      <c r="CO8" s="354"/>
      <c r="CP8" s="354"/>
      <c r="CQ8" s="327" t="s">
        <v>1872</v>
      </c>
      <c r="CR8" s="328"/>
      <c r="CS8" s="328"/>
      <c r="CT8" s="329"/>
      <c r="CU8" s="274"/>
      <c r="CV8" s="355" t="s">
        <v>1129</v>
      </c>
      <c r="CW8" s="355"/>
      <c r="CX8" s="355"/>
      <c r="CY8" s="355"/>
      <c r="CZ8" s="355"/>
      <c r="DA8" s="355"/>
      <c r="DB8" s="355"/>
      <c r="DC8" s="275"/>
      <c r="DD8" s="335">
        <v>5</v>
      </c>
      <c r="DE8" s="336"/>
      <c r="DF8" s="336"/>
      <c r="DG8" s="336"/>
      <c r="DH8" s="336"/>
      <c r="DI8" s="336"/>
      <c r="DJ8" s="336"/>
      <c r="DK8" s="336"/>
      <c r="DL8" s="336"/>
      <c r="DM8" s="336"/>
      <c r="DN8" s="336"/>
      <c r="DO8" s="336"/>
      <c r="DP8" s="336"/>
      <c r="DQ8" s="336"/>
      <c r="DR8" s="336"/>
      <c r="DS8" s="336"/>
      <c r="DT8" s="337"/>
      <c r="DU8" s="338" t="s">
        <v>1130</v>
      </c>
      <c r="DV8" s="339"/>
      <c r="DW8" s="339"/>
      <c r="DX8" s="339"/>
      <c r="DY8" s="339"/>
      <c r="DZ8" s="339"/>
      <c r="EA8" s="339"/>
      <c r="EB8" s="339"/>
      <c r="EC8" s="276"/>
      <c r="ED8" s="276"/>
      <c r="EE8" s="276"/>
      <c r="EF8" s="276"/>
      <c r="EG8" s="340" t="s">
        <v>1131</v>
      </c>
      <c r="EH8" s="340"/>
      <c r="EI8" s="340"/>
      <c r="EJ8" s="340"/>
      <c r="EK8" s="340"/>
      <c r="EL8" s="340"/>
      <c r="EM8" s="340"/>
      <c r="EN8" s="338" t="s">
        <v>1132</v>
      </c>
      <c r="EO8" s="339"/>
      <c r="EP8" s="339"/>
      <c r="EQ8" s="339"/>
      <c r="ER8" s="339"/>
      <c r="ES8" s="339"/>
      <c r="ET8" s="339"/>
      <c r="EU8" s="339"/>
      <c r="EV8" s="339"/>
      <c r="EW8" s="339"/>
      <c r="EX8" s="339"/>
      <c r="EY8" s="339"/>
      <c r="EZ8" s="338" t="s">
        <v>1133</v>
      </c>
      <c r="FA8" s="339"/>
      <c r="FB8" s="339"/>
      <c r="FC8" s="339"/>
      <c r="FD8" s="339"/>
      <c r="FE8" s="339"/>
      <c r="FF8" s="339"/>
      <c r="FG8" s="339"/>
      <c r="FH8" s="326"/>
      <c r="FI8" s="341" t="s">
        <v>1134</v>
      </c>
      <c r="FJ8" s="342"/>
      <c r="FK8" s="338" t="s">
        <v>1135</v>
      </c>
      <c r="FL8" s="339"/>
      <c r="FM8" s="339"/>
      <c r="FN8" s="326"/>
      <c r="FO8" s="338" t="s">
        <v>1136</v>
      </c>
      <c r="FP8" s="326"/>
      <c r="FQ8" s="324" t="s">
        <v>1137</v>
      </c>
      <c r="FR8" s="326"/>
      <c r="FS8" s="322" t="s">
        <v>1138</v>
      </c>
      <c r="FT8" s="323"/>
      <c r="FU8" s="324" t="s">
        <v>1139</v>
      </c>
      <c r="FV8" s="325"/>
      <c r="FW8" s="325"/>
      <c r="FX8" s="326"/>
      <c r="FY8" s="327" t="s">
        <v>1140</v>
      </c>
      <c r="FZ8" s="328"/>
      <c r="GA8" s="328"/>
      <c r="GB8" s="328"/>
      <c r="GC8" s="328"/>
      <c r="GD8" s="328"/>
      <c r="GE8" s="328"/>
      <c r="GF8" s="328"/>
      <c r="GG8" s="328"/>
      <c r="GH8" s="328"/>
      <c r="GI8" s="328"/>
      <c r="GJ8" s="328"/>
      <c r="GK8" s="329"/>
      <c r="GL8" s="330" t="s">
        <v>1141</v>
      </c>
      <c r="GM8" s="328"/>
      <c r="GN8" s="328"/>
      <c r="GO8" s="328"/>
      <c r="GP8" s="328"/>
      <c r="GQ8" s="328"/>
      <c r="GR8" s="328"/>
      <c r="GS8" s="328"/>
      <c r="GT8" s="328"/>
      <c r="GU8" s="328"/>
      <c r="GV8" s="328"/>
      <c r="GW8" s="328"/>
      <c r="GX8" s="328"/>
      <c r="GY8" s="328"/>
      <c r="GZ8" s="328"/>
      <c r="HA8" s="328"/>
      <c r="HB8" s="328"/>
      <c r="HC8" s="328"/>
      <c r="HD8" s="328"/>
      <c r="HE8" s="328"/>
      <c r="HF8" s="328"/>
      <c r="HG8" s="328"/>
      <c r="HH8" s="328"/>
      <c r="HI8" s="328"/>
      <c r="HJ8" s="328"/>
      <c r="HK8" s="329"/>
      <c r="HL8" s="274"/>
      <c r="HM8" s="274"/>
      <c r="HN8" s="274"/>
      <c r="HO8" s="274"/>
      <c r="HP8" s="277"/>
    </row>
    <row r="9" spans="1:229" s="271" customFormat="1" ht="42.75" customHeight="1">
      <c r="A9" s="315" t="s">
        <v>1142</v>
      </c>
      <c r="B9" s="315" t="s">
        <v>1143</v>
      </c>
      <c r="C9" s="315" t="s">
        <v>1144</v>
      </c>
      <c r="D9" s="315" t="s">
        <v>1145</v>
      </c>
      <c r="E9" s="315" t="s">
        <v>1146</v>
      </c>
      <c r="F9" s="315" t="s">
        <v>1147</v>
      </c>
      <c r="G9" s="315" t="s">
        <v>1148</v>
      </c>
      <c r="H9" s="315" t="s">
        <v>1149</v>
      </c>
      <c r="I9" s="319" t="s">
        <v>1150</v>
      </c>
      <c r="J9" s="320"/>
      <c r="K9" s="320"/>
      <c r="L9" s="321"/>
      <c r="M9" s="315" t="s">
        <v>1151</v>
      </c>
      <c r="N9" s="315" t="s">
        <v>1152</v>
      </c>
      <c r="O9" s="315" t="s">
        <v>1153</v>
      </c>
      <c r="P9" s="315"/>
      <c r="Q9" s="315"/>
      <c r="R9" s="315"/>
      <c r="S9" s="315"/>
      <c r="T9" s="315"/>
      <c r="U9" s="315" t="s">
        <v>1154</v>
      </c>
      <c r="V9" s="315"/>
      <c r="W9" s="315"/>
      <c r="X9" s="315"/>
      <c r="Y9" s="315"/>
      <c r="Z9" s="315"/>
      <c r="AA9" s="315" t="s">
        <v>1155</v>
      </c>
      <c r="AB9" s="315"/>
      <c r="AC9" s="315"/>
      <c r="AD9" s="315"/>
      <c r="AE9" s="315"/>
      <c r="AF9" s="315" t="s">
        <v>1156</v>
      </c>
      <c r="AG9" s="315"/>
      <c r="AH9" s="315"/>
      <c r="AI9" s="315"/>
      <c r="AJ9" s="315"/>
      <c r="AK9" s="315"/>
      <c r="AL9" s="315" t="s">
        <v>1157</v>
      </c>
      <c r="AM9" s="315"/>
      <c r="AN9" s="315"/>
      <c r="AO9" s="315"/>
      <c r="AP9" s="315"/>
      <c r="AQ9" s="315"/>
      <c r="AR9" s="315" t="s">
        <v>1158</v>
      </c>
      <c r="AS9" s="315"/>
      <c r="AT9" s="315"/>
      <c r="AU9" s="315"/>
      <c r="AV9" s="315"/>
      <c r="AW9" s="315"/>
      <c r="AX9" s="333" t="s">
        <v>1159</v>
      </c>
      <c r="AY9" s="333" t="s">
        <v>1160</v>
      </c>
      <c r="AZ9" s="333" t="s">
        <v>1161</v>
      </c>
      <c r="BA9" s="333" t="s">
        <v>1162</v>
      </c>
      <c r="BB9" s="333" t="s">
        <v>1163</v>
      </c>
      <c r="BC9" s="309" t="s">
        <v>1164</v>
      </c>
      <c r="BD9" s="309" t="s">
        <v>1165</v>
      </c>
      <c r="BE9" s="315" t="s">
        <v>1166</v>
      </c>
      <c r="BF9" s="315"/>
      <c r="BG9" s="315"/>
      <c r="BH9" s="315"/>
      <c r="BI9" s="315"/>
      <c r="BJ9" s="319" t="s">
        <v>1167</v>
      </c>
      <c r="BK9" s="320"/>
      <c r="BL9" s="320"/>
      <c r="BM9" s="320"/>
      <c r="BN9" s="320"/>
      <c r="BO9" s="321"/>
      <c r="BP9" s="315" t="s">
        <v>1168</v>
      </c>
      <c r="BQ9" s="315"/>
      <c r="BR9" s="315"/>
      <c r="BS9" s="315"/>
      <c r="BT9" s="315"/>
      <c r="BU9" s="315" t="s">
        <v>1169</v>
      </c>
      <c r="BV9" s="315"/>
      <c r="BW9" s="315"/>
      <c r="BX9" s="315"/>
      <c r="BY9" s="315"/>
      <c r="BZ9" s="309" t="s">
        <v>1170</v>
      </c>
      <c r="CA9" s="315" t="s">
        <v>1171</v>
      </c>
      <c r="CB9" s="315" t="s">
        <v>1172</v>
      </c>
      <c r="CC9" s="315" t="s">
        <v>1173</v>
      </c>
      <c r="CD9" s="315" t="s">
        <v>1174</v>
      </c>
      <c r="CE9" s="315" t="s">
        <v>1175</v>
      </c>
      <c r="CF9" s="315" t="s">
        <v>1176</v>
      </c>
      <c r="CG9" s="315" t="s">
        <v>1177</v>
      </c>
      <c r="CH9" s="315" t="s">
        <v>1178</v>
      </c>
      <c r="CI9" s="315" t="s">
        <v>1179</v>
      </c>
      <c r="CJ9" s="315" t="s">
        <v>1180</v>
      </c>
      <c r="CK9" s="315" t="s">
        <v>1181</v>
      </c>
      <c r="CL9" s="315" t="s">
        <v>1182</v>
      </c>
      <c r="CM9" s="315" t="s">
        <v>1183</v>
      </c>
      <c r="CN9" s="315" t="s">
        <v>1184</v>
      </c>
      <c r="CO9" s="315" t="s">
        <v>1185</v>
      </c>
      <c r="CP9" s="315" t="s">
        <v>1186</v>
      </c>
      <c r="CQ9" s="318" t="s">
        <v>1873</v>
      </c>
      <c r="CR9" s="315" t="s">
        <v>1187</v>
      </c>
      <c r="CS9" s="311" t="s">
        <v>1188</v>
      </c>
      <c r="CT9" s="312"/>
      <c r="CU9" s="315" t="s">
        <v>1189</v>
      </c>
      <c r="CV9" s="315" t="s">
        <v>1190</v>
      </c>
      <c r="CW9" s="315" t="s">
        <v>1191</v>
      </c>
      <c r="CX9" s="315" t="s">
        <v>1192</v>
      </c>
      <c r="CY9" s="315" t="s">
        <v>1193</v>
      </c>
      <c r="CZ9" s="315" t="s">
        <v>1194</v>
      </c>
      <c r="DA9" s="315" t="s">
        <v>1195</v>
      </c>
      <c r="DB9" s="315" t="s">
        <v>1196</v>
      </c>
      <c r="DC9" s="315" t="s">
        <v>1197</v>
      </c>
      <c r="DD9" s="315" t="s">
        <v>1198</v>
      </c>
      <c r="DE9" s="309" t="s">
        <v>1199</v>
      </c>
      <c r="DF9" s="309" t="s">
        <v>1200</v>
      </c>
      <c r="DG9" s="309"/>
      <c r="DH9" s="316" t="s">
        <v>1201</v>
      </c>
      <c r="DI9" s="309" t="s">
        <v>1202</v>
      </c>
      <c r="DJ9" s="309" t="s">
        <v>1203</v>
      </c>
      <c r="DK9" s="309" t="s">
        <v>1204</v>
      </c>
      <c r="DL9" s="309" t="s">
        <v>1205</v>
      </c>
      <c r="DM9" s="309" t="s">
        <v>1206</v>
      </c>
      <c r="DN9" s="309" t="s">
        <v>1207</v>
      </c>
      <c r="DO9" s="309" t="s">
        <v>1208</v>
      </c>
      <c r="DP9" s="309" t="s">
        <v>1209</v>
      </c>
      <c r="DQ9" s="309" t="s">
        <v>1210</v>
      </c>
      <c r="DR9" s="310" t="s">
        <v>1853</v>
      </c>
      <c r="DS9" s="309" t="s">
        <v>1211</v>
      </c>
      <c r="DT9" s="309" t="s">
        <v>1212</v>
      </c>
      <c r="DU9" s="309" t="s">
        <v>1213</v>
      </c>
      <c r="DV9" s="309" t="s">
        <v>1214</v>
      </c>
      <c r="DW9" s="309" t="s">
        <v>1215</v>
      </c>
      <c r="DX9" s="309" t="s">
        <v>1216</v>
      </c>
      <c r="DY9" s="309" t="s">
        <v>1217</v>
      </c>
      <c r="DZ9" s="309" t="s">
        <v>1218</v>
      </c>
      <c r="EA9" s="309" t="s">
        <v>1219</v>
      </c>
      <c r="EB9" s="316" t="s">
        <v>1220</v>
      </c>
      <c r="EC9" s="316" t="s">
        <v>1221</v>
      </c>
      <c r="ED9" s="316" t="s">
        <v>1222</v>
      </c>
      <c r="EE9" s="316" t="s">
        <v>1223</v>
      </c>
      <c r="EF9" s="316" t="s">
        <v>1224</v>
      </c>
      <c r="EG9" s="309" t="s">
        <v>1225</v>
      </c>
      <c r="EH9" s="309" t="s">
        <v>1226</v>
      </c>
      <c r="EI9" s="309" t="s">
        <v>1227</v>
      </c>
      <c r="EJ9" s="309" t="s">
        <v>1228</v>
      </c>
      <c r="EK9" s="309" t="s">
        <v>1229</v>
      </c>
      <c r="EL9" s="309" t="s">
        <v>1221</v>
      </c>
      <c r="EM9" s="309" t="s">
        <v>1230</v>
      </c>
      <c r="EN9" s="309" t="s">
        <v>1231</v>
      </c>
      <c r="EO9" s="309" t="s">
        <v>1232</v>
      </c>
      <c r="EP9" s="309" t="s">
        <v>1149</v>
      </c>
      <c r="EQ9" s="309" t="s">
        <v>1233</v>
      </c>
      <c r="ER9" s="309" t="s">
        <v>1234</v>
      </c>
      <c r="ES9" s="309" t="s">
        <v>1235</v>
      </c>
      <c r="ET9" s="309" t="s">
        <v>1218</v>
      </c>
      <c r="EU9" s="309" t="s">
        <v>1219</v>
      </c>
      <c r="EV9" s="309" t="s">
        <v>1236</v>
      </c>
      <c r="EW9" s="309" t="s">
        <v>1237</v>
      </c>
      <c r="EX9" s="309" t="s">
        <v>1238</v>
      </c>
      <c r="EY9" s="309" t="s">
        <v>1220</v>
      </c>
      <c r="EZ9" s="309" t="s">
        <v>1239</v>
      </c>
      <c r="FA9" s="309" t="s">
        <v>1240</v>
      </c>
      <c r="FB9" s="309" t="s">
        <v>1241</v>
      </c>
      <c r="FC9" s="309" t="s">
        <v>1149</v>
      </c>
      <c r="FD9" s="309" t="s">
        <v>1242</v>
      </c>
      <c r="FE9" s="309" t="s">
        <v>1243</v>
      </c>
      <c r="FF9" s="309" t="s">
        <v>1244</v>
      </c>
      <c r="FG9" s="309" t="s">
        <v>1220</v>
      </c>
      <c r="FH9" s="309" t="s">
        <v>1218</v>
      </c>
      <c r="FI9" s="309" t="s">
        <v>1245</v>
      </c>
      <c r="FJ9" s="309" t="s">
        <v>1149</v>
      </c>
      <c r="FK9" s="309" t="s">
        <v>1246</v>
      </c>
      <c r="FL9" s="309" t="s">
        <v>1149</v>
      </c>
      <c r="FM9" s="309" t="s">
        <v>1247</v>
      </c>
      <c r="FN9" s="309" t="s">
        <v>1149</v>
      </c>
      <c r="FO9" s="278" t="s">
        <v>1136</v>
      </c>
      <c r="FP9" s="278"/>
      <c r="FQ9" s="309" t="s">
        <v>1137</v>
      </c>
      <c r="FR9" s="309" t="s">
        <v>1149</v>
      </c>
      <c r="FS9" s="309" t="s">
        <v>1248</v>
      </c>
      <c r="FT9" s="309" t="s">
        <v>1149</v>
      </c>
      <c r="FU9" s="309" t="s">
        <v>1249</v>
      </c>
      <c r="FV9" s="309" t="s">
        <v>1250</v>
      </c>
      <c r="FW9" s="309" t="s">
        <v>1251</v>
      </c>
      <c r="FX9" s="309" t="s">
        <v>1252</v>
      </c>
      <c r="FY9" s="327" t="s">
        <v>1253</v>
      </c>
      <c r="FZ9" s="328"/>
      <c r="GA9" s="328"/>
      <c r="GB9" s="328"/>
      <c r="GC9" s="329"/>
      <c r="GD9" s="316" t="s">
        <v>1254</v>
      </c>
      <c r="GE9" s="316" t="s">
        <v>1255</v>
      </c>
      <c r="GF9" s="316" t="s">
        <v>1256</v>
      </c>
      <c r="GG9" s="331" t="s">
        <v>1257</v>
      </c>
      <c r="GH9" s="332"/>
      <c r="GI9" s="278" t="s">
        <v>1258</v>
      </c>
      <c r="GJ9" s="278" t="s">
        <v>1258</v>
      </c>
      <c r="GK9" s="278" t="s">
        <v>1258</v>
      </c>
      <c r="GL9" s="315" t="s">
        <v>1259</v>
      </c>
      <c r="GM9" s="315" t="s">
        <v>1260</v>
      </c>
      <c r="GN9" s="315" t="s">
        <v>1261</v>
      </c>
      <c r="GO9" s="315" t="s">
        <v>1262</v>
      </c>
      <c r="GP9" s="315" t="s">
        <v>1263</v>
      </c>
      <c r="GQ9" s="315" t="s">
        <v>1264</v>
      </c>
      <c r="GR9" s="315" t="s">
        <v>1265</v>
      </c>
      <c r="GS9" s="315" t="s">
        <v>1266</v>
      </c>
      <c r="GT9" s="315" t="s">
        <v>1267</v>
      </c>
      <c r="GU9" s="315" t="s">
        <v>1268</v>
      </c>
      <c r="GV9" s="315" t="s">
        <v>1269</v>
      </c>
      <c r="GW9" s="315" t="s">
        <v>1270</v>
      </c>
      <c r="GX9" s="315" t="s">
        <v>1271</v>
      </c>
      <c r="GY9" s="315" t="s">
        <v>1238</v>
      </c>
      <c r="GZ9" s="315" t="s">
        <v>1272</v>
      </c>
      <c r="HA9" s="315" t="s">
        <v>1273</v>
      </c>
      <c r="HB9" s="315" t="s">
        <v>1274</v>
      </c>
      <c r="HC9" s="315" t="s">
        <v>1275</v>
      </c>
      <c r="HD9" s="315" t="s">
        <v>1276</v>
      </c>
      <c r="HE9" s="315" t="s">
        <v>1277</v>
      </c>
      <c r="HF9" s="315" t="s">
        <v>1278</v>
      </c>
      <c r="HG9" s="315" t="s">
        <v>1279</v>
      </c>
      <c r="HH9" s="315" t="s">
        <v>1280</v>
      </c>
      <c r="HI9" s="315" t="s">
        <v>1281</v>
      </c>
      <c r="HJ9" s="315" t="s">
        <v>1282</v>
      </c>
      <c r="HK9" s="315" t="s">
        <v>1283</v>
      </c>
      <c r="HL9" s="309" t="s">
        <v>1210</v>
      </c>
      <c r="HM9" s="309" t="s">
        <v>1205</v>
      </c>
      <c r="HN9" s="309" t="s">
        <v>1206</v>
      </c>
      <c r="HO9" s="309" t="s">
        <v>1284</v>
      </c>
      <c r="HP9" s="309" t="s">
        <v>1285</v>
      </c>
      <c r="HQ9" s="309" t="s">
        <v>1286</v>
      </c>
      <c r="HR9" s="309" t="s">
        <v>1287</v>
      </c>
      <c r="HS9" s="309" t="s">
        <v>1288</v>
      </c>
      <c r="HT9" s="309" t="s">
        <v>1289</v>
      </c>
      <c r="HU9" s="310" t="s">
        <v>1290</v>
      </c>
    </row>
    <row r="10" spans="1:229" s="271" customFormat="1" ht="37.5">
      <c r="A10" s="315"/>
      <c r="B10" s="315"/>
      <c r="C10" s="315"/>
      <c r="D10" s="315"/>
      <c r="E10" s="315"/>
      <c r="F10" s="315"/>
      <c r="G10" s="315"/>
      <c r="H10" s="315"/>
      <c r="I10" s="279" t="s">
        <v>1291</v>
      </c>
      <c r="J10" s="279" t="s">
        <v>1292</v>
      </c>
      <c r="K10" s="279" t="s">
        <v>1293</v>
      </c>
      <c r="L10" s="279" t="s">
        <v>1294</v>
      </c>
      <c r="M10" s="315"/>
      <c r="N10" s="315"/>
      <c r="O10" s="280" t="s">
        <v>1295</v>
      </c>
      <c r="P10" s="280" t="s">
        <v>1296</v>
      </c>
      <c r="Q10" s="280" t="s">
        <v>1297</v>
      </c>
      <c r="R10" s="280" t="s">
        <v>1298</v>
      </c>
      <c r="S10" s="280" t="s">
        <v>1299</v>
      </c>
      <c r="T10" s="279" t="s">
        <v>1300</v>
      </c>
      <c r="U10" s="280" t="s">
        <v>1295</v>
      </c>
      <c r="V10" s="280" t="s">
        <v>1296</v>
      </c>
      <c r="W10" s="280" t="s">
        <v>1297</v>
      </c>
      <c r="X10" s="280" t="s">
        <v>1298</v>
      </c>
      <c r="Y10" s="280" t="s">
        <v>1299</v>
      </c>
      <c r="Z10" s="279" t="s">
        <v>1301</v>
      </c>
      <c r="AA10" s="280" t="s">
        <v>1295</v>
      </c>
      <c r="AB10" s="280" t="s">
        <v>1296</v>
      </c>
      <c r="AC10" s="280" t="s">
        <v>1297</v>
      </c>
      <c r="AD10" s="280" t="s">
        <v>1298</v>
      </c>
      <c r="AE10" s="280" t="s">
        <v>1299</v>
      </c>
      <c r="AF10" s="280" t="s">
        <v>1295</v>
      </c>
      <c r="AG10" s="280" t="s">
        <v>1296</v>
      </c>
      <c r="AH10" s="280" t="s">
        <v>1297</v>
      </c>
      <c r="AI10" s="280" t="s">
        <v>1298</v>
      </c>
      <c r="AJ10" s="280" t="s">
        <v>1299</v>
      </c>
      <c r="AK10" s="279" t="s">
        <v>1302</v>
      </c>
      <c r="AL10" s="280" t="s">
        <v>1295</v>
      </c>
      <c r="AM10" s="280" t="s">
        <v>1296</v>
      </c>
      <c r="AN10" s="280" t="s">
        <v>1297</v>
      </c>
      <c r="AO10" s="280" t="s">
        <v>1298</v>
      </c>
      <c r="AP10" s="280" t="s">
        <v>1299</v>
      </c>
      <c r="AQ10" s="279" t="s">
        <v>1303</v>
      </c>
      <c r="AR10" s="280" t="s">
        <v>1295</v>
      </c>
      <c r="AS10" s="280" t="s">
        <v>1296</v>
      </c>
      <c r="AT10" s="280" t="s">
        <v>1297</v>
      </c>
      <c r="AU10" s="280" t="s">
        <v>1298</v>
      </c>
      <c r="AV10" s="280" t="s">
        <v>1299</v>
      </c>
      <c r="AW10" s="279" t="s">
        <v>1304</v>
      </c>
      <c r="AX10" s="334"/>
      <c r="AY10" s="334"/>
      <c r="AZ10" s="334"/>
      <c r="BA10" s="334"/>
      <c r="BB10" s="334"/>
      <c r="BC10" s="309"/>
      <c r="BD10" s="309"/>
      <c r="BE10" s="280" t="s">
        <v>1295</v>
      </c>
      <c r="BF10" s="280" t="s">
        <v>1296</v>
      </c>
      <c r="BG10" s="280" t="s">
        <v>1297</v>
      </c>
      <c r="BH10" s="280" t="s">
        <v>1298</v>
      </c>
      <c r="BI10" s="280" t="s">
        <v>1299</v>
      </c>
      <c r="BJ10" s="280" t="s">
        <v>1295</v>
      </c>
      <c r="BK10" s="280" t="s">
        <v>1296</v>
      </c>
      <c r="BL10" s="280" t="s">
        <v>1297</v>
      </c>
      <c r="BM10" s="280" t="s">
        <v>1298</v>
      </c>
      <c r="BN10" s="280" t="s">
        <v>1299</v>
      </c>
      <c r="BO10" s="294" t="s">
        <v>1846</v>
      </c>
      <c r="BP10" s="280" t="s">
        <v>1295</v>
      </c>
      <c r="BQ10" s="280" t="s">
        <v>1296</v>
      </c>
      <c r="BR10" s="280" t="s">
        <v>1297</v>
      </c>
      <c r="BS10" s="280" t="s">
        <v>1298</v>
      </c>
      <c r="BT10" s="280" t="s">
        <v>1299</v>
      </c>
      <c r="BU10" s="280" t="s">
        <v>1295</v>
      </c>
      <c r="BV10" s="280" t="s">
        <v>1296</v>
      </c>
      <c r="BW10" s="280" t="s">
        <v>1297</v>
      </c>
      <c r="BX10" s="280" t="s">
        <v>1298</v>
      </c>
      <c r="BY10" s="280" t="s">
        <v>1299</v>
      </c>
      <c r="BZ10" s="309"/>
      <c r="CA10" s="315"/>
      <c r="CB10" s="315"/>
      <c r="CC10" s="315"/>
      <c r="CD10" s="315"/>
      <c r="CE10" s="315"/>
      <c r="CF10" s="315"/>
      <c r="CG10" s="315"/>
      <c r="CH10" s="315"/>
      <c r="CI10" s="315"/>
      <c r="CJ10" s="315"/>
      <c r="CK10" s="315"/>
      <c r="CL10" s="315"/>
      <c r="CM10" s="315"/>
      <c r="CN10" s="315"/>
      <c r="CO10" s="315"/>
      <c r="CP10" s="315"/>
      <c r="CQ10" s="315"/>
      <c r="CR10" s="315"/>
      <c r="CS10" s="313"/>
      <c r="CT10" s="314"/>
      <c r="CU10" s="315"/>
      <c r="CV10" s="315"/>
      <c r="CW10" s="315"/>
      <c r="CX10" s="315"/>
      <c r="CY10" s="315"/>
      <c r="CZ10" s="315"/>
      <c r="DA10" s="315"/>
      <c r="DB10" s="315"/>
      <c r="DC10" s="315"/>
      <c r="DD10" s="315"/>
      <c r="DE10" s="309"/>
      <c r="DF10" s="281" t="s">
        <v>1305</v>
      </c>
      <c r="DG10" s="281"/>
      <c r="DH10" s="317"/>
      <c r="DI10" s="309"/>
      <c r="DJ10" s="309"/>
      <c r="DK10" s="309"/>
      <c r="DL10" s="309"/>
      <c r="DM10" s="309"/>
      <c r="DN10" s="309"/>
      <c r="DO10" s="309"/>
      <c r="DP10" s="309"/>
      <c r="DQ10" s="309"/>
      <c r="DR10" s="309"/>
      <c r="DS10" s="309"/>
      <c r="DT10" s="309"/>
      <c r="DU10" s="309"/>
      <c r="DV10" s="309"/>
      <c r="DW10" s="309"/>
      <c r="DX10" s="309"/>
      <c r="DY10" s="309"/>
      <c r="DZ10" s="309"/>
      <c r="EA10" s="309"/>
      <c r="EB10" s="317"/>
      <c r="EC10" s="317"/>
      <c r="ED10" s="317"/>
      <c r="EE10" s="317"/>
      <c r="EF10" s="317"/>
      <c r="EG10" s="309"/>
      <c r="EH10" s="309"/>
      <c r="EI10" s="309"/>
      <c r="EJ10" s="309"/>
      <c r="EK10" s="309"/>
      <c r="EL10" s="309"/>
      <c r="EM10" s="309"/>
      <c r="EN10" s="309"/>
      <c r="EO10" s="309"/>
      <c r="EP10" s="309"/>
      <c r="EQ10" s="309"/>
      <c r="ER10" s="309"/>
      <c r="ES10" s="309"/>
      <c r="ET10" s="309"/>
      <c r="EU10" s="309"/>
      <c r="EV10" s="309"/>
      <c r="EW10" s="309"/>
      <c r="EX10" s="309"/>
      <c r="EY10" s="309"/>
      <c r="EZ10" s="309"/>
      <c r="FA10" s="309"/>
      <c r="FB10" s="309"/>
      <c r="FC10" s="309"/>
      <c r="FD10" s="309"/>
      <c r="FE10" s="309"/>
      <c r="FF10" s="309"/>
      <c r="FG10" s="309"/>
      <c r="FH10" s="309"/>
      <c r="FI10" s="309"/>
      <c r="FJ10" s="309"/>
      <c r="FK10" s="309"/>
      <c r="FL10" s="309"/>
      <c r="FM10" s="309"/>
      <c r="FN10" s="309"/>
      <c r="FO10" s="278" t="s">
        <v>1261</v>
      </c>
      <c r="FP10" s="278" t="s">
        <v>1149</v>
      </c>
      <c r="FQ10" s="309"/>
      <c r="FR10" s="309"/>
      <c r="FS10" s="309"/>
      <c r="FT10" s="309"/>
      <c r="FU10" s="309"/>
      <c r="FV10" s="309"/>
      <c r="FW10" s="309"/>
      <c r="FX10" s="309"/>
      <c r="FY10" s="282" t="s">
        <v>1306</v>
      </c>
      <c r="FZ10" s="282" t="s">
        <v>1307</v>
      </c>
      <c r="GA10" s="282" t="s">
        <v>1308</v>
      </c>
      <c r="GB10" s="282" t="s">
        <v>1309</v>
      </c>
      <c r="GC10" s="282" t="s">
        <v>1310</v>
      </c>
      <c r="GD10" s="317"/>
      <c r="GE10" s="317"/>
      <c r="GF10" s="317"/>
      <c r="GG10" s="278" t="s">
        <v>1311</v>
      </c>
      <c r="GH10" s="283" t="s">
        <v>1312</v>
      </c>
      <c r="GI10" s="278">
        <v>1</v>
      </c>
      <c r="GJ10" s="278">
        <v>2</v>
      </c>
      <c r="GK10" s="278">
        <v>3</v>
      </c>
      <c r="GL10" s="315"/>
      <c r="GM10" s="315"/>
      <c r="GN10" s="315"/>
      <c r="GO10" s="315"/>
      <c r="GP10" s="315"/>
      <c r="GQ10" s="315"/>
      <c r="GR10" s="315"/>
      <c r="GS10" s="315"/>
      <c r="GT10" s="315"/>
      <c r="GU10" s="315"/>
      <c r="GV10" s="315"/>
      <c r="GW10" s="315"/>
      <c r="GX10" s="315"/>
      <c r="GY10" s="315"/>
      <c r="GZ10" s="315"/>
      <c r="HA10" s="315"/>
      <c r="HB10" s="315"/>
      <c r="HC10" s="315"/>
      <c r="HD10" s="315"/>
      <c r="HE10" s="315"/>
      <c r="HF10" s="315"/>
      <c r="HG10" s="315"/>
      <c r="HH10" s="315"/>
      <c r="HI10" s="315"/>
      <c r="HJ10" s="315"/>
      <c r="HK10" s="315"/>
      <c r="HL10" s="309"/>
      <c r="HM10" s="309"/>
      <c r="HN10" s="309"/>
      <c r="HO10" s="309"/>
      <c r="HP10" s="309"/>
      <c r="HQ10" s="309"/>
      <c r="HR10" s="309"/>
      <c r="HS10" s="309"/>
      <c r="HT10" s="309"/>
      <c r="HU10" s="309"/>
    </row>
    <row r="11" spans="1:229" s="291" customFormat="1" ht="30.75" customHeight="1">
      <c r="A11" s="190">
        <v>1</v>
      </c>
      <c r="B11" s="193" t="s">
        <v>1901</v>
      </c>
      <c r="C11" s="194" t="str">
        <f>VLOOKUP(神通数据源!$B11,Cv计算原始数据!$C:$ES,137,FALSE)</f>
        <v/>
      </c>
      <c r="D11" s="190" t="s">
        <v>1313</v>
      </c>
      <c r="E11" s="192" t="str">
        <f>VLOOKUP(神通数据源!$B11,Cv计算原始数据!$C:$ES,74,FALSE)</f>
        <v>2"</v>
      </c>
      <c r="F11" s="192" t="str">
        <f>E11</f>
        <v>2"</v>
      </c>
      <c r="G11" s="190" t="s">
        <v>1910</v>
      </c>
      <c r="H11" s="190">
        <v>1</v>
      </c>
      <c r="I11" s="190" t="s">
        <v>1926</v>
      </c>
      <c r="J11" s="190" t="str">
        <f t="shared" ref="J11" si="0">I11</f>
        <v>2"</v>
      </c>
      <c r="K11" s="194" t="s">
        <v>1911</v>
      </c>
      <c r="L11" s="190" t="str">
        <f>K11</f>
        <v>CS</v>
      </c>
      <c r="M11" s="190" t="str">
        <f>VLOOKUP(神通数据源!$B11,Cv计算原始数据!$C:$ES,M$7,FALSE)</f>
        <v>CHLOROSILANES</v>
      </c>
      <c r="N11" s="190" t="str">
        <f>VLOOKUP(神通数据源!$B11,Cv计算原始数据!$C:$ES,N$7,FALSE)</f>
        <v>气体</v>
      </c>
      <c r="O11" s="190">
        <f>VLOOKUP(神通数据源!$B11,Cv计算原始数据!$C:$ES,O$7,FALSE)</f>
        <v>3655</v>
      </c>
      <c r="P11" s="190" t="str">
        <f>VLOOKUP(神通数据源!$B11,Cv计算原始数据!$C:$ES,P$7,FALSE)</f>
        <v/>
      </c>
      <c r="Q11" s="190" t="str">
        <f>VLOOKUP(神通数据源!$B11,Cv计算原始数据!$C:$ES,Q$7,FALSE)</f>
        <v/>
      </c>
      <c r="R11" s="190" t="str">
        <f>VLOOKUP(神通数据源!$B11,Cv计算原始数据!$C:$ES,R$7,FALSE)</f>
        <v/>
      </c>
      <c r="S11" s="190" t="str">
        <f>VLOOKUP(神通数据源!$B11,Cv计算原始数据!$C:$ES,S$7,FALSE)</f>
        <v/>
      </c>
      <c r="T11" s="190" t="str">
        <f>VLOOKUP(神通数据源!$B11,Cv计算原始数据!$C:$ES,T$7,FALSE)</f>
        <v>Nm3/h</v>
      </c>
      <c r="U11" s="190">
        <f>VLOOKUP(神通数据源!$B11,Cv计算原始数据!$C:$ES,U$7,FALSE)</f>
        <v>2710</v>
      </c>
      <c r="V11" s="190" t="str">
        <f>VLOOKUP(神通数据源!$B11,Cv计算原始数据!$C:$ES,V$7,FALSE)</f>
        <v/>
      </c>
      <c r="W11" s="190" t="str">
        <f>VLOOKUP(神通数据源!$B11,Cv计算原始数据!$C:$ES,W$7,FALSE)</f>
        <v/>
      </c>
      <c r="X11" s="190" t="str">
        <f>VLOOKUP(神通数据源!$B11,Cv计算原始数据!$C:$ES,X$7,FALSE)</f>
        <v/>
      </c>
      <c r="Y11" s="190" t="str">
        <f>VLOOKUP(神通数据源!$B11,Cv计算原始数据!$C:$ES,Y$7,FALSE)</f>
        <v/>
      </c>
      <c r="Z11" s="190" t="str">
        <f>VLOOKUP(神通数据源!$B11,Cv计算原始数据!$C:$ES,Z$7,FALSE)</f>
        <v>kPaG</v>
      </c>
      <c r="AA11" s="190">
        <f>VLOOKUP(神通数据源!$B11,Cv计算原始数据!$C:$ES,AA$7,FALSE)</f>
        <v>2020</v>
      </c>
      <c r="AB11" s="190" t="str">
        <f>VLOOKUP(神通数据源!$B11,Cv计算原始数据!$C:$ES,AB$7,FALSE)</f>
        <v/>
      </c>
      <c r="AC11" s="190" t="str">
        <f>VLOOKUP(神通数据源!$B11,Cv计算原始数据!$C:$ES,AC$7,FALSE)</f>
        <v/>
      </c>
      <c r="AD11" s="190" t="str">
        <f>VLOOKUP(神通数据源!$B11,Cv计算原始数据!$C:$ES,AD$7,FALSE)</f>
        <v/>
      </c>
      <c r="AE11" s="190" t="str">
        <f>VLOOKUP(神通数据源!$B11,Cv计算原始数据!$C:$ES,AE$7,FALSE)</f>
        <v/>
      </c>
      <c r="AF11" s="190">
        <f>VLOOKUP(神通数据源!$B11,Cv计算原始数据!$C:$ES,AF$7,FALSE)</f>
        <v>157</v>
      </c>
      <c r="AG11" s="190" t="str">
        <f>VLOOKUP(神通数据源!$B11,Cv计算原始数据!$C:$ES,AG$7,FALSE)</f>
        <v/>
      </c>
      <c r="AH11" s="190" t="str">
        <f>VLOOKUP(神通数据源!$B11,Cv计算原始数据!$C:$ES,AH$7,FALSE)</f>
        <v/>
      </c>
      <c r="AI11" s="190" t="str">
        <f>VLOOKUP(神通数据源!$B11,Cv计算原始数据!$C:$ES,AI$7,FALSE)</f>
        <v/>
      </c>
      <c r="AJ11" s="190" t="str">
        <f>VLOOKUP(神通数据源!$B11,Cv计算原始数据!$C:$ES,AJ$7,FALSE)</f>
        <v/>
      </c>
      <c r="AK11" s="285" t="s">
        <v>1314</v>
      </c>
      <c r="AL11" s="190">
        <f>VLOOKUP(神通数据源!$B11,Cv计算原始数据!$C:$ES,AL$7,FALSE)</f>
        <v>86.8</v>
      </c>
      <c r="AM11" s="190" t="str">
        <f>VLOOKUP(神通数据源!$B11,Cv计算原始数据!$C:$ES,AM$7,FALSE)</f>
        <v/>
      </c>
      <c r="AN11" s="190" t="str">
        <f>VLOOKUP(神通数据源!$B11,Cv计算原始数据!$C:$ES,AN$7,FALSE)</f>
        <v/>
      </c>
      <c r="AO11" s="190" t="str">
        <f>VLOOKUP(神通数据源!$B11,Cv计算原始数据!$C:$ES,AO$7,FALSE)</f>
        <v/>
      </c>
      <c r="AP11" s="190" t="str">
        <f>VLOOKUP(神通数据源!$B11,Cv计算原始数据!$C:$ES,AP$7,FALSE)</f>
        <v/>
      </c>
      <c r="AQ11" s="190" t="str">
        <f>VLOOKUP(神通数据源!$B11,Cv计算原始数据!$C:$ES,AQ$7,FALSE)</f>
        <v/>
      </c>
      <c r="AR11" s="190">
        <f>VLOOKUP(神通数据源!$B11,Cv计算原始数据!$C:$ES,AR$7,FALSE)</f>
        <v>2.5000000000000001E-2</v>
      </c>
      <c r="AS11" s="190" t="str">
        <f>VLOOKUP(神通数据源!$B11,Cv计算原始数据!$C:$ES,AS$7,FALSE)</f>
        <v/>
      </c>
      <c r="AT11" s="190" t="str">
        <f>VLOOKUP(神通数据源!$B11,Cv计算原始数据!$C:$ES,AT$7,FALSE)</f>
        <v/>
      </c>
      <c r="AU11" s="190" t="str">
        <f>VLOOKUP(神通数据源!$B11,Cv计算原始数据!$C:$ES,AU$7,FALSE)</f>
        <v/>
      </c>
      <c r="AV11" s="190" t="str">
        <f>VLOOKUP(神通数据源!$B11,Cv计算原始数据!$C:$ES,AV$7,FALSE)</f>
        <v/>
      </c>
      <c r="AW11" s="190" t="str">
        <f>VLOOKUP(神通数据源!$B11,Cv计算原始数据!$C:$ES,AW$7,FALSE)</f>
        <v>cP</v>
      </c>
      <c r="AX11" s="190"/>
      <c r="AY11" s="190"/>
      <c r="AZ11" s="190"/>
      <c r="BA11" s="190"/>
      <c r="BB11" s="190">
        <f>VLOOKUP(神通数据源!$B11,Cv计算原始数据!$C:$ES,BB$7,FALSE)</f>
        <v>3620</v>
      </c>
      <c r="BC11" s="190">
        <v>2.5</v>
      </c>
      <c r="BD11" s="190">
        <v>100</v>
      </c>
      <c r="BE11" s="190">
        <f>VLOOKUP(神通数据源!$B11,Cv计算原始数据!$C:$ES,BE$7,FALSE)</f>
        <v>75.900000000000006</v>
      </c>
      <c r="BF11" s="190" t="str">
        <f>VLOOKUP(神通数据源!$B11,Cv计算原始数据!$C:$ES,BF$7,FALSE)</f>
        <v/>
      </c>
      <c r="BG11" s="190" t="str">
        <f>VLOOKUP(神通数据源!$B11,Cv计算原始数据!$C:$ES,BG$7,FALSE)</f>
        <v/>
      </c>
      <c r="BH11" s="190" t="str">
        <f>VLOOKUP(神通数据源!$B11,Cv计算原始数据!$C:$ES,BH$7,FALSE)</f>
        <v/>
      </c>
      <c r="BI11" s="190" t="str">
        <f>VLOOKUP(神通数据源!$B11,Cv计算原始数据!$C:$ES,BI$7,FALSE)</f>
        <v/>
      </c>
      <c r="BJ11" s="190">
        <f>VLOOKUP(神通数据源!$B11,Cv计算原始数据!$C:$ES,BJ$7,FALSE)</f>
        <v>0.15</v>
      </c>
      <c r="BK11" s="190" t="str">
        <f>VLOOKUP(神通数据源!$B11,Cv计算原始数据!$C:$ES,BK$7,FALSE)</f>
        <v/>
      </c>
      <c r="BL11" s="190" t="str">
        <f>VLOOKUP(神通数据源!$B11,Cv计算原始数据!$C:$ES,BL$7,FALSE)</f>
        <v/>
      </c>
      <c r="BM11" s="190" t="str">
        <f>VLOOKUP(神通数据源!$B11,Cv计算原始数据!$C:$ES,BM$7,FALSE)</f>
        <v/>
      </c>
      <c r="BN11" s="190" t="str">
        <f>VLOOKUP(神通数据源!$B11,Cv计算原始数据!$C:$ES,BN$7,FALSE)</f>
        <v/>
      </c>
      <c r="BO11" s="190" t="str">
        <f>VLOOKUP(神通数据源!$B11,Cv计算原始数据!$C:$ES,BO$7,FALSE)</f>
        <v>Mach</v>
      </c>
      <c r="BP11" s="190">
        <f>VLOOKUP(神通数据源!$B11,Cv计算原始数据!$C:$ES,BP$7,FALSE)</f>
        <v>25.89</v>
      </c>
      <c r="BQ11" s="190" t="str">
        <f>VLOOKUP(神通数据源!$B11,Cv计算原始数据!$C:$ES,BQ$7,FALSE)</f>
        <v/>
      </c>
      <c r="BR11" s="190" t="str">
        <f>VLOOKUP(神通数据源!$B11,Cv计算原始数据!$C:$ES,BR$7,FALSE)</f>
        <v/>
      </c>
      <c r="BS11" s="190" t="str">
        <f>VLOOKUP(神通数据源!$B11,Cv计算原始数据!$C:$ES,BS$7,FALSE)</f>
        <v/>
      </c>
      <c r="BT11" s="190" t="str">
        <f>VLOOKUP(神通数据源!$B11,Cv计算原始数据!$C:$ES,BT$7,FALSE)</f>
        <v/>
      </c>
      <c r="BU11" s="190">
        <f>VLOOKUP(神通数据源!$B11,Cv计算原始数据!$C:$ES,BU$7,FALSE)</f>
        <v>47.94</v>
      </c>
      <c r="BV11" s="190" t="str">
        <f>VLOOKUP(神通数据源!$B11,Cv计算原始数据!$C:$ES,BV$7,FALSE)</f>
        <v/>
      </c>
      <c r="BW11" s="190" t="str">
        <f>VLOOKUP(神通数据源!$B11,Cv计算原始数据!$C:$ES,BW$7,FALSE)</f>
        <v/>
      </c>
      <c r="BX11" s="190" t="str">
        <f>VLOOKUP(神通数据源!$B11,Cv计算原始数据!$C:$ES,BX$7,FALSE)</f>
        <v/>
      </c>
      <c r="BY11" s="190" t="str">
        <f>VLOOKUP(神通数据源!$B11,Cv计算原始数据!$C:$ES,BY$7,FALSE)</f>
        <v/>
      </c>
      <c r="BZ11" s="190" t="str">
        <f>VLOOKUP(神通数据源!$B11,Cv计算原始数据!$C:$ES,BZ$7,FALSE)</f>
        <v>多孔式套筒导向型单座调节阀</v>
      </c>
      <c r="CA11" s="190" t="str">
        <f>VLOOKUP(神通数据源!$B11,Cv计算原始数据!$C:$ES,CA$7,FALSE)</f>
        <v>ST301C</v>
      </c>
      <c r="CB11" s="190" t="s">
        <v>1912</v>
      </c>
      <c r="CC11" s="190" t="s">
        <v>1913</v>
      </c>
      <c r="CD11" s="285" t="str">
        <f>CC11</f>
        <v>CL300</v>
      </c>
      <c r="CE11" s="190" t="s">
        <v>1315</v>
      </c>
      <c r="CF11" s="190" t="s">
        <v>111</v>
      </c>
      <c r="CG11" s="190" t="str">
        <f>CF11</f>
        <v>RF</v>
      </c>
      <c r="CH11" s="286" t="s">
        <v>1914</v>
      </c>
      <c r="CI11" s="287" t="str">
        <f>CH11</f>
        <v>WCB</v>
      </c>
      <c r="CJ11" s="288" t="s">
        <v>1899</v>
      </c>
      <c r="CK11" s="190" t="s">
        <v>1869</v>
      </c>
      <c r="CL11" s="300" t="s">
        <v>1870</v>
      </c>
      <c r="CM11" s="190" t="s">
        <v>1330</v>
      </c>
      <c r="CN11" s="300" t="s">
        <v>1871</v>
      </c>
      <c r="CO11" s="289" t="s">
        <v>1316</v>
      </c>
      <c r="CP11" s="190" t="s">
        <v>85</v>
      </c>
      <c r="CQ11" s="190">
        <f>VLOOKUP(神通数据源!$B11,Cv计算原始数据!$C:$ES,CQ$7,FALSE)</f>
        <v>54</v>
      </c>
      <c r="CR11" s="190" t="str">
        <f>VLOOKUP(神通数据源!$B11,Cv计算原始数据!$C:$ES,CR$7,FALSE)</f>
        <v>线性</v>
      </c>
      <c r="CS11" s="190">
        <v>30</v>
      </c>
      <c r="CT11" s="285" t="s">
        <v>1317</v>
      </c>
      <c r="CU11" s="285" t="s">
        <v>1915</v>
      </c>
      <c r="CV11" s="190" t="s">
        <v>1916</v>
      </c>
      <c r="CW11" s="190" t="str">
        <f>VLOOKUP(神通数据源!$B11,Cv计算原始数据!$C:$ES,CW$7,FALSE)</f>
        <v>2"</v>
      </c>
      <c r="CX11" s="190" t="s">
        <v>1917</v>
      </c>
      <c r="CY11" s="285" t="s">
        <v>1916</v>
      </c>
      <c r="CZ11" s="190" t="s">
        <v>1847</v>
      </c>
      <c r="DA11" s="285" t="s">
        <v>122</v>
      </c>
      <c r="DB11" s="190">
        <v>316</v>
      </c>
      <c r="DC11" s="190">
        <v>20</v>
      </c>
      <c r="DD11" s="190">
        <v>20</v>
      </c>
      <c r="DE11" s="190" t="s">
        <v>1918</v>
      </c>
      <c r="DF11" s="190" t="s">
        <v>1934</v>
      </c>
      <c r="DG11" s="190" t="s">
        <v>1919</v>
      </c>
      <c r="DH11" s="190"/>
      <c r="DI11" s="190" t="s">
        <v>130</v>
      </c>
      <c r="DJ11" s="300" t="s">
        <v>1920</v>
      </c>
      <c r="DK11" s="300" t="str">
        <f>IF(LEFT(DG11)="D","气闭","气开")</f>
        <v>气开</v>
      </c>
      <c r="DL11" s="190" t="str">
        <f>IF(LEFT(DG11)="D","FO","FC")</f>
        <v>FC</v>
      </c>
      <c r="DM11" s="190" t="s">
        <v>1921</v>
      </c>
      <c r="DN11" s="191">
        <v>0.4</v>
      </c>
      <c r="DO11" s="190">
        <v>0.3</v>
      </c>
      <c r="DP11" s="190" t="s">
        <v>1318</v>
      </c>
      <c r="DQ11" s="190" t="s">
        <v>1850</v>
      </c>
      <c r="DR11" s="190">
        <f>VLOOKUP(DF11,有效面积,2,FALSE)</f>
        <v>186</v>
      </c>
      <c r="DS11" s="190" t="s">
        <v>1852</v>
      </c>
      <c r="DT11" s="190" t="s">
        <v>1332</v>
      </c>
      <c r="DU11" s="284" t="s">
        <v>1923</v>
      </c>
      <c r="DV11" s="190" t="s">
        <v>1320</v>
      </c>
      <c r="DW11" s="190" t="s">
        <v>1928</v>
      </c>
      <c r="DX11" s="190" t="s">
        <v>1924</v>
      </c>
      <c r="DY11" s="190" t="s">
        <v>1847</v>
      </c>
      <c r="DZ11" s="190" t="s">
        <v>172</v>
      </c>
      <c r="EA11" s="190" t="s">
        <v>584</v>
      </c>
      <c r="EB11" s="190" t="s">
        <v>297</v>
      </c>
      <c r="EC11" s="190" t="s">
        <v>1323</v>
      </c>
      <c r="ED11" s="284" t="s">
        <v>1854</v>
      </c>
      <c r="EE11" s="190" t="str">
        <f>IF(DK11="气闭","阀闭","阀开")</f>
        <v>阀开</v>
      </c>
      <c r="EF11" s="190" t="s">
        <v>1333</v>
      </c>
      <c r="EG11" s="284" t="s">
        <v>1925</v>
      </c>
      <c r="EH11" s="190" t="s">
        <v>827</v>
      </c>
      <c r="EI11" s="190">
        <f>DO11*1000</f>
        <v>300</v>
      </c>
      <c r="EJ11" s="190" t="s">
        <v>1322</v>
      </c>
      <c r="EK11" s="190" t="s">
        <v>1323</v>
      </c>
      <c r="EL11" s="190" t="s">
        <v>1323</v>
      </c>
      <c r="EM11" s="190" t="s">
        <v>1324</v>
      </c>
      <c r="EN11" s="190" t="s">
        <v>1855</v>
      </c>
      <c r="EO11" s="190" t="s">
        <v>1847</v>
      </c>
      <c r="EP11" s="190"/>
      <c r="EQ11" s="190"/>
      <c r="ER11" s="190"/>
      <c r="ES11" s="190"/>
      <c r="ET11" s="190" t="s">
        <v>1847</v>
      </c>
      <c r="EU11" s="190" t="s">
        <v>1847</v>
      </c>
      <c r="EV11" s="190"/>
      <c r="EW11" s="190"/>
      <c r="EX11" s="190" t="s">
        <v>1855</v>
      </c>
      <c r="EY11" s="190" t="s">
        <v>1847</v>
      </c>
      <c r="EZ11" s="284" t="s">
        <v>1855</v>
      </c>
      <c r="FA11" s="190" t="s">
        <v>1847</v>
      </c>
      <c r="FB11" s="190" t="s">
        <v>85</v>
      </c>
      <c r="FC11" s="190"/>
      <c r="FD11" s="190"/>
      <c r="FE11" s="190"/>
      <c r="FF11" s="190"/>
      <c r="FG11" s="190" t="s">
        <v>1847</v>
      </c>
      <c r="FH11" s="190" t="s">
        <v>1847</v>
      </c>
      <c r="FI11" s="190" t="s">
        <v>1855</v>
      </c>
      <c r="FJ11" s="190"/>
      <c r="FK11" s="190" t="s">
        <v>1847</v>
      </c>
      <c r="FL11" s="190"/>
      <c r="FM11" s="190" t="s">
        <v>1847</v>
      </c>
      <c r="FN11" s="190"/>
      <c r="FO11" s="190" t="s">
        <v>1855</v>
      </c>
      <c r="FP11" s="190"/>
      <c r="FQ11" s="190" t="s">
        <v>1847</v>
      </c>
      <c r="FR11" s="190"/>
      <c r="FS11" s="190" t="s">
        <v>1847</v>
      </c>
      <c r="FT11" s="190"/>
      <c r="FU11" s="190" t="s">
        <v>85</v>
      </c>
      <c r="FV11" s="190" t="s">
        <v>85</v>
      </c>
      <c r="FW11" s="190" t="s">
        <v>85</v>
      </c>
      <c r="FX11" s="190" t="s">
        <v>85</v>
      </c>
      <c r="FY11" s="285"/>
      <c r="FZ11" s="285"/>
      <c r="GA11" s="285"/>
      <c r="GB11" s="285"/>
      <c r="GC11" s="285"/>
      <c r="GD11" s="194" t="s">
        <v>1857</v>
      </c>
      <c r="GE11" s="194"/>
      <c r="GF11" s="193"/>
      <c r="GG11" s="193"/>
      <c r="GH11" s="190"/>
      <c r="GI11" s="193"/>
      <c r="GJ11" s="193"/>
      <c r="GK11" s="193"/>
      <c r="GL11" s="190" t="s">
        <v>1882</v>
      </c>
      <c r="GM11" s="300" t="s">
        <v>1883</v>
      </c>
      <c r="GN11" s="190"/>
      <c r="GO11" s="190" t="s">
        <v>1323</v>
      </c>
      <c r="GP11" s="190" t="s">
        <v>1874</v>
      </c>
      <c r="GQ11" s="190"/>
      <c r="GR11" s="190"/>
      <c r="GS11" s="190" t="s">
        <v>1325</v>
      </c>
      <c r="GT11" s="190" t="s">
        <v>1325</v>
      </c>
      <c r="GU11" s="190"/>
      <c r="GV11" s="190" t="s">
        <v>1881</v>
      </c>
      <c r="GW11" s="190"/>
      <c r="GX11" s="190" t="s">
        <v>1855</v>
      </c>
      <c r="GY11" s="190" t="s">
        <v>1326</v>
      </c>
      <c r="GZ11" s="190" t="s">
        <v>1327</v>
      </c>
      <c r="HA11" s="190" t="s">
        <v>1323</v>
      </c>
      <c r="HB11" s="190" t="s">
        <v>1323</v>
      </c>
      <c r="HC11" s="190" t="s">
        <v>1327</v>
      </c>
      <c r="HD11" s="190" t="s">
        <v>1323</v>
      </c>
      <c r="HE11" s="190" t="s">
        <v>1323</v>
      </c>
      <c r="HF11" s="190" t="s">
        <v>1323</v>
      </c>
      <c r="HG11" s="190" t="s">
        <v>1323</v>
      </c>
      <c r="HH11" s="190" t="s">
        <v>1323</v>
      </c>
      <c r="HI11" s="190" t="s">
        <v>1323</v>
      </c>
      <c r="HJ11" s="190" t="s">
        <v>1323</v>
      </c>
      <c r="HK11" s="190" t="s">
        <v>1323</v>
      </c>
      <c r="HL11" s="190"/>
      <c r="HM11" s="190" t="s">
        <v>1328</v>
      </c>
      <c r="HN11" s="190"/>
      <c r="HO11" s="190" t="s">
        <v>1329</v>
      </c>
      <c r="HP11" s="190"/>
      <c r="HQ11" s="290"/>
      <c r="HR11" s="290"/>
      <c r="HS11" s="290"/>
      <c r="HT11" s="290"/>
      <c r="HU11" s="295"/>
    </row>
  </sheetData>
  <autoFilter ref="A10:IE11" xr:uid="{00000000-0009-0000-0000-000004000000}"/>
  <mergeCells count="201">
    <mergeCell ref="A1:B1"/>
    <mergeCell ref="C1:G1"/>
    <mergeCell ref="A2:B2"/>
    <mergeCell ref="C2:H2"/>
    <mergeCell ref="A3:H3"/>
    <mergeCell ref="A4:B4"/>
    <mergeCell ref="D4:E4"/>
    <mergeCell ref="G4:H4"/>
    <mergeCell ref="A5:B5"/>
    <mergeCell ref="D5:E5"/>
    <mergeCell ref="G5:H5"/>
    <mergeCell ref="DU8:EB8"/>
    <mergeCell ref="EG8:EM8"/>
    <mergeCell ref="EN8:EY8"/>
    <mergeCell ref="EZ8:FH8"/>
    <mergeCell ref="FI8:FJ8"/>
    <mergeCell ref="FK8:FN8"/>
    <mergeCell ref="FO8:FP8"/>
    <mergeCell ref="FQ8:FR8"/>
    <mergeCell ref="A6:B6"/>
    <mergeCell ref="D6:E6"/>
    <mergeCell ref="G6:H6"/>
    <mergeCell ref="I8:BD8"/>
    <mergeCell ref="BE8:BY8"/>
    <mergeCell ref="BZ8:CK8"/>
    <mergeCell ref="CL8:CP8"/>
    <mergeCell ref="CQ8:CT8"/>
    <mergeCell ref="CV8:DB8"/>
    <mergeCell ref="FS8:FT8"/>
    <mergeCell ref="FU8:FX8"/>
    <mergeCell ref="FY8:GK8"/>
    <mergeCell ref="GL8:HK8"/>
    <mergeCell ref="I9:L9"/>
    <mergeCell ref="O9:T9"/>
    <mergeCell ref="U9:Z9"/>
    <mergeCell ref="AA9:AE9"/>
    <mergeCell ref="AF9:AK9"/>
    <mergeCell ref="AL9:AQ9"/>
    <mergeCell ref="AR9:AW9"/>
    <mergeCell ref="BE9:BI9"/>
    <mergeCell ref="BP9:BT9"/>
    <mergeCell ref="BU9:BY9"/>
    <mergeCell ref="DF9:DG9"/>
    <mergeCell ref="FY9:GC9"/>
    <mergeCell ref="GG9:GH9"/>
    <mergeCell ref="N9:N10"/>
    <mergeCell ref="AX9:AX10"/>
    <mergeCell ref="AY9:AY10"/>
    <mergeCell ref="AZ9:AZ10"/>
    <mergeCell ref="BA9:BA10"/>
    <mergeCell ref="BB9:BB10"/>
    <mergeCell ref="DD8:DT8"/>
    <mergeCell ref="A9:A10"/>
    <mergeCell ref="B9:B10"/>
    <mergeCell ref="C9:C10"/>
    <mergeCell ref="D9:D10"/>
    <mergeCell ref="E9:E10"/>
    <mergeCell ref="F9:F10"/>
    <mergeCell ref="G9:G10"/>
    <mergeCell ref="H9:H10"/>
    <mergeCell ref="M9:M10"/>
    <mergeCell ref="BC9:BC10"/>
    <mergeCell ref="BD9:BD10"/>
    <mergeCell ref="BZ9:BZ10"/>
    <mergeCell ref="CA9:CA10"/>
    <mergeCell ref="CB9:CB10"/>
    <mergeCell ref="CC9:CC10"/>
    <mergeCell ref="CD9:CD10"/>
    <mergeCell ref="CE9:CE10"/>
    <mergeCell ref="CF9:CF10"/>
    <mergeCell ref="BJ9:BO9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P9:CP10"/>
    <mergeCell ref="CQ9:CQ10"/>
    <mergeCell ref="CR9:CR10"/>
    <mergeCell ref="CU9:CU10"/>
    <mergeCell ref="CV9:CV10"/>
    <mergeCell ref="CW9:CW10"/>
    <mergeCell ref="CX9:CX10"/>
    <mergeCell ref="CY9:CY10"/>
    <mergeCell ref="CZ9:CZ10"/>
    <mergeCell ref="DA9:DA10"/>
    <mergeCell ref="DB9:DB10"/>
    <mergeCell ref="DC9:DC10"/>
    <mergeCell ref="DD9:DD10"/>
    <mergeCell ref="DE9:DE10"/>
    <mergeCell ref="DH9:DH10"/>
    <mergeCell ref="DI9:DI10"/>
    <mergeCell ref="DJ9:DJ10"/>
    <mergeCell ref="DK9:DK10"/>
    <mergeCell ref="DL9:DL10"/>
    <mergeCell ref="DM9:DM10"/>
    <mergeCell ref="DN9:DN10"/>
    <mergeCell ref="DO9:DO10"/>
    <mergeCell ref="DP9:DP10"/>
    <mergeCell ref="DQ9:DQ10"/>
    <mergeCell ref="DR9:DR10"/>
    <mergeCell ref="DS9:DS10"/>
    <mergeCell ref="DT9:DT10"/>
    <mergeCell ref="DU9:DU10"/>
    <mergeCell ref="DV9:DV10"/>
    <mergeCell ref="DW9:DW10"/>
    <mergeCell ref="DX9:DX10"/>
    <mergeCell ref="DY9:DY10"/>
    <mergeCell ref="DZ9:DZ10"/>
    <mergeCell ref="EA9:EA10"/>
    <mergeCell ref="EB9:EB10"/>
    <mergeCell ref="EC9:EC10"/>
    <mergeCell ref="ED9:ED10"/>
    <mergeCell ref="EE9:EE10"/>
    <mergeCell ref="EF9:EF10"/>
    <mergeCell ref="EG9:EG10"/>
    <mergeCell ref="EH9:EH10"/>
    <mergeCell ref="EI9:EI10"/>
    <mergeCell ref="EJ9:EJ10"/>
    <mergeCell ref="EK9:EK10"/>
    <mergeCell ref="EL9:EL10"/>
    <mergeCell ref="EM9:EM10"/>
    <mergeCell ref="EN9:EN10"/>
    <mergeCell ref="EO9:EO10"/>
    <mergeCell ref="EP9:EP10"/>
    <mergeCell ref="EQ9:EQ10"/>
    <mergeCell ref="ER9:ER10"/>
    <mergeCell ref="ES9:ES10"/>
    <mergeCell ref="ET9:ET10"/>
    <mergeCell ref="EU9:EU10"/>
    <mergeCell ref="EV9:EV10"/>
    <mergeCell ref="EW9:EW10"/>
    <mergeCell ref="EX9:EX10"/>
    <mergeCell ref="EY9:EY10"/>
    <mergeCell ref="EZ9:EZ10"/>
    <mergeCell ref="FA9:FA10"/>
    <mergeCell ref="FB9:FB10"/>
    <mergeCell ref="FC9:FC10"/>
    <mergeCell ref="FD9:FD10"/>
    <mergeCell ref="FE9:FE10"/>
    <mergeCell ref="FF9:FF10"/>
    <mergeCell ref="FG9:FG10"/>
    <mergeCell ref="FH9:FH10"/>
    <mergeCell ref="FI9:FI10"/>
    <mergeCell ref="FJ9:FJ10"/>
    <mergeCell ref="FK9:FK10"/>
    <mergeCell ref="FL9:FL10"/>
    <mergeCell ref="FM9:FM10"/>
    <mergeCell ref="FN9:FN10"/>
    <mergeCell ref="FQ9:FQ10"/>
    <mergeCell ref="FR9:FR10"/>
    <mergeCell ref="FS9:FS10"/>
    <mergeCell ref="FT9:FT10"/>
    <mergeCell ref="FU9:FU10"/>
    <mergeCell ref="FV9:FV10"/>
    <mergeCell ref="FW9:FW10"/>
    <mergeCell ref="FX9:FX10"/>
    <mergeCell ref="GT9:GT10"/>
    <mergeCell ref="GU9:GU10"/>
    <mergeCell ref="GV9:GV10"/>
    <mergeCell ref="GW9:GW10"/>
    <mergeCell ref="GX9:GX10"/>
    <mergeCell ref="GY9:GY10"/>
    <mergeCell ref="GZ9:GZ10"/>
    <mergeCell ref="GD9:GD10"/>
    <mergeCell ref="GE9:GE10"/>
    <mergeCell ref="GF9:GF10"/>
    <mergeCell ref="GL9:GL10"/>
    <mergeCell ref="GM9:GM10"/>
    <mergeCell ref="GN9:GN10"/>
    <mergeCell ref="GO9:GO10"/>
    <mergeCell ref="GP9:GP10"/>
    <mergeCell ref="GQ9:GQ10"/>
    <mergeCell ref="HS9:HS10"/>
    <mergeCell ref="HT9:HT10"/>
    <mergeCell ref="HU9:HU10"/>
    <mergeCell ref="CS9:CT10"/>
    <mergeCell ref="HJ9:HJ10"/>
    <mergeCell ref="HK9:HK10"/>
    <mergeCell ref="HL9:HL10"/>
    <mergeCell ref="HM9:HM10"/>
    <mergeCell ref="HN9:HN10"/>
    <mergeCell ref="HO9:HO10"/>
    <mergeCell ref="HP9:HP10"/>
    <mergeCell ref="HQ9:HQ10"/>
    <mergeCell ref="HR9:HR10"/>
    <mergeCell ref="HA9:HA10"/>
    <mergeCell ref="HB9:HB10"/>
    <mergeCell ref="HC9:HC10"/>
    <mergeCell ref="HD9:HD10"/>
    <mergeCell ref="HE9:HE10"/>
    <mergeCell ref="HF9:HF10"/>
    <mergeCell ref="HG9:HG10"/>
    <mergeCell ref="HH9:HH10"/>
    <mergeCell ref="HI9:HI10"/>
    <mergeCell ref="GR9:GR10"/>
    <mergeCell ref="GS9:GS10"/>
  </mergeCells>
  <phoneticPr fontId="107" type="noConversion"/>
  <dataValidations count="51">
    <dataValidation type="list" allowBlank="1" showInputMessage="1" showErrorMessage="1" sqref="EJ11" xr:uid="{00000000-0002-0000-0400-000000000000}">
      <formula1>"MPaG,KPaG,BarG,Kgf/cm2"</formula1>
    </dataValidation>
    <dataValidation type="list" allowBlank="1" showInputMessage="1" showErrorMessage="1" sqref="H1" xr:uid="{00000000-0002-0000-0400-000001000000}">
      <formula1>"A,B,C"</formula1>
    </dataValidation>
    <dataValidation type="list" allowBlank="1" showInputMessage="1" showErrorMessage="1" sqref="DX11" xr:uid="{00000000-0002-0000-0400-000002000000}">
      <formula1>定位器输入信号</formula1>
    </dataValidation>
    <dataValidation type="list" allowBlank="1" showErrorMessage="1" promptTitle="型号" prompt="1_x000a_2_x000a_3_x000a_4_x000a_5_x000a_" sqref="DV11" xr:uid="{00000000-0002-0000-0400-000003000000}">
      <formula1>"电-气,气-气,电-气智能型"</formula1>
    </dataValidation>
    <dataValidation type="list" allowBlank="1" showInputMessage="1" showErrorMessage="1" sqref="CU11" xr:uid="{00000000-0002-0000-0400-000004000000}">
      <formula1>"平衡型,非平衡型"</formula1>
    </dataValidation>
    <dataValidation type="list" allowBlank="1" showInputMessage="1" showErrorMessage="1" sqref="C5" xr:uid="{00000000-0002-0000-0400-000005000000}">
      <formula1>"赵,管,高"</formula1>
    </dataValidation>
    <dataValidation type="list" allowBlank="1" showInputMessage="1" showErrorMessage="1" sqref="C6" xr:uid="{00000000-0002-0000-0400-000006000000}">
      <formula1>"赵,管,王"</formula1>
    </dataValidation>
    <dataValidation type="list" allowBlank="1" showInputMessage="1" showErrorMessage="1" sqref="FG11 EY11 EB11" xr:uid="{00000000-0002-0000-0400-000008000000}">
      <formula1>防爆等级</formula1>
    </dataValidation>
    <dataValidation type="list" allowBlank="1" showInputMessage="1" showErrorMessage="1" prompt="自行条件判断" sqref="DP11" xr:uid="{00000000-0002-0000-0400-000009000000}">
      <formula1>"MPaG,KPaG,BarG"</formula1>
    </dataValidation>
    <dataValidation type="list" allowBlank="1" showInputMessage="1" showErrorMessage="1" prompt="自行条件判断" sqref="HN11" xr:uid="{00000000-0002-0000-0400-00000A000000}">
      <formula1>"弹簧,气动"</formula1>
    </dataValidation>
    <dataValidation type="list" allowBlank="1" showInputMessage="1" showErrorMessage="1" sqref="HC11" xr:uid="{00000000-0002-0000-0400-00000B000000}">
      <formula1>"带,不带,4~20mA"</formula1>
    </dataValidation>
    <dataValidation type="list" allowBlank="1" showInputMessage="1" showErrorMessage="1" prompt="自行条件判断" sqref="HM11" xr:uid="{00000000-0002-0000-0400-00000C000000}">
      <formula1>"FC,FO,FL"</formula1>
    </dataValidation>
    <dataValidation type="list" allowBlank="1" showInputMessage="1" showErrorMessage="1" sqref="DE11" xr:uid="{00000000-0002-0000-0400-00000D000000}">
      <formula1>"弹簧薄膜型,单作用齿轮齿条式气缸型,双作用齿轮齿条式气缸型,单作用活塞式气缸型,双作用活塞式气缸型,单作用拨叉式气缸型,双作用拨叉式气缸型,电动调节型,电动开关型,电液式"</formula1>
    </dataValidation>
    <dataValidation type="list" allowBlank="1" showInputMessage="1" showErrorMessage="1" sqref="GO11 EW11 HD11:HK11 HA11:HB11" xr:uid="{00000000-0002-0000-0400-00000E000000}">
      <formula1>"带,不带"</formula1>
    </dataValidation>
    <dataValidation type="list" allowBlank="1" showInputMessage="1" showErrorMessage="1" sqref="FA11" xr:uid="{00000000-0002-0000-0400-00000F000000}">
      <formula1>限位开关型号</formula1>
    </dataValidation>
    <dataValidation type="list" allowBlank="1" showInputMessage="1" showErrorMessage="1" sqref="DA11" xr:uid="{00000000-0002-0000-0400-000010000000}">
      <formula1>平衡密封</formula1>
    </dataValidation>
    <dataValidation type="list" allowBlank="1" showInputMessage="1" showErrorMessage="1" sqref="CJ11" xr:uid="{00000000-0002-0000-0400-000011000000}">
      <formula1>流向</formula1>
    </dataValidation>
    <dataValidation type="list" allowBlank="1" showInputMessage="1" showErrorMessage="1" sqref="EP11 FC11 FJ11 FT11 FN11 FR11 FL11 FP11" xr:uid="{00000000-0002-0000-0400-000013000000}">
      <formula1>"1只,2只,3只"</formula1>
    </dataValidation>
    <dataValidation type="list" allowBlank="1" showInputMessage="1" showErrorMessage="1" sqref="E11" xr:uid="{00000000-0002-0000-0400-000014000000}">
      <formula1>阀门口径</formula1>
    </dataValidation>
    <dataValidation type="list" allowBlank="1" showInputMessage="1" showErrorMessage="1" sqref="EE11" xr:uid="{00000000-0002-0000-0400-000015000000}">
      <formula1>"阀开,阀闭"</formula1>
    </dataValidation>
    <dataValidation type="list" allowBlank="1" showInputMessage="1" showErrorMessage="1" sqref="AK11" xr:uid="{00000000-0002-0000-0400-000016000000}">
      <formula1>温度单位</formula1>
    </dataValidation>
    <dataValidation type="list" allowBlank="1" showInputMessage="1" showErrorMessage="1" sqref="CE11" xr:uid="{00000000-0002-0000-0400-000017000000}">
      <formula1>连接形式</formula1>
    </dataValidation>
    <dataValidation type="list" allowBlank="1" showInputMessage="1" showErrorMessage="1" sqref="CF11" xr:uid="{00000000-0002-0000-0400-000018000000}">
      <formula1>密封面</formula1>
    </dataValidation>
    <dataValidation type="list" allowBlank="1" showInputMessage="1" showErrorMessage="1" sqref="CP11" xr:uid="{00000000-0002-0000-0400-000019000000}">
      <formula1>夹套连接</formula1>
    </dataValidation>
    <dataValidation type="list" allowBlank="1" showInputMessage="1" showErrorMessage="1" sqref="FF11" xr:uid="{00000000-0002-0000-0400-00001A000000}">
      <formula1>开关位置</formula1>
    </dataValidation>
    <dataValidation type="list" allowBlank="1" showInputMessage="1" showErrorMessage="1" sqref="CT11" xr:uid="{00000000-0002-0000-0400-00001B000000}">
      <formula1>"mm,°"</formula1>
    </dataValidation>
    <dataValidation type="list" allowBlank="1" showInputMessage="1" showErrorMessage="1" sqref="EC11" xr:uid="{00000000-0002-0000-0400-00001C000000}">
      <formula1>"带,NON"</formula1>
    </dataValidation>
    <dataValidation type="list" allowBlank="1" showInputMessage="1" showErrorMessage="1" sqref="EO11" xr:uid="{00000000-0002-0000-0400-00001D000000}">
      <formula1>电磁阀型号</formula1>
    </dataValidation>
    <dataValidation type="list" allowBlank="1" showInputMessage="1" showErrorMessage="1" prompt="自行条件判断" sqref="DQ11 HL11" xr:uid="{00000000-0002-0000-0400-00001E000000}">
      <formula1>"阀杆水平于地面安装,阀杆垂直于地面安装"</formula1>
    </dataValidation>
    <dataValidation type="list" allowBlank="1" showInputMessage="1" showErrorMessage="1" prompt="自行条件判断" sqref="DS11" xr:uid="{00000000-0002-0000-0400-00001F000000}">
      <formula1>"N,Nm"</formula1>
    </dataValidation>
    <dataValidation type="list" allowBlank="1" showInputMessage="1" showErrorMessage="1" prompt="自行条件判断" sqref="DT11" xr:uid="{00000000-0002-0000-0400-000020000000}">
      <formula1>"N/A,带,旁式,顶装旁式,顶式,带（侧装）"</formula1>
    </dataValidation>
    <dataValidation type="list" allowBlank="1" showInputMessage="1" showErrorMessage="1" sqref="DY11" xr:uid="{00000000-0002-0000-0400-000021000000}">
      <formula1>定位器输出信号</formula1>
    </dataValidation>
    <dataValidation type="list" allowBlank="1" showInputMessage="1" showErrorMessage="1" sqref="FH11 ET11 DZ11" xr:uid="{00000000-0002-0000-0400-000022000000}">
      <formula1>电气接口</formula1>
    </dataValidation>
    <dataValidation type="list" allowBlank="1" showInputMessage="1" showErrorMessage="1" sqref="EU11 EA11" xr:uid="{00000000-0002-0000-0400-000023000000}">
      <formula1>气源接口</formula1>
    </dataValidation>
    <dataValidation type="list" allowBlank="1" showInputMessage="1" showErrorMessage="1" sqref="EF11" xr:uid="{00000000-0002-0000-0400-000024000000}">
      <formula1>"线性,等百分比"</formula1>
    </dataValidation>
    <dataValidation type="list" allowBlank="1" showInputMessage="1" showErrorMessage="1" sqref="EH11" xr:uid="{00000000-0002-0000-0400-000025000000}">
      <formula1>过滤减压阀型号</formula1>
    </dataValidation>
    <dataValidation type="list" allowBlank="1" showInputMessage="1" showErrorMessage="1" sqref="EQ11" xr:uid="{00000000-0002-0000-0400-000026000000}">
      <formula1>"EO,EC,EO+EC,NON"</formula1>
    </dataValidation>
    <dataValidation type="list" allowBlank="1" showInputMessage="1" showErrorMessage="1" sqref="ER11" xr:uid="{00000000-0002-0000-0400-000027000000}">
      <formula1>电磁阀供电电源</formula1>
    </dataValidation>
    <dataValidation type="list" allowBlank="1" showInputMessage="1" showErrorMessage="1" sqref="FB11" xr:uid="{00000000-0002-0000-0400-000029000000}">
      <formula1>"NON,触点式,感应式"</formula1>
    </dataValidation>
    <dataValidation type="list" allowBlank="1" showInputMessage="1" showErrorMessage="1" sqref="FE11" xr:uid="{00000000-0002-0000-0400-00002A000000}">
      <formula1>"无, SPST, SPDT, DPDT"</formula1>
    </dataValidation>
    <dataValidation type="list" allowBlank="1" showInputMessage="1" showErrorMessage="1" sqref="FS11" xr:uid="{00000000-0002-0000-0400-00002B000000}">
      <formula1>其他附件</formula1>
    </dataValidation>
    <dataValidation type="list" allowBlank="1" showInputMessage="1" showErrorMessage="1" sqref="FM11 FK11" xr:uid="{00000000-0002-0000-0400-00002C000000}">
      <formula1>气控阀型号</formula1>
    </dataValidation>
    <dataValidation type="list" allowBlank="1" showInputMessage="1" showErrorMessage="1" sqref="FQ11" xr:uid="{00000000-0002-0000-0400-00002D000000}">
      <formula1>锁止阀型号</formula1>
    </dataValidation>
    <dataValidation type="list" allowBlank="1" showInputMessage="1" showErrorMessage="1" sqref="GF11" xr:uid="{00000000-0002-0000-0400-00002E000000}">
      <formula1>"所有场合不得出现神通字样,NON"</formula1>
    </dataValidation>
    <dataValidation type="list" allowBlank="1" showInputMessage="1" showErrorMessage="1" sqref="GG11" xr:uid="{00000000-0002-0000-0400-00002F000000}">
      <formula1>"阀本体外购,阀本体+执行机构外购,整阀外购"</formula1>
    </dataValidation>
    <dataValidation allowBlank="1" showInputMessage="1" showErrorMessage="1" prompt="自行条件判断" sqref="DK12:DT65200 HL12:HO65200" xr:uid="{00000000-0002-0000-0400-000030000000}"/>
    <dataValidation type="list" allowBlank="1" showInputMessage="1" showErrorMessage="1" prompt="自行条件判断" sqref="HO11" xr:uid="{00000000-0002-0000-0400-000031000000}">
      <formula1>"调节阀规格数据表,开关阀规格数据表"</formula1>
    </dataValidation>
    <dataValidation type="list" allowBlank="1" showInputMessage="1" showErrorMessage="1" sqref="CM11" xr:uid="{00000000-0002-0000-0400-000032000000}">
      <formula1>"标准型,双重密封,动态密封,双重动态密封"</formula1>
    </dataValidation>
    <dataValidation type="list" allowBlank="1" showInputMessage="1" showErrorMessage="1" sqref="CZ11" xr:uid="{00000000-0002-0000-0400-000033000000}">
      <formula1>"2,4,6,8,12,16,——"</formula1>
    </dataValidation>
    <dataValidation type="list" allowBlank="1" showInputMessage="1" showErrorMessage="1" prompt="自行条件判断" sqref="DM11" xr:uid="{00000000-0002-0000-0400-000034000000}">
      <formula1>"弹簧,气包"</formula1>
    </dataValidation>
    <dataValidation type="list" allowBlank="1" showInputMessage="1" showErrorMessage="1" sqref="GL11" xr:uid="{99DD6A82-F933-41E4-B815-61D2A67459F0}">
      <formula1>"调节型,开关型"</formula1>
    </dataValidation>
  </dataValidations>
  <hyperlinks>
    <hyperlink ref="A7" location="神通数据源!BY8" display="阀体" xr:uid="{00000000-0004-0000-0400-000000000000}"/>
    <hyperlink ref="B7" location="神通数据源!I8" display="工艺条件" xr:uid="{00000000-0004-0000-0400-000001000000}"/>
    <hyperlink ref="C7" location="神通数据源!CU8" display="阀内件" xr:uid="{00000000-0004-0000-0400-000002000000}"/>
    <hyperlink ref="D7" location="神通数据源!DC8" display="气动执行机构" xr:uid="{00000000-0004-0000-0400-000003000000}"/>
    <hyperlink ref="G7" location="神通数据源!DT8" display="附件" xr:uid="{00000000-0004-0000-0400-000004000000}"/>
    <hyperlink ref="F7" location="神通数据源!GK8" display="电动执行器" xr:uid="{00000000-0004-0000-0400-000005000000}"/>
  </hyperlink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BD23"/>
  <sheetViews>
    <sheetView workbookViewId="0">
      <selection activeCell="C20" sqref="C20"/>
    </sheetView>
  </sheetViews>
  <sheetFormatPr defaultColWidth="8.75" defaultRowHeight="24.95" customHeight="1"/>
  <cols>
    <col min="1" max="2" width="2.625" style="139" customWidth="1"/>
    <col min="3" max="3" width="4.875" style="139" customWidth="1"/>
    <col min="4" max="4" width="0.75" style="139" customWidth="1"/>
    <col min="5" max="7" width="2.625" style="139" customWidth="1"/>
    <col min="8" max="10" width="3.125" style="139" customWidth="1"/>
    <col min="11" max="16" width="2.875" style="139" customWidth="1"/>
    <col min="17" max="17" width="6.625" style="139" customWidth="1"/>
    <col min="18" max="18" width="5.125" style="139" customWidth="1"/>
    <col min="19" max="19" width="6.625" style="139" customWidth="1"/>
    <col min="20" max="20" width="10.875" style="139" customWidth="1"/>
    <col min="21" max="21" width="4.625" style="139" customWidth="1"/>
    <col min="22" max="22" width="10.75" style="139" customWidth="1"/>
    <col min="23" max="25" width="7.25" style="139" customWidth="1"/>
    <col min="26" max="26" width="21.875" style="140" customWidth="1"/>
    <col min="27" max="27" width="7" style="140" customWidth="1"/>
    <col min="28" max="28" width="16.125" style="140" customWidth="1"/>
    <col min="29" max="29" width="7" style="140" customWidth="1"/>
    <col min="30" max="30" width="10.625" style="140" customWidth="1"/>
    <col min="31" max="32" width="6.625" style="140" customWidth="1"/>
    <col min="33" max="33" width="8.5" style="140" customWidth="1"/>
    <col min="34" max="35" width="6.625" style="140" customWidth="1"/>
    <col min="36" max="36" width="10" style="140" customWidth="1"/>
    <col min="37" max="49" width="6.625" style="140" customWidth="1"/>
    <col min="50" max="52" width="6.625" style="139" customWidth="1"/>
    <col min="53" max="54" width="6.625" style="140" customWidth="1"/>
    <col min="55" max="56" width="6.875" style="139" customWidth="1"/>
    <col min="57" max="16384" width="8.75" style="139"/>
  </cols>
  <sheetData>
    <row r="1" spans="1:56" s="133" customFormat="1" ht="16.5" customHeight="1">
      <c r="A1" s="141"/>
      <c r="B1" s="142"/>
      <c r="D1" s="139"/>
      <c r="E1" s="139"/>
      <c r="F1" s="139"/>
      <c r="G1" s="139"/>
      <c r="H1" s="139"/>
      <c r="I1" s="150"/>
      <c r="J1" s="150"/>
      <c r="K1" s="150"/>
      <c r="L1" s="150"/>
      <c r="M1" s="139"/>
      <c r="N1" s="139"/>
      <c r="O1" s="139"/>
      <c r="P1" s="139"/>
      <c r="Q1" s="139"/>
      <c r="R1" s="139"/>
      <c r="S1" s="395" t="s">
        <v>1334</v>
      </c>
      <c r="T1" s="395"/>
      <c r="U1" s="396"/>
      <c r="V1" s="396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BA1" s="164"/>
      <c r="BB1" s="164"/>
    </row>
    <row r="2" spans="1:56" s="133" customFormat="1" ht="3" customHeight="1">
      <c r="A2" s="141"/>
      <c r="B2" s="142"/>
      <c r="D2" s="139"/>
      <c r="E2" s="139"/>
      <c r="F2" s="139"/>
      <c r="G2" s="139"/>
      <c r="H2" s="139"/>
      <c r="I2" s="150"/>
      <c r="J2" s="150"/>
      <c r="K2" s="150"/>
      <c r="L2" s="150"/>
      <c r="M2" s="139"/>
      <c r="N2" s="139"/>
      <c r="O2" s="139"/>
      <c r="P2" s="139"/>
      <c r="Q2" s="139"/>
      <c r="R2" s="139"/>
      <c r="U2" s="152"/>
      <c r="V2" s="153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64"/>
      <c r="AQ2" s="164"/>
      <c r="AR2" s="164"/>
      <c r="AS2" s="164"/>
      <c r="AT2" s="164"/>
      <c r="AU2" s="164"/>
      <c r="AV2" s="164"/>
      <c r="AW2" s="164"/>
      <c r="BA2" s="164"/>
      <c r="BB2" s="164"/>
    </row>
    <row r="3" spans="1:56" ht="24.95" customHeight="1">
      <c r="A3" s="397" t="s">
        <v>1335</v>
      </c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8"/>
      <c r="U3" s="399"/>
      <c r="V3" s="400"/>
    </row>
    <row r="4" spans="1:56" s="134" customFormat="1" ht="14.1" customHeight="1">
      <c r="A4" s="401" t="s">
        <v>1336</v>
      </c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402"/>
      <c r="U4" s="403"/>
      <c r="V4" s="404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BA4" s="153"/>
      <c r="BB4" s="153"/>
    </row>
    <row r="5" spans="1:56" ht="3" customHeight="1">
      <c r="A5" s="143"/>
      <c r="B5" s="143"/>
      <c r="C5" s="143"/>
      <c r="D5" s="143"/>
      <c r="E5" s="143"/>
      <c r="F5" s="143"/>
      <c r="G5" s="143"/>
      <c r="H5" s="143"/>
      <c r="I5" s="151"/>
      <c r="J5" s="151"/>
      <c r="K5" s="151"/>
      <c r="L5" s="151"/>
      <c r="M5" s="143"/>
      <c r="N5" s="143"/>
      <c r="O5" s="143"/>
      <c r="P5" s="143"/>
      <c r="Q5" s="143"/>
      <c r="R5" s="143"/>
      <c r="S5" s="143"/>
      <c r="T5" s="143"/>
      <c r="U5" s="143"/>
      <c r="V5" s="143"/>
    </row>
    <row r="6" spans="1:56" s="135" customFormat="1" ht="27" customHeight="1">
      <c r="A6" s="405" t="s">
        <v>1337</v>
      </c>
      <c r="B6" s="405"/>
      <c r="C6" s="405"/>
      <c r="D6" s="405"/>
      <c r="E6" s="405"/>
      <c r="F6" s="405"/>
      <c r="G6" s="405"/>
      <c r="H6" s="405"/>
      <c r="I6" s="405"/>
      <c r="J6" s="405"/>
      <c r="K6" s="405"/>
      <c r="L6" s="405"/>
      <c r="M6" s="405"/>
      <c r="N6" s="405"/>
      <c r="O6" s="405"/>
      <c r="P6" s="405"/>
      <c r="Q6" s="405"/>
      <c r="R6" s="405"/>
      <c r="S6" s="405"/>
      <c r="T6" s="405"/>
      <c r="U6" s="405"/>
      <c r="V6" s="40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BA6" s="165"/>
      <c r="BB6" s="165"/>
    </row>
    <row r="7" spans="1:56" ht="27.75" customHeight="1">
      <c r="A7" s="406" t="s">
        <v>1338</v>
      </c>
      <c r="B7" s="407"/>
      <c r="C7" s="407"/>
      <c r="D7" s="407"/>
      <c r="E7" s="407"/>
      <c r="F7" s="408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10"/>
      <c r="R7" s="411" t="s">
        <v>1339</v>
      </c>
      <c r="S7" s="407"/>
      <c r="T7" s="412"/>
      <c r="U7" s="412"/>
      <c r="V7" s="413"/>
    </row>
    <row r="8" spans="1:56" s="136" customFormat="1" ht="27.75" customHeight="1">
      <c r="A8" s="368" t="s">
        <v>1340</v>
      </c>
      <c r="B8" s="369"/>
      <c r="C8" s="369"/>
      <c r="D8" s="369"/>
      <c r="E8" s="369"/>
      <c r="F8" s="377"/>
      <c r="G8" s="377"/>
      <c r="H8" s="377"/>
      <c r="I8" s="377"/>
      <c r="J8" s="377"/>
      <c r="K8" s="377"/>
      <c r="L8" s="377"/>
      <c r="M8" s="377"/>
      <c r="N8" s="377"/>
      <c r="O8" s="377"/>
      <c r="P8" s="377"/>
      <c r="Q8" s="378"/>
      <c r="R8" s="375" t="s">
        <v>1341</v>
      </c>
      <c r="S8" s="369"/>
      <c r="T8" s="377"/>
      <c r="U8" s="377"/>
      <c r="V8" s="378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BA8" s="166"/>
      <c r="BB8" s="166"/>
    </row>
    <row r="9" spans="1:56" s="136" customFormat="1" ht="27.75" customHeight="1">
      <c r="A9" s="368" t="s">
        <v>1342</v>
      </c>
      <c r="B9" s="369"/>
      <c r="C9" s="369"/>
      <c r="D9" s="369"/>
      <c r="E9" s="369"/>
      <c r="F9" s="389"/>
      <c r="G9" s="390"/>
      <c r="H9" s="390"/>
      <c r="I9" s="390"/>
      <c r="J9" s="390"/>
      <c r="K9" s="390"/>
      <c r="L9" s="390"/>
      <c r="M9" s="390"/>
      <c r="N9" s="390"/>
      <c r="O9" s="390"/>
      <c r="P9" s="390"/>
      <c r="Q9" s="391"/>
      <c r="R9" s="375" t="s">
        <v>1343</v>
      </c>
      <c r="S9" s="369"/>
      <c r="T9" s="377"/>
      <c r="U9" s="377"/>
      <c r="V9" s="378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BA9" s="166"/>
      <c r="BB9" s="166"/>
    </row>
    <row r="10" spans="1:56" s="136" customFormat="1" ht="27.75" customHeight="1">
      <c r="A10" s="368" t="s">
        <v>1344</v>
      </c>
      <c r="B10" s="369"/>
      <c r="C10" s="369"/>
      <c r="D10" s="369"/>
      <c r="E10" s="369"/>
      <c r="F10" s="392" t="str">
        <f>[2]神通数据源!G6</f>
        <v>合同生效后 天</v>
      </c>
      <c r="G10" s="392" t="str">
        <f>[2]神通数据源!G6</f>
        <v>合同生效后 天</v>
      </c>
      <c r="H10" s="392"/>
      <c r="I10" s="392"/>
      <c r="J10" s="392"/>
      <c r="K10" s="392"/>
      <c r="L10" s="392"/>
      <c r="M10" s="392"/>
      <c r="N10" s="392"/>
      <c r="O10" s="392"/>
      <c r="P10" s="392"/>
      <c r="Q10" s="393"/>
      <c r="R10" s="375" t="s">
        <v>1345</v>
      </c>
      <c r="S10" s="369"/>
      <c r="T10" s="394"/>
      <c r="U10" s="377"/>
      <c r="V10" s="378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BA10" s="166"/>
      <c r="BB10" s="166"/>
    </row>
    <row r="11" spans="1:56" s="136" customFormat="1" ht="27.75" customHeight="1">
      <c r="A11" s="368" t="s">
        <v>1346</v>
      </c>
      <c r="B11" s="369"/>
      <c r="C11" s="369"/>
      <c r="D11" s="369"/>
      <c r="E11" s="370"/>
      <c r="F11" s="371" t="s">
        <v>1347</v>
      </c>
      <c r="G11" s="372"/>
      <c r="H11" s="372"/>
      <c r="I11" s="372"/>
      <c r="J11" s="372"/>
      <c r="K11" s="372"/>
      <c r="L11" s="372"/>
      <c r="M11" s="373" t="s">
        <v>1348</v>
      </c>
      <c r="N11" s="373"/>
      <c r="O11" s="373"/>
      <c r="P11" s="373"/>
      <c r="Q11" s="374"/>
      <c r="R11" s="375" t="s">
        <v>1349</v>
      </c>
      <c r="S11" s="369"/>
      <c r="T11" s="376"/>
      <c r="U11" s="377"/>
      <c r="V11" s="378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BA11" s="166"/>
      <c r="BB11" s="166"/>
    </row>
    <row r="12" spans="1:56" s="136" customFormat="1" ht="27.75" customHeight="1">
      <c r="A12" s="379" t="s">
        <v>1350</v>
      </c>
      <c r="B12" s="380"/>
      <c r="C12" s="380"/>
      <c r="D12" s="380"/>
      <c r="E12" s="381"/>
      <c r="F12" s="382" t="s">
        <v>1351</v>
      </c>
      <c r="G12" s="383" t="s">
        <v>1352</v>
      </c>
      <c r="H12" s="383"/>
      <c r="I12" s="383"/>
      <c r="J12" s="383"/>
      <c r="K12" s="383"/>
      <c r="L12" s="383"/>
      <c r="M12" s="384" t="s">
        <v>1353</v>
      </c>
      <c r="N12" s="384"/>
      <c r="O12" s="384"/>
      <c r="P12" s="384"/>
      <c r="Q12" s="385"/>
      <c r="R12" s="386" t="s">
        <v>1354</v>
      </c>
      <c r="S12" s="380"/>
      <c r="T12" s="387" t="s">
        <v>1355</v>
      </c>
      <c r="U12" s="387" t="s">
        <v>1355</v>
      </c>
      <c r="V12" s="388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BA12" s="166"/>
      <c r="BB12" s="166"/>
    </row>
    <row r="13" spans="1:56" s="136" customFormat="1" ht="13.5" customHeight="1">
      <c r="A13" s="144"/>
      <c r="B13" s="145"/>
      <c r="C13" s="145"/>
      <c r="D13" s="146"/>
      <c r="E13" s="147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54"/>
      <c r="T13" s="154"/>
      <c r="U13" s="155"/>
      <c r="V13" s="155"/>
      <c r="W13" s="156" t="s">
        <v>1356</v>
      </c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BA13" s="166"/>
      <c r="BB13" s="166"/>
    </row>
    <row r="14" spans="1:56" s="137" customFormat="1" ht="30" customHeight="1">
      <c r="A14" s="148" t="s">
        <v>1357</v>
      </c>
      <c r="B14" s="364" t="s">
        <v>1358</v>
      </c>
      <c r="C14" s="364"/>
      <c r="D14" s="364"/>
      <c r="E14" s="364"/>
      <c r="F14" s="364"/>
      <c r="G14" s="365" t="s">
        <v>1359</v>
      </c>
      <c r="H14" s="365"/>
      <c r="I14" s="365"/>
      <c r="J14" s="365"/>
      <c r="K14" s="365"/>
      <c r="L14" s="365"/>
      <c r="M14" s="365"/>
      <c r="N14" s="365"/>
      <c r="O14" s="365"/>
      <c r="P14" s="365"/>
      <c r="Q14" s="365"/>
      <c r="R14" s="365"/>
      <c r="S14" s="365"/>
      <c r="T14" s="157" t="s">
        <v>1360</v>
      </c>
      <c r="U14" s="157" t="s">
        <v>1361</v>
      </c>
      <c r="V14" s="157" t="s">
        <v>1362</v>
      </c>
      <c r="W14" s="158" t="s">
        <v>1363</v>
      </c>
      <c r="X14" s="159" t="s">
        <v>1364</v>
      </c>
      <c r="Y14" s="158" t="s">
        <v>1365</v>
      </c>
      <c r="Z14" s="155" t="s">
        <v>1366</v>
      </c>
      <c r="AA14" s="167" t="s">
        <v>1367</v>
      </c>
      <c r="AB14" s="155" t="s">
        <v>1368</v>
      </c>
      <c r="AC14" s="167" t="s">
        <v>1367</v>
      </c>
      <c r="AD14" s="155" t="s">
        <v>1369</v>
      </c>
      <c r="AE14" s="168" t="s">
        <v>1149</v>
      </c>
      <c r="AF14" s="167" t="s">
        <v>1367</v>
      </c>
      <c r="AG14" s="155" t="s">
        <v>1370</v>
      </c>
      <c r="AH14" s="168" t="s">
        <v>1149</v>
      </c>
      <c r="AI14" s="167" t="s">
        <v>1367</v>
      </c>
      <c r="AJ14" s="155" t="s">
        <v>1371</v>
      </c>
      <c r="AK14" s="168" t="s">
        <v>1149</v>
      </c>
      <c r="AL14" s="167" t="s">
        <v>1367</v>
      </c>
      <c r="AM14" s="155" t="s">
        <v>1372</v>
      </c>
      <c r="AN14" s="168" t="s">
        <v>1149</v>
      </c>
      <c r="AO14" s="167" t="s">
        <v>1367</v>
      </c>
      <c r="AP14" s="155" t="s">
        <v>1373</v>
      </c>
      <c r="AQ14" s="168" t="s">
        <v>1149</v>
      </c>
      <c r="AR14" s="167" t="s">
        <v>1367</v>
      </c>
      <c r="AS14" s="155" t="s">
        <v>1374</v>
      </c>
      <c r="AT14" s="167" t="s">
        <v>1367</v>
      </c>
      <c r="AU14" s="168" t="s">
        <v>1137</v>
      </c>
      <c r="AV14" s="168" t="s">
        <v>1149</v>
      </c>
      <c r="AW14" s="167" t="s">
        <v>1367</v>
      </c>
      <c r="AX14" s="168" t="s">
        <v>1375</v>
      </c>
      <c r="AY14" s="168" t="s">
        <v>1149</v>
      </c>
      <c r="AZ14" s="167" t="s">
        <v>1367</v>
      </c>
      <c r="BA14" s="168" t="s">
        <v>1237</v>
      </c>
      <c r="BB14" s="167" t="s">
        <v>1367</v>
      </c>
      <c r="BC14" s="171" t="s">
        <v>1376</v>
      </c>
      <c r="BD14" s="167" t="s">
        <v>1367</v>
      </c>
    </row>
    <row r="15" spans="1:56" s="138" customFormat="1" ht="18.95" customHeight="1">
      <c r="A15" s="149">
        <f>神通数据源!A11</f>
        <v>1</v>
      </c>
      <c r="B15" s="366" t="str">
        <f>神通数据源!B11</f>
        <v>10-PV-131061</v>
      </c>
      <c r="C15" s="366"/>
      <c r="D15" s="366"/>
      <c r="E15" s="366"/>
      <c r="F15" s="366"/>
      <c r="G15" s="367" t="str">
        <f>神通数据源!CA11&amp;" "&amp;神通数据源!E11&amp;" "&amp;神通数据源!CC11&amp;" "&amp;神通数据源!CH11&amp;" "&amp;神通数据源!DF11</f>
        <v>ST301C 2" CL300 WCB ST421LA</v>
      </c>
      <c r="H15" s="367"/>
      <c r="I15" s="367"/>
      <c r="J15" s="367"/>
      <c r="K15" s="367"/>
      <c r="L15" s="367"/>
      <c r="M15" s="367"/>
      <c r="N15" s="367"/>
      <c r="O15" s="367"/>
      <c r="P15" s="367"/>
      <c r="Q15" s="367"/>
      <c r="R15" s="367"/>
      <c r="S15" s="367"/>
      <c r="T15" s="160">
        <f>MROUND(W15+Y15+X15,10)</f>
        <v>0</v>
      </c>
      <c r="U15" s="161">
        <f>神通数据源!H11</f>
        <v>1</v>
      </c>
      <c r="V15" s="162">
        <f>T15*U15</f>
        <v>0</v>
      </c>
      <c r="W15" s="163"/>
      <c r="X15" s="303">
        <v>0</v>
      </c>
      <c r="Y15" s="163">
        <f>AA15+AC15+AF15+BB15+AI15+AL15+AO15+AR15+AT15+AW15+AZ15+BD15</f>
        <v>0</v>
      </c>
      <c r="Z15" s="169" t="str">
        <f>IF(神通数据源!DW11="","",神通数据源!DW11)</f>
        <v>DVC6200HC</v>
      </c>
      <c r="AA15" s="170"/>
      <c r="AB15" s="169" t="str">
        <f>IF(神通数据源!EH11="","",神通数据源!EH11)</f>
        <v>AW30-N02BG-2</v>
      </c>
      <c r="AC15" s="170"/>
      <c r="AD15" s="169" t="str">
        <f>IF(神通数据源!EO11="","",神通数据源!EO11)</f>
        <v>——</v>
      </c>
      <c r="AE15" s="169" t="str">
        <f>IF(神通数据源!EP11="","",神通数据源!EP11)</f>
        <v/>
      </c>
      <c r="AF15" s="170"/>
      <c r="AG15" s="169" t="str">
        <f>IF(神通数据源!FA11="","",神通数据源!EO11)</f>
        <v>——</v>
      </c>
      <c r="AH15" s="169" t="str">
        <f>IF(神通数据源!FC11="","",神通数据源!FC11)</f>
        <v/>
      </c>
      <c r="AI15" s="170"/>
      <c r="AJ15" s="169" t="str">
        <f>IF(神通数据源!FI11="","",神通数据源!FI11)</f>
        <v>——</v>
      </c>
      <c r="AK15" s="169" t="str">
        <f>IF(神通数据源!FJ11="","",神通数据源!FJ11)</f>
        <v/>
      </c>
      <c r="AL15" s="170"/>
      <c r="AM15" s="169" t="str">
        <f>IF(神通数据源!FK11="","",神通数据源!FK11)</f>
        <v>——</v>
      </c>
      <c r="AN15" s="169" t="str">
        <f>IF(神通数据源!FL11="","",神通数据源!FL11)</f>
        <v/>
      </c>
      <c r="AO15" s="170"/>
      <c r="AP15" s="169" t="str">
        <f>IF(神通数据源!FM11="","",神通数据源!FM11)</f>
        <v>——</v>
      </c>
      <c r="AQ15" s="169" t="str">
        <f>IF(神通数据源!FN11="","",神通数据源!FN11)</f>
        <v/>
      </c>
      <c r="AR15" s="170"/>
      <c r="AS15" s="169" t="str">
        <f>IF(神通数据源!FO11="","",神通数据源!FO11)</f>
        <v>——</v>
      </c>
      <c r="AT15" s="170"/>
      <c r="AU15" s="169" t="str">
        <f>IF(神通数据源!FQ11="","",神通数据源!FQ11)</f>
        <v>——</v>
      </c>
      <c r="AV15" s="169" t="str">
        <f>IF(神通数据源!FR11="","",神通数据源!FR11)</f>
        <v/>
      </c>
      <c r="AW15" s="170"/>
      <c r="AX15" s="138" t="str">
        <f>IF(神通数据源!FS11="","",神通数据源!FS11)</f>
        <v>——</v>
      </c>
      <c r="AY15" s="138" t="str">
        <f>IF(神通数据源!FT11="","",神通数据源!FT11)</f>
        <v/>
      </c>
      <c r="AZ15" s="172"/>
      <c r="BA15" s="169"/>
      <c r="BB15" s="170"/>
      <c r="BD15" s="172"/>
    </row>
    <row r="16" spans="1:56" s="138" customFormat="1" ht="18.95" customHeight="1">
      <c r="A16" s="149">
        <f>神通数据源!A12</f>
        <v>0</v>
      </c>
      <c r="B16" s="366">
        <f>神通数据源!B12</f>
        <v>0</v>
      </c>
      <c r="C16" s="366"/>
      <c r="D16" s="366"/>
      <c r="E16" s="366"/>
      <c r="F16" s="366"/>
      <c r="G16" s="367" t="str">
        <f>神通数据源!CA12&amp;" "&amp;神通数据源!E12&amp;" "&amp;神通数据源!CC12&amp;" "&amp;神通数据源!CH12&amp;" "&amp;神通数据源!DF12</f>
        <v xml:space="preserve">    </v>
      </c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160">
        <f t="shared" ref="T16:T18" si="0">MROUND(W16+Y16+X16,10)</f>
        <v>0</v>
      </c>
      <c r="U16" s="161">
        <f>神通数据源!H12</f>
        <v>0</v>
      </c>
      <c r="V16" s="162">
        <f t="shared" ref="V16:V18" si="1">T16*U16</f>
        <v>0</v>
      </c>
      <c r="W16" s="163"/>
      <c r="X16" s="303">
        <v>1</v>
      </c>
      <c r="Y16" s="163">
        <f t="shared" ref="Y16:Y18" si="2">AA16+AC16+AF16+BB16+AI16+AL16+AO16+AR16+AT16+AW16+AZ16+BD16</f>
        <v>0</v>
      </c>
      <c r="Z16" s="169" t="str">
        <f>IF(神通数据源!DW12="","",神通数据源!DW12)</f>
        <v/>
      </c>
      <c r="AA16" s="170"/>
      <c r="AB16" s="169" t="str">
        <f>IF(神通数据源!EH12="","",神通数据源!EH12)</f>
        <v/>
      </c>
      <c r="AC16" s="170"/>
      <c r="AD16" s="169" t="str">
        <f>IF(神通数据源!EO12="","",神通数据源!EO12)</f>
        <v/>
      </c>
      <c r="AE16" s="169" t="str">
        <f>IF(神通数据源!EP12="","",神通数据源!EP12)</f>
        <v/>
      </c>
      <c r="AF16" s="170"/>
      <c r="AG16" s="169" t="str">
        <f>IF(神通数据源!FA12="","",神通数据源!EO12)</f>
        <v/>
      </c>
      <c r="AH16" s="169" t="str">
        <f>IF(神通数据源!FC12="","",神通数据源!FC12)</f>
        <v/>
      </c>
      <c r="AI16" s="170"/>
      <c r="AJ16" s="169" t="str">
        <f>IF(神通数据源!FI12="","",神通数据源!FI12)</f>
        <v/>
      </c>
      <c r="AK16" s="169" t="str">
        <f>IF(神通数据源!FJ12="","",神通数据源!FJ12)</f>
        <v/>
      </c>
      <c r="AL16" s="170"/>
      <c r="AM16" s="169" t="str">
        <f>IF(神通数据源!FK12="","",神通数据源!FK12)</f>
        <v/>
      </c>
      <c r="AN16" s="169" t="str">
        <f>IF(神通数据源!FL12="","",神通数据源!FL12)</f>
        <v/>
      </c>
      <c r="AO16" s="170"/>
      <c r="AP16" s="169" t="str">
        <f>IF(神通数据源!FM12="","",神通数据源!FM12)</f>
        <v/>
      </c>
      <c r="AQ16" s="169" t="str">
        <f>IF(神通数据源!FN12="","",神通数据源!FN12)</f>
        <v/>
      </c>
      <c r="AR16" s="170"/>
      <c r="AS16" s="169" t="str">
        <f>IF(神通数据源!FO12="","",神通数据源!FO12)</f>
        <v/>
      </c>
      <c r="AT16" s="170"/>
      <c r="AU16" s="169" t="str">
        <f>IF(神通数据源!FQ12="","",神通数据源!FQ12)</f>
        <v/>
      </c>
      <c r="AV16" s="169" t="str">
        <f>IF(神通数据源!FR12="","",神通数据源!FR12)</f>
        <v/>
      </c>
      <c r="AW16" s="170"/>
      <c r="AX16" s="138" t="str">
        <f>IF(神通数据源!FS12="","",神通数据源!FS12)</f>
        <v/>
      </c>
      <c r="AY16" s="138" t="str">
        <f>IF(神通数据源!FT12="","",神通数据源!FT12)</f>
        <v/>
      </c>
      <c r="AZ16" s="172"/>
      <c r="BA16" s="169"/>
      <c r="BB16" s="170"/>
      <c r="BD16" s="172"/>
    </row>
    <row r="17" spans="1:56" s="138" customFormat="1" ht="18.95" customHeight="1">
      <c r="A17" s="149">
        <f>神通数据源!A13</f>
        <v>0</v>
      </c>
      <c r="B17" s="366">
        <f>神通数据源!B13</f>
        <v>0</v>
      </c>
      <c r="C17" s="366"/>
      <c r="D17" s="366"/>
      <c r="E17" s="366"/>
      <c r="F17" s="366"/>
      <c r="G17" s="367" t="str">
        <f>神通数据源!CA13&amp;" "&amp;神通数据源!E13&amp;" "&amp;神通数据源!CC13&amp;" "&amp;神通数据源!CH13&amp;" "&amp;神通数据源!DF13</f>
        <v xml:space="preserve">    </v>
      </c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160">
        <f t="shared" si="0"/>
        <v>0</v>
      </c>
      <c r="U17" s="161">
        <f>神通数据源!H13</f>
        <v>0</v>
      </c>
      <c r="V17" s="162">
        <f t="shared" si="1"/>
        <v>0</v>
      </c>
      <c r="W17" s="163"/>
      <c r="X17" s="303">
        <v>2</v>
      </c>
      <c r="Y17" s="163">
        <f t="shared" si="2"/>
        <v>0</v>
      </c>
      <c r="Z17" s="169" t="str">
        <f>IF(神通数据源!DW13="","",神通数据源!DW13)</f>
        <v/>
      </c>
      <c r="AA17" s="170"/>
      <c r="AB17" s="169" t="str">
        <f>IF(神通数据源!EH13="","",神通数据源!EH13)</f>
        <v/>
      </c>
      <c r="AC17" s="170"/>
      <c r="AD17" s="169" t="str">
        <f>IF(神通数据源!EO13="","",神通数据源!EO13)</f>
        <v/>
      </c>
      <c r="AE17" s="169" t="str">
        <f>IF(神通数据源!EP13="","",神通数据源!EP13)</f>
        <v/>
      </c>
      <c r="AF17" s="170"/>
      <c r="AG17" s="169" t="str">
        <f>IF(神通数据源!FA13="","",神通数据源!EO13)</f>
        <v/>
      </c>
      <c r="AH17" s="169" t="str">
        <f>IF(神通数据源!FC13="","",神通数据源!FC13)</f>
        <v/>
      </c>
      <c r="AI17" s="170"/>
      <c r="AJ17" s="169" t="str">
        <f>IF(神通数据源!FI13="","",神通数据源!FI13)</f>
        <v/>
      </c>
      <c r="AK17" s="169" t="str">
        <f>IF(神通数据源!FJ13="","",神通数据源!FJ13)</f>
        <v/>
      </c>
      <c r="AL17" s="170"/>
      <c r="AM17" s="169" t="str">
        <f>IF(神通数据源!FK13="","",神通数据源!FK13)</f>
        <v/>
      </c>
      <c r="AN17" s="169" t="str">
        <f>IF(神通数据源!FL13="","",神通数据源!FL13)</f>
        <v/>
      </c>
      <c r="AO17" s="170"/>
      <c r="AP17" s="169" t="str">
        <f>IF(神通数据源!FM13="","",神通数据源!FM13)</f>
        <v/>
      </c>
      <c r="AQ17" s="169" t="str">
        <f>IF(神通数据源!FN13="","",神通数据源!FN13)</f>
        <v/>
      </c>
      <c r="AR17" s="170"/>
      <c r="AS17" s="169" t="str">
        <f>IF(神通数据源!FO13="","",神通数据源!FO13)</f>
        <v/>
      </c>
      <c r="AT17" s="170"/>
      <c r="AU17" s="169" t="str">
        <f>IF(神通数据源!FQ13="","",神通数据源!FQ13)</f>
        <v/>
      </c>
      <c r="AV17" s="169" t="str">
        <f>IF(神通数据源!FR13="","",神通数据源!FR13)</f>
        <v/>
      </c>
      <c r="AW17" s="170"/>
      <c r="AX17" s="138" t="str">
        <f>IF(神通数据源!FS13="","",神通数据源!FS13)</f>
        <v/>
      </c>
      <c r="AY17" s="138" t="str">
        <f>IF(神通数据源!FT13="","",神通数据源!FT13)</f>
        <v/>
      </c>
      <c r="AZ17" s="172"/>
      <c r="BA17" s="169"/>
      <c r="BB17" s="170"/>
      <c r="BD17" s="172"/>
    </row>
    <row r="18" spans="1:56" s="138" customFormat="1" ht="18.95" customHeight="1">
      <c r="A18" s="149">
        <f>神通数据源!A14</f>
        <v>0</v>
      </c>
      <c r="B18" s="366">
        <f>神通数据源!B14</f>
        <v>0</v>
      </c>
      <c r="C18" s="366"/>
      <c r="D18" s="366"/>
      <c r="E18" s="366"/>
      <c r="F18" s="366"/>
      <c r="G18" s="367" t="str">
        <f>神通数据源!CA14&amp;" "&amp;神通数据源!E14&amp;" "&amp;神通数据源!CC14&amp;" "&amp;神通数据源!CH14&amp;" "&amp;神通数据源!DF14</f>
        <v xml:space="preserve">    </v>
      </c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160">
        <f t="shared" si="0"/>
        <v>0</v>
      </c>
      <c r="U18" s="161">
        <f>神通数据源!H14</f>
        <v>0</v>
      </c>
      <c r="V18" s="162">
        <f t="shared" si="1"/>
        <v>0</v>
      </c>
      <c r="W18" s="163"/>
      <c r="X18" s="303">
        <v>3</v>
      </c>
      <c r="Y18" s="163">
        <f t="shared" si="2"/>
        <v>0</v>
      </c>
      <c r="Z18" s="169" t="str">
        <f>IF(神通数据源!DW14="","",神通数据源!DW14)</f>
        <v/>
      </c>
      <c r="AA18" s="170"/>
      <c r="AB18" s="169" t="str">
        <f>IF(神通数据源!EH14="","",神通数据源!EH14)</f>
        <v/>
      </c>
      <c r="AC18" s="170"/>
      <c r="AD18" s="169" t="str">
        <f>IF(神通数据源!EO14="","",神通数据源!EO14)</f>
        <v/>
      </c>
      <c r="AE18" s="169" t="str">
        <f>IF(神通数据源!EP14="","",神通数据源!EP14)</f>
        <v/>
      </c>
      <c r="AF18" s="170"/>
      <c r="AG18" s="169" t="str">
        <f>IF(神通数据源!FA14="","",神通数据源!EO14)</f>
        <v/>
      </c>
      <c r="AH18" s="169" t="str">
        <f>IF(神通数据源!FC14="","",神通数据源!FC14)</f>
        <v/>
      </c>
      <c r="AI18" s="170"/>
      <c r="AJ18" s="169" t="str">
        <f>IF(神通数据源!FI14="","",神通数据源!FI14)</f>
        <v/>
      </c>
      <c r="AK18" s="169" t="str">
        <f>IF(神通数据源!FJ14="","",神通数据源!FJ14)</f>
        <v/>
      </c>
      <c r="AL18" s="170"/>
      <c r="AM18" s="169" t="str">
        <f>IF(神通数据源!FK14="","",神通数据源!FK14)</f>
        <v/>
      </c>
      <c r="AN18" s="169" t="str">
        <f>IF(神通数据源!FL14="","",神通数据源!FL14)</f>
        <v/>
      </c>
      <c r="AO18" s="170"/>
      <c r="AP18" s="169" t="str">
        <f>IF(神通数据源!FM14="","",神通数据源!FM14)</f>
        <v/>
      </c>
      <c r="AQ18" s="169" t="str">
        <f>IF(神通数据源!FN14="","",神通数据源!FN14)</f>
        <v/>
      </c>
      <c r="AR18" s="170"/>
      <c r="AS18" s="169" t="str">
        <f>IF(神通数据源!FO14="","",神通数据源!FO14)</f>
        <v/>
      </c>
      <c r="AT18" s="170"/>
      <c r="AU18" s="169" t="str">
        <f>IF(神通数据源!FQ14="","",神通数据源!FQ14)</f>
        <v/>
      </c>
      <c r="AV18" s="169" t="str">
        <f>IF(神通数据源!FR14="","",神通数据源!FR14)</f>
        <v/>
      </c>
      <c r="AW18" s="170"/>
      <c r="AX18" s="138" t="str">
        <f>IF(神通数据源!FS14="","",神通数据源!FS14)</f>
        <v/>
      </c>
      <c r="AY18" s="138" t="str">
        <f>IF(神通数据源!FT14="","",神通数据源!FT14)</f>
        <v/>
      </c>
      <c r="AZ18" s="172"/>
      <c r="BA18" s="169"/>
      <c r="BB18" s="170"/>
      <c r="BD18" s="172"/>
    </row>
    <row r="19" spans="1:56" s="137" customFormat="1" ht="21.95" customHeight="1">
      <c r="A19" s="173"/>
      <c r="B19" s="174"/>
      <c r="C19" s="174"/>
      <c r="D19" s="174"/>
      <c r="E19" s="174"/>
      <c r="F19" s="174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6"/>
      <c r="U19" s="177"/>
      <c r="V19" s="178"/>
      <c r="W19" s="179"/>
      <c r="X19" s="179"/>
      <c r="Y19" s="17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38"/>
      <c r="AY19" s="138"/>
      <c r="BA19" s="155"/>
      <c r="BB19" s="155"/>
    </row>
    <row r="20" spans="1:56" ht="21.95" customHeight="1">
      <c r="R20" s="180"/>
      <c r="S20" s="181"/>
      <c r="T20" s="182"/>
      <c r="V20" s="183" t="s">
        <v>1377</v>
      </c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BA20" s="139"/>
      <c r="BB20" s="139"/>
    </row>
    <row r="21" spans="1:56" ht="21.95" customHeight="1">
      <c r="Q21" s="184"/>
      <c r="R21" s="363" t="s">
        <v>1378</v>
      </c>
      <c r="S21" s="363"/>
      <c r="T21" s="185" t="s">
        <v>1379</v>
      </c>
      <c r="U21" s="186">
        <f>SUM(U15:U19)</f>
        <v>1</v>
      </c>
      <c r="V21" s="187">
        <f>SUM(V15:V19)</f>
        <v>0</v>
      </c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BA21" s="139"/>
      <c r="BB21" s="139"/>
    </row>
    <row r="22" spans="1:56" ht="24.95" customHeight="1">
      <c r="Q22" s="188" t="s">
        <v>1380</v>
      </c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BA22" s="139"/>
      <c r="BB22" s="139"/>
    </row>
    <row r="23" spans="1:56" ht="24.95" customHeight="1">
      <c r="Q23" s="189" t="s">
        <v>1381</v>
      </c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BA23" s="139"/>
      <c r="BB23" s="139"/>
    </row>
  </sheetData>
  <autoFilter ref="A14:AC23" xr:uid="{00000000-0009-0000-0000-000005000000}"/>
  <mergeCells count="44">
    <mergeCell ref="A10:E10"/>
    <mergeCell ref="F10:Q10"/>
    <mergeCell ref="R10:S10"/>
    <mergeCell ref="T10:V10"/>
    <mergeCell ref="S1:T1"/>
    <mergeCell ref="U1:V1"/>
    <mergeCell ref="A3:T3"/>
    <mergeCell ref="U3:V3"/>
    <mergeCell ref="A4:T4"/>
    <mergeCell ref="U4:V4"/>
    <mergeCell ref="A6:V6"/>
    <mergeCell ref="A7:E7"/>
    <mergeCell ref="F7:Q7"/>
    <mergeCell ref="R7:S7"/>
    <mergeCell ref="T7:V7"/>
    <mergeCell ref="A8:E8"/>
    <mergeCell ref="F8:Q8"/>
    <mergeCell ref="R8:S8"/>
    <mergeCell ref="T8:V8"/>
    <mergeCell ref="A9:E9"/>
    <mergeCell ref="F9:Q9"/>
    <mergeCell ref="R9:S9"/>
    <mergeCell ref="T9:V9"/>
    <mergeCell ref="A12:E12"/>
    <mergeCell ref="F12:L12"/>
    <mergeCell ref="M12:Q12"/>
    <mergeCell ref="R12:S12"/>
    <mergeCell ref="T12:V12"/>
    <mergeCell ref="A11:E11"/>
    <mergeCell ref="F11:L11"/>
    <mergeCell ref="M11:Q11"/>
    <mergeCell ref="R11:S11"/>
    <mergeCell ref="T11:V11"/>
    <mergeCell ref="R21:S21"/>
    <mergeCell ref="B14:F14"/>
    <mergeCell ref="G14:S14"/>
    <mergeCell ref="B15:F15"/>
    <mergeCell ref="G15:S15"/>
    <mergeCell ref="B16:F16"/>
    <mergeCell ref="G16:S16"/>
    <mergeCell ref="B17:F17"/>
    <mergeCell ref="G17:S17"/>
    <mergeCell ref="B18:F18"/>
    <mergeCell ref="G18:S18"/>
  </mergeCells>
  <phoneticPr fontId="107" type="noConversion"/>
  <pageMargins left="0.69" right="0.14000000000000001" top="0.37" bottom="0.28000000000000003" header="0.28000000000000003" footer="0.17"/>
  <pageSetup paperSize="8" scale="56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N59"/>
  <sheetViews>
    <sheetView view="pageBreakPreview" zoomScaleNormal="100" zoomScaleSheetLayoutView="100" workbookViewId="0">
      <selection activeCell="V38" sqref="V38:X38"/>
    </sheetView>
  </sheetViews>
  <sheetFormatPr defaultColWidth="9.125" defaultRowHeight="13.5"/>
  <cols>
    <col min="1" max="1" width="3.375" style="123" customWidth="1"/>
    <col min="2" max="2" width="2.875" style="123" customWidth="1"/>
    <col min="3" max="5" width="3.625" style="123" customWidth="1"/>
    <col min="6" max="6" width="6.375" style="123" customWidth="1"/>
    <col min="7" max="7" width="3.625" style="123" customWidth="1"/>
    <col min="8" max="9" width="4.125" style="123" customWidth="1"/>
    <col min="10" max="12" width="3.625" style="123" customWidth="1"/>
    <col min="13" max="13" width="3.25" style="123" customWidth="1"/>
    <col min="14" max="15" width="3.625" style="123" customWidth="1"/>
    <col min="16" max="17" width="4.125" style="123" customWidth="1"/>
    <col min="18" max="18" width="3.625" style="123" customWidth="1"/>
    <col min="19" max="20" width="4.125" style="123" customWidth="1"/>
    <col min="21" max="21" width="3.625" style="123" customWidth="1"/>
    <col min="22" max="23" width="4.125" style="123" customWidth="1"/>
    <col min="24" max="24" width="3.625" style="123" customWidth="1"/>
    <col min="25" max="29" width="4.125" style="123" customWidth="1"/>
    <col min="30" max="30" width="6.75" style="123" customWidth="1"/>
    <col min="31" max="48" width="4.125" style="123" customWidth="1"/>
    <col min="49" max="51" width="4.625" style="123" customWidth="1"/>
    <col min="52" max="256" width="9.125" style="123"/>
    <col min="257" max="261" width="4.125" style="123" customWidth="1"/>
    <col min="262" max="262" width="6.75" style="123" customWidth="1"/>
    <col min="263" max="285" width="4.125" style="123" customWidth="1"/>
    <col min="286" max="286" width="6.75" style="123" customWidth="1"/>
    <col min="287" max="304" width="4.125" style="123" customWidth="1"/>
    <col min="305" max="307" width="4.625" style="123" customWidth="1"/>
    <col min="308" max="512" width="9.125" style="123"/>
    <col min="513" max="517" width="4.125" style="123" customWidth="1"/>
    <col min="518" max="518" width="6.75" style="123" customWidth="1"/>
    <col min="519" max="541" width="4.125" style="123" customWidth="1"/>
    <col min="542" max="542" width="6.75" style="123" customWidth="1"/>
    <col min="543" max="560" width="4.125" style="123" customWidth="1"/>
    <col min="561" max="563" width="4.625" style="123" customWidth="1"/>
    <col min="564" max="768" width="9.125" style="123"/>
    <col min="769" max="773" width="4.125" style="123" customWidth="1"/>
    <col min="774" max="774" width="6.75" style="123" customWidth="1"/>
    <col min="775" max="797" width="4.125" style="123" customWidth="1"/>
    <col min="798" max="798" width="6.75" style="123" customWidth="1"/>
    <col min="799" max="816" width="4.125" style="123" customWidth="1"/>
    <col min="817" max="819" width="4.625" style="123" customWidth="1"/>
    <col min="820" max="1024" width="9.125" style="123"/>
    <col min="1025" max="1029" width="4.125" style="123" customWidth="1"/>
    <col min="1030" max="1030" width="6.75" style="123" customWidth="1"/>
    <col min="1031" max="1053" width="4.125" style="123" customWidth="1"/>
    <col min="1054" max="1054" width="6.75" style="123" customWidth="1"/>
    <col min="1055" max="1072" width="4.125" style="123" customWidth="1"/>
    <col min="1073" max="1075" width="4.625" style="123" customWidth="1"/>
    <col min="1076" max="1280" width="9.125" style="123"/>
    <col min="1281" max="1285" width="4.125" style="123" customWidth="1"/>
    <col min="1286" max="1286" width="6.75" style="123" customWidth="1"/>
    <col min="1287" max="1309" width="4.125" style="123" customWidth="1"/>
    <col min="1310" max="1310" width="6.75" style="123" customWidth="1"/>
    <col min="1311" max="1328" width="4.125" style="123" customWidth="1"/>
    <col min="1329" max="1331" width="4.625" style="123" customWidth="1"/>
    <col min="1332" max="1536" width="9.125" style="123"/>
    <col min="1537" max="1541" width="4.125" style="123" customWidth="1"/>
    <col min="1542" max="1542" width="6.75" style="123" customWidth="1"/>
    <col min="1543" max="1565" width="4.125" style="123" customWidth="1"/>
    <col min="1566" max="1566" width="6.75" style="123" customWidth="1"/>
    <col min="1567" max="1584" width="4.125" style="123" customWidth="1"/>
    <col min="1585" max="1587" width="4.625" style="123" customWidth="1"/>
    <col min="1588" max="1792" width="9.125" style="123"/>
    <col min="1793" max="1797" width="4.125" style="123" customWidth="1"/>
    <col min="1798" max="1798" width="6.75" style="123" customWidth="1"/>
    <col min="1799" max="1821" width="4.125" style="123" customWidth="1"/>
    <col min="1822" max="1822" width="6.75" style="123" customWidth="1"/>
    <col min="1823" max="1840" width="4.125" style="123" customWidth="1"/>
    <col min="1841" max="1843" width="4.625" style="123" customWidth="1"/>
    <col min="1844" max="2048" width="9.125" style="123"/>
    <col min="2049" max="2053" width="4.125" style="123" customWidth="1"/>
    <col min="2054" max="2054" width="6.75" style="123" customWidth="1"/>
    <col min="2055" max="2077" width="4.125" style="123" customWidth="1"/>
    <col min="2078" max="2078" width="6.75" style="123" customWidth="1"/>
    <col min="2079" max="2096" width="4.125" style="123" customWidth="1"/>
    <col min="2097" max="2099" width="4.625" style="123" customWidth="1"/>
    <col min="2100" max="2304" width="9.125" style="123"/>
    <col min="2305" max="2309" width="4.125" style="123" customWidth="1"/>
    <col min="2310" max="2310" width="6.75" style="123" customWidth="1"/>
    <col min="2311" max="2333" width="4.125" style="123" customWidth="1"/>
    <col min="2334" max="2334" width="6.75" style="123" customWidth="1"/>
    <col min="2335" max="2352" width="4.125" style="123" customWidth="1"/>
    <col min="2353" max="2355" width="4.625" style="123" customWidth="1"/>
    <col min="2356" max="2560" width="9.125" style="123"/>
    <col min="2561" max="2565" width="4.125" style="123" customWidth="1"/>
    <col min="2566" max="2566" width="6.75" style="123" customWidth="1"/>
    <col min="2567" max="2589" width="4.125" style="123" customWidth="1"/>
    <col min="2590" max="2590" width="6.75" style="123" customWidth="1"/>
    <col min="2591" max="2608" width="4.125" style="123" customWidth="1"/>
    <col min="2609" max="2611" width="4.625" style="123" customWidth="1"/>
    <col min="2612" max="2816" width="9.125" style="123"/>
    <col min="2817" max="2821" width="4.125" style="123" customWidth="1"/>
    <col min="2822" max="2822" width="6.75" style="123" customWidth="1"/>
    <col min="2823" max="2845" width="4.125" style="123" customWidth="1"/>
    <col min="2846" max="2846" width="6.75" style="123" customWidth="1"/>
    <col min="2847" max="2864" width="4.125" style="123" customWidth="1"/>
    <col min="2865" max="2867" width="4.625" style="123" customWidth="1"/>
    <col min="2868" max="3072" width="9.125" style="123"/>
    <col min="3073" max="3077" width="4.125" style="123" customWidth="1"/>
    <col min="3078" max="3078" width="6.75" style="123" customWidth="1"/>
    <col min="3079" max="3101" width="4.125" style="123" customWidth="1"/>
    <col min="3102" max="3102" width="6.75" style="123" customWidth="1"/>
    <col min="3103" max="3120" width="4.125" style="123" customWidth="1"/>
    <col min="3121" max="3123" width="4.625" style="123" customWidth="1"/>
    <col min="3124" max="3328" width="9.125" style="123"/>
    <col min="3329" max="3333" width="4.125" style="123" customWidth="1"/>
    <col min="3334" max="3334" width="6.75" style="123" customWidth="1"/>
    <col min="3335" max="3357" width="4.125" style="123" customWidth="1"/>
    <col min="3358" max="3358" width="6.75" style="123" customWidth="1"/>
    <col min="3359" max="3376" width="4.125" style="123" customWidth="1"/>
    <col min="3377" max="3379" width="4.625" style="123" customWidth="1"/>
    <col min="3380" max="3584" width="9.125" style="123"/>
    <col min="3585" max="3589" width="4.125" style="123" customWidth="1"/>
    <col min="3590" max="3590" width="6.75" style="123" customWidth="1"/>
    <col min="3591" max="3613" width="4.125" style="123" customWidth="1"/>
    <col min="3614" max="3614" width="6.75" style="123" customWidth="1"/>
    <col min="3615" max="3632" width="4.125" style="123" customWidth="1"/>
    <col min="3633" max="3635" width="4.625" style="123" customWidth="1"/>
    <col min="3636" max="3840" width="9.125" style="123"/>
    <col min="3841" max="3845" width="4.125" style="123" customWidth="1"/>
    <col min="3846" max="3846" width="6.75" style="123" customWidth="1"/>
    <col min="3847" max="3869" width="4.125" style="123" customWidth="1"/>
    <col min="3870" max="3870" width="6.75" style="123" customWidth="1"/>
    <col min="3871" max="3888" width="4.125" style="123" customWidth="1"/>
    <col min="3889" max="3891" width="4.625" style="123" customWidth="1"/>
    <col min="3892" max="4096" width="9.125" style="123"/>
    <col min="4097" max="4101" width="4.125" style="123" customWidth="1"/>
    <col min="4102" max="4102" width="6.75" style="123" customWidth="1"/>
    <col min="4103" max="4125" width="4.125" style="123" customWidth="1"/>
    <col min="4126" max="4126" width="6.75" style="123" customWidth="1"/>
    <col min="4127" max="4144" width="4.125" style="123" customWidth="1"/>
    <col min="4145" max="4147" width="4.625" style="123" customWidth="1"/>
    <col min="4148" max="4352" width="9.125" style="123"/>
    <col min="4353" max="4357" width="4.125" style="123" customWidth="1"/>
    <col min="4358" max="4358" width="6.75" style="123" customWidth="1"/>
    <col min="4359" max="4381" width="4.125" style="123" customWidth="1"/>
    <col min="4382" max="4382" width="6.75" style="123" customWidth="1"/>
    <col min="4383" max="4400" width="4.125" style="123" customWidth="1"/>
    <col min="4401" max="4403" width="4.625" style="123" customWidth="1"/>
    <col min="4404" max="4608" width="9.125" style="123"/>
    <col min="4609" max="4613" width="4.125" style="123" customWidth="1"/>
    <col min="4614" max="4614" width="6.75" style="123" customWidth="1"/>
    <col min="4615" max="4637" width="4.125" style="123" customWidth="1"/>
    <col min="4638" max="4638" width="6.75" style="123" customWidth="1"/>
    <col min="4639" max="4656" width="4.125" style="123" customWidth="1"/>
    <col min="4657" max="4659" width="4.625" style="123" customWidth="1"/>
    <col min="4660" max="4864" width="9.125" style="123"/>
    <col min="4865" max="4869" width="4.125" style="123" customWidth="1"/>
    <col min="4870" max="4870" width="6.75" style="123" customWidth="1"/>
    <col min="4871" max="4893" width="4.125" style="123" customWidth="1"/>
    <col min="4894" max="4894" width="6.75" style="123" customWidth="1"/>
    <col min="4895" max="4912" width="4.125" style="123" customWidth="1"/>
    <col min="4913" max="4915" width="4.625" style="123" customWidth="1"/>
    <col min="4916" max="5120" width="9.125" style="123"/>
    <col min="5121" max="5125" width="4.125" style="123" customWidth="1"/>
    <col min="5126" max="5126" width="6.75" style="123" customWidth="1"/>
    <col min="5127" max="5149" width="4.125" style="123" customWidth="1"/>
    <col min="5150" max="5150" width="6.75" style="123" customWidth="1"/>
    <col min="5151" max="5168" width="4.125" style="123" customWidth="1"/>
    <col min="5169" max="5171" width="4.625" style="123" customWidth="1"/>
    <col min="5172" max="5376" width="9.125" style="123"/>
    <col min="5377" max="5381" width="4.125" style="123" customWidth="1"/>
    <col min="5382" max="5382" width="6.75" style="123" customWidth="1"/>
    <col min="5383" max="5405" width="4.125" style="123" customWidth="1"/>
    <col min="5406" max="5406" width="6.75" style="123" customWidth="1"/>
    <col min="5407" max="5424" width="4.125" style="123" customWidth="1"/>
    <col min="5425" max="5427" width="4.625" style="123" customWidth="1"/>
    <col min="5428" max="5632" width="9.125" style="123"/>
    <col min="5633" max="5637" width="4.125" style="123" customWidth="1"/>
    <col min="5638" max="5638" width="6.75" style="123" customWidth="1"/>
    <col min="5639" max="5661" width="4.125" style="123" customWidth="1"/>
    <col min="5662" max="5662" width="6.75" style="123" customWidth="1"/>
    <col min="5663" max="5680" width="4.125" style="123" customWidth="1"/>
    <col min="5681" max="5683" width="4.625" style="123" customWidth="1"/>
    <col min="5684" max="5888" width="9.125" style="123"/>
    <col min="5889" max="5893" width="4.125" style="123" customWidth="1"/>
    <col min="5894" max="5894" width="6.75" style="123" customWidth="1"/>
    <col min="5895" max="5917" width="4.125" style="123" customWidth="1"/>
    <col min="5918" max="5918" width="6.75" style="123" customWidth="1"/>
    <col min="5919" max="5936" width="4.125" style="123" customWidth="1"/>
    <col min="5937" max="5939" width="4.625" style="123" customWidth="1"/>
    <col min="5940" max="6144" width="9.125" style="123"/>
    <col min="6145" max="6149" width="4.125" style="123" customWidth="1"/>
    <col min="6150" max="6150" width="6.75" style="123" customWidth="1"/>
    <col min="6151" max="6173" width="4.125" style="123" customWidth="1"/>
    <col min="6174" max="6174" width="6.75" style="123" customWidth="1"/>
    <col min="6175" max="6192" width="4.125" style="123" customWidth="1"/>
    <col min="6193" max="6195" width="4.625" style="123" customWidth="1"/>
    <col min="6196" max="6400" width="9.125" style="123"/>
    <col min="6401" max="6405" width="4.125" style="123" customWidth="1"/>
    <col min="6406" max="6406" width="6.75" style="123" customWidth="1"/>
    <col min="6407" max="6429" width="4.125" style="123" customWidth="1"/>
    <col min="6430" max="6430" width="6.75" style="123" customWidth="1"/>
    <col min="6431" max="6448" width="4.125" style="123" customWidth="1"/>
    <col min="6449" max="6451" width="4.625" style="123" customWidth="1"/>
    <col min="6452" max="6656" width="9.125" style="123"/>
    <col min="6657" max="6661" width="4.125" style="123" customWidth="1"/>
    <col min="6662" max="6662" width="6.75" style="123" customWidth="1"/>
    <col min="6663" max="6685" width="4.125" style="123" customWidth="1"/>
    <col min="6686" max="6686" width="6.75" style="123" customWidth="1"/>
    <col min="6687" max="6704" width="4.125" style="123" customWidth="1"/>
    <col min="6705" max="6707" width="4.625" style="123" customWidth="1"/>
    <col min="6708" max="6912" width="9.125" style="123"/>
    <col min="6913" max="6917" width="4.125" style="123" customWidth="1"/>
    <col min="6918" max="6918" width="6.75" style="123" customWidth="1"/>
    <col min="6919" max="6941" width="4.125" style="123" customWidth="1"/>
    <col min="6942" max="6942" width="6.75" style="123" customWidth="1"/>
    <col min="6943" max="6960" width="4.125" style="123" customWidth="1"/>
    <col min="6961" max="6963" width="4.625" style="123" customWidth="1"/>
    <col min="6964" max="7168" width="9.125" style="123"/>
    <col min="7169" max="7173" width="4.125" style="123" customWidth="1"/>
    <col min="7174" max="7174" width="6.75" style="123" customWidth="1"/>
    <col min="7175" max="7197" width="4.125" style="123" customWidth="1"/>
    <col min="7198" max="7198" width="6.75" style="123" customWidth="1"/>
    <col min="7199" max="7216" width="4.125" style="123" customWidth="1"/>
    <col min="7217" max="7219" width="4.625" style="123" customWidth="1"/>
    <col min="7220" max="7424" width="9.125" style="123"/>
    <col min="7425" max="7429" width="4.125" style="123" customWidth="1"/>
    <col min="7430" max="7430" width="6.75" style="123" customWidth="1"/>
    <col min="7431" max="7453" width="4.125" style="123" customWidth="1"/>
    <col min="7454" max="7454" width="6.75" style="123" customWidth="1"/>
    <col min="7455" max="7472" width="4.125" style="123" customWidth="1"/>
    <col min="7473" max="7475" width="4.625" style="123" customWidth="1"/>
    <col min="7476" max="7680" width="9.125" style="123"/>
    <col min="7681" max="7685" width="4.125" style="123" customWidth="1"/>
    <col min="7686" max="7686" width="6.75" style="123" customWidth="1"/>
    <col min="7687" max="7709" width="4.125" style="123" customWidth="1"/>
    <col min="7710" max="7710" width="6.75" style="123" customWidth="1"/>
    <col min="7711" max="7728" width="4.125" style="123" customWidth="1"/>
    <col min="7729" max="7731" width="4.625" style="123" customWidth="1"/>
    <col min="7732" max="7936" width="9.125" style="123"/>
    <col min="7937" max="7941" width="4.125" style="123" customWidth="1"/>
    <col min="7942" max="7942" width="6.75" style="123" customWidth="1"/>
    <col min="7943" max="7965" width="4.125" style="123" customWidth="1"/>
    <col min="7966" max="7966" width="6.75" style="123" customWidth="1"/>
    <col min="7967" max="7984" width="4.125" style="123" customWidth="1"/>
    <col min="7985" max="7987" width="4.625" style="123" customWidth="1"/>
    <col min="7988" max="8192" width="9.125" style="123"/>
    <col min="8193" max="8197" width="4.125" style="123" customWidth="1"/>
    <col min="8198" max="8198" width="6.75" style="123" customWidth="1"/>
    <col min="8199" max="8221" width="4.125" style="123" customWidth="1"/>
    <col min="8222" max="8222" width="6.75" style="123" customWidth="1"/>
    <col min="8223" max="8240" width="4.125" style="123" customWidth="1"/>
    <col min="8241" max="8243" width="4.625" style="123" customWidth="1"/>
    <col min="8244" max="8448" width="9.125" style="123"/>
    <col min="8449" max="8453" width="4.125" style="123" customWidth="1"/>
    <col min="8454" max="8454" width="6.75" style="123" customWidth="1"/>
    <col min="8455" max="8477" width="4.125" style="123" customWidth="1"/>
    <col min="8478" max="8478" width="6.75" style="123" customWidth="1"/>
    <col min="8479" max="8496" width="4.125" style="123" customWidth="1"/>
    <col min="8497" max="8499" width="4.625" style="123" customWidth="1"/>
    <col min="8500" max="8704" width="9.125" style="123"/>
    <col min="8705" max="8709" width="4.125" style="123" customWidth="1"/>
    <col min="8710" max="8710" width="6.75" style="123" customWidth="1"/>
    <col min="8711" max="8733" width="4.125" style="123" customWidth="1"/>
    <col min="8734" max="8734" width="6.75" style="123" customWidth="1"/>
    <col min="8735" max="8752" width="4.125" style="123" customWidth="1"/>
    <col min="8753" max="8755" width="4.625" style="123" customWidth="1"/>
    <col min="8756" max="8960" width="9.125" style="123"/>
    <col min="8961" max="8965" width="4.125" style="123" customWidth="1"/>
    <col min="8966" max="8966" width="6.75" style="123" customWidth="1"/>
    <col min="8967" max="8989" width="4.125" style="123" customWidth="1"/>
    <col min="8990" max="8990" width="6.75" style="123" customWidth="1"/>
    <col min="8991" max="9008" width="4.125" style="123" customWidth="1"/>
    <col min="9009" max="9011" width="4.625" style="123" customWidth="1"/>
    <col min="9012" max="9216" width="9.125" style="123"/>
    <col min="9217" max="9221" width="4.125" style="123" customWidth="1"/>
    <col min="9222" max="9222" width="6.75" style="123" customWidth="1"/>
    <col min="9223" max="9245" width="4.125" style="123" customWidth="1"/>
    <col min="9246" max="9246" width="6.75" style="123" customWidth="1"/>
    <col min="9247" max="9264" width="4.125" style="123" customWidth="1"/>
    <col min="9265" max="9267" width="4.625" style="123" customWidth="1"/>
    <col min="9268" max="9472" width="9.125" style="123"/>
    <col min="9473" max="9477" width="4.125" style="123" customWidth="1"/>
    <col min="9478" max="9478" width="6.75" style="123" customWidth="1"/>
    <col min="9479" max="9501" width="4.125" style="123" customWidth="1"/>
    <col min="9502" max="9502" width="6.75" style="123" customWidth="1"/>
    <col min="9503" max="9520" width="4.125" style="123" customWidth="1"/>
    <col min="9521" max="9523" width="4.625" style="123" customWidth="1"/>
    <col min="9524" max="9728" width="9.125" style="123"/>
    <col min="9729" max="9733" width="4.125" style="123" customWidth="1"/>
    <col min="9734" max="9734" width="6.75" style="123" customWidth="1"/>
    <col min="9735" max="9757" width="4.125" style="123" customWidth="1"/>
    <col min="9758" max="9758" width="6.75" style="123" customWidth="1"/>
    <col min="9759" max="9776" width="4.125" style="123" customWidth="1"/>
    <col min="9777" max="9779" width="4.625" style="123" customWidth="1"/>
    <col min="9780" max="9984" width="9.125" style="123"/>
    <col min="9985" max="9989" width="4.125" style="123" customWidth="1"/>
    <col min="9990" max="9990" width="6.75" style="123" customWidth="1"/>
    <col min="9991" max="10013" width="4.125" style="123" customWidth="1"/>
    <col min="10014" max="10014" width="6.75" style="123" customWidth="1"/>
    <col min="10015" max="10032" width="4.125" style="123" customWidth="1"/>
    <col min="10033" max="10035" width="4.625" style="123" customWidth="1"/>
    <col min="10036" max="10240" width="9.125" style="123"/>
    <col min="10241" max="10245" width="4.125" style="123" customWidth="1"/>
    <col min="10246" max="10246" width="6.75" style="123" customWidth="1"/>
    <col min="10247" max="10269" width="4.125" style="123" customWidth="1"/>
    <col min="10270" max="10270" width="6.75" style="123" customWidth="1"/>
    <col min="10271" max="10288" width="4.125" style="123" customWidth="1"/>
    <col min="10289" max="10291" width="4.625" style="123" customWidth="1"/>
    <col min="10292" max="10496" width="9.125" style="123"/>
    <col min="10497" max="10501" width="4.125" style="123" customWidth="1"/>
    <col min="10502" max="10502" width="6.75" style="123" customWidth="1"/>
    <col min="10503" max="10525" width="4.125" style="123" customWidth="1"/>
    <col min="10526" max="10526" width="6.75" style="123" customWidth="1"/>
    <col min="10527" max="10544" width="4.125" style="123" customWidth="1"/>
    <col min="10545" max="10547" width="4.625" style="123" customWidth="1"/>
    <col min="10548" max="10752" width="9.125" style="123"/>
    <col min="10753" max="10757" width="4.125" style="123" customWidth="1"/>
    <col min="10758" max="10758" width="6.75" style="123" customWidth="1"/>
    <col min="10759" max="10781" width="4.125" style="123" customWidth="1"/>
    <col min="10782" max="10782" width="6.75" style="123" customWidth="1"/>
    <col min="10783" max="10800" width="4.125" style="123" customWidth="1"/>
    <col min="10801" max="10803" width="4.625" style="123" customWidth="1"/>
    <col min="10804" max="11008" width="9.125" style="123"/>
    <col min="11009" max="11013" width="4.125" style="123" customWidth="1"/>
    <col min="11014" max="11014" width="6.75" style="123" customWidth="1"/>
    <col min="11015" max="11037" width="4.125" style="123" customWidth="1"/>
    <col min="11038" max="11038" width="6.75" style="123" customWidth="1"/>
    <col min="11039" max="11056" width="4.125" style="123" customWidth="1"/>
    <col min="11057" max="11059" width="4.625" style="123" customWidth="1"/>
    <col min="11060" max="11264" width="9.125" style="123"/>
    <col min="11265" max="11269" width="4.125" style="123" customWidth="1"/>
    <col min="11270" max="11270" width="6.75" style="123" customWidth="1"/>
    <col min="11271" max="11293" width="4.125" style="123" customWidth="1"/>
    <col min="11294" max="11294" width="6.75" style="123" customWidth="1"/>
    <col min="11295" max="11312" width="4.125" style="123" customWidth="1"/>
    <col min="11313" max="11315" width="4.625" style="123" customWidth="1"/>
    <col min="11316" max="11520" width="9.125" style="123"/>
    <col min="11521" max="11525" width="4.125" style="123" customWidth="1"/>
    <col min="11526" max="11526" width="6.75" style="123" customWidth="1"/>
    <col min="11527" max="11549" width="4.125" style="123" customWidth="1"/>
    <col min="11550" max="11550" width="6.75" style="123" customWidth="1"/>
    <col min="11551" max="11568" width="4.125" style="123" customWidth="1"/>
    <col min="11569" max="11571" width="4.625" style="123" customWidth="1"/>
    <col min="11572" max="11776" width="9.125" style="123"/>
    <col min="11777" max="11781" width="4.125" style="123" customWidth="1"/>
    <col min="11782" max="11782" width="6.75" style="123" customWidth="1"/>
    <col min="11783" max="11805" width="4.125" style="123" customWidth="1"/>
    <col min="11806" max="11806" width="6.75" style="123" customWidth="1"/>
    <col min="11807" max="11824" width="4.125" style="123" customWidth="1"/>
    <col min="11825" max="11827" width="4.625" style="123" customWidth="1"/>
    <col min="11828" max="12032" width="9.125" style="123"/>
    <col min="12033" max="12037" width="4.125" style="123" customWidth="1"/>
    <col min="12038" max="12038" width="6.75" style="123" customWidth="1"/>
    <col min="12039" max="12061" width="4.125" style="123" customWidth="1"/>
    <col min="12062" max="12062" width="6.75" style="123" customWidth="1"/>
    <col min="12063" max="12080" width="4.125" style="123" customWidth="1"/>
    <col min="12081" max="12083" width="4.625" style="123" customWidth="1"/>
    <col min="12084" max="12288" width="9.125" style="123"/>
    <col min="12289" max="12293" width="4.125" style="123" customWidth="1"/>
    <col min="12294" max="12294" width="6.75" style="123" customWidth="1"/>
    <col min="12295" max="12317" width="4.125" style="123" customWidth="1"/>
    <col min="12318" max="12318" width="6.75" style="123" customWidth="1"/>
    <col min="12319" max="12336" width="4.125" style="123" customWidth="1"/>
    <col min="12337" max="12339" width="4.625" style="123" customWidth="1"/>
    <col min="12340" max="12544" width="9.125" style="123"/>
    <col min="12545" max="12549" width="4.125" style="123" customWidth="1"/>
    <col min="12550" max="12550" width="6.75" style="123" customWidth="1"/>
    <col min="12551" max="12573" width="4.125" style="123" customWidth="1"/>
    <col min="12574" max="12574" width="6.75" style="123" customWidth="1"/>
    <col min="12575" max="12592" width="4.125" style="123" customWidth="1"/>
    <col min="12593" max="12595" width="4.625" style="123" customWidth="1"/>
    <col min="12596" max="12800" width="9.125" style="123"/>
    <col min="12801" max="12805" width="4.125" style="123" customWidth="1"/>
    <col min="12806" max="12806" width="6.75" style="123" customWidth="1"/>
    <col min="12807" max="12829" width="4.125" style="123" customWidth="1"/>
    <col min="12830" max="12830" width="6.75" style="123" customWidth="1"/>
    <col min="12831" max="12848" width="4.125" style="123" customWidth="1"/>
    <col min="12849" max="12851" width="4.625" style="123" customWidth="1"/>
    <col min="12852" max="13056" width="9.125" style="123"/>
    <col min="13057" max="13061" width="4.125" style="123" customWidth="1"/>
    <col min="13062" max="13062" width="6.75" style="123" customWidth="1"/>
    <col min="13063" max="13085" width="4.125" style="123" customWidth="1"/>
    <col min="13086" max="13086" width="6.75" style="123" customWidth="1"/>
    <col min="13087" max="13104" width="4.125" style="123" customWidth="1"/>
    <col min="13105" max="13107" width="4.625" style="123" customWidth="1"/>
    <col min="13108" max="13312" width="9.125" style="123"/>
    <col min="13313" max="13317" width="4.125" style="123" customWidth="1"/>
    <col min="13318" max="13318" width="6.75" style="123" customWidth="1"/>
    <col min="13319" max="13341" width="4.125" style="123" customWidth="1"/>
    <col min="13342" max="13342" width="6.75" style="123" customWidth="1"/>
    <col min="13343" max="13360" width="4.125" style="123" customWidth="1"/>
    <col min="13361" max="13363" width="4.625" style="123" customWidth="1"/>
    <col min="13364" max="13568" width="9.125" style="123"/>
    <col min="13569" max="13573" width="4.125" style="123" customWidth="1"/>
    <col min="13574" max="13574" width="6.75" style="123" customWidth="1"/>
    <col min="13575" max="13597" width="4.125" style="123" customWidth="1"/>
    <col min="13598" max="13598" width="6.75" style="123" customWidth="1"/>
    <col min="13599" max="13616" width="4.125" style="123" customWidth="1"/>
    <col min="13617" max="13619" width="4.625" style="123" customWidth="1"/>
    <col min="13620" max="13824" width="9.125" style="123"/>
    <col min="13825" max="13829" width="4.125" style="123" customWidth="1"/>
    <col min="13830" max="13830" width="6.75" style="123" customWidth="1"/>
    <col min="13831" max="13853" width="4.125" style="123" customWidth="1"/>
    <col min="13854" max="13854" width="6.75" style="123" customWidth="1"/>
    <col min="13855" max="13872" width="4.125" style="123" customWidth="1"/>
    <col min="13873" max="13875" width="4.625" style="123" customWidth="1"/>
    <col min="13876" max="14080" width="9.125" style="123"/>
    <col min="14081" max="14085" width="4.125" style="123" customWidth="1"/>
    <col min="14086" max="14086" width="6.75" style="123" customWidth="1"/>
    <col min="14087" max="14109" width="4.125" style="123" customWidth="1"/>
    <col min="14110" max="14110" width="6.75" style="123" customWidth="1"/>
    <col min="14111" max="14128" width="4.125" style="123" customWidth="1"/>
    <col min="14129" max="14131" width="4.625" style="123" customWidth="1"/>
    <col min="14132" max="14336" width="9.125" style="123"/>
    <col min="14337" max="14341" width="4.125" style="123" customWidth="1"/>
    <col min="14342" max="14342" width="6.75" style="123" customWidth="1"/>
    <col min="14343" max="14365" width="4.125" style="123" customWidth="1"/>
    <col min="14366" max="14366" width="6.75" style="123" customWidth="1"/>
    <col min="14367" max="14384" width="4.125" style="123" customWidth="1"/>
    <col min="14385" max="14387" width="4.625" style="123" customWidth="1"/>
    <col min="14388" max="14592" width="9.125" style="123"/>
    <col min="14593" max="14597" width="4.125" style="123" customWidth="1"/>
    <col min="14598" max="14598" width="6.75" style="123" customWidth="1"/>
    <col min="14599" max="14621" width="4.125" style="123" customWidth="1"/>
    <col min="14622" max="14622" width="6.75" style="123" customWidth="1"/>
    <col min="14623" max="14640" width="4.125" style="123" customWidth="1"/>
    <col min="14641" max="14643" width="4.625" style="123" customWidth="1"/>
    <col min="14644" max="14848" width="9.125" style="123"/>
    <col min="14849" max="14853" width="4.125" style="123" customWidth="1"/>
    <col min="14854" max="14854" width="6.75" style="123" customWidth="1"/>
    <col min="14855" max="14877" width="4.125" style="123" customWidth="1"/>
    <col min="14878" max="14878" width="6.75" style="123" customWidth="1"/>
    <col min="14879" max="14896" width="4.125" style="123" customWidth="1"/>
    <col min="14897" max="14899" width="4.625" style="123" customWidth="1"/>
    <col min="14900" max="15104" width="9.125" style="123"/>
    <col min="15105" max="15109" width="4.125" style="123" customWidth="1"/>
    <col min="15110" max="15110" width="6.75" style="123" customWidth="1"/>
    <col min="15111" max="15133" width="4.125" style="123" customWidth="1"/>
    <col min="15134" max="15134" width="6.75" style="123" customWidth="1"/>
    <col min="15135" max="15152" width="4.125" style="123" customWidth="1"/>
    <col min="15153" max="15155" width="4.625" style="123" customWidth="1"/>
    <col min="15156" max="15360" width="9.125" style="123"/>
    <col min="15361" max="15365" width="4.125" style="123" customWidth="1"/>
    <col min="15366" max="15366" width="6.75" style="123" customWidth="1"/>
    <col min="15367" max="15389" width="4.125" style="123" customWidth="1"/>
    <col min="15390" max="15390" width="6.75" style="123" customWidth="1"/>
    <col min="15391" max="15408" width="4.125" style="123" customWidth="1"/>
    <col min="15409" max="15411" width="4.625" style="123" customWidth="1"/>
    <col min="15412" max="15616" width="9.125" style="123"/>
    <col min="15617" max="15621" width="4.125" style="123" customWidth="1"/>
    <col min="15622" max="15622" width="6.75" style="123" customWidth="1"/>
    <col min="15623" max="15645" width="4.125" style="123" customWidth="1"/>
    <col min="15646" max="15646" width="6.75" style="123" customWidth="1"/>
    <col min="15647" max="15664" width="4.125" style="123" customWidth="1"/>
    <col min="15665" max="15667" width="4.625" style="123" customWidth="1"/>
    <col min="15668" max="15872" width="9.125" style="123"/>
    <col min="15873" max="15877" width="4.125" style="123" customWidth="1"/>
    <col min="15878" max="15878" width="6.75" style="123" customWidth="1"/>
    <col min="15879" max="15901" width="4.125" style="123" customWidth="1"/>
    <col min="15902" max="15902" width="6.75" style="123" customWidth="1"/>
    <col min="15903" max="15920" width="4.125" style="123" customWidth="1"/>
    <col min="15921" max="15923" width="4.625" style="123" customWidth="1"/>
    <col min="15924" max="16128" width="9.125" style="123"/>
    <col min="16129" max="16133" width="4.125" style="123" customWidth="1"/>
    <col min="16134" max="16134" width="6.75" style="123" customWidth="1"/>
    <col min="16135" max="16157" width="4.125" style="123" customWidth="1"/>
    <col min="16158" max="16158" width="6.75" style="123" customWidth="1"/>
    <col min="16159" max="16176" width="4.125" style="123" customWidth="1"/>
    <col min="16177" max="16179" width="4.625" style="123" customWidth="1"/>
    <col min="16180" max="16384" width="9.125" style="123"/>
  </cols>
  <sheetData>
    <row r="1" spans="1:40" ht="21">
      <c r="A1" s="502" t="str">
        <f>IF(VLOOKUP($T$2,area,222,0)="","",VLOOKUP($T$2,area,222,0))</f>
        <v/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503"/>
      <c r="Q1" s="503"/>
      <c r="R1" s="503"/>
      <c r="S1" s="503"/>
      <c r="T1" s="503"/>
      <c r="U1" s="503"/>
      <c r="V1" s="503"/>
      <c r="W1" s="503"/>
      <c r="X1" s="503"/>
      <c r="AN1" s="123">
        <f>COUNT(神通数据源!A:A)</f>
        <v>1</v>
      </c>
    </row>
    <row r="2" spans="1:40" ht="14.25" customHeight="1">
      <c r="A2" s="490" t="s">
        <v>1382</v>
      </c>
      <c r="B2" s="491"/>
      <c r="C2" s="491"/>
      <c r="D2" s="491"/>
      <c r="E2" s="492"/>
      <c r="F2" s="504" t="s">
        <v>1383</v>
      </c>
      <c r="G2" s="482"/>
      <c r="H2" s="483" t="str">
        <f>"  "&amp;IF(神通数据源!C2="","",神通数据源!C2)</f>
        <v xml:space="preserve">  福建三宝加热炉项目</v>
      </c>
      <c r="I2" s="483"/>
      <c r="J2" s="483"/>
      <c r="K2" s="483"/>
      <c r="L2" s="483"/>
      <c r="M2" s="483"/>
      <c r="N2" s="483"/>
      <c r="O2" s="483"/>
      <c r="P2" s="484"/>
      <c r="Q2" s="485" t="s">
        <v>1384</v>
      </c>
      <c r="R2" s="482"/>
      <c r="S2" s="482"/>
      <c r="T2" s="486">
        <v>1</v>
      </c>
      <c r="U2" s="486"/>
      <c r="V2" s="121" t="s">
        <v>1385</v>
      </c>
      <c r="W2" s="486">
        <f>MATCH(4^8,神通数据源!A:A)-10</f>
        <v>1</v>
      </c>
      <c r="X2" s="505"/>
      <c r="AM2" s="130"/>
      <c r="AN2" s="131"/>
    </row>
    <row r="3" spans="1:40" ht="14.25">
      <c r="A3" s="493"/>
      <c r="B3" s="494"/>
      <c r="C3" s="494"/>
      <c r="D3" s="494"/>
      <c r="E3" s="495"/>
      <c r="F3" s="480" t="s">
        <v>1386</v>
      </c>
      <c r="G3" s="456"/>
      <c r="H3" s="441" t="str">
        <f>"  "&amp;IF(神通数据源!C1="","",神通数据源!C1)</f>
        <v xml:space="preserve">  重庆赛迪热工环保工程技术有限公司</v>
      </c>
      <c r="I3" s="441"/>
      <c r="J3" s="441"/>
      <c r="K3" s="441"/>
      <c r="L3" s="441"/>
      <c r="M3" s="441"/>
      <c r="N3" s="441"/>
      <c r="O3" s="441"/>
      <c r="P3" s="441"/>
      <c r="Q3" s="422" t="s">
        <v>1387</v>
      </c>
      <c r="R3" s="423"/>
      <c r="S3" s="423"/>
      <c r="T3" s="441" t="str">
        <f>"  "&amp;IF(IF(VLOOKUP($T$2,area,7,0)="","",VLOOKUP($T$2,area,7,0))="","",IF(VLOOKUP($T$2,area,7,0)="","",VLOOKUP($T$2,area,7,0)))</f>
        <v xml:space="preserve">  D-N-2007-34-001</v>
      </c>
      <c r="U3" s="441"/>
      <c r="V3" s="441"/>
      <c r="W3" s="441"/>
      <c r="X3" s="442"/>
    </row>
    <row r="4" spans="1:40" ht="14.25">
      <c r="A4" s="493"/>
      <c r="B4" s="494"/>
      <c r="C4" s="494"/>
      <c r="D4" s="494"/>
      <c r="E4" s="495"/>
      <c r="F4" s="480" t="s">
        <v>1388</v>
      </c>
      <c r="G4" s="456"/>
      <c r="H4" s="441"/>
      <c r="I4" s="441"/>
      <c r="J4" s="441"/>
      <c r="K4" s="441"/>
      <c r="L4" s="441"/>
      <c r="M4" s="441"/>
      <c r="N4" s="441"/>
      <c r="O4" s="441"/>
      <c r="P4" s="441"/>
      <c r="Q4" s="422" t="s">
        <v>1389</v>
      </c>
      <c r="R4" s="423"/>
      <c r="S4" s="423"/>
      <c r="T4" s="441" t="str">
        <f>"  "&amp;IF(VLOOKUP($T$2,area,2,0)="","",VLOOKUP($T$2,area,2,0))</f>
        <v xml:space="preserve">  10-PV-131061</v>
      </c>
      <c r="U4" s="441"/>
      <c r="V4" s="441"/>
      <c r="W4" s="441"/>
      <c r="X4" s="442"/>
    </row>
    <row r="5" spans="1:40" ht="14.25">
      <c r="A5" s="493"/>
      <c r="B5" s="494"/>
      <c r="C5" s="494"/>
      <c r="D5" s="494"/>
      <c r="E5" s="495"/>
      <c r="F5" s="480" t="s">
        <v>1390</v>
      </c>
      <c r="G5" s="456"/>
      <c r="H5" s="441" t="str">
        <f>"  "&amp;神通数据源!C4</f>
        <v xml:space="preserve">  </v>
      </c>
      <c r="I5" s="441"/>
      <c r="J5" s="441"/>
      <c r="K5" s="441"/>
      <c r="L5" s="106" t="s">
        <v>1391</v>
      </c>
      <c r="M5" s="128">
        <v>0</v>
      </c>
      <c r="N5" s="106" t="s">
        <v>1392</v>
      </c>
      <c r="O5" s="429" t="str">
        <f ca="1">"  "&amp;TEXT(神通数据源!$G$4,"yyyy-mm-dd")</f>
        <v xml:space="preserve">  2023-03-12</v>
      </c>
      <c r="P5" s="429"/>
      <c r="Q5" s="422" t="s">
        <v>1393</v>
      </c>
      <c r="R5" s="423"/>
      <c r="S5" s="423"/>
      <c r="T5" s="499"/>
      <c r="U5" s="499"/>
      <c r="V5" s="499"/>
      <c r="W5" s="499"/>
      <c r="X5" s="500"/>
    </row>
    <row r="6" spans="1:40" ht="14.25">
      <c r="A6" s="496"/>
      <c r="B6" s="497"/>
      <c r="C6" s="497"/>
      <c r="D6" s="497"/>
      <c r="E6" s="498"/>
      <c r="F6" s="480" t="s">
        <v>1394</v>
      </c>
      <c r="G6" s="456"/>
      <c r="H6" s="441" t="str">
        <f>"  "&amp;IF(VLOOKUP($T$2,area,3,0)="","",VLOOKUP($T$2,area,3,0))</f>
        <v xml:space="preserve">  </v>
      </c>
      <c r="I6" s="441"/>
      <c r="J6" s="441"/>
      <c r="K6" s="441"/>
      <c r="L6" s="441"/>
      <c r="M6" s="441"/>
      <c r="N6" s="441"/>
      <c r="O6" s="441"/>
      <c r="P6" s="481"/>
      <c r="Q6" s="422" t="s">
        <v>1395</v>
      </c>
      <c r="R6" s="423"/>
      <c r="S6" s="423"/>
      <c r="T6" s="441" t="str">
        <f>"  "&amp;VLOOKUP(T2,area,8,0)</f>
        <v xml:space="preserve">  1</v>
      </c>
      <c r="U6" s="441"/>
      <c r="V6" s="441"/>
      <c r="W6" s="441"/>
      <c r="X6" s="442"/>
    </row>
    <row r="7" spans="1:40" ht="15" customHeight="1">
      <c r="A7" s="108">
        <v>1</v>
      </c>
      <c r="B7" s="501" t="s">
        <v>1396</v>
      </c>
      <c r="C7" s="482" t="s">
        <v>1397</v>
      </c>
      <c r="D7" s="482"/>
      <c r="E7" s="483" t="str">
        <f>IF(VLOOKUP($T$2,area,13,0)="","",VLOOKUP($T$2,area,13,0))</f>
        <v>CHLOROSILANES</v>
      </c>
      <c r="F7" s="483"/>
      <c r="G7" s="483"/>
      <c r="H7" s="483"/>
      <c r="I7" s="483"/>
      <c r="J7" s="484"/>
      <c r="K7" s="485" t="s">
        <v>1398</v>
      </c>
      <c r="L7" s="482"/>
      <c r="M7" s="482"/>
      <c r="N7" s="486"/>
      <c r="O7" s="486"/>
      <c r="P7" s="487" t="s">
        <v>1399</v>
      </c>
      <c r="Q7" s="488"/>
      <c r="R7" s="485" t="s">
        <v>1400</v>
      </c>
      <c r="S7" s="482"/>
      <c r="T7" s="482"/>
      <c r="U7" s="486"/>
      <c r="V7" s="486"/>
      <c r="W7" s="483" t="s">
        <v>1401</v>
      </c>
      <c r="X7" s="489"/>
    </row>
    <row r="8" spans="1:40" ht="12.95" customHeight="1">
      <c r="A8" s="109"/>
      <c r="B8" s="415"/>
      <c r="C8" s="449" t="s">
        <v>1152</v>
      </c>
      <c r="D8" s="445"/>
      <c r="E8" s="423" t="str">
        <f>IF(VLOOKUP($T$2,area,14,0)="","",VLOOKUP($T$2,area,14,0))</f>
        <v>气体</v>
      </c>
      <c r="F8" s="423"/>
      <c r="G8" s="424"/>
      <c r="H8" s="443" t="s">
        <v>1402</v>
      </c>
      <c r="I8" s="445"/>
      <c r="J8" s="426" t="s">
        <v>1403</v>
      </c>
      <c r="K8" s="429"/>
      <c r="L8" s="427"/>
      <c r="M8" s="426" t="s">
        <v>1404</v>
      </c>
      <c r="N8" s="429"/>
      <c r="O8" s="427"/>
      <c r="P8" s="426" t="s">
        <v>1405</v>
      </c>
      <c r="Q8" s="429"/>
      <c r="R8" s="427"/>
      <c r="S8" s="426" t="s">
        <v>1406</v>
      </c>
      <c r="T8" s="429"/>
      <c r="U8" s="427"/>
      <c r="V8" s="426" t="s">
        <v>1407</v>
      </c>
      <c r="W8" s="429"/>
      <c r="X8" s="431"/>
    </row>
    <row r="9" spans="1:40" ht="12.95" customHeight="1">
      <c r="A9" s="109">
        <v>2</v>
      </c>
      <c r="B9" s="415"/>
      <c r="C9" s="423" t="s">
        <v>1408</v>
      </c>
      <c r="D9" s="423"/>
      <c r="E9" s="423"/>
      <c r="F9" s="423"/>
      <c r="G9" s="423"/>
      <c r="H9" s="426" t="str">
        <f>IF(VLOOKUP($T$2,area,20,0)="","",VLOOKUP($T$2,area,20,0))</f>
        <v>Nm3/h</v>
      </c>
      <c r="I9" s="429"/>
      <c r="J9" s="426">
        <f>IF(VLOOKUP($T$2,area,15,0)="","",VLOOKUP($T$2,area,15,0))</f>
        <v>3655</v>
      </c>
      <c r="K9" s="429"/>
      <c r="L9" s="427"/>
      <c r="M9" s="426" t="str">
        <f>IF(VLOOKUP($T$2,area,16,0)="","",VLOOKUP($T$2,area,16,0))</f>
        <v/>
      </c>
      <c r="N9" s="429"/>
      <c r="O9" s="427"/>
      <c r="P9" s="426" t="str">
        <f>IF(VLOOKUP($T$2,area,17,0)="","",VLOOKUP($T$2,area,17,0))</f>
        <v/>
      </c>
      <c r="Q9" s="429"/>
      <c r="R9" s="427"/>
      <c r="S9" s="426" t="str">
        <f>IF(VLOOKUP($T$2,area,18,0)="","",VLOOKUP($T$2,area,18,0))</f>
        <v/>
      </c>
      <c r="T9" s="429"/>
      <c r="U9" s="427"/>
      <c r="V9" s="426" t="str">
        <f>IF(VLOOKUP($T$2,area,19,0)="","",VLOOKUP($T$2,area,19,0))</f>
        <v/>
      </c>
      <c r="W9" s="429"/>
      <c r="X9" s="431"/>
    </row>
    <row r="10" spans="1:40" ht="12.95" customHeight="1">
      <c r="A10" s="109">
        <v>3</v>
      </c>
      <c r="B10" s="415"/>
      <c r="C10" s="423" t="s">
        <v>1409</v>
      </c>
      <c r="D10" s="423"/>
      <c r="E10" s="423"/>
      <c r="F10" s="423"/>
      <c r="G10" s="423"/>
      <c r="H10" s="426" t="str">
        <f>IF(VLOOKUP($T$2,area,26,0)="","",VLOOKUP($T$2,area,26,0))</f>
        <v>kPaG</v>
      </c>
      <c r="I10" s="429"/>
      <c r="J10" s="426">
        <f>IF(VLOOKUP($T$2,area,21,0)="","",VLOOKUP($T$2,area,21,0))</f>
        <v>2710</v>
      </c>
      <c r="K10" s="429"/>
      <c r="L10" s="427"/>
      <c r="M10" s="426" t="str">
        <f>IF(VLOOKUP($T$2,area,22,0)="","",VLOOKUP($T$2,area,22,0))</f>
        <v/>
      </c>
      <c r="N10" s="429"/>
      <c r="O10" s="427"/>
      <c r="P10" s="426" t="str">
        <f>IF(VLOOKUP($T$2,area,23,0)="","",VLOOKUP($T$2,area,23,0))</f>
        <v/>
      </c>
      <c r="Q10" s="429"/>
      <c r="R10" s="427"/>
      <c r="S10" s="426" t="str">
        <f>IF(VLOOKUP($T$2,area,24,0)="","",VLOOKUP($T$2,area,24,0))</f>
        <v/>
      </c>
      <c r="T10" s="429"/>
      <c r="U10" s="427"/>
      <c r="V10" s="426" t="str">
        <f>IF(VLOOKUP($T$2,area,25,0)="","",VLOOKUP($T$2,area,25,0))</f>
        <v/>
      </c>
      <c r="W10" s="429"/>
      <c r="X10" s="431"/>
    </row>
    <row r="11" spans="1:40" ht="12.95" customHeight="1">
      <c r="A11" s="109">
        <v>4</v>
      </c>
      <c r="B11" s="415"/>
      <c r="C11" s="423" t="s">
        <v>1410</v>
      </c>
      <c r="D11" s="423"/>
      <c r="E11" s="423"/>
      <c r="F11" s="423"/>
      <c r="G11" s="423"/>
      <c r="H11" s="426" t="str">
        <f>H10</f>
        <v>kPaG</v>
      </c>
      <c r="I11" s="429"/>
      <c r="J11" s="426">
        <f>IF(VLOOKUP($T$2,area,27,0)="","",VLOOKUP($T$2,area,27,0))</f>
        <v>2020</v>
      </c>
      <c r="K11" s="429"/>
      <c r="L11" s="427"/>
      <c r="M11" s="426" t="str">
        <f>IF(VLOOKUP($T$2,area,28,0)="","",VLOOKUP($T$2,area,28,0))</f>
        <v/>
      </c>
      <c r="N11" s="429"/>
      <c r="O11" s="427"/>
      <c r="P11" s="426" t="str">
        <f>IF(VLOOKUP($T$2,area,29,0)="","",VLOOKUP($T$2,area,29,0))</f>
        <v/>
      </c>
      <c r="Q11" s="429"/>
      <c r="R11" s="427"/>
      <c r="S11" s="426" t="str">
        <f>IF(VLOOKUP($T$2,area,30,0)="","",VLOOKUP($T$2,area,30,0))</f>
        <v/>
      </c>
      <c r="T11" s="429"/>
      <c r="U11" s="427"/>
      <c r="V11" s="426" t="str">
        <f>IF(VLOOKUP($T$2,area,31,0)="","",VLOOKUP($T$2,area,31,0))</f>
        <v/>
      </c>
      <c r="W11" s="429"/>
      <c r="X11" s="431"/>
    </row>
    <row r="12" spans="1:40" ht="12.95" customHeight="1">
      <c r="A12" s="109">
        <v>5</v>
      </c>
      <c r="B12" s="415"/>
      <c r="C12" s="423" t="s">
        <v>1411</v>
      </c>
      <c r="D12" s="423"/>
      <c r="E12" s="423"/>
      <c r="F12" s="423"/>
      <c r="G12" s="423"/>
      <c r="H12" s="426" t="str">
        <f>IF(VLOOKUP($T$2,area,37,0)="","",VLOOKUP($T$2,area,37,0))</f>
        <v>℃</v>
      </c>
      <c r="I12" s="429"/>
      <c r="J12" s="426">
        <f>IF(VLOOKUP($T$2,area,32,0)="","",VLOOKUP($T$2,area,32,0))</f>
        <v>157</v>
      </c>
      <c r="K12" s="429"/>
      <c r="L12" s="427"/>
      <c r="M12" s="426" t="str">
        <f>IF(VLOOKUP($T$2,area,33,0)="","",VLOOKUP($T$2,area,33,0))</f>
        <v/>
      </c>
      <c r="N12" s="429"/>
      <c r="O12" s="427"/>
      <c r="P12" s="426" t="str">
        <f>IF(VLOOKUP($T$2,area,34,0)="","",VLOOKUP($T$2,area,34,0))</f>
        <v/>
      </c>
      <c r="Q12" s="429"/>
      <c r="R12" s="427"/>
      <c r="S12" s="426" t="str">
        <f>IF(VLOOKUP($T$2,area,35,0)="","",VLOOKUP($T$2,area,35,0))</f>
        <v/>
      </c>
      <c r="T12" s="429"/>
      <c r="U12" s="427"/>
      <c r="V12" s="426" t="str">
        <f>IF(VLOOKUP($T$2,area,36,0)="","",VLOOKUP($T$2,area,36,0))</f>
        <v/>
      </c>
      <c r="W12" s="429"/>
      <c r="X12" s="431"/>
    </row>
    <row r="13" spans="1:40" ht="12.95" customHeight="1">
      <c r="A13" s="109">
        <v>6</v>
      </c>
      <c r="B13" s="415"/>
      <c r="C13" s="423" t="s">
        <v>1412</v>
      </c>
      <c r="D13" s="423"/>
      <c r="E13" s="423"/>
      <c r="F13" s="423"/>
      <c r="G13" s="423"/>
      <c r="H13" s="426" t="str">
        <f>IF(VLOOKUP($T$2,area,43,0)="","",VLOOKUP($T$2,area,43,0))</f>
        <v/>
      </c>
      <c r="I13" s="429"/>
      <c r="J13" s="426">
        <f>IF(VLOOKUP($T$2,area,38,0)="","",VLOOKUP($T$2,area,38,0))</f>
        <v>86.8</v>
      </c>
      <c r="K13" s="429"/>
      <c r="L13" s="427"/>
      <c r="M13" s="426" t="str">
        <f>IF(VLOOKUP($T$2,area,39,0)="","",VLOOKUP($T$2,area,39,0))</f>
        <v/>
      </c>
      <c r="N13" s="429"/>
      <c r="O13" s="427"/>
      <c r="P13" s="426" t="str">
        <f>IF(VLOOKUP($T$2,area,40,0)="","",VLOOKUP($T$2,area,40,0))</f>
        <v/>
      </c>
      <c r="Q13" s="429"/>
      <c r="R13" s="427"/>
      <c r="S13" s="426" t="str">
        <f>IF(VLOOKUP($T$2,area,41,0)="","",VLOOKUP($T$2,area,41,0))</f>
        <v/>
      </c>
      <c r="T13" s="429"/>
      <c r="U13" s="427"/>
      <c r="V13" s="426" t="str">
        <f>IF(VLOOKUP($T$2,area,42,0)="","",VLOOKUP($T$2,area,42,0))</f>
        <v/>
      </c>
      <c r="W13" s="429"/>
      <c r="X13" s="431"/>
    </row>
    <row r="14" spans="1:40" ht="12.95" customHeight="1">
      <c r="A14" s="109">
        <v>7</v>
      </c>
      <c r="B14" s="415"/>
      <c r="C14" s="479" t="s">
        <v>1158</v>
      </c>
      <c r="D14" s="423"/>
      <c r="E14" s="423"/>
      <c r="F14" s="423"/>
      <c r="G14" s="423"/>
      <c r="H14" s="426" t="str">
        <f>IF(VLOOKUP($T$2,area,49,0)="","",VLOOKUP($T$2,area,49,0))</f>
        <v>cP</v>
      </c>
      <c r="I14" s="429"/>
      <c r="J14" s="426">
        <f>IF(VLOOKUP($T$2,area,44,0)="","",VLOOKUP($T$2,area,44,0))</f>
        <v>2.5000000000000001E-2</v>
      </c>
      <c r="K14" s="429"/>
      <c r="L14" s="427"/>
      <c r="M14" s="426" t="str">
        <f>IF(VLOOKUP($T$2,area,45,0)="","",VLOOKUP($T$2,area,45,0))</f>
        <v/>
      </c>
      <c r="N14" s="429"/>
      <c r="O14" s="427"/>
      <c r="P14" s="426" t="str">
        <f>IF(VLOOKUP($T$2,area,46,0)="","",VLOOKUP($T$2,area,46,0))</f>
        <v/>
      </c>
      <c r="Q14" s="429"/>
      <c r="R14" s="427"/>
      <c r="S14" s="426" t="str">
        <f>IF(VLOOKUP($T$2,area,47,0)="","",VLOOKUP($T$2,area,47,0))</f>
        <v/>
      </c>
      <c r="T14" s="429"/>
      <c r="U14" s="427"/>
      <c r="V14" s="426" t="str">
        <f>IF(VLOOKUP($T$2,area,48,0)="","",VLOOKUP($T$2,area,48,0))</f>
        <v/>
      </c>
      <c r="W14" s="429"/>
      <c r="X14" s="431"/>
    </row>
    <row r="15" spans="1:40" ht="12.95" customHeight="1">
      <c r="A15" s="109">
        <v>8</v>
      </c>
      <c r="B15" s="415"/>
      <c r="C15" s="423" t="s">
        <v>1413</v>
      </c>
      <c r="D15" s="423"/>
      <c r="E15" s="423"/>
      <c r="F15" s="423"/>
      <c r="G15" s="423"/>
      <c r="H15" s="426" t="s">
        <v>1414</v>
      </c>
      <c r="I15" s="429"/>
      <c r="J15" s="426" t="str">
        <f>IF(VLOOKUP($T$2,area,51,0)="","",IF($J$9="","",VLOOKUP($T$2,area,51,0)))</f>
        <v/>
      </c>
      <c r="K15" s="429"/>
      <c r="L15" s="427"/>
      <c r="M15" s="426" t="str">
        <f>IF(VLOOKUP($T$2,area,51,0)="","",IF($M$9="","",VLOOKUP($T$2,area,51,0)))</f>
        <v/>
      </c>
      <c r="N15" s="429"/>
      <c r="O15" s="427"/>
      <c r="P15" s="426" t="str">
        <f>IF(VLOOKUP($T$2,area,51,0)="","",IF($P$9="","",VLOOKUP($T$2,area,51,0)))</f>
        <v/>
      </c>
      <c r="Q15" s="429"/>
      <c r="R15" s="427"/>
      <c r="S15" s="426" t="str">
        <f>IF(VLOOKUP($T$2,area,51,0)="","",IF($S$9="","",VLOOKUP($T$2,area,51,0)))</f>
        <v/>
      </c>
      <c r="T15" s="429"/>
      <c r="U15" s="427"/>
      <c r="V15" s="426" t="str">
        <f>IF(VLOOKUP($T$2,area,51,0)="","",IF($V$9="","",VLOOKUP($T$2,area,51,0)))</f>
        <v/>
      </c>
      <c r="W15" s="429"/>
      <c r="X15" s="431"/>
      <c r="AF15" s="123">
        <v>3</v>
      </c>
    </row>
    <row r="16" spans="1:40" ht="12.95" customHeight="1">
      <c r="A16" s="109">
        <v>9</v>
      </c>
      <c r="B16" s="415"/>
      <c r="C16" s="423" t="s">
        <v>1415</v>
      </c>
      <c r="D16" s="423"/>
      <c r="E16" s="423"/>
      <c r="F16" s="423"/>
      <c r="G16" s="423"/>
      <c r="H16" s="426" t="s">
        <v>1414</v>
      </c>
      <c r="I16" s="429"/>
      <c r="J16" s="426" t="str">
        <f>IF(VLOOKUP($T$2,area,50,0)="","",IF($J$9="","",VLOOKUP($T$2,area,50,0)))</f>
        <v/>
      </c>
      <c r="K16" s="429"/>
      <c r="L16" s="427"/>
      <c r="M16" s="426" t="str">
        <f>IF(VLOOKUP($T$2,area,50,0)="","",IF($M$9="","",VLOOKUP($T$2,area,50,0)))</f>
        <v/>
      </c>
      <c r="N16" s="429"/>
      <c r="O16" s="427"/>
      <c r="P16" s="426" t="str">
        <f>IF(VLOOKUP($T$2,area,50,0)="","",IF($P$9="","",VLOOKUP($T$2,area,50,0)))</f>
        <v/>
      </c>
      <c r="Q16" s="429"/>
      <c r="R16" s="427"/>
      <c r="S16" s="426" t="str">
        <f>IF(VLOOKUP($T$2,area,50,0)="","",IF($S$9="","",VLOOKUP($T$2,area,50,0)))</f>
        <v/>
      </c>
      <c r="T16" s="429"/>
      <c r="U16" s="427"/>
      <c r="V16" s="426" t="str">
        <f>IF(VLOOKUP($T$2,area,50,0)="","",IF($V$9="","",VLOOKUP($T$2,area,50,0)))</f>
        <v/>
      </c>
      <c r="W16" s="429"/>
      <c r="X16" s="431"/>
    </row>
    <row r="17" spans="1:24" ht="12.95" customHeight="1">
      <c r="A17" s="109">
        <v>10</v>
      </c>
      <c r="B17" s="415"/>
      <c r="C17" s="423" t="s">
        <v>1416</v>
      </c>
      <c r="D17" s="423"/>
      <c r="E17" s="423"/>
      <c r="F17" s="423"/>
      <c r="G17" s="423"/>
      <c r="H17" s="426" t="s">
        <v>1872</v>
      </c>
      <c r="I17" s="429"/>
      <c r="J17" s="426">
        <f>IF(VLOOKUP($T$2,area,68,0)="","",VLOOKUP($T$2,area,68,0))</f>
        <v>25.89</v>
      </c>
      <c r="K17" s="429"/>
      <c r="L17" s="427"/>
      <c r="M17" s="426" t="str">
        <f>IF(VLOOKUP($T$2,area,69,0)="","",VLOOKUP($T$2,area,69,0))</f>
        <v/>
      </c>
      <c r="N17" s="429"/>
      <c r="O17" s="427"/>
      <c r="P17" s="426" t="str">
        <f>IF(VLOOKUP($T$2,area,70,0)="","",VLOOKUP($T$2,area,70,0))</f>
        <v/>
      </c>
      <c r="Q17" s="429"/>
      <c r="R17" s="427"/>
      <c r="S17" s="426" t="str">
        <f>IF(VLOOKUP($T$2,area,71,0)="","",VLOOKUP($T$2,area,71,0))</f>
        <v/>
      </c>
      <c r="T17" s="429"/>
      <c r="U17" s="427"/>
      <c r="V17" s="426" t="str">
        <f>IF(VLOOKUP($T$2,area,72,0)="","",VLOOKUP($T$2,area,72,0))</f>
        <v/>
      </c>
      <c r="W17" s="429"/>
      <c r="X17" s="431"/>
    </row>
    <row r="18" spans="1:24" ht="12.95" customHeight="1">
      <c r="A18" s="109">
        <v>11</v>
      </c>
      <c r="B18" s="415"/>
      <c r="C18" s="423" t="s">
        <v>1417</v>
      </c>
      <c r="D18" s="423"/>
      <c r="E18" s="423"/>
      <c r="F18" s="423"/>
      <c r="G18" s="423"/>
      <c r="H18" s="476" t="s">
        <v>1418</v>
      </c>
      <c r="I18" s="477"/>
      <c r="J18" s="426">
        <f>IF(VLOOKUP($T$2,area,73,0)="","",VLOOKUP($T$2,area,73,0))</f>
        <v>47.94</v>
      </c>
      <c r="K18" s="429"/>
      <c r="L18" s="427"/>
      <c r="M18" s="426" t="str">
        <f>IF(VLOOKUP($T$2,area,74,0)="","",VLOOKUP($T$2,area,74,0))</f>
        <v/>
      </c>
      <c r="N18" s="429"/>
      <c r="O18" s="427"/>
      <c r="P18" s="426" t="str">
        <f>IF(VLOOKUP($T$2,area,75,0)="","",VLOOKUP($T$2,area,75,0))</f>
        <v/>
      </c>
      <c r="Q18" s="429"/>
      <c r="R18" s="427"/>
      <c r="S18" s="426" t="str">
        <f>IF(VLOOKUP($T$2,area,76,0)="","",VLOOKUP($T$2,area,76,0))</f>
        <v/>
      </c>
      <c r="T18" s="429"/>
      <c r="U18" s="427"/>
      <c r="V18" s="426" t="str">
        <f>IF(VLOOKUP($T$2,area,77,0)="","",VLOOKUP($T$2,area,77,0))</f>
        <v/>
      </c>
      <c r="W18" s="429"/>
      <c r="X18" s="431"/>
    </row>
    <row r="19" spans="1:24" ht="12.95" customHeight="1">
      <c r="A19" s="109">
        <v>12</v>
      </c>
      <c r="B19" s="415"/>
      <c r="C19" s="424" t="s">
        <v>1419</v>
      </c>
      <c r="D19" s="478"/>
      <c r="E19" s="478"/>
      <c r="F19" s="478"/>
      <c r="G19" s="478"/>
      <c r="H19" s="462" t="s">
        <v>1420</v>
      </c>
      <c r="I19" s="462"/>
      <c r="J19" s="426">
        <f>IF(VLOOKUP($T$2,area,57,0)="","",VLOOKUP($T$2,area,57,0))</f>
        <v>75.900000000000006</v>
      </c>
      <c r="K19" s="429"/>
      <c r="L19" s="427"/>
      <c r="M19" s="426" t="str">
        <f>IF(VLOOKUP($T$2,area,58,0)="","",VLOOKUP($T$2,area,58,0))</f>
        <v/>
      </c>
      <c r="N19" s="429"/>
      <c r="O19" s="427"/>
      <c r="P19" s="426" t="str">
        <f>IF(VLOOKUP($T$2,area,59,0)="","",VLOOKUP($T$2,area,59,0))</f>
        <v/>
      </c>
      <c r="Q19" s="429"/>
      <c r="R19" s="427"/>
      <c r="S19" s="426" t="str">
        <f>IF(VLOOKUP($T$2,area,60,0)="","",VLOOKUP($T$2,area,60,0))</f>
        <v/>
      </c>
      <c r="T19" s="429"/>
      <c r="U19" s="427"/>
      <c r="V19" s="426" t="str">
        <f>IF(VLOOKUP($T$2,area,61,0)="","",VLOOKUP($T$2,area,61,0))</f>
        <v/>
      </c>
      <c r="W19" s="429"/>
      <c r="X19" s="431"/>
    </row>
    <row r="20" spans="1:24" ht="12.95" customHeight="1">
      <c r="A20" s="109"/>
      <c r="B20" s="416"/>
      <c r="C20" s="469" t="s">
        <v>1421</v>
      </c>
      <c r="D20" s="470"/>
      <c r="E20" s="470"/>
      <c r="F20" s="470"/>
      <c r="G20" s="470"/>
      <c r="H20" s="471" t="str">
        <f>IF(VLOOKUP($T$2,area,67,0)="","",VLOOKUP($T$2,area,67,0))</f>
        <v>Mach</v>
      </c>
      <c r="I20" s="471"/>
      <c r="J20" s="472">
        <f>IF(VLOOKUP($T$2,area,62,0)="","",VLOOKUP($T$2,area,62,0))</f>
        <v>0.15</v>
      </c>
      <c r="K20" s="473"/>
      <c r="L20" s="474"/>
      <c r="M20" s="426" t="str">
        <f>IF(VLOOKUP($T$2,area,63,0)="","",VLOOKUP($T$2,area,63,0))</f>
        <v/>
      </c>
      <c r="N20" s="429"/>
      <c r="O20" s="427"/>
      <c r="P20" s="426" t="str">
        <f>IF(VLOOKUP($T$2,area,64,0)="","",VLOOKUP($T$2,area,64,0))</f>
        <v/>
      </c>
      <c r="Q20" s="429"/>
      <c r="R20" s="427"/>
      <c r="S20" s="426" t="str">
        <f>IF(VLOOKUP($T$2,area,65,0)="","",VLOOKUP($T$2,area,65,0))</f>
        <v/>
      </c>
      <c r="T20" s="429"/>
      <c r="U20" s="427"/>
      <c r="V20" s="426" t="str">
        <f>IF(VLOOKUP($T$2,area,66,0)="","",VLOOKUP($T$2,area,66,0))</f>
        <v/>
      </c>
      <c r="W20" s="429"/>
      <c r="X20" s="427"/>
    </row>
    <row r="21" spans="1:24" ht="12.95" customHeight="1">
      <c r="A21" s="109"/>
      <c r="B21" s="414" t="s">
        <v>1422</v>
      </c>
      <c r="C21" s="422"/>
      <c r="D21" s="423"/>
      <c r="E21" s="423"/>
      <c r="F21" s="424"/>
      <c r="G21" s="475" t="s">
        <v>1423</v>
      </c>
      <c r="H21" s="475"/>
      <c r="I21" s="475"/>
      <c r="J21" s="475" t="s">
        <v>1424</v>
      </c>
      <c r="K21" s="475"/>
      <c r="L21" s="476"/>
      <c r="M21" s="116">
        <v>51</v>
      </c>
      <c r="N21" s="414" t="s">
        <v>1425</v>
      </c>
      <c r="O21" s="457" t="s">
        <v>1426</v>
      </c>
      <c r="P21" s="456"/>
      <c r="Q21" s="456"/>
      <c r="R21" s="429" t="str">
        <f>IF(VLOOKUP($T$2,area,109,0)="","",VLOOKUP($T$2,area,109,0))</f>
        <v>弹簧薄膜型</v>
      </c>
      <c r="S21" s="429"/>
      <c r="T21" s="429"/>
      <c r="U21" s="429"/>
      <c r="V21" s="429"/>
      <c r="W21" s="429"/>
      <c r="X21" s="431"/>
    </row>
    <row r="22" spans="1:24" ht="12.95" customHeight="1">
      <c r="A22" s="109">
        <v>13</v>
      </c>
      <c r="B22" s="415"/>
      <c r="C22" s="422" t="s">
        <v>1427</v>
      </c>
      <c r="D22" s="423"/>
      <c r="E22" s="423"/>
      <c r="F22" s="424"/>
      <c r="G22" s="462" t="str">
        <f>IF(VLOOKUP($T$2,area,9,0)="","",VLOOKUP($T$2,area,9,0))</f>
        <v>2"</v>
      </c>
      <c r="H22" s="462"/>
      <c r="I22" s="462"/>
      <c r="J22" s="462" t="str">
        <f>IF(VLOOKUP($T$2,area,10,0)="","",VLOOKUP($T$2,area,10,0))</f>
        <v>2"</v>
      </c>
      <c r="K22" s="462"/>
      <c r="L22" s="462"/>
      <c r="M22" s="117">
        <v>52</v>
      </c>
      <c r="N22" s="415"/>
      <c r="O22" s="428" t="s">
        <v>1261</v>
      </c>
      <c r="P22" s="423"/>
      <c r="Q22" s="423"/>
      <c r="R22" s="429" t="str">
        <f>IF(VLOOKUP($T$2,area,110,0)="","",VLOOKUP($T$2,area,110,0)&amp;VLOOKUP($T$2,area,111,0))</f>
        <v>ST421LARN</v>
      </c>
      <c r="S22" s="427"/>
      <c r="T22" s="428" t="s">
        <v>1204</v>
      </c>
      <c r="U22" s="424"/>
      <c r="V22" s="429" t="str">
        <f>IF(VLOOKUP($T$2,area,115,0)="","",VLOOKUP($T$2,area,115,0))</f>
        <v>气开</v>
      </c>
      <c r="W22" s="429"/>
      <c r="X22" s="431"/>
    </row>
    <row r="23" spans="1:24" ht="12.95" customHeight="1">
      <c r="A23" s="109">
        <v>14</v>
      </c>
      <c r="B23" s="416"/>
      <c r="C23" s="422" t="s">
        <v>1428</v>
      </c>
      <c r="D23" s="423"/>
      <c r="E23" s="423"/>
      <c r="F23" s="424"/>
      <c r="G23" s="462" t="str">
        <f>IF(VLOOKUP($T$2,area,11,0)="","",VLOOKUP($T$2,area,11,0))</f>
        <v>CS</v>
      </c>
      <c r="H23" s="462"/>
      <c r="I23" s="462"/>
      <c r="J23" s="462" t="str">
        <f>IF(VLOOKUP($T$2,area,12,0)="","",VLOOKUP($T$2,area,12,0))</f>
        <v>CS</v>
      </c>
      <c r="K23" s="462"/>
      <c r="L23" s="462"/>
      <c r="M23" s="117">
        <v>53</v>
      </c>
      <c r="N23" s="415"/>
      <c r="O23" s="428" t="s">
        <v>1429</v>
      </c>
      <c r="P23" s="423"/>
      <c r="Q23" s="423"/>
      <c r="R23" s="429" t="str">
        <f>IF(VLOOKUP($T$2,area,114,0)="","",VLOOKUP($T$2,area,114,0))&amp;" KPa"</f>
        <v>80-200 KPa</v>
      </c>
      <c r="S23" s="429"/>
      <c r="T23" s="429"/>
      <c r="U23" s="429"/>
      <c r="V23" s="429"/>
      <c r="W23" s="429"/>
      <c r="X23" s="431"/>
    </row>
    <row r="24" spans="1:24" ht="12.95" customHeight="1">
      <c r="A24" s="109">
        <v>15</v>
      </c>
      <c r="B24" s="415" t="s">
        <v>1430</v>
      </c>
      <c r="C24" s="428" t="s">
        <v>1431</v>
      </c>
      <c r="D24" s="466"/>
      <c r="E24" s="466"/>
      <c r="F24" s="467"/>
      <c r="G24" s="468" t="str">
        <f>IF(VLOOKUP($T$2,area,5,0)="","",VLOOKUP($T$2,area,5,0))</f>
        <v>2"</v>
      </c>
      <c r="H24" s="462"/>
      <c r="I24" s="462"/>
      <c r="J24" s="468" t="str">
        <f>IF(VLOOKUP($T$2,area,6,0)="","",VLOOKUP($T$2,area,6,0))</f>
        <v>2"</v>
      </c>
      <c r="K24" s="462"/>
      <c r="L24" s="462"/>
      <c r="M24" s="117">
        <v>54</v>
      </c>
      <c r="N24" s="415"/>
      <c r="O24" s="422" t="s">
        <v>1432</v>
      </c>
      <c r="P24" s="423"/>
      <c r="Q24" s="423"/>
      <c r="R24" s="429" t="str">
        <f>IF(VLOOKUP($T$2,area,116,0)="","",VLOOKUP($T$2,area,116,0))</f>
        <v>FC</v>
      </c>
      <c r="S24" s="429"/>
      <c r="T24" s="429"/>
      <c r="U24" s="248" t="s">
        <v>1385</v>
      </c>
      <c r="V24" s="429" t="str">
        <f>IF(VLOOKUP($T$2,area,117,0)="","",VLOOKUP($T$2,area,117,0))</f>
        <v>弹簧</v>
      </c>
      <c r="W24" s="429"/>
      <c r="X24" s="431"/>
    </row>
    <row r="25" spans="1:24" ht="12.95" customHeight="1">
      <c r="A25" s="109">
        <v>16</v>
      </c>
      <c r="B25" s="415"/>
      <c r="C25" s="422" t="s">
        <v>1433</v>
      </c>
      <c r="D25" s="423"/>
      <c r="E25" s="423"/>
      <c r="F25" s="110" t="str">
        <f>MID($H$10,1,FIND("G",$H$10)-1)</f>
        <v>kPa</v>
      </c>
      <c r="G25" s="426">
        <f>IF(VLOOKUP($T$2,area,55,0)="","",VLOOKUP($T$2,area,55,0))</f>
        <v>2.5</v>
      </c>
      <c r="H25" s="429"/>
      <c r="I25" s="429"/>
      <c r="J25" s="429"/>
      <c r="K25" s="429"/>
      <c r="L25" s="430"/>
      <c r="M25" s="117">
        <v>55</v>
      </c>
      <c r="N25" s="415"/>
      <c r="O25" s="422" t="s">
        <v>1434</v>
      </c>
      <c r="P25" s="423"/>
      <c r="Q25" s="423"/>
      <c r="R25" s="429" t="str">
        <f>IF(VLOOKUP($T$2,area,113,0)="","",VLOOKUP($T$2,area,113,0))</f>
        <v>气动</v>
      </c>
      <c r="S25" s="429"/>
      <c r="T25" s="429"/>
      <c r="U25" s="429"/>
      <c r="V25" s="429"/>
      <c r="W25" s="429"/>
      <c r="X25" s="431"/>
    </row>
    <row r="26" spans="1:24" ht="12.95" customHeight="1">
      <c r="A26" s="109">
        <v>17</v>
      </c>
      <c r="B26" s="415"/>
      <c r="C26" s="422" t="s">
        <v>1435</v>
      </c>
      <c r="D26" s="423"/>
      <c r="E26" s="423"/>
      <c r="F26" s="110" t="s">
        <v>1401</v>
      </c>
      <c r="G26" s="426">
        <f>IF(VLOOKUP($T$2,area,56,0)="","",VLOOKUP($T$2,area,56,0))</f>
        <v>100</v>
      </c>
      <c r="H26" s="429"/>
      <c r="I26" s="429"/>
      <c r="J26" s="429"/>
      <c r="K26" s="429"/>
      <c r="L26" s="430"/>
      <c r="M26" s="117">
        <v>56</v>
      </c>
      <c r="N26" s="415"/>
      <c r="O26" s="422" t="s">
        <v>1436</v>
      </c>
      <c r="P26" s="423"/>
      <c r="Q26" s="423"/>
      <c r="R26" s="429" t="str">
        <f>IF(VLOOKUP($T$2,area,120,0)="","",VLOOKUP($T$2,area,120,0))</f>
        <v>MPaG</v>
      </c>
      <c r="S26" s="429"/>
      <c r="T26" s="429">
        <f>IF(VLOOKUP($T$2,area,118,0)="","",VLOOKUP($T$2,area,118,0))</f>
        <v>0.4</v>
      </c>
      <c r="U26" s="429"/>
      <c r="V26" s="248" t="s">
        <v>1385</v>
      </c>
      <c r="W26" s="429">
        <f>IF(VLOOKUP($T$2,area,119,0)="","",VLOOKUP($T$2,area,119,0))</f>
        <v>0.3</v>
      </c>
      <c r="X26" s="431"/>
    </row>
    <row r="27" spans="1:24" ht="12.95" customHeight="1">
      <c r="A27" s="109">
        <v>18</v>
      </c>
      <c r="B27" s="415"/>
      <c r="C27" s="428" t="s">
        <v>1163</v>
      </c>
      <c r="D27" s="423"/>
      <c r="E27" s="423"/>
      <c r="F27" s="110" t="str">
        <f>MID($H$10,1,FIND("G",$H$10)-1)</f>
        <v>kPa</v>
      </c>
      <c r="G27" s="426">
        <f>IF(VLOOKUP($T$2,area,54,0)="","",VLOOKUP($T$2,area,54,0))</f>
        <v>3620</v>
      </c>
      <c r="H27" s="429"/>
      <c r="I27" s="429"/>
      <c r="J27" s="429"/>
      <c r="K27" s="429"/>
      <c r="L27" s="430"/>
      <c r="M27" s="117">
        <v>57</v>
      </c>
      <c r="N27" s="415"/>
      <c r="O27" s="428" t="s">
        <v>1851</v>
      </c>
      <c r="P27" s="423"/>
      <c r="Q27" s="423"/>
      <c r="R27" s="429">
        <f>IF(VLOOKUP($T$2,area,122,0)="","",VLOOKUP($T$2,area,122,0))</f>
        <v>186</v>
      </c>
      <c r="S27" s="429"/>
      <c r="T27" s="429"/>
      <c r="U27" s="429"/>
      <c r="V27" s="429"/>
      <c r="W27" s="429"/>
      <c r="X27" s="431"/>
    </row>
    <row r="28" spans="1:24" ht="12.95" customHeight="1">
      <c r="A28" s="109">
        <v>19</v>
      </c>
      <c r="B28" s="415"/>
      <c r="C28" s="422" t="s">
        <v>1437</v>
      </c>
      <c r="D28" s="423"/>
      <c r="E28" s="445" t="str">
        <f>IF(VLOOKUP($T$2,area,80,0)="","",VLOOKUP($T$2,area,80,0))</f>
        <v>ANSI B16.5</v>
      </c>
      <c r="F28" s="444"/>
      <c r="G28" s="462" t="str">
        <f>IF(VLOOKUP($T$2,area,81,0)="","",VLOOKUP($T$2,area,81,0))</f>
        <v>CL300</v>
      </c>
      <c r="H28" s="462"/>
      <c r="I28" s="462"/>
      <c r="J28" s="462" t="str">
        <f>IF(VLOOKUP($T$2,area,82,0)="","",VLOOKUP($T$2,area,82,0))</f>
        <v>CL300</v>
      </c>
      <c r="K28" s="462"/>
      <c r="L28" s="462"/>
      <c r="M28" s="117">
        <v>58</v>
      </c>
      <c r="N28" s="415"/>
      <c r="O28" s="422" t="s">
        <v>1438</v>
      </c>
      <c r="P28" s="423"/>
      <c r="Q28" s="423"/>
      <c r="R28" s="429" t="str">
        <f>IF(VLOOKUP($T$2,area,124,0)="","",VLOOKUP($T$2,area,124,0))</f>
        <v>N/A</v>
      </c>
      <c r="S28" s="429"/>
      <c r="T28" s="429"/>
      <c r="U28" s="429"/>
      <c r="V28" s="429"/>
      <c r="W28" s="429"/>
      <c r="X28" s="431"/>
    </row>
    <row r="29" spans="1:24" ht="12.95" customHeight="1">
      <c r="A29" s="109">
        <v>20</v>
      </c>
      <c r="B29" s="415"/>
      <c r="C29" s="428" t="s">
        <v>1439</v>
      </c>
      <c r="D29" s="423"/>
      <c r="E29" s="445" t="str">
        <f>IF(VLOOKUP($T$2,area,83,0)="","",VLOOKUP($T$2,area,83,0))</f>
        <v>法兰连接</v>
      </c>
      <c r="F29" s="444"/>
      <c r="G29" s="462" t="str">
        <f>IF(VLOOKUP($T$2,area,84,0)="","",VLOOKUP($T$2,area,84,0))</f>
        <v>RF</v>
      </c>
      <c r="H29" s="462"/>
      <c r="I29" s="462"/>
      <c r="J29" s="462" t="str">
        <f>IF(VLOOKUP($T$2,area,84,0)="","",VLOOKUP($T$2,area,84,0))</f>
        <v>RF</v>
      </c>
      <c r="K29" s="462"/>
      <c r="L29" s="462"/>
      <c r="M29" s="117">
        <v>59</v>
      </c>
      <c r="N29" s="416"/>
      <c r="O29" s="463" t="s">
        <v>1922</v>
      </c>
      <c r="P29" s="451"/>
      <c r="Q29" s="451"/>
      <c r="R29" s="452" t="str">
        <f>IF(VLOOKUP($T$2,area,123,0)="","",VLOOKUP($T$2,area,123,0))</f>
        <v>N</v>
      </c>
      <c r="S29" s="452"/>
      <c r="T29" s="464">
        <f>R27*LEFT(R23,2)/10</f>
        <v>1488</v>
      </c>
      <c r="U29" s="464"/>
      <c r="V29" s="464"/>
      <c r="W29" s="464"/>
      <c r="X29" s="465"/>
    </row>
    <row r="30" spans="1:24" ht="12.95" customHeight="1">
      <c r="A30" s="109">
        <v>21</v>
      </c>
      <c r="B30" s="415"/>
      <c r="C30" s="422" t="s">
        <v>1440</v>
      </c>
      <c r="D30" s="423"/>
      <c r="E30" s="423"/>
      <c r="F30" s="424"/>
      <c r="G30" s="462" t="str">
        <f>IF(VLOOKUP($T$2,area,177,0)="","",VLOOKUP($T$2,area,177,0))</f>
        <v>NON</v>
      </c>
      <c r="H30" s="462"/>
      <c r="I30" s="462"/>
      <c r="J30" s="462" t="str">
        <f>IF(VLOOKUP($T$2,area,179,0)="","",VLOOKUP($T$2,area,179,0))</f>
        <v>NON</v>
      </c>
      <c r="K30" s="462"/>
      <c r="L30" s="462"/>
      <c r="M30" s="117">
        <v>60</v>
      </c>
      <c r="N30" s="414" t="s">
        <v>1441</v>
      </c>
      <c r="O30" s="422" t="s">
        <v>1442</v>
      </c>
      <c r="P30" s="423"/>
      <c r="Q30" s="423"/>
      <c r="R30" s="429" t="str">
        <f>IF(VLOOKUP($T$2,area,128,0)="","",VLOOKUP($T$2,area,128,0))</f>
        <v>FF现场总线</v>
      </c>
      <c r="S30" s="429"/>
      <c r="T30" s="445" t="s">
        <v>1443</v>
      </c>
      <c r="U30" s="445"/>
      <c r="V30" s="429" t="str">
        <f>IF(VLOOKUP($T$2,area,129,0)="","",VLOOKUP($T$2,area,129,0))</f>
        <v>——</v>
      </c>
      <c r="W30" s="429"/>
      <c r="X30" s="431"/>
    </row>
    <row r="31" spans="1:24" ht="12.95" customHeight="1">
      <c r="A31" s="109">
        <v>22</v>
      </c>
      <c r="B31" s="415"/>
      <c r="C31" s="422" t="s">
        <v>1444</v>
      </c>
      <c r="D31" s="423"/>
      <c r="E31" s="423"/>
      <c r="F31" s="424"/>
      <c r="G31" s="462" t="str">
        <f>IF(VLOOKUP($T$2,area,178,0)="","",VLOOKUP($T$2,area,178,0))</f>
        <v>NON</v>
      </c>
      <c r="H31" s="462"/>
      <c r="I31" s="462"/>
      <c r="J31" s="462" t="str">
        <f>IF(VLOOKUP($T$2,area,180,0)="","",VLOOKUP($T$2,area,180,0))</f>
        <v>NON</v>
      </c>
      <c r="K31" s="462"/>
      <c r="L31" s="462"/>
      <c r="M31" s="117">
        <v>61</v>
      </c>
      <c r="N31" s="415"/>
      <c r="O31" s="422" t="s">
        <v>1426</v>
      </c>
      <c r="P31" s="423"/>
      <c r="Q31" s="429" t="str">
        <f>IF(VLOOKUP($T$2,area,126,0)="","",VLOOKUP($T$2,area,126,0))</f>
        <v>电-气智能型</v>
      </c>
      <c r="R31" s="429"/>
      <c r="S31" s="429"/>
      <c r="T31" s="445" t="s">
        <v>1271</v>
      </c>
      <c r="U31" s="445"/>
      <c r="V31" s="429" t="str">
        <f>IF(VLOOKUP($T$2,area,132,0)="","",VLOOKUP($T$2,area,132,0))</f>
        <v>Exd II CT6</v>
      </c>
      <c r="W31" s="429"/>
      <c r="X31" s="431"/>
    </row>
    <row r="32" spans="1:24" ht="12.95" customHeight="1">
      <c r="A32" s="109">
        <v>23</v>
      </c>
      <c r="B32" s="415"/>
      <c r="C32" s="428" t="s">
        <v>1445</v>
      </c>
      <c r="D32" s="423"/>
      <c r="E32" s="423"/>
      <c r="F32" s="429" t="str">
        <f>IF(VLOOKUP($T$2,area,78,0)="","",VLOOKUP($T$2,area,78,0))</f>
        <v>多孔式套筒导向型单座调节阀</v>
      </c>
      <c r="G32" s="429"/>
      <c r="H32" s="429"/>
      <c r="I32" s="429"/>
      <c r="J32" s="429"/>
      <c r="K32" s="429"/>
      <c r="L32" s="429"/>
      <c r="M32" s="117">
        <v>62</v>
      </c>
      <c r="N32" s="415"/>
      <c r="O32" s="422" t="s">
        <v>1446</v>
      </c>
      <c r="P32" s="423"/>
      <c r="Q32" s="423"/>
      <c r="R32" s="429" t="str">
        <f>IF(VLOOKUP($T$2,area,125,0)="","",VLOOKUP($T$2,area,125,0))</f>
        <v>FISHER</v>
      </c>
      <c r="S32" s="429"/>
      <c r="T32" s="429"/>
      <c r="U32" s="111" t="s">
        <v>1447</v>
      </c>
      <c r="V32" s="429" t="str">
        <f>IF(VLOOKUP($T$2,area,127,0)="","",VLOOKUP($T$2,area,127,0))</f>
        <v>DVC6200HC</v>
      </c>
      <c r="W32" s="429"/>
      <c r="X32" s="431"/>
    </row>
    <row r="33" spans="1:24" ht="12.95" customHeight="1">
      <c r="A33" s="109">
        <v>24</v>
      </c>
      <c r="B33" s="415"/>
      <c r="C33" s="460" t="s">
        <v>1261</v>
      </c>
      <c r="D33" s="461"/>
      <c r="E33" s="461"/>
      <c r="F33" s="429" t="str">
        <f>IF(VLOOKUP($T$2,area,79,0)="","",VLOOKUP($T$2,area,79,0))</f>
        <v>ST301C</v>
      </c>
      <c r="G33" s="429"/>
      <c r="H33" s="429"/>
      <c r="I33" s="429"/>
      <c r="J33" s="429"/>
      <c r="K33" s="429"/>
      <c r="L33" s="429"/>
      <c r="M33" s="117">
        <v>63</v>
      </c>
      <c r="N33" s="415"/>
      <c r="O33" s="422" t="s">
        <v>1448</v>
      </c>
      <c r="P33" s="423"/>
      <c r="Q33" s="423"/>
      <c r="R33" s="423"/>
      <c r="S33" s="429" t="str">
        <f>IF(VLOOKUP($T$2,area,135,0)="","",VLOOKUP($T$2,area,135,0))</f>
        <v>阀开</v>
      </c>
      <c r="T33" s="429"/>
      <c r="U33" s="429"/>
      <c r="V33" s="429"/>
      <c r="W33" s="429"/>
      <c r="X33" s="431"/>
    </row>
    <row r="34" spans="1:24" ht="12.95" customHeight="1">
      <c r="A34" s="109">
        <v>25</v>
      </c>
      <c r="B34" s="415"/>
      <c r="C34" s="422" t="s">
        <v>1449</v>
      </c>
      <c r="D34" s="423"/>
      <c r="E34" s="423"/>
      <c r="F34" s="429" t="str">
        <f>IF(VLOOKUP($T$2,area,86,0)="","",VLOOKUP($T$2,area,86,0))</f>
        <v>WCB</v>
      </c>
      <c r="G34" s="429"/>
      <c r="H34" s="429"/>
      <c r="I34" s="248" t="s">
        <v>1385</v>
      </c>
      <c r="J34" s="429" t="str">
        <f>IF(VLOOKUP($T$2,area,86,0)="","",VLOOKUP($T$2,area,86,0))</f>
        <v>WCB</v>
      </c>
      <c r="K34" s="429"/>
      <c r="L34" s="429"/>
      <c r="M34" s="117">
        <v>64</v>
      </c>
      <c r="N34" s="415"/>
      <c r="O34" s="422" t="s">
        <v>1450</v>
      </c>
      <c r="P34" s="423"/>
      <c r="Q34" s="429" t="str">
        <f>IF(VLOOKUP($T$2,area,133,0)="","",VLOOKUP($T$2,area,133,0))</f>
        <v>带</v>
      </c>
      <c r="R34" s="429"/>
      <c r="S34" s="429"/>
      <c r="T34" s="445" t="s">
        <v>1451</v>
      </c>
      <c r="U34" s="445"/>
      <c r="V34" s="429" t="str">
        <f>IF(VLOOKUP($T$2,area,134,0)="","",VLOOKUP($T$2,area,134,0))</f>
        <v>无</v>
      </c>
      <c r="W34" s="429"/>
      <c r="X34" s="431"/>
    </row>
    <row r="35" spans="1:24" ht="12.95" customHeight="1">
      <c r="A35" s="109">
        <v>26</v>
      </c>
      <c r="B35" s="415"/>
      <c r="C35" s="428" t="s">
        <v>1452</v>
      </c>
      <c r="D35" s="423"/>
      <c r="E35" s="423"/>
      <c r="F35" s="453" t="str">
        <f>IF(VLOOKUP($T$2,area,94,0)="","",VLOOKUP($T$2,area,94,0))</f>
        <v>NON</v>
      </c>
      <c r="G35" s="453"/>
      <c r="H35" s="453"/>
      <c r="I35" s="453"/>
      <c r="J35" s="453"/>
      <c r="K35" s="453"/>
      <c r="L35" s="459"/>
      <c r="M35" s="117">
        <v>65</v>
      </c>
      <c r="N35" s="415"/>
      <c r="O35" s="422" t="s">
        <v>1453</v>
      </c>
      <c r="P35" s="423"/>
      <c r="Q35" s="423"/>
      <c r="R35" s="423"/>
      <c r="S35" s="429" t="str">
        <f>IF(VLOOKUP($T$2,area,136,0)="","",VLOOKUP($T$2,area,136,0))</f>
        <v>线性</v>
      </c>
      <c r="T35" s="429"/>
      <c r="U35" s="429"/>
      <c r="V35" s="429"/>
      <c r="W35" s="429"/>
      <c r="X35" s="431"/>
    </row>
    <row r="36" spans="1:24" ht="12.95" customHeight="1">
      <c r="A36" s="109">
        <v>27</v>
      </c>
      <c r="B36" s="415"/>
      <c r="C36" s="422" t="s">
        <v>1454</v>
      </c>
      <c r="D36" s="423"/>
      <c r="E36" s="423"/>
      <c r="F36" s="429" t="str">
        <f>IF(VLOOKUP($T$2,area,88,0)="","",VLOOKUP($T$2,area,88,0))</f>
        <v>流开</v>
      </c>
      <c r="G36" s="429"/>
      <c r="H36" s="429"/>
      <c r="I36" s="429"/>
      <c r="J36" s="429"/>
      <c r="K36" s="429"/>
      <c r="L36" s="429"/>
      <c r="M36" s="117">
        <v>66</v>
      </c>
      <c r="N36" s="416"/>
      <c r="O36" s="422" t="s">
        <v>1267</v>
      </c>
      <c r="P36" s="423"/>
      <c r="Q36" s="429" t="str">
        <f>IF(VLOOKUP($T$2,area,130,0)="","",VLOOKUP($T$2,area,130,0))</f>
        <v>NPT1/2"</v>
      </c>
      <c r="R36" s="429"/>
      <c r="S36" s="429"/>
      <c r="T36" s="445" t="s">
        <v>1230</v>
      </c>
      <c r="U36" s="445"/>
      <c r="V36" s="429" t="str">
        <f>IF(VLOOKUP($T$2,area,131,0)="","",VLOOKUP($T$2,area,131,0))</f>
        <v>NPT1/4"-ø8</v>
      </c>
      <c r="W36" s="429"/>
      <c r="X36" s="431"/>
    </row>
    <row r="37" spans="1:24" ht="12.95" customHeight="1">
      <c r="A37" s="109">
        <v>28</v>
      </c>
      <c r="B37" s="415"/>
      <c r="C37" s="422" t="s">
        <v>1455</v>
      </c>
      <c r="D37" s="423"/>
      <c r="E37" s="423"/>
      <c r="F37" s="429" t="str">
        <f>IF(VLOOKUP($T$2,area,90,0)="","",VLOOKUP($T$2,area,90,0))</f>
        <v>标准型</v>
      </c>
      <c r="G37" s="429"/>
      <c r="H37" s="429"/>
      <c r="I37" s="429"/>
      <c r="J37" s="429"/>
      <c r="K37" s="429"/>
      <c r="L37" s="429"/>
      <c r="M37" s="117">
        <v>67</v>
      </c>
      <c r="N37" s="414" t="s">
        <v>1456</v>
      </c>
      <c r="O37" s="457" t="s">
        <v>1426</v>
      </c>
      <c r="P37" s="456"/>
      <c r="Q37" s="429" t="str">
        <f>IF(VLOOKUP($T$2,area,158,0)="","",VLOOKUP($T$2,area,158,0))</f>
        <v>NON</v>
      </c>
      <c r="R37" s="429"/>
      <c r="S37" s="429"/>
      <c r="T37" s="429"/>
      <c r="U37" s="445" t="s">
        <v>1395</v>
      </c>
      <c r="V37" s="445"/>
      <c r="W37" s="458" t="str">
        <f>IF(VLOOKUP($T$2,area,159,0)="","",VLOOKUP($T$2,area,159,0))</f>
        <v/>
      </c>
      <c r="X37" s="431"/>
    </row>
    <row r="38" spans="1:24" ht="12.95" customHeight="1">
      <c r="A38" s="109">
        <v>29</v>
      </c>
      <c r="B38" s="416"/>
      <c r="C38" s="422"/>
      <c r="D38" s="423"/>
      <c r="E38" s="423"/>
      <c r="F38" s="429"/>
      <c r="G38" s="429"/>
      <c r="H38" s="106"/>
      <c r="I38" s="429"/>
      <c r="J38" s="429"/>
      <c r="K38" s="429"/>
      <c r="L38" s="429"/>
      <c r="M38" s="117">
        <v>68</v>
      </c>
      <c r="N38" s="415"/>
      <c r="O38" s="422" t="s">
        <v>1446</v>
      </c>
      <c r="P38" s="423"/>
      <c r="Q38" s="423"/>
      <c r="R38" s="429" t="str">
        <f>IF(VLOOKUP($T$2,area,156,0)="","",VLOOKUP($T$2,area,156,0))</f>
        <v>——</v>
      </c>
      <c r="S38" s="429"/>
      <c r="T38" s="429"/>
      <c r="U38" s="111" t="s">
        <v>1447</v>
      </c>
      <c r="V38" s="429" t="str">
        <f>IF(VLOOKUP($T$2,area,157,0)="","",VLOOKUP($T$2,area,157,0))</f>
        <v>——</v>
      </c>
      <c r="W38" s="429"/>
      <c r="X38" s="431"/>
    </row>
    <row r="39" spans="1:24" ht="12.95" customHeight="1">
      <c r="A39" s="109">
        <v>30</v>
      </c>
      <c r="B39" s="125"/>
      <c r="C39" s="422" t="s">
        <v>1457</v>
      </c>
      <c r="D39" s="423"/>
      <c r="E39" s="423"/>
      <c r="F39" s="429" t="str">
        <f>IF(VLOOKUP($T$2,area,91,0)="","",VLOOKUP($T$2,area,91,0))</f>
        <v>标准型</v>
      </c>
      <c r="G39" s="429"/>
      <c r="H39" s="429"/>
      <c r="I39" s="248" t="s">
        <v>1385</v>
      </c>
      <c r="J39" s="429" t="str">
        <f>IF(VLOOKUP($T$2,area,92,0)="","",VLOOKUP($T$2,area,92,0))</f>
        <v>PTFE</v>
      </c>
      <c r="K39" s="429"/>
      <c r="L39" s="429"/>
      <c r="M39" s="117">
        <v>69</v>
      </c>
      <c r="N39" s="415"/>
      <c r="O39" s="422" t="s">
        <v>1458</v>
      </c>
      <c r="P39" s="423"/>
      <c r="Q39" s="423"/>
      <c r="R39" s="429" t="str">
        <f>IF(VLOOKUP($T$2,area,160,0)="","",VLOOKUP($T$2,area,160,0))</f>
        <v/>
      </c>
      <c r="S39" s="429"/>
      <c r="T39" s="429"/>
      <c r="U39" s="248" t="s">
        <v>1385</v>
      </c>
      <c r="V39" s="429" t="str">
        <f>IF(VLOOKUP($T$2,area,161,0)="","",VLOOKUP($T$2,area,161,0))</f>
        <v/>
      </c>
      <c r="W39" s="429"/>
      <c r="X39" s="431"/>
    </row>
    <row r="40" spans="1:24" ht="12.95" customHeight="1">
      <c r="A40" s="109">
        <v>31</v>
      </c>
      <c r="B40" s="417" t="s">
        <v>1121</v>
      </c>
      <c r="C40" s="422" t="s">
        <v>1459</v>
      </c>
      <c r="D40" s="423"/>
      <c r="E40" s="423"/>
      <c r="F40" s="423"/>
      <c r="G40" s="429" t="str">
        <f>IF(VLOOKUP($T$2,area,104,0)="","",VLOOKUP($T$2,area,104,0))</f>
        <v>——</v>
      </c>
      <c r="H40" s="429"/>
      <c r="I40" s="429"/>
      <c r="J40" s="429"/>
      <c r="K40" s="429"/>
      <c r="L40" s="429"/>
      <c r="M40" s="117">
        <v>70</v>
      </c>
      <c r="N40" s="415"/>
      <c r="O40" s="422" t="s">
        <v>1460</v>
      </c>
      <c r="P40" s="423"/>
      <c r="Q40" s="423"/>
      <c r="R40" s="429" t="str">
        <f>IF(VLOOKUP($T$2,area,162,0)="","",VLOOKUP($T$2,area,162,0))</f>
        <v/>
      </c>
      <c r="S40" s="429"/>
      <c r="T40" s="429"/>
      <c r="U40" s="429"/>
      <c r="V40" s="429"/>
      <c r="W40" s="429"/>
      <c r="X40" s="431"/>
    </row>
    <row r="41" spans="1:24" ht="12.95" customHeight="1">
      <c r="A41" s="109">
        <v>32</v>
      </c>
      <c r="B41" s="415"/>
      <c r="C41" s="422" t="s">
        <v>1461</v>
      </c>
      <c r="D41" s="423"/>
      <c r="E41" s="423"/>
      <c r="F41" s="423"/>
      <c r="G41" s="429" t="str">
        <f>IF(VLOOKUP($T$2,area,101,0)="","",VLOOKUP($T$2,area,101,0))</f>
        <v>2"</v>
      </c>
      <c r="H41" s="429"/>
      <c r="I41" s="429"/>
      <c r="J41" s="248" t="s">
        <v>1385</v>
      </c>
      <c r="K41" s="429" t="str">
        <f>IF(VLOOKUP($T$2,area,97,0)="","",VLOOKUP($T$2,area,97,0)&amp;" "&amp;VLOOKUP($T$2,area,98,0))</f>
        <v>30 mm</v>
      </c>
      <c r="L41" s="429"/>
      <c r="M41" s="117">
        <v>71</v>
      </c>
      <c r="N41" s="416"/>
      <c r="O41" s="457" t="s">
        <v>1271</v>
      </c>
      <c r="P41" s="456"/>
      <c r="Q41" s="429" t="str">
        <f>IF(VLOOKUP($T$2,area,163,0)="","",VLOOKUP($T$2,area,163,0))</f>
        <v>——</v>
      </c>
      <c r="R41" s="429"/>
      <c r="S41" s="429"/>
      <c r="T41" s="447" t="s">
        <v>1267</v>
      </c>
      <c r="U41" s="429"/>
      <c r="V41" s="429" t="str">
        <f>IF(VLOOKUP($T$2,area,164,0)="","",VLOOKUP($T$2,area,164,0))</f>
        <v>——</v>
      </c>
      <c r="W41" s="429"/>
      <c r="X41" s="431"/>
    </row>
    <row r="42" spans="1:24" ht="12.95" customHeight="1">
      <c r="A42" s="109">
        <v>33</v>
      </c>
      <c r="B42" s="415"/>
      <c r="C42" s="422" t="s">
        <v>1462</v>
      </c>
      <c r="D42" s="423"/>
      <c r="E42" s="423"/>
      <c r="F42" s="423" t="s">
        <v>1463</v>
      </c>
      <c r="G42" s="429" t="str">
        <f>IF(VLOOKUP($T$2,area,96,0)="","",VLOOKUP($T$2,area,96,0))</f>
        <v>线性</v>
      </c>
      <c r="H42" s="429"/>
      <c r="I42" s="429"/>
      <c r="J42" s="429"/>
      <c r="K42" s="429"/>
      <c r="L42" s="429"/>
      <c r="M42" s="117">
        <v>72</v>
      </c>
      <c r="N42" s="414" t="s">
        <v>1464</v>
      </c>
      <c r="O42" s="422" t="s">
        <v>1446</v>
      </c>
      <c r="P42" s="423"/>
      <c r="Q42" s="423"/>
      <c r="R42" s="429" t="str">
        <f>IF(VLOOKUP($T$2,area,137,0)="","",VLOOKUP($T$2,area,137,0))</f>
        <v>SMC</v>
      </c>
      <c r="S42" s="429"/>
      <c r="T42" s="429"/>
      <c r="U42" s="111" t="s">
        <v>1447</v>
      </c>
      <c r="V42" s="429" t="str">
        <f>IF(VLOOKUP($T$2,area,138,0)="","",VLOOKUP($T$2,area,138,0))</f>
        <v>AW30-N02BG-2</v>
      </c>
      <c r="W42" s="429"/>
      <c r="X42" s="431"/>
    </row>
    <row r="43" spans="1:24" ht="12.95" customHeight="1">
      <c r="A43" s="109">
        <v>34</v>
      </c>
      <c r="B43" s="415"/>
      <c r="C43" s="422" t="s">
        <v>1465</v>
      </c>
      <c r="D43" s="423"/>
      <c r="E43" s="423"/>
      <c r="F43" s="423"/>
      <c r="G43" s="429" t="str">
        <f>IF(VLOOKUP($T$2,area,99,0)="","",VLOOKUP($T$2,area,99,0))</f>
        <v>平衡型</v>
      </c>
      <c r="H43" s="429"/>
      <c r="I43" s="429"/>
      <c r="J43" s="429"/>
      <c r="K43" s="429"/>
      <c r="L43" s="429"/>
      <c r="M43" s="117">
        <v>73</v>
      </c>
      <c r="N43" s="415"/>
      <c r="O43" s="422" t="s">
        <v>1466</v>
      </c>
      <c r="P43" s="423"/>
      <c r="Q43" s="423"/>
      <c r="R43" s="429" t="str">
        <f>IF(VLOOKUP($T$2,area,140,0)="","",VLOOKUP($T$2,area,140,0))</f>
        <v>KPaG</v>
      </c>
      <c r="S43" s="429"/>
      <c r="T43" s="429">
        <f>IF(VLOOKUP($T$2,area,139,0)="","",VLOOKUP($T$2,area,139,0))</f>
        <v>300</v>
      </c>
      <c r="U43" s="429"/>
      <c r="V43" s="429"/>
      <c r="W43" s="429"/>
      <c r="X43" s="431"/>
    </row>
    <row r="44" spans="1:24" ht="12.95" customHeight="1">
      <c r="A44" s="109">
        <v>35</v>
      </c>
      <c r="B44" s="415"/>
      <c r="C44" s="422" t="s">
        <v>1897</v>
      </c>
      <c r="D44" s="423"/>
      <c r="E44" s="423"/>
      <c r="F44" s="423"/>
      <c r="G44" s="429">
        <f>IF(VLOOKUP($T$2,area,95,0)="","",VLOOKUP($T$2,area,95,0))</f>
        <v>54</v>
      </c>
      <c r="H44" s="429"/>
      <c r="I44" s="429"/>
      <c r="J44" s="429"/>
      <c r="K44" s="429"/>
      <c r="L44" s="429"/>
      <c r="M44" s="117">
        <v>74</v>
      </c>
      <c r="N44" s="415"/>
      <c r="O44" s="422" t="s">
        <v>1467</v>
      </c>
      <c r="P44" s="423"/>
      <c r="Q44" s="423"/>
      <c r="R44" s="429" t="str">
        <f>IF(VLOOKUP($T$2,area,141,0)="","",VLOOKUP($T$2,area,141,0))</f>
        <v>带</v>
      </c>
      <c r="S44" s="429"/>
      <c r="T44" s="445" t="s">
        <v>1450</v>
      </c>
      <c r="U44" s="445"/>
      <c r="V44" s="429" t="str">
        <f>IF(VLOOKUP($T$2,area,142,0)="","",VLOOKUP($T$2,area,142,0))</f>
        <v>带</v>
      </c>
      <c r="W44" s="429"/>
      <c r="X44" s="431"/>
    </row>
    <row r="45" spans="1:24" ht="12.95" customHeight="1">
      <c r="A45" s="109">
        <v>36</v>
      </c>
      <c r="B45" s="415"/>
      <c r="C45" s="422" t="s">
        <v>1468</v>
      </c>
      <c r="D45" s="423"/>
      <c r="E45" s="423"/>
      <c r="F45" s="423"/>
      <c r="G45" s="429" t="str">
        <f>IF(VLOOKUP($T$2,area,100,0)="","",VLOOKUP($T$2,area,100,0))</f>
        <v>410/热处理</v>
      </c>
      <c r="H45" s="429"/>
      <c r="I45" s="429"/>
      <c r="J45" s="429"/>
      <c r="K45" s="429"/>
      <c r="L45" s="429"/>
      <c r="M45" s="117">
        <v>75</v>
      </c>
      <c r="N45" s="416"/>
      <c r="O45" s="422" t="s">
        <v>1230</v>
      </c>
      <c r="P45" s="423"/>
      <c r="Q45" s="423"/>
      <c r="R45" s="429" t="str">
        <f>IF(VLOOKUP($T$2,area,143,0)="","",VLOOKUP($T$2,area,143,0))</f>
        <v>卡套接头NPT1/4"-ø8</v>
      </c>
      <c r="S45" s="429"/>
      <c r="T45" s="429"/>
      <c r="U45" s="429"/>
      <c r="V45" s="429"/>
      <c r="W45" s="429"/>
      <c r="X45" s="431"/>
    </row>
    <row r="46" spans="1:24" ht="12.95" customHeight="1">
      <c r="A46" s="109">
        <v>37</v>
      </c>
      <c r="B46" s="415"/>
      <c r="C46" s="455" t="s">
        <v>1469</v>
      </c>
      <c r="D46" s="456"/>
      <c r="E46" s="456"/>
      <c r="F46" s="456"/>
      <c r="G46" s="429" t="str">
        <f>IF(VLOOKUP($T$2,area,102,0)="","",VLOOKUP($T$2,area,102,0))</f>
        <v>410/热处理</v>
      </c>
      <c r="H46" s="429"/>
      <c r="I46" s="429"/>
      <c r="J46" s="429"/>
      <c r="K46" s="429"/>
      <c r="L46" s="429"/>
      <c r="M46" s="117">
        <v>76</v>
      </c>
      <c r="N46" s="414" t="s">
        <v>1470</v>
      </c>
      <c r="O46" s="422" t="s">
        <v>1471</v>
      </c>
      <c r="P46" s="423"/>
      <c r="Q46" s="423"/>
      <c r="R46" s="429" t="str">
        <f>IF(VLOOKUP($T$2,area,89,0)="","",VLOOKUP($T$2,area,89,0))</f>
        <v>ANSI CLASS IV</v>
      </c>
      <c r="S46" s="429"/>
      <c r="T46" s="429"/>
      <c r="U46" s="429"/>
      <c r="V46" s="429"/>
      <c r="W46" s="429"/>
      <c r="X46" s="431"/>
    </row>
    <row r="47" spans="1:24" ht="12.95" customHeight="1">
      <c r="A47" s="109">
        <v>38</v>
      </c>
      <c r="B47" s="415"/>
      <c r="C47" s="428" t="s">
        <v>1848</v>
      </c>
      <c r="D47" s="423"/>
      <c r="E47" s="423"/>
      <c r="F47" s="423"/>
      <c r="G47" s="429" t="str">
        <f>IF(VLOOKUP($T$2,area,103,0)="","",VLOOKUP($T$2,area,103,0))</f>
        <v>410/热处理</v>
      </c>
      <c r="H47" s="429"/>
      <c r="I47" s="429"/>
      <c r="J47" s="429"/>
      <c r="K47" s="429"/>
      <c r="L47" s="429"/>
      <c r="M47" s="117">
        <v>77</v>
      </c>
      <c r="N47" s="415"/>
      <c r="O47" s="428" t="s">
        <v>1197</v>
      </c>
      <c r="P47" s="423"/>
      <c r="Q47" s="423"/>
      <c r="R47" s="429" t="s">
        <v>1473</v>
      </c>
      <c r="S47" s="429"/>
      <c r="T47" s="129" t="s">
        <v>1474</v>
      </c>
      <c r="U47" s="441">
        <f>IF(VLOOKUP($T$2,area,107,0)="","",VLOOKUP($T$2,area,107,0))</f>
        <v>20</v>
      </c>
      <c r="V47" s="441"/>
      <c r="W47" s="441"/>
      <c r="X47" s="442"/>
    </row>
    <row r="48" spans="1:24" ht="12.95" customHeight="1">
      <c r="A48" s="109">
        <v>39</v>
      </c>
      <c r="B48" s="415"/>
      <c r="C48" s="450" t="s">
        <v>1849</v>
      </c>
      <c r="D48" s="451"/>
      <c r="E48" s="451"/>
      <c r="F48" s="451"/>
      <c r="G48" s="452">
        <f>IF(VLOOKUP($T$2,area,106,0)="","",VLOOKUP($T$2,area,106,0))</f>
        <v>316</v>
      </c>
      <c r="H48" s="452"/>
      <c r="I48" s="452"/>
      <c r="J48" s="452"/>
      <c r="K48" s="452"/>
      <c r="L48" s="452"/>
      <c r="M48" s="117">
        <v>78</v>
      </c>
      <c r="N48" s="416"/>
      <c r="O48" s="422" t="s">
        <v>1476</v>
      </c>
      <c r="P48" s="423"/>
      <c r="Q48" s="423"/>
      <c r="R48" s="429" t="s">
        <v>1473</v>
      </c>
      <c r="S48" s="429"/>
      <c r="T48" s="129" t="s">
        <v>1477</v>
      </c>
      <c r="U48" s="441">
        <f>IF(VLOOKUP($T$2,area,108,0)="","",VLOOKUP($T$2,area,108,0))</f>
        <v>20</v>
      </c>
      <c r="V48" s="441"/>
      <c r="W48" s="441"/>
      <c r="X48" s="442"/>
    </row>
    <row r="49" spans="1:24" ht="12.95" customHeight="1">
      <c r="A49" s="109">
        <v>40</v>
      </c>
      <c r="B49" s="416"/>
      <c r="C49" s="450" t="s">
        <v>1898</v>
      </c>
      <c r="D49" s="451"/>
      <c r="E49" s="451"/>
      <c r="F49" s="451"/>
      <c r="G49" s="452" t="str">
        <f>IF(VLOOKUP($T$2,area,105,0)="","",VLOOKUP($T$2,area,105,0))</f>
        <v>R.TFE/316L</v>
      </c>
      <c r="H49" s="452"/>
      <c r="I49" s="452"/>
      <c r="J49" s="452"/>
      <c r="K49" s="452"/>
      <c r="L49" s="452"/>
      <c r="M49" s="117">
        <v>79</v>
      </c>
      <c r="N49" s="418" t="s">
        <v>1479</v>
      </c>
      <c r="O49" s="422" t="s">
        <v>1446</v>
      </c>
      <c r="P49" s="423"/>
      <c r="Q49" s="423"/>
      <c r="R49" s="453" t="str">
        <f>IF(VLOOKUP($T$2,area,144,0)="","",VLOOKUP($T$2,area,144,0))</f>
        <v>——</v>
      </c>
      <c r="S49" s="453"/>
      <c r="T49" s="453"/>
      <c r="U49" s="111" t="s">
        <v>1447</v>
      </c>
      <c r="V49" s="453" t="str">
        <f>IF(VLOOKUP($T$2,area,145,0)="","",VLOOKUP($T$2,area,145,0))</f>
        <v>——</v>
      </c>
      <c r="W49" s="453"/>
      <c r="X49" s="454"/>
    </row>
    <row r="50" spans="1:24" ht="12.95" customHeight="1">
      <c r="A50" s="109">
        <v>41</v>
      </c>
      <c r="B50" s="418" t="s">
        <v>1480</v>
      </c>
      <c r="C50" s="422" t="s">
        <v>1481</v>
      </c>
      <c r="D50" s="423"/>
      <c r="E50" s="429" t="s">
        <v>1482</v>
      </c>
      <c r="F50" s="429"/>
      <c r="G50" s="448"/>
      <c r="H50" s="448"/>
      <c r="I50" s="448"/>
      <c r="J50" s="448"/>
      <c r="K50" s="448"/>
      <c r="L50" s="448"/>
      <c r="M50" s="117">
        <v>80</v>
      </c>
      <c r="N50" s="419"/>
      <c r="O50" s="449" t="s">
        <v>1233</v>
      </c>
      <c r="P50" s="445"/>
      <c r="Q50" s="111" t="str">
        <f>IF(VLOOKUP($T$2,area,147,0)="","",VLOOKUP($T$2,area,147,0))</f>
        <v/>
      </c>
      <c r="R50" s="447" t="s">
        <v>1483</v>
      </c>
      <c r="S50" s="447"/>
      <c r="T50" s="429" t="str">
        <f>IF(VLOOKUP($T$2,area,148,0)="","",VLOOKUP($T$2,area,148,0))</f>
        <v/>
      </c>
      <c r="U50" s="429"/>
      <c r="V50" s="132" t="s">
        <v>1149</v>
      </c>
      <c r="W50" s="429" t="str">
        <f>IF(VLOOKUP($T$2,area,146,0)="","",VLOOKUP($T$2,area,146,0))</f>
        <v/>
      </c>
      <c r="X50" s="431"/>
    </row>
    <row r="51" spans="1:24" ht="12.95" customHeight="1">
      <c r="A51" s="109">
        <v>42</v>
      </c>
      <c r="B51" s="419"/>
      <c r="C51" s="428" t="s">
        <v>1484</v>
      </c>
      <c r="D51" s="423"/>
      <c r="E51" s="423"/>
      <c r="F51" s="429" t="str">
        <f>IF(VLOOKUP($T$2,area,171,0)="","",VLOOKUP($T$2,area,171,0))</f>
        <v>——</v>
      </c>
      <c r="G51" s="429"/>
      <c r="H51" s="429"/>
      <c r="I51" s="429"/>
      <c r="J51" s="429"/>
      <c r="K51" s="429" t="str">
        <f>IF(VLOOKUP($T$2,area,172,0)="","",VLOOKUP($T$2,area,172,0))</f>
        <v/>
      </c>
      <c r="L51" s="430"/>
      <c r="M51" s="117">
        <v>81</v>
      </c>
      <c r="N51" s="419"/>
      <c r="O51" s="449" t="s">
        <v>1236</v>
      </c>
      <c r="P51" s="447"/>
      <c r="Q51" s="111" t="str">
        <f>IF(VLOOKUP($T$2,area,152,0)="","",VLOOKUP($T$2,area,152,0))</f>
        <v/>
      </c>
      <c r="R51" s="447" t="s">
        <v>1235</v>
      </c>
      <c r="S51" s="445"/>
      <c r="T51" s="429" t="str">
        <f>IF(VLOOKUP($T$2,area,149,0)="","",VLOOKUP($T$2,area,149,0))</f>
        <v/>
      </c>
      <c r="U51" s="429"/>
      <c r="V51" s="447" t="s">
        <v>1237</v>
      </c>
      <c r="W51" s="447"/>
      <c r="X51" s="122" t="str">
        <f>IF(VLOOKUP($T$2,area,153,0)="","",VLOOKUP($T$2,area,153,0))</f>
        <v/>
      </c>
    </row>
    <row r="52" spans="1:24" ht="12.95" customHeight="1">
      <c r="A52" s="109">
        <v>43</v>
      </c>
      <c r="B52" s="419"/>
      <c r="C52" s="428" t="s">
        <v>1485</v>
      </c>
      <c r="D52" s="423"/>
      <c r="E52" s="423"/>
      <c r="F52" s="429" t="str">
        <f>IF(VLOOKUP($T$2,area,167,0)="","",VLOOKUP($T$2,area,167,0))</f>
        <v>——</v>
      </c>
      <c r="G52" s="429"/>
      <c r="H52" s="429"/>
      <c r="I52" s="429"/>
      <c r="J52" s="429"/>
      <c r="K52" s="429" t="str">
        <f>IF(VLOOKUP($T$2,area,168,0)="","",VLOOKUP($T$2,area,168,0))</f>
        <v/>
      </c>
      <c r="L52" s="430"/>
      <c r="M52" s="117">
        <v>82</v>
      </c>
      <c r="N52" s="419"/>
      <c r="O52" s="428" t="s">
        <v>1271</v>
      </c>
      <c r="P52" s="423"/>
      <c r="Q52" s="429" t="str">
        <f>IF(VLOOKUP($T$2,area,155,0)="","",VLOOKUP($T$2,area,155,0))</f>
        <v>——</v>
      </c>
      <c r="R52" s="429"/>
      <c r="S52" s="429"/>
      <c r="T52" s="447" t="s">
        <v>1238</v>
      </c>
      <c r="U52" s="445"/>
      <c r="V52" s="429" t="str">
        <f>IF(VLOOKUP($T$2,area,154,0)="","",VLOOKUP($T$2,area,154,0))</f>
        <v>——</v>
      </c>
      <c r="W52" s="429"/>
      <c r="X52" s="431"/>
    </row>
    <row r="53" spans="1:24" ht="12.95" customHeight="1">
      <c r="A53" s="109">
        <v>44</v>
      </c>
      <c r="B53" s="419"/>
      <c r="C53" s="428" t="s">
        <v>1486</v>
      </c>
      <c r="D53" s="423"/>
      <c r="E53" s="423"/>
      <c r="F53" s="429" t="str">
        <f>IF(VLOOKUP($T$2,area,169,0)="","",VLOOKUP($T$2,area,169,0))</f>
        <v>——</v>
      </c>
      <c r="G53" s="429"/>
      <c r="H53" s="429"/>
      <c r="I53" s="429"/>
      <c r="J53" s="429"/>
      <c r="K53" s="429" t="str">
        <f>IF(VLOOKUP($T$2,area,170,0)="","",VLOOKUP($T$2,area,170,0))</f>
        <v/>
      </c>
      <c r="L53" s="430"/>
      <c r="M53" s="117">
        <v>83</v>
      </c>
      <c r="N53" s="420"/>
      <c r="O53" s="428" t="s">
        <v>1230</v>
      </c>
      <c r="P53" s="423"/>
      <c r="Q53" s="429" t="str">
        <f>IF(VLOOKUP($T$2,area,151,0)="","",VLOOKUP($T$2,area,151,0))</f>
        <v>——</v>
      </c>
      <c r="R53" s="429"/>
      <c r="S53" s="429"/>
      <c r="T53" s="447" t="s">
        <v>1267</v>
      </c>
      <c r="U53" s="447"/>
      <c r="V53" s="429" t="str">
        <f>IF(VLOOKUP($T$2,area,150,0)="","",VLOOKUP($T$2,area,150,0))</f>
        <v>——</v>
      </c>
      <c r="W53" s="429"/>
      <c r="X53" s="431"/>
    </row>
    <row r="54" spans="1:24" ht="12.95" customHeight="1">
      <c r="A54" s="109">
        <v>45</v>
      </c>
      <c r="B54" s="419"/>
      <c r="C54" s="422" t="s">
        <v>1487</v>
      </c>
      <c r="D54" s="423"/>
      <c r="E54" s="423"/>
      <c r="F54" s="429" t="str">
        <f>IF(VLOOKUP($T$2,area,165,0)="","",VLOOKUP($T$2,area,165,0))</f>
        <v>——</v>
      </c>
      <c r="G54" s="429"/>
      <c r="H54" s="429"/>
      <c r="I54" s="429"/>
      <c r="J54" s="429"/>
      <c r="K54" s="429" t="str">
        <f>IF(VLOOKUP($T$2,area,166,0)="","",VLOOKUP($T$2,area,166,0))</f>
        <v/>
      </c>
      <c r="L54" s="430"/>
      <c r="M54" s="117">
        <v>84</v>
      </c>
      <c r="N54" s="418" t="s">
        <v>1488</v>
      </c>
      <c r="O54" s="126">
        <v>7</v>
      </c>
      <c r="P54" s="422" t="str">
        <f>IF(VLOOKUP($T$2,area,187,0)="","",VLOOKUP($T$2,area,187,0))</f>
        <v/>
      </c>
      <c r="Q54" s="423"/>
      <c r="R54" s="423"/>
      <c r="S54" s="424"/>
      <c r="T54" s="126">
        <v>10</v>
      </c>
      <c r="U54" s="440" t="str">
        <f>IF(VLOOKUP($T$2,area,191,0)="","",VLOOKUP($T$2,area,191,0))</f>
        <v/>
      </c>
      <c r="V54" s="441"/>
      <c r="W54" s="441"/>
      <c r="X54" s="442"/>
    </row>
    <row r="55" spans="1:24" ht="12.95" customHeight="1">
      <c r="A55" s="109">
        <v>46</v>
      </c>
      <c r="B55" s="419"/>
      <c r="C55" s="428" t="s">
        <v>1137</v>
      </c>
      <c r="D55" s="423"/>
      <c r="E55" s="423"/>
      <c r="F55" s="429" t="str">
        <f>IF(VLOOKUP($T$2,area,173,0)="","",VLOOKUP($T$2,area,173,0))</f>
        <v>——</v>
      </c>
      <c r="G55" s="429"/>
      <c r="H55" s="429"/>
      <c r="I55" s="429"/>
      <c r="J55" s="429"/>
      <c r="K55" s="429" t="str">
        <f>IF(VLOOKUP($T$2,area,174,0)="","",VLOOKUP($T$2,area,174,0))</f>
        <v/>
      </c>
      <c r="L55" s="430"/>
      <c r="M55" s="117">
        <v>85</v>
      </c>
      <c r="N55" s="419"/>
      <c r="O55" s="126">
        <v>8</v>
      </c>
      <c r="P55" s="422" t="str">
        <f>IF(VLOOKUP($T$2,area,188,0)="","",VLOOKUP($T$2,area,188,0))</f>
        <v/>
      </c>
      <c r="Q55" s="423"/>
      <c r="R55" s="423"/>
      <c r="S55" s="424"/>
      <c r="T55" s="126">
        <v>11</v>
      </c>
      <c r="U55" s="440" t="str">
        <f>IF(VLOOKUP($T$2,area,192,0)="","",VLOOKUP($T$2,area,192,0))</f>
        <v/>
      </c>
      <c r="V55" s="441"/>
      <c r="W55" s="441"/>
      <c r="X55" s="442"/>
    </row>
    <row r="56" spans="1:24" ht="12.95" customHeight="1">
      <c r="A56" s="109">
        <v>47</v>
      </c>
      <c r="B56" s="420"/>
      <c r="C56" s="428" t="s">
        <v>1248</v>
      </c>
      <c r="D56" s="423"/>
      <c r="E56" s="423"/>
      <c r="F56" s="429" t="str">
        <f>IF(VLOOKUP($T$2,area,175,0)="","",VLOOKUP($T$2,area,175,0))</f>
        <v>——</v>
      </c>
      <c r="G56" s="429"/>
      <c r="H56" s="429"/>
      <c r="I56" s="429"/>
      <c r="J56" s="429"/>
      <c r="K56" s="429" t="str">
        <f>IF(VLOOKUP($T$2,area,176,0)="","",VLOOKUP($T$2,area,176,0))</f>
        <v/>
      </c>
      <c r="L56" s="430"/>
      <c r="M56" s="118">
        <v>86</v>
      </c>
      <c r="N56" s="420"/>
      <c r="O56" s="126">
        <v>9</v>
      </c>
      <c r="P56" s="422" t="str">
        <f>IF(VLOOKUP($T$2,area,189,0)="","",VLOOKUP($T$2,area,189,0)&amp;"  "&amp;"法兰距"&amp;VLOOKUP($T$2,area,190,0))</f>
        <v/>
      </c>
      <c r="Q56" s="423"/>
      <c r="R56" s="423"/>
      <c r="S56" s="424"/>
      <c r="T56" s="126">
        <v>12</v>
      </c>
      <c r="U56" s="440" t="str">
        <f>IF(VLOOKUP($T$2,area,193,0)="","",VLOOKUP($T$2,area,193,0))</f>
        <v/>
      </c>
      <c r="V56" s="441"/>
      <c r="W56" s="441"/>
      <c r="X56" s="442"/>
    </row>
    <row r="57" spans="1:24" ht="12.95" customHeight="1">
      <c r="A57" s="109">
        <v>48</v>
      </c>
      <c r="B57" s="418" t="s">
        <v>1488</v>
      </c>
      <c r="C57" s="126">
        <v>1</v>
      </c>
      <c r="D57" s="422" t="str">
        <f>IF(VLOOKUP($T$2,area,181,0)="","",VLOOKUP($T$2,area,181,0))</f>
        <v/>
      </c>
      <c r="E57" s="423"/>
      <c r="F57" s="423"/>
      <c r="G57" s="424"/>
      <c r="H57" s="124">
        <v>4</v>
      </c>
      <c r="I57" s="422" t="str">
        <f>IF(VLOOKUP($T$2,area,184,0)="","",VLOOKUP($T$2,area,184,0))</f>
        <v/>
      </c>
      <c r="J57" s="423"/>
      <c r="K57" s="423"/>
      <c r="L57" s="425"/>
      <c r="M57" s="118" t="s">
        <v>1489</v>
      </c>
      <c r="N57" s="443" t="s">
        <v>1392</v>
      </c>
      <c r="O57" s="444"/>
      <c r="P57" s="443" t="s">
        <v>1490</v>
      </c>
      <c r="Q57" s="445"/>
      <c r="R57" s="445"/>
      <c r="S57" s="445"/>
      <c r="T57" s="444"/>
      <c r="U57" s="443" t="s">
        <v>1491</v>
      </c>
      <c r="V57" s="444"/>
      <c r="W57" s="443" t="s">
        <v>1492</v>
      </c>
      <c r="X57" s="446"/>
    </row>
    <row r="58" spans="1:24" ht="12.95" customHeight="1">
      <c r="A58" s="109">
        <v>49</v>
      </c>
      <c r="B58" s="419"/>
      <c r="C58" s="126">
        <v>2</v>
      </c>
      <c r="D58" s="422" t="str">
        <f>IF(VLOOKUP($T$2,area,182,0)="","",VLOOKUP($T$2,area,182,0))</f>
        <v/>
      </c>
      <c r="E58" s="423"/>
      <c r="F58" s="423"/>
      <c r="G58" s="424"/>
      <c r="H58" s="124">
        <v>5</v>
      </c>
      <c r="I58" s="422" t="str">
        <f>IF(VLOOKUP($T$2,area,185,0)="","",VLOOKUP($T$2,area,185,0))</f>
        <v/>
      </c>
      <c r="J58" s="423"/>
      <c r="K58" s="423"/>
      <c r="L58" s="425"/>
      <c r="M58" s="119"/>
      <c r="N58" s="426"/>
      <c r="O58" s="427"/>
      <c r="P58" s="426"/>
      <c r="Q58" s="429"/>
      <c r="R58" s="429"/>
      <c r="S58" s="429"/>
      <c r="T58" s="427"/>
      <c r="U58" s="426"/>
      <c r="V58" s="427"/>
      <c r="W58" s="426"/>
      <c r="X58" s="431"/>
    </row>
    <row r="59" spans="1:24" ht="12.95" customHeight="1">
      <c r="A59" s="114">
        <v>50</v>
      </c>
      <c r="B59" s="421"/>
      <c r="C59" s="127">
        <v>3</v>
      </c>
      <c r="D59" s="432" t="str">
        <f>IF(VLOOKUP($T$2,area,183,0)="","",VLOOKUP($T$2,area,183,0))</f>
        <v/>
      </c>
      <c r="E59" s="433"/>
      <c r="F59" s="433"/>
      <c r="G59" s="434"/>
      <c r="H59" s="127">
        <v>6</v>
      </c>
      <c r="I59" s="432" t="str">
        <f>IF(VLOOKUP($T$2,area,186,0)="","",VLOOKUP($T$2,area,186,0))</f>
        <v>不锈钢配管、接头、支架</v>
      </c>
      <c r="J59" s="433"/>
      <c r="K59" s="433"/>
      <c r="L59" s="435"/>
      <c r="M59" s="120"/>
      <c r="N59" s="436"/>
      <c r="O59" s="437"/>
      <c r="P59" s="436"/>
      <c r="Q59" s="438"/>
      <c r="R59" s="438"/>
      <c r="S59" s="438"/>
      <c r="T59" s="437"/>
      <c r="U59" s="436"/>
      <c r="V59" s="437"/>
      <c r="W59" s="436"/>
      <c r="X59" s="439"/>
    </row>
  </sheetData>
  <mergeCells count="356">
    <mergeCell ref="A1:X1"/>
    <mergeCell ref="F2:G2"/>
    <mergeCell ref="H2:P2"/>
    <mergeCell ref="Q2:S2"/>
    <mergeCell ref="T2:U2"/>
    <mergeCell ref="W2:X2"/>
    <mergeCell ref="F3:G3"/>
    <mergeCell ref="H3:P3"/>
    <mergeCell ref="Q3:S3"/>
    <mergeCell ref="T3:X3"/>
    <mergeCell ref="F6:G6"/>
    <mergeCell ref="H6:P6"/>
    <mergeCell ref="Q6:S6"/>
    <mergeCell ref="T6:X6"/>
    <mergeCell ref="C7:D7"/>
    <mergeCell ref="E7:J7"/>
    <mergeCell ref="K7:M7"/>
    <mergeCell ref="N7:O7"/>
    <mergeCell ref="P7:Q7"/>
    <mergeCell ref="R7:T7"/>
    <mergeCell ref="U7:V7"/>
    <mergeCell ref="W7:X7"/>
    <mergeCell ref="A2:E6"/>
    <mergeCell ref="F4:G4"/>
    <mergeCell ref="H4:P4"/>
    <mergeCell ref="Q4:S4"/>
    <mergeCell ref="T4:X4"/>
    <mergeCell ref="F5:G5"/>
    <mergeCell ref="H5:K5"/>
    <mergeCell ref="O5:P5"/>
    <mergeCell ref="Q5:S5"/>
    <mergeCell ref="T5:X5"/>
    <mergeCell ref="B7:B20"/>
    <mergeCell ref="C8:D8"/>
    <mergeCell ref="E8:G8"/>
    <mergeCell ref="H8:I8"/>
    <mergeCell ref="J8:L8"/>
    <mergeCell ref="M8:O8"/>
    <mergeCell ref="P8:R8"/>
    <mergeCell ref="S8:U8"/>
    <mergeCell ref="V8:X8"/>
    <mergeCell ref="C9:G9"/>
    <mergeCell ref="H9:I9"/>
    <mergeCell ref="J9:L9"/>
    <mergeCell ref="M9:O9"/>
    <mergeCell ref="P9:R9"/>
    <mergeCell ref="S9:U9"/>
    <mergeCell ref="V9:X9"/>
    <mergeCell ref="C10:G10"/>
    <mergeCell ref="H10:I10"/>
    <mergeCell ref="J10:L10"/>
    <mergeCell ref="M10:O10"/>
    <mergeCell ref="P10:R10"/>
    <mergeCell ref="S10:U10"/>
    <mergeCell ref="V10:X10"/>
    <mergeCell ref="C11:G11"/>
    <mergeCell ref="H11:I11"/>
    <mergeCell ref="J11:L11"/>
    <mergeCell ref="M11:O11"/>
    <mergeCell ref="P11:R11"/>
    <mergeCell ref="S11:U11"/>
    <mergeCell ref="V11:X11"/>
    <mergeCell ref="C12:G12"/>
    <mergeCell ref="H12:I12"/>
    <mergeCell ref="J12:L12"/>
    <mergeCell ref="M12:O12"/>
    <mergeCell ref="P12:R12"/>
    <mergeCell ref="S12:U12"/>
    <mergeCell ref="V12:X12"/>
    <mergeCell ref="C13:G13"/>
    <mergeCell ref="H13:I13"/>
    <mergeCell ref="J13:L13"/>
    <mergeCell ref="M13:O13"/>
    <mergeCell ref="P13:R13"/>
    <mergeCell ref="S13:U13"/>
    <mergeCell ref="V13:X13"/>
    <mergeCell ref="C14:G14"/>
    <mergeCell ref="H14:I14"/>
    <mergeCell ref="J14:L14"/>
    <mergeCell ref="M14:O14"/>
    <mergeCell ref="P14:R14"/>
    <mergeCell ref="S14:U14"/>
    <mergeCell ref="V14:X14"/>
    <mergeCell ref="C15:G15"/>
    <mergeCell ref="H15:I15"/>
    <mergeCell ref="J15:L15"/>
    <mergeCell ref="M15:O15"/>
    <mergeCell ref="P15:R15"/>
    <mergeCell ref="S15:U15"/>
    <mergeCell ref="V15:X15"/>
    <mergeCell ref="C16:G16"/>
    <mergeCell ref="H16:I16"/>
    <mergeCell ref="J16:L16"/>
    <mergeCell ref="M16:O16"/>
    <mergeCell ref="P16:R16"/>
    <mergeCell ref="S16:U16"/>
    <mergeCell ref="V16:X16"/>
    <mergeCell ref="C17:G17"/>
    <mergeCell ref="H17:I17"/>
    <mergeCell ref="J17:L17"/>
    <mergeCell ref="M17:O17"/>
    <mergeCell ref="P17:R17"/>
    <mergeCell ref="S17:U17"/>
    <mergeCell ref="V17:X17"/>
    <mergeCell ref="C18:G18"/>
    <mergeCell ref="H18:I18"/>
    <mergeCell ref="J18:L18"/>
    <mergeCell ref="M18:O18"/>
    <mergeCell ref="P18:R18"/>
    <mergeCell ref="S18:U18"/>
    <mergeCell ref="V18:X18"/>
    <mergeCell ref="C19:G19"/>
    <mergeCell ref="H19:I19"/>
    <mergeCell ref="J19:L19"/>
    <mergeCell ref="M19:O19"/>
    <mergeCell ref="P19:R19"/>
    <mergeCell ref="S19:U19"/>
    <mergeCell ref="V19:X19"/>
    <mergeCell ref="C20:G20"/>
    <mergeCell ref="H20:I20"/>
    <mergeCell ref="J20:L20"/>
    <mergeCell ref="M20:O20"/>
    <mergeCell ref="P20:R20"/>
    <mergeCell ref="S20:U20"/>
    <mergeCell ref="V20:X20"/>
    <mergeCell ref="C21:F21"/>
    <mergeCell ref="G21:I21"/>
    <mergeCell ref="J21:L21"/>
    <mergeCell ref="O21:Q21"/>
    <mergeCell ref="R21:X21"/>
    <mergeCell ref="C22:F22"/>
    <mergeCell ref="G22:I22"/>
    <mergeCell ref="J22:L22"/>
    <mergeCell ref="O22:Q22"/>
    <mergeCell ref="R22:S22"/>
    <mergeCell ref="T22:U22"/>
    <mergeCell ref="V22:X22"/>
    <mergeCell ref="C23:F23"/>
    <mergeCell ref="G23:I23"/>
    <mergeCell ref="J23:L23"/>
    <mergeCell ref="O23:Q23"/>
    <mergeCell ref="R23:X23"/>
    <mergeCell ref="C24:F24"/>
    <mergeCell ref="G24:I24"/>
    <mergeCell ref="J24:L24"/>
    <mergeCell ref="O24:Q24"/>
    <mergeCell ref="R24:T24"/>
    <mergeCell ref="V24:X24"/>
    <mergeCell ref="C25:E25"/>
    <mergeCell ref="G25:L25"/>
    <mergeCell ref="O25:Q25"/>
    <mergeCell ref="R25:X25"/>
    <mergeCell ref="C26:E26"/>
    <mergeCell ref="G26:L26"/>
    <mergeCell ref="O26:Q26"/>
    <mergeCell ref="R26:S26"/>
    <mergeCell ref="T26:U26"/>
    <mergeCell ref="W26:X26"/>
    <mergeCell ref="C27:E27"/>
    <mergeCell ref="G27:L27"/>
    <mergeCell ref="O27:Q27"/>
    <mergeCell ref="R27:X27"/>
    <mergeCell ref="C28:D28"/>
    <mergeCell ref="E28:F28"/>
    <mergeCell ref="G28:I28"/>
    <mergeCell ref="J28:L28"/>
    <mergeCell ref="O28:Q28"/>
    <mergeCell ref="R28:X28"/>
    <mergeCell ref="C29:D29"/>
    <mergeCell ref="E29:F29"/>
    <mergeCell ref="G29:I29"/>
    <mergeCell ref="J29:L29"/>
    <mergeCell ref="O29:Q29"/>
    <mergeCell ref="R29:S29"/>
    <mergeCell ref="T29:X29"/>
    <mergeCell ref="C30:F30"/>
    <mergeCell ref="G30:I30"/>
    <mergeCell ref="J30:L30"/>
    <mergeCell ref="O30:Q30"/>
    <mergeCell ref="R30:S30"/>
    <mergeCell ref="T30:U30"/>
    <mergeCell ref="V30:X30"/>
    <mergeCell ref="C31:F31"/>
    <mergeCell ref="G31:I31"/>
    <mergeCell ref="J31:L31"/>
    <mergeCell ref="O31:P31"/>
    <mergeCell ref="Q31:S31"/>
    <mergeCell ref="T31:U31"/>
    <mergeCell ref="V31:X31"/>
    <mergeCell ref="C32:E32"/>
    <mergeCell ref="F32:L32"/>
    <mergeCell ref="O32:Q32"/>
    <mergeCell ref="R32:T32"/>
    <mergeCell ref="V32:X32"/>
    <mergeCell ref="C33:E33"/>
    <mergeCell ref="F33:L33"/>
    <mergeCell ref="O33:R33"/>
    <mergeCell ref="S33:X33"/>
    <mergeCell ref="C34:E34"/>
    <mergeCell ref="F34:H34"/>
    <mergeCell ref="J34:L34"/>
    <mergeCell ref="O34:P34"/>
    <mergeCell ref="Q34:S34"/>
    <mergeCell ref="T34:U34"/>
    <mergeCell ref="V34:X34"/>
    <mergeCell ref="C35:E35"/>
    <mergeCell ref="F35:L35"/>
    <mergeCell ref="O35:R35"/>
    <mergeCell ref="S35:X35"/>
    <mergeCell ref="C36:E36"/>
    <mergeCell ref="F36:L36"/>
    <mergeCell ref="O36:P36"/>
    <mergeCell ref="Q36:S36"/>
    <mergeCell ref="T36:U36"/>
    <mergeCell ref="V36:X36"/>
    <mergeCell ref="C37:E37"/>
    <mergeCell ref="F37:L37"/>
    <mergeCell ref="O37:P37"/>
    <mergeCell ref="Q37:T37"/>
    <mergeCell ref="U37:V37"/>
    <mergeCell ref="W37:X37"/>
    <mergeCell ref="C38:E38"/>
    <mergeCell ref="F38:G38"/>
    <mergeCell ref="I38:L38"/>
    <mergeCell ref="O38:Q38"/>
    <mergeCell ref="R38:T38"/>
    <mergeCell ref="V38:X38"/>
    <mergeCell ref="C39:E39"/>
    <mergeCell ref="F39:H39"/>
    <mergeCell ref="J39:L39"/>
    <mergeCell ref="O39:Q39"/>
    <mergeCell ref="R39:T39"/>
    <mergeCell ref="V39:X39"/>
    <mergeCell ref="C40:F40"/>
    <mergeCell ref="G40:L40"/>
    <mergeCell ref="O40:Q40"/>
    <mergeCell ref="R40:X40"/>
    <mergeCell ref="C41:F41"/>
    <mergeCell ref="G41:I41"/>
    <mergeCell ref="K41:L41"/>
    <mergeCell ref="O41:P41"/>
    <mergeCell ref="Q41:S41"/>
    <mergeCell ref="T41:U41"/>
    <mergeCell ref="V41:X41"/>
    <mergeCell ref="C42:F42"/>
    <mergeCell ref="G42:L42"/>
    <mergeCell ref="O42:Q42"/>
    <mergeCell ref="R42:T42"/>
    <mergeCell ref="V42:X42"/>
    <mergeCell ref="C43:F43"/>
    <mergeCell ref="G43:L43"/>
    <mergeCell ref="O43:Q43"/>
    <mergeCell ref="R43:S43"/>
    <mergeCell ref="T43:X43"/>
    <mergeCell ref="C44:F44"/>
    <mergeCell ref="G44:L44"/>
    <mergeCell ref="O44:Q44"/>
    <mergeCell ref="R44:S44"/>
    <mergeCell ref="T44:U44"/>
    <mergeCell ref="V44:X44"/>
    <mergeCell ref="C45:F45"/>
    <mergeCell ref="G45:L45"/>
    <mergeCell ref="O45:Q45"/>
    <mergeCell ref="R45:X45"/>
    <mergeCell ref="C46:F46"/>
    <mergeCell ref="G46:L46"/>
    <mergeCell ref="O46:Q46"/>
    <mergeCell ref="R46:X46"/>
    <mergeCell ref="C47:F47"/>
    <mergeCell ref="G47:L47"/>
    <mergeCell ref="O47:Q47"/>
    <mergeCell ref="R47:S47"/>
    <mergeCell ref="U47:X47"/>
    <mergeCell ref="C48:F48"/>
    <mergeCell ref="G48:L48"/>
    <mergeCell ref="O48:Q48"/>
    <mergeCell ref="R48:S48"/>
    <mergeCell ref="U48:X48"/>
    <mergeCell ref="C49:F49"/>
    <mergeCell ref="G49:L49"/>
    <mergeCell ref="O49:Q49"/>
    <mergeCell ref="R49:T49"/>
    <mergeCell ref="V49:X49"/>
    <mergeCell ref="E50:F50"/>
    <mergeCell ref="G50:L50"/>
    <mergeCell ref="O50:P50"/>
    <mergeCell ref="R50:S50"/>
    <mergeCell ref="T50:U50"/>
    <mergeCell ref="W50:X50"/>
    <mergeCell ref="C51:E51"/>
    <mergeCell ref="F51:J51"/>
    <mergeCell ref="K51:L51"/>
    <mergeCell ref="O51:P51"/>
    <mergeCell ref="R51:S51"/>
    <mergeCell ref="T51:U51"/>
    <mergeCell ref="V51:W51"/>
    <mergeCell ref="Q52:S52"/>
    <mergeCell ref="T52:U52"/>
    <mergeCell ref="V52:X52"/>
    <mergeCell ref="C53:E53"/>
    <mergeCell ref="F53:J53"/>
    <mergeCell ref="K53:L53"/>
    <mergeCell ref="O53:P53"/>
    <mergeCell ref="Q53:S53"/>
    <mergeCell ref="T53:U53"/>
    <mergeCell ref="V53:X53"/>
    <mergeCell ref="C54:E54"/>
    <mergeCell ref="F54:J54"/>
    <mergeCell ref="K54:L54"/>
    <mergeCell ref="P54:S54"/>
    <mergeCell ref="U54:X54"/>
    <mergeCell ref="C55:E55"/>
    <mergeCell ref="F55:J55"/>
    <mergeCell ref="K55:L55"/>
    <mergeCell ref="P55:S55"/>
    <mergeCell ref="U55:X55"/>
    <mergeCell ref="U58:V58"/>
    <mergeCell ref="W58:X58"/>
    <mergeCell ref="D59:G59"/>
    <mergeCell ref="I59:L59"/>
    <mergeCell ref="N59:O59"/>
    <mergeCell ref="P59:T59"/>
    <mergeCell ref="U59:V59"/>
    <mergeCell ref="W59:X59"/>
    <mergeCell ref="P56:S56"/>
    <mergeCell ref="U56:X56"/>
    <mergeCell ref="D57:G57"/>
    <mergeCell ref="I57:L57"/>
    <mergeCell ref="N57:O57"/>
    <mergeCell ref="P57:T57"/>
    <mergeCell ref="U57:V57"/>
    <mergeCell ref="W57:X57"/>
    <mergeCell ref="B21:B23"/>
    <mergeCell ref="B24:B38"/>
    <mergeCell ref="B40:B49"/>
    <mergeCell ref="B50:B56"/>
    <mergeCell ref="B57:B59"/>
    <mergeCell ref="N21:N29"/>
    <mergeCell ref="N30:N36"/>
    <mergeCell ref="N37:N41"/>
    <mergeCell ref="N42:N45"/>
    <mergeCell ref="N46:N48"/>
    <mergeCell ref="N49:N53"/>
    <mergeCell ref="N54:N56"/>
    <mergeCell ref="D58:G58"/>
    <mergeCell ref="I58:L58"/>
    <mergeCell ref="N58:O58"/>
    <mergeCell ref="C56:E56"/>
    <mergeCell ref="F56:J56"/>
    <mergeCell ref="K56:L56"/>
    <mergeCell ref="C52:E52"/>
    <mergeCell ref="F52:J52"/>
    <mergeCell ref="K52:L52"/>
    <mergeCell ref="O52:P52"/>
    <mergeCell ref="C50:D50"/>
    <mergeCell ref="P58:T58"/>
  </mergeCells>
  <phoneticPr fontId="107" type="noConversion"/>
  <conditionalFormatting sqref="J9:X20">
    <cfRule type="cellIs" dxfId="0" priority="1" operator="equal">
      <formula>0</formula>
    </cfRule>
  </conditionalFormatting>
  <dataValidations count="4">
    <dataValidation type="list" allowBlank="1" showInputMessage="1" showErrorMessage="1" sqref="M5" xr:uid="{00000000-0002-0000-0600-000000000000}">
      <formula1>"0,1,2,3,4"</formula1>
    </dataValidation>
    <dataValidation type="list" allowBlank="1" showInputMessage="1" showErrorMessage="1" sqref="F26" xr:uid="{00000000-0002-0000-0600-000001000000}">
      <formula1>"°C,°F"</formula1>
    </dataValidation>
    <dataValidation type="list" allowBlank="1" showInputMessage="1" showErrorMessage="1" sqref="F42" xr:uid="{00000000-0002-0000-0600-000002000000}">
      <formula1>"线性,等百分比,近似等百分比,固有特性"</formula1>
    </dataValidation>
    <dataValidation type="list" allowBlank="1" showInputMessage="1" showErrorMessage="1" sqref="E50:F50" xr:uid="{00000000-0002-0000-0600-000003000000}">
      <formula1>"NEPSI,ATEX,FM,CSA"</formula1>
    </dataValidation>
  </dataValidations>
  <printOptions horizontalCentered="1"/>
  <pageMargins left="7.8740157480315001E-2" right="7.8740157480315001E-2" top="0.196850393700787" bottom="0.196850393700787" header="0.31496062992126" footer="0.31496062992126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818" r:id="rId4" name="Drop Down 42">
              <controlPr locked="0" defaultSize="0" autoPict="0">
                <anchor moveWithCells="1">
                  <from>
                    <xdr:col>25</xdr:col>
                    <xdr:colOff>38100</xdr:colOff>
                    <xdr:row>1</xdr:row>
                    <xdr:rowOff>19050</xdr:rowOff>
                  </from>
                  <to>
                    <xdr:col>28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0" r:id="rId5" name="Button 44">
              <controlPr defaultSize="0" print="0" autoPict="0" macro="[0]!打印全部">
                <anchor moveWithCells="1" sizeWithCells="1">
                  <from>
                    <xdr:col>25</xdr:col>
                    <xdr:colOff>38100</xdr:colOff>
                    <xdr:row>7</xdr:row>
                    <xdr:rowOff>104775</xdr:rowOff>
                  </from>
                  <to>
                    <xdr:col>29</xdr:col>
                    <xdr:colOff>228600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1" r:id="rId6" name="Button 45">
              <controlPr defaultSize="0" print="0" autoPict="0" macro="[0]!打印当前页">
                <anchor moveWithCells="1" sizeWithCells="1">
                  <from>
                    <xdr:col>25</xdr:col>
                    <xdr:colOff>38100</xdr:colOff>
                    <xdr:row>9</xdr:row>
                    <xdr:rowOff>114300</xdr:rowOff>
                  </from>
                  <to>
                    <xdr:col>29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2" r:id="rId7" name="Drop Down 46">
              <controlPr locked="0" defaultSize="0" autoPict="0">
                <anchor moveWithCells="1">
                  <from>
                    <xdr:col>29</xdr:col>
                    <xdr:colOff>190500</xdr:colOff>
                    <xdr:row>1</xdr:row>
                    <xdr:rowOff>19050</xdr:rowOff>
                  </from>
                  <to>
                    <xdr:col>31</xdr:col>
                    <xdr:colOff>76200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AN59"/>
  <sheetViews>
    <sheetView view="pageBreakPreview" zoomScaleNormal="100" zoomScaleSheetLayoutView="100" workbookViewId="0">
      <selection activeCell="AM17" sqref="AM17"/>
    </sheetView>
  </sheetViews>
  <sheetFormatPr defaultColWidth="9.125" defaultRowHeight="13.5"/>
  <cols>
    <col min="1" max="1" width="3.375" style="123" customWidth="1"/>
    <col min="2" max="2" width="2.875" style="123" customWidth="1"/>
    <col min="3" max="5" width="3.625" style="123" customWidth="1"/>
    <col min="6" max="6" width="6.375" style="123" customWidth="1"/>
    <col min="7" max="7" width="3.625" style="123" customWidth="1"/>
    <col min="8" max="9" width="4.125" style="123" customWidth="1"/>
    <col min="10" max="12" width="3.625" style="123" customWidth="1"/>
    <col min="13" max="13" width="3.25" style="123" customWidth="1"/>
    <col min="14" max="15" width="3.625" style="123" customWidth="1"/>
    <col min="16" max="17" width="4.125" style="123" customWidth="1"/>
    <col min="18" max="18" width="3.625" style="123" customWidth="1"/>
    <col min="19" max="20" width="4.125" style="123" customWidth="1"/>
    <col min="21" max="21" width="3.625" style="123" customWidth="1"/>
    <col min="22" max="23" width="4.125" style="123" customWidth="1"/>
    <col min="24" max="24" width="3.625" style="123" customWidth="1"/>
    <col min="25" max="29" width="4.125" style="123" customWidth="1"/>
    <col min="30" max="30" width="10.5" style="123" bestFit="1" customWidth="1"/>
    <col min="31" max="31" width="3.375" style="123" bestFit="1" customWidth="1"/>
    <col min="32" max="46" width="4.125" style="123" customWidth="1"/>
    <col min="47" max="49" width="4.625" style="123" customWidth="1"/>
    <col min="50" max="254" width="9.125" style="123"/>
    <col min="255" max="259" width="4.125" style="123" customWidth="1"/>
    <col min="260" max="260" width="6.75" style="123" customWidth="1"/>
    <col min="261" max="283" width="4.125" style="123" customWidth="1"/>
    <col min="284" max="284" width="6.75" style="123" customWidth="1"/>
    <col min="285" max="302" width="4.125" style="123" customWidth="1"/>
    <col min="303" max="305" width="4.625" style="123" customWidth="1"/>
    <col min="306" max="510" width="9.125" style="123"/>
    <col min="511" max="515" width="4.125" style="123" customWidth="1"/>
    <col min="516" max="516" width="6.75" style="123" customWidth="1"/>
    <col min="517" max="539" width="4.125" style="123" customWidth="1"/>
    <col min="540" max="540" width="6.75" style="123" customWidth="1"/>
    <col min="541" max="558" width="4.125" style="123" customWidth="1"/>
    <col min="559" max="561" width="4.625" style="123" customWidth="1"/>
    <col min="562" max="766" width="9.125" style="123"/>
    <col min="767" max="771" width="4.125" style="123" customWidth="1"/>
    <col min="772" max="772" width="6.75" style="123" customWidth="1"/>
    <col min="773" max="795" width="4.125" style="123" customWidth="1"/>
    <col min="796" max="796" width="6.75" style="123" customWidth="1"/>
    <col min="797" max="814" width="4.125" style="123" customWidth="1"/>
    <col min="815" max="817" width="4.625" style="123" customWidth="1"/>
    <col min="818" max="1022" width="9.125" style="123"/>
    <col min="1023" max="1027" width="4.125" style="123" customWidth="1"/>
    <col min="1028" max="1028" width="6.75" style="123" customWidth="1"/>
    <col min="1029" max="1051" width="4.125" style="123" customWidth="1"/>
    <col min="1052" max="1052" width="6.75" style="123" customWidth="1"/>
    <col min="1053" max="1070" width="4.125" style="123" customWidth="1"/>
    <col min="1071" max="1073" width="4.625" style="123" customWidth="1"/>
    <col min="1074" max="1278" width="9.125" style="123"/>
    <col min="1279" max="1283" width="4.125" style="123" customWidth="1"/>
    <col min="1284" max="1284" width="6.75" style="123" customWidth="1"/>
    <col min="1285" max="1307" width="4.125" style="123" customWidth="1"/>
    <col min="1308" max="1308" width="6.75" style="123" customWidth="1"/>
    <col min="1309" max="1326" width="4.125" style="123" customWidth="1"/>
    <col min="1327" max="1329" width="4.625" style="123" customWidth="1"/>
    <col min="1330" max="1534" width="9.125" style="123"/>
    <col min="1535" max="1539" width="4.125" style="123" customWidth="1"/>
    <col min="1540" max="1540" width="6.75" style="123" customWidth="1"/>
    <col min="1541" max="1563" width="4.125" style="123" customWidth="1"/>
    <col min="1564" max="1564" width="6.75" style="123" customWidth="1"/>
    <col min="1565" max="1582" width="4.125" style="123" customWidth="1"/>
    <col min="1583" max="1585" width="4.625" style="123" customWidth="1"/>
    <col min="1586" max="1790" width="9.125" style="123"/>
    <col min="1791" max="1795" width="4.125" style="123" customWidth="1"/>
    <col min="1796" max="1796" width="6.75" style="123" customWidth="1"/>
    <col min="1797" max="1819" width="4.125" style="123" customWidth="1"/>
    <col min="1820" max="1820" width="6.75" style="123" customWidth="1"/>
    <col min="1821" max="1838" width="4.125" style="123" customWidth="1"/>
    <col min="1839" max="1841" width="4.625" style="123" customWidth="1"/>
    <col min="1842" max="2046" width="9.125" style="123"/>
    <col min="2047" max="2051" width="4.125" style="123" customWidth="1"/>
    <col min="2052" max="2052" width="6.75" style="123" customWidth="1"/>
    <col min="2053" max="2075" width="4.125" style="123" customWidth="1"/>
    <col min="2076" max="2076" width="6.75" style="123" customWidth="1"/>
    <col min="2077" max="2094" width="4.125" style="123" customWidth="1"/>
    <col min="2095" max="2097" width="4.625" style="123" customWidth="1"/>
    <col min="2098" max="2302" width="9.125" style="123"/>
    <col min="2303" max="2307" width="4.125" style="123" customWidth="1"/>
    <col min="2308" max="2308" width="6.75" style="123" customWidth="1"/>
    <col min="2309" max="2331" width="4.125" style="123" customWidth="1"/>
    <col min="2332" max="2332" width="6.75" style="123" customWidth="1"/>
    <col min="2333" max="2350" width="4.125" style="123" customWidth="1"/>
    <col min="2351" max="2353" width="4.625" style="123" customWidth="1"/>
    <col min="2354" max="2558" width="9.125" style="123"/>
    <col min="2559" max="2563" width="4.125" style="123" customWidth="1"/>
    <col min="2564" max="2564" width="6.75" style="123" customWidth="1"/>
    <col min="2565" max="2587" width="4.125" style="123" customWidth="1"/>
    <col min="2588" max="2588" width="6.75" style="123" customWidth="1"/>
    <col min="2589" max="2606" width="4.125" style="123" customWidth="1"/>
    <col min="2607" max="2609" width="4.625" style="123" customWidth="1"/>
    <col min="2610" max="2814" width="9.125" style="123"/>
    <col min="2815" max="2819" width="4.125" style="123" customWidth="1"/>
    <col min="2820" max="2820" width="6.75" style="123" customWidth="1"/>
    <col min="2821" max="2843" width="4.125" style="123" customWidth="1"/>
    <col min="2844" max="2844" width="6.75" style="123" customWidth="1"/>
    <col min="2845" max="2862" width="4.125" style="123" customWidth="1"/>
    <col min="2863" max="2865" width="4.625" style="123" customWidth="1"/>
    <col min="2866" max="3070" width="9.125" style="123"/>
    <col min="3071" max="3075" width="4.125" style="123" customWidth="1"/>
    <col min="3076" max="3076" width="6.75" style="123" customWidth="1"/>
    <col min="3077" max="3099" width="4.125" style="123" customWidth="1"/>
    <col min="3100" max="3100" width="6.75" style="123" customWidth="1"/>
    <col min="3101" max="3118" width="4.125" style="123" customWidth="1"/>
    <col min="3119" max="3121" width="4.625" style="123" customWidth="1"/>
    <col min="3122" max="3326" width="9.125" style="123"/>
    <col min="3327" max="3331" width="4.125" style="123" customWidth="1"/>
    <col min="3332" max="3332" width="6.75" style="123" customWidth="1"/>
    <col min="3333" max="3355" width="4.125" style="123" customWidth="1"/>
    <col min="3356" max="3356" width="6.75" style="123" customWidth="1"/>
    <col min="3357" max="3374" width="4.125" style="123" customWidth="1"/>
    <col min="3375" max="3377" width="4.625" style="123" customWidth="1"/>
    <col min="3378" max="3582" width="9.125" style="123"/>
    <col min="3583" max="3587" width="4.125" style="123" customWidth="1"/>
    <col min="3588" max="3588" width="6.75" style="123" customWidth="1"/>
    <col min="3589" max="3611" width="4.125" style="123" customWidth="1"/>
    <col min="3612" max="3612" width="6.75" style="123" customWidth="1"/>
    <col min="3613" max="3630" width="4.125" style="123" customWidth="1"/>
    <col min="3631" max="3633" width="4.625" style="123" customWidth="1"/>
    <col min="3634" max="3838" width="9.125" style="123"/>
    <col min="3839" max="3843" width="4.125" style="123" customWidth="1"/>
    <col min="3844" max="3844" width="6.75" style="123" customWidth="1"/>
    <col min="3845" max="3867" width="4.125" style="123" customWidth="1"/>
    <col min="3868" max="3868" width="6.75" style="123" customWidth="1"/>
    <col min="3869" max="3886" width="4.125" style="123" customWidth="1"/>
    <col min="3887" max="3889" width="4.625" style="123" customWidth="1"/>
    <col min="3890" max="4094" width="9.125" style="123"/>
    <col min="4095" max="4099" width="4.125" style="123" customWidth="1"/>
    <col min="4100" max="4100" width="6.75" style="123" customWidth="1"/>
    <col min="4101" max="4123" width="4.125" style="123" customWidth="1"/>
    <col min="4124" max="4124" width="6.75" style="123" customWidth="1"/>
    <col min="4125" max="4142" width="4.125" style="123" customWidth="1"/>
    <col min="4143" max="4145" width="4.625" style="123" customWidth="1"/>
    <col min="4146" max="4350" width="9.125" style="123"/>
    <col min="4351" max="4355" width="4.125" style="123" customWidth="1"/>
    <col min="4356" max="4356" width="6.75" style="123" customWidth="1"/>
    <col min="4357" max="4379" width="4.125" style="123" customWidth="1"/>
    <col min="4380" max="4380" width="6.75" style="123" customWidth="1"/>
    <col min="4381" max="4398" width="4.125" style="123" customWidth="1"/>
    <col min="4399" max="4401" width="4.625" style="123" customWidth="1"/>
    <col min="4402" max="4606" width="9.125" style="123"/>
    <col min="4607" max="4611" width="4.125" style="123" customWidth="1"/>
    <col min="4612" max="4612" width="6.75" style="123" customWidth="1"/>
    <col min="4613" max="4635" width="4.125" style="123" customWidth="1"/>
    <col min="4636" max="4636" width="6.75" style="123" customWidth="1"/>
    <col min="4637" max="4654" width="4.125" style="123" customWidth="1"/>
    <col min="4655" max="4657" width="4.625" style="123" customWidth="1"/>
    <col min="4658" max="4862" width="9.125" style="123"/>
    <col min="4863" max="4867" width="4.125" style="123" customWidth="1"/>
    <col min="4868" max="4868" width="6.75" style="123" customWidth="1"/>
    <col min="4869" max="4891" width="4.125" style="123" customWidth="1"/>
    <col min="4892" max="4892" width="6.75" style="123" customWidth="1"/>
    <col min="4893" max="4910" width="4.125" style="123" customWidth="1"/>
    <col min="4911" max="4913" width="4.625" style="123" customWidth="1"/>
    <col min="4914" max="5118" width="9.125" style="123"/>
    <col min="5119" max="5123" width="4.125" style="123" customWidth="1"/>
    <col min="5124" max="5124" width="6.75" style="123" customWidth="1"/>
    <col min="5125" max="5147" width="4.125" style="123" customWidth="1"/>
    <col min="5148" max="5148" width="6.75" style="123" customWidth="1"/>
    <col min="5149" max="5166" width="4.125" style="123" customWidth="1"/>
    <col min="5167" max="5169" width="4.625" style="123" customWidth="1"/>
    <col min="5170" max="5374" width="9.125" style="123"/>
    <col min="5375" max="5379" width="4.125" style="123" customWidth="1"/>
    <col min="5380" max="5380" width="6.75" style="123" customWidth="1"/>
    <col min="5381" max="5403" width="4.125" style="123" customWidth="1"/>
    <col min="5404" max="5404" width="6.75" style="123" customWidth="1"/>
    <col min="5405" max="5422" width="4.125" style="123" customWidth="1"/>
    <col min="5423" max="5425" width="4.625" style="123" customWidth="1"/>
    <col min="5426" max="5630" width="9.125" style="123"/>
    <col min="5631" max="5635" width="4.125" style="123" customWidth="1"/>
    <col min="5636" max="5636" width="6.75" style="123" customWidth="1"/>
    <col min="5637" max="5659" width="4.125" style="123" customWidth="1"/>
    <col min="5660" max="5660" width="6.75" style="123" customWidth="1"/>
    <col min="5661" max="5678" width="4.125" style="123" customWidth="1"/>
    <col min="5679" max="5681" width="4.625" style="123" customWidth="1"/>
    <col min="5682" max="5886" width="9.125" style="123"/>
    <col min="5887" max="5891" width="4.125" style="123" customWidth="1"/>
    <col min="5892" max="5892" width="6.75" style="123" customWidth="1"/>
    <col min="5893" max="5915" width="4.125" style="123" customWidth="1"/>
    <col min="5916" max="5916" width="6.75" style="123" customWidth="1"/>
    <col min="5917" max="5934" width="4.125" style="123" customWidth="1"/>
    <col min="5935" max="5937" width="4.625" style="123" customWidth="1"/>
    <col min="5938" max="6142" width="9.125" style="123"/>
    <col min="6143" max="6147" width="4.125" style="123" customWidth="1"/>
    <col min="6148" max="6148" width="6.75" style="123" customWidth="1"/>
    <col min="6149" max="6171" width="4.125" style="123" customWidth="1"/>
    <col min="6172" max="6172" width="6.75" style="123" customWidth="1"/>
    <col min="6173" max="6190" width="4.125" style="123" customWidth="1"/>
    <col min="6191" max="6193" width="4.625" style="123" customWidth="1"/>
    <col min="6194" max="6398" width="9.125" style="123"/>
    <col min="6399" max="6403" width="4.125" style="123" customWidth="1"/>
    <col min="6404" max="6404" width="6.75" style="123" customWidth="1"/>
    <col min="6405" max="6427" width="4.125" style="123" customWidth="1"/>
    <col min="6428" max="6428" width="6.75" style="123" customWidth="1"/>
    <col min="6429" max="6446" width="4.125" style="123" customWidth="1"/>
    <col min="6447" max="6449" width="4.625" style="123" customWidth="1"/>
    <col min="6450" max="6654" width="9.125" style="123"/>
    <col min="6655" max="6659" width="4.125" style="123" customWidth="1"/>
    <col min="6660" max="6660" width="6.75" style="123" customWidth="1"/>
    <col min="6661" max="6683" width="4.125" style="123" customWidth="1"/>
    <col min="6684" max="6684" width="6.75" style="123" customWidth="1"/>
    <col min="6685" max="6702" width="4.125" style="123" customWidth="1"/>
    <col min="6703" max="6705" width="4.625" style="123" customWidth="1"/>
    <col min="6706" max="6910" width="9.125" style="123"/>
    <col min="6911" max="6915" width="4.125" style="123" customWidth="1"/>
    <col min="6916" max="6916" width="6.75" style="123" customWidth="1"/>
    <col min="6917" max="6939" width="4.125" style="123" customWidth="1"/>
    <col min="6940" max="6940" width="6.75" style="123" customWidth="1"/>
    <col min="6941" max="6958" width="4.125" style="123" customWidth="1"/>
    <col min="6959" max="6961" width="4.625" style="123" customWidth="1"/>
    <col min="6962" max="7166" width="9.125" style="123"/>
    <col min="7167" max="7171" width="4.125" style="123" customWidth="1"/>
    <col min="7172" max="7172" width="6.75" style="123" customWidth="1"/>
    <col min="7173" max="7195" width="4.125" style="123" customWidth="1"/>
    <col min="7196" max="7196" width="6.75" style="123" customWidth="1"/>
    <col min="7197" max="7214" width="4.125" style="123" customWidth="1"/>
    <col min="7215" max="7217" width="4.625" style="123" customWidth="1"/>
    <col min="7218" max="7422" width="9.125" style="123"/>
    <col min="7423" max="7427" width="4.125" style="123" customWidth="1"/>
    <col min="7428" max="7428" width="6.75" style="123" customWidth="1"/>
    <col min="7429" max="7451" width="4.125" style="123" customWidth="1"/>
    <col min="7452" max="7452" width="6.75" style="123" customWidth="1"/>
    <col min="7453" max="7470" width="4.125" style="123" customWidth="1"/>
    <col min="7471" max="7473" width="4.625" style="123" customWidth="1"/>
    <col min="7474" max="7678" width="9.125" style="123"/>
    <col min="7679" max="7683" width="4.125" style="123" customWidth="1"/>
    <col min="7684" max="7684" width="6.75" style="123" customWidth="1"/>
    <col min="7685" max="7707" width="4.125" style="123" customWidth="1"/>
    <col min="7708" max="7708" width="6.75" style="123" customWidth="1"/>
    <col min="7709" max="7726" width="4.125" style="123" customWidth="1"/>
    <col min="7727" max="7729" width="4.625" style="123" customWidth="1"/>
    <col min="7730" max="7934" width="9.125" style="123"/>
    <col min="7935" max="7939" width="4.125" style="123" customWidth="1"/>
    <col min="7940" max="7940" width="6.75" style="123" customWidth="1"/>
    <col min="7941" max="7963" width="4.125" style="123" customWidth="1"/>
    <col min="7964" max="7964" width="6.75" style="123" customWidth="1"/>
    <col min="7965" max="7982" width="4.125" style="123" customWidth="1"/>
    <col min="7983" max="7985" width="4.625" style="123" customWidth="1"/>
    <col min="7986" max="8190" width="9.125" style="123"/>
    <col min="8191" max="8195" width="4.125" style="123" customWidth="1"/>
    <col min="8196" max="8196" width="6.75" style="123" customWidth="1"/>
    <col min="8197" max="8219" width="4.125" style="123" customWidth="1"/>
    <col min="8220" max="8220" width="6.75" style="123" customWidth="1"/>
    <col min="8221" max="8238" width="4.125" style="123" customWidth="1"/>
    <col min="8239" max="8241" width="4.625" style="123" customWidth="1"/>
    <col min="8242" max="8446" width="9.125" style="123"/>
    <col min="8447" max="8451" width="4.125" style="123" customWidth="1"/>
    <col min="8452" max="8452" width="6.75" style="123" customWidth="1"/>
    <col min="8453" max="8475" width="4.125" style="123" customWidth="1"/>
    <col min="8476" max="8476" width="6.75" style="123" customWidth="1"/>
    <col min="8477" max="8494" width="4.125" style="123" customWidth="1"/>
    <col min="8495" max="8497" width="4.625" style="123" customWidth="1"/>
    <col min="8498" max="8702" width="9.125" style="123"/>
    <col min="8703" max="8707" width="4.125" style="123" customWidth="1"/>
    <col min="8708" max="8708" width="6.75" style="123" customWidth="1"/>
    <col min="8709" max="8731" width="4.125" style="123" customWidth="1"/>
    <col min="8732" max="8732" width="6.75" style="123" customWidth="1"/>
    <col min="8733" max="8750" width="4.125" style="123" customWidth="1"/>
    <col min="8751" max="8753" width="4.625" style="123" customWidth="1"/>
    <col min="8754" max="8958" width="9.125" style="123"/>
    <col min="8959" max="8963" width="4.125" style="123" customWidth="1"/>
    <col min="8964" max="8964" width="6.75" style="123" customWidth="1"/>
    <col min="8965" max="8987" width="4.125" style="123" customWidth="1"/>
    <col min="8988" max="8988" width="6.75" style="123" customWidth="1"/>
    <col min="8989" max="9006" width="4.125" style="123" customWidth="1"/>
    <col min="9007" max="9009" width="4.625" style="123" customWidth="1"/>
    <col min="9010" max="9214" width="9.125" style="123"/>
    <col min="9215" max="9219" width="4.125" style="123" customWidth="1"/>
    <col min="9220" max="9220" width="6.75" style="123" customWidth="1"/>
    <col min="9221" max="9243" width="4.125" style="123" customWidth="1"/>
    <col min="9244" max="9244" width="6.75" style="123" customWidth="1"/>
    <col min="9245" max="9262" width="4.125" style="123" customWidth="1"/>
    <col min="9263" max="9265" width="4.625" style="123" customWidth="1"/>
    <col min="9266" max="9470" width="9.125" style="123"/>
    <col min="9471" max="9475" width="4.125" style="123" customWidth="1"/>
    <col min="9476" max="9476" width="6.75" style="123" customWidth="1"/>
    <col min="9477" max="9499" width="4.125" style="123" customWidth="1"/>
    <col min="9500" max="9500" width="6.75" style="123" customWidth="1"/>
    <col min="9501" max="9518" width="4.125" style="123" customWidth="1"/>
    <col min="9519" max="9521" width="4.625" style="123" customWidth="1"/>
    <col min="9522" max="9726" width="9.125" style="123"/>
    <col min="9727" max="9731" width="4.125" style="123" customWidth="1"/>
    <col min="9732" max="9732" width="6.75" style="123" customWidth="1"/>
    <col min="9733" max="9755" width="4.125" style="123" customWidth="1"/>
    <col min="9756" max="9756" width="6.75" style="123" customWidth="1"/>
    <col min="9757" max="9774" width="4.125" style="123" customWidth="1"/>
    <col min="9775" max="9777" width="4.625" style="123" customWidth="1"/>
    <col min="9778" max="9982" width="9.125" style="123"/>
    <col min="9983" max="9987" width="4.125" style="123" customWidth="1"/>
    <col min="9988" max="9988" width="6.75" style="123" customWidth="1"/>
    <col min="9989" max="10011" width="4.125" style="123" customWidth="1"/>
    <col min="10012" max="10012" width="6.75" style="123" customWidth="1"/>
    <col min="10013" max="10030" width="4.125" style="123" customWidth="1"/>
    <col min="10031" max="10033" width="4.625" style="123" customWidth="1"/>
    <col min="10034" max="10238" width="9.125" style="123"/>
    <col min="10239" max="10243" width="4.125" style="123" customWidth="1"/>
    <col min="10244" max="10244" width="6.75" style="123" customWidth="1"/>
    <col min="10245" max="10267" width="4.125" style="123" customWidth="1"/>
    <col min="10268" max="10268" width="6.75" style="123" customWidth="1"/>
    <col min="10269" max="10286" width="4.125" style="123" customWidth="1"/>
    <col min="10287" max="10289" width="4.625" style="123" customWidth="1"/>
    <col min="10290" max="10494" width="9.125" style="123"/>
    <col min="10495" max="10499" width="4.125" style="123" customWidth="1"/>
    <col min="10500" max="10500" width="6.75" style="123" customWidth="1"/>
    <col min="10501" max="10523" width="4.125" style="123" customWidth="1"/>
    <col min="10524" max="10524" width="6.75" style="123" customWidth="1"/>
    <col min="10525" max="10542" width="4.125" style="123" customWidth="1"/>
    <col min="10543" max="10545" width="4.625" style="123" customWidth="1"/>
    <col min="10546" max="10750" width="9.125" style="123"/>
    <col min="10751" max="10755" width="4.125" style="123" customWidth="1"/>
    <col min="10756" max="10756" width="6.75" style="123" customWidth="1"/>
    <col min="10757" max="10779" width="4.125" style="123" customWidth="1"/>
    <col min="10780" max="10780" width="6.75" style="123" customWidth="1"/>
    <col min="10781" max="10798" width="4.125" style="123" customWidth="1"/>
    <col min="10799" max="10801" width="4.625" style="123" customWidth="1"/>
    <col min="10802" max="11006" width="9.125" style="123"/>
    <col min="11007" max="11011" width="4.125" style="123" customWidth="1"/>
    <col min="11012" max="11012" width="6.75" style="123" customWidth="1"/>
    <col min="11013" max="11035" width="4.125" style="123" customWidth="1"/>
    <col min="11036" max="11036" width="6.75" style="123" customWidth="1"/>
    <col min="11037" max="11054" width="4.125" style="123" customWidth="1"/>
    <col min="11055" max="11057" width="4.625" style="123" customWidth="1"/>
    <col min="11058" max="11262" width="9.125" style="123"/>
    <col min="11263" max="11267" width="4.125" style="123" customWidth="1"/>
    <col min="11268" max="11268" width="6.75" style="123" customWidth="1"/>
    <col min="11269" max="11291" width="4.125" style="123" customWidth="1"/>
    <col min="11292" max="11292" width="6.75" style="123" customWidth="1"/>
    <col min="11293" max="11310" width="4.125" style="123" customWidth="1"/>
    <col min="11311" max="11313" width="4.625" style="123" customWidth="1"/>
    <col min="11314" max="11518" width="9.125" style="123"/>
    <col min="11519" max="11523" width="4.125" style="123" customWidth="1"/>
    <col min="11524" max="11524" width="6.75" style="123" customWidth="1"/>
    <col min="11525" max="11547" width="4.125" style="123" customWidth="1"/>
    <col min="11548" max="11548" width="6.75" style="123" customWidth="1"/>
    <col min="11549" max="11566" width="4.125" style="123" customWidth="1"/>
    <col min="11567" max="11569" width="4.625" style="123" customWidth="1"/>
    <col min="11570" max="11774" width="9.125" style="123"/>
    <col min="11775" max="11779" width="4.125" style="123" customWidth="1"/>
    <col min="11780" max="11780" width="6.75" style="123" customWidth="1"/>
    <col min="11781" max="11803" width="4.125" style="123" customWidth="1"/>
    <col min="11804" max="11804" width="6.75" style="123" customWidth="1"/>
    <col min="11805" max="11822" width="4.125" style="123" customWidth="1"/>
    <col min="11823" max="11825" width="4.625" style="123" customWidth="1"/>
    <col min="11826" max="12030" width="9.125" style="123"/>
    <col min="12031" max="12035" width="4.125" style="123" customWidth="1"/>
    <col min="12036" max="12036" width="6.75" style="123" customWidth="1"/>
    <col min="12037" max="12059" width="4.125" style="123" customWidth="1"/>
    <col min="12060" max="12060" width="6.75" style="123" customWidth="1"/>
    <col min="12061" max="12078" width="4.125" style="123" customWidth="1"/>
    <col min="12079" max="12081" width="4.625" style="123" customWidth="1"/>
    <col min="12082" max="12286" width="9.125" style="123"/>
    <col min="12287" max="12291" width="4.125" style="123" customWidth="1"/>
    <col min="12292" max="12292" width="6.75" style="123" customWidth="1"/>
    <col min="12293" max="12315" width="4.125" style="123" customWidth="1"/>
    <col min="12316" max="12316" width="6.75" style="123" customWidth="1"/>
    <col min="12317" max="12334" width="4.125" style="123" customWidth="1"/>
    <col min="12335" max="12337" width="4.625" style="123" customWidth="1"/>
    <col min="12338" max="12542" width="9.125" style="123"/>
    <col min="12543" max="12547" width="4.125" style="123" customWidth="1"/>
    <col min="12548" max="12548" width="6.75" style="123" customWidth="1"/>
    <col min="12549" max="12571" width="4.125" style="123" customWidth="1"/>
    <col min="12572" max="12572" width="6.75" style="123" customWidth="1"/>
    <col min="12573" max="12590" width="4.125" style="123" customWidth="1"/>
    <col min="12591" max="12593" width="4.625" style="123" customWidth="1"/>
    <col min="12594" max="12798" width="9.125" style="123"/>
    <col min="12799" max="12803" width="4.125" style="123" customWidth="1"/>
    <col min="12804" max="12804" width="6.75" style="123" customWidth="1"/>
    <col min="12805" max="12827" width="4.125" style="123" customWidth="1"/>
    <col min="12828" max="12828" width="6.75" style="123" customWidth="1"/>
    <col min="12829" max="12846" width="4.125" style="123" customWidth="1"/>
    <col min="12847" max="12849" width="4.625" style="123" customWidth="1"/>
    <col min="12850" max="13054" width="9.125" style="123"/>
    <col min="13055" max="13059" width="4.125" style="123" customWidth="1"/>
    <col min="13060" max="13060" width="6.75" style="123" customWidth="1"/>
    <col min="13061" max="13083" width="4.125" style="123" customWidth="1"/>
    <col min="13084" max="13084" width="6.75" style="123" customWidth="1"/>
    <col min="13085" max="13102" width="4.125" style="123" customWidth="1"/>
    <col min="13103" max="13105" width="4.625" style="123" customWidth="1"/>
    <col min="13106" max="13310" width="9.125" style="123"/>
    <col min="13311" max="13315" width="4.125" style="123" customWidth="1"/>
    <col min="13316" max="13316" width="6.75" style="123" customWidth="1"/>
    <col min="13317" max="13339" width="4.125" style="123" customWidth="1"/>
    <col min="13340" max="13340" width="6.75" style="123" customWidth="1"/>
    <col min="13341" max="13358" width="4.125" style="123" customWidth="1"/>
    <col min="13359" max="13361" width="4.625" style="123" customWidth="1"/>
    <col min="13362" max="13566" width="9.125" style="123"/>
    <col min="13567" max="13571" width="4.125" style="123" customWidth="1"/>
    <col min="13572" max="13572" width="6.75" style="123" customWidth="1"/>
    <col min="13573" max="13595" width="4.125" style="123" customWidth="1"/>
    <col min="13596" max="13596" width="6.75" style="123" customWidth="1"/>
    <col min="13597" max="13614" width="4.125" style="123" customWidth="1"/>
    <col min="13615" max="13617" width="4.625" style="123" customWidth="1"/>
    <col min="13618" max="13822" width="9.125" style="123"/>
    <col min="13823" max="13827" width="4.125" style="123" customWidth="1"/>
    <col min="13828" max="13828" width="6.75" style="123" customWidth="1"/>
    <col min="13829" max="13851" width="4.125" style="123" customWidth="1"/>
    <col min="13852" max="13852" width="6.75" style="123" customWidth="1"/>
    <col min="13853" max="13870" width="4.125" style="123" customWidth="1"/>
    <col min="13871" max="13873" width="4.625" style="123" customWidth="1"/>
    <col min="13874" max="14078" width="9.125" style="123"/>
    <col min="14079" max="14083" width="4.125" style="123" customWidth="1"/>
    <col min="14084" max="14084" width="6.75" style="123" customWidth="1"/>
    <col min="14085" max="14107" width="4.125" style="123" customWidth="1"/>
    <col min="14108" max="14108" width="6.75" style="123" customWidth="1"/>
    <col min="14109" max="14126" width="4.125" style="123" customWidth="1"/>
    <col min="14127" max="14129" width="4.625" style="123" customWidth="1"/>
    <col min="14130" max="14334" width="9.125" style="123"/>
    <col min="14335" max="14339" width="4.125" style="123" customWidth="1"/>
    <col min="14340" max="14340" width="6.75" style="123" customWidth="1"/>
    <col min="14341" max="14363" width="4.125" style="123" customWidth="1"/>
    <col min="14364" max="14364" width="6.75" style="123" customWidth="1"/>
    <col min="14365" max="14382" width="4.125" style="123" customWidth="1"/>
    <col min="14383" max="14385" width="4.625" style="123" customWidth="1"/>
    <col min="14386" max="14590" width="9.125" style="123"/>
    <col min="14591" max="14595" width="4.125" style="123" customWidth="1"/>
    <col min="14596" max="14596" width="6.75" style="123" customWidth="1"/>
    <col min="14597" max="14619" width="4.125" style="123" customWidth="1"/>
    <col min="14620" max="14620" width="6.75" style="123" customWidth="1"/>
    <col min="14621" max="14638" width="4.125" style="123" customWidth="1"/>
    <col min="14639" max="14641" width="4.625" style="123" customWidth="1"/>
    <col min="14642" max="14846" width="9.125" style="123"/>
    <col min="14847" max="14851" width="4.125" style="123" customWidth="1"/>
    <col min="14852" max="14852" width="6.75" style="123" customWidth="1"/>
    <col min="14853" max="14875" width="4.125" style="123" customWidth="1"/>
    <col min="14876" max="14876" width="6.75" style="123" customWidth="1"/>
    <col min="14877" max="14894" width="4.125" style="123" customWidth="1"/>
    <col min="14895" max="14897" width="4.625" style="123" customWidth="1"/>
    <col min="14898" max="15102" width="9.125" style="123"/>
    <col min="15103" max="15107" width="4.125" style="123" customWidth="1"/>
    <col min="15108" max="15108" width="6.75" style="123" customWidth="1"/>
    <col min="15109" max="15131" width="4.125" style="123" customWidth="1"/>
    <col min="15132" max="15132" width="6.75" style="123" customWidth="1"/>
    <col min="15133" max="15150" width="4.125" style="123" customWidth="1"/>
    <col min="15151" max="15153" width="4.625" style="123" customWidth="1"/>
    <col min="15154" max="15358" width="9.125" style="123"/>
    <col min="15359" max="15363" width="4.125" style="123" customWidth="1"/>
    <col min="15364" max="15364" width="6.75" style="123" customWidth="1"/>
    <col min="15365" max="15387" width="4.125" style="123" customWidth="1"/>
    <col min="15388" max="15388" width="6.75" style="123" customWidth="1"/>
    <col min="15389" max="15406" width="4.125" style="123" customWidth="1"/>
    <col min="15407" max="15409" width="4.625" style="123" customWidth="1"/>
    <col min="15410" max="15614" width="9.125" style="123"/>
    <col min="15615" max="15619" width="4.125" style="123" customWidth="1"/>
    <col min="15620" max="15620" width="6.75" style="123" customWidth="1"/>
    <col min="15621" max="15643" width="4.125" style="123" customWidth="1"/>
    <col min="15644" max="15644" width="6.75" style="123" customWidth="1"/>
    <col min="15645" max="15662" width="4.125" style="123" customWidth="1"/>
    <col min="15663" max="15665" width="4.625" style="123" customWidth="1"/>
    <col min="15666" max="15870" width="9.125" style="123"/>
    <col min="15871" max="15875" width="4.125" style="123" customWidth="1"/>
    <col min="15876" max="15876" width="6.75" style="123" customWidth="1"/>
    <col min="15877" max="15899" width="4.125" style="123" customWidth="1"/>
    <col min="15900" max="15900" width="6.75" style="123" customWidth="1"/>
    <col min="15901" max="15918" width="4.125" style="123" customWidth="1"/>
    <col min="15919" max="15921" width="4.625" style="123" customWidth="1"/>
    <col min="15922" max="16126" width="9.125" style="123"/>
    <col min="16127" max="16131" width="4.125" style="123" customWidth="1"/>
    <col min="16132" max="16132" width="6.75" style="123" customWidth="1"/>
    <col min="16133" max="16155" width="4.125" style="123" customWidth="1"/>
    <col min="16156" max="16156" width="6.75" style="123" customWidth="1"/>
    <col min="16157" max="16174" width="4.125" style="123" customWidth="1"/>
    <col min="16175" max="16177" width="4.625" style="123" customWidth="1"/>
    <col min="16178" max="16384" width="9.125" style="123"/>
  </cols>
  <sheetData>
    <row r="1" spans="1:40" ht="21">
      <c r="A1" s="502" t="str">
        <f>IF(VLOOKUP($T$2,area,222,0)="","",VLOOKUP($T$2,area,222,0))</f>
        <v/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503"/>
      <c r="Q1" s="503"/>
      <c r="R1" s="503"/>
      <c r="S1" s="503"/>
      <c r="T1" s="503"/>
      <c r="U1" s="503"/>
      <c r="V1" s="503"/>
      <c r="W1" s="503"/>
      <c r="X1" s="503"/>
      <c r="AL1" s="123">
        <f>COUNT(神通数据源!A:A)</f>
        <v>1</v>
      </c>
      <c r="AN1" s="123">
        <f>W2</f>
        <v>1</v>
      </c>
    </row>
    <row r="2" spans="1:40" ht="14.25" customHeight="1">
      <c r="A2" s="490" t="s">
        <v>1382</v>
      </c>
      <c r="B2" s="491"/>
      <c r="C2" s="491"/>
      <c r="D2" s="491"/>
      <c r="E2" s="492"/>
      <c r="F2" s="504" t="s">
        <v>1383</v>
      </c>
      <c r="G2" s="482"/>
      <c r="H2" s="483" t="str">
        <f>"  "&amp;IF(神通数据源!C2="","",神通数据源!C2)</f>
        <v xml:space="preserve">  福建三宝加热炉项目</v>
      </c>
      <c r="I2" s="483"/>
      <c r="J2" s="483"/>
      <c r="K2" s="483"/>
      <c r="L2" s="483"/>
      <c r="M2" s="483"/>
      <c r="N2" s="483"/>
      <c r="O2" s="483"/>
      <c r="P2" s="484"/>
      <c r="Q2" s="485" t="s">
        <v>1384</v>
      </c>
      <c r="R2" s="482"/>
      <c r="S2" s="482"/>
      <c r="T2" s="486">
        <v>1</v>
      </c>
      <c r="U2" s="486"/>
      <c r="V2" s="121" t="s">
        <v>1385</v>
      </c>
      <c r="W2" s="486">
        <f>COUNT(神通数据源!A:A)</f>
        <v>1</v>
      </c>
      <c r="X2" s="505"/>
      <c r="AK2" s="130"/>
      <c r="AL2" s="131" t="s">
        <v>1493</v>
      </c>
    </row>
    <row r="3" spans="1:40" ht="14.25">
      <c r="A3" s="493"/>
      <c r="B3" s="494"/>
      <c r="C3" s="494"/>
      <c r="D3" s="494"/>
      <c r="E3" s="495"/>
      <c r="F3" s="480" t="s">
        <v>1386</v>
      </c>
      <c r="G3" s="456"/>
      <c r="H3" s="441" t="str">
        <f>"  "&amp;IF(神通数据源!C1="","",神通数据源!C1)</f>
        <v xml:space="preserve">  重庆赛迪热工环保工程技术有限公司</v>
      </c>
      <c r="I3" s="441"/>
      <c r="J3" s="441"/>
      <c r="K3" s="441"/>
      <c r="L3" s="441"/>
      <c r="M3" s="441"/>
      <c r="N3" s="441"/>
      <c r="O3" s="441"/>
      <c r="P3" s="441"/>
      <c r="Q3" s="422" t="s">
        <v>1387</v>
      </c>
      <c r="R3" s="423"/>
      <c r="S3" s="423"/>
      <c r="T3" s="441" t="str">
        <f>"  "&amp;IF(IF(VLOOKUP($T$2,area,7,0)="","",VLOOKUP($T$2,area,7,0))="","",IF(VLOOKUP($T$2,area,7,0)="","",VLOOKUP($T$2,area,7,0)))</f>
        <v xml:space="preserve">  D-N-2007-34-001</v>
      </c>
      <c r="U3" s="441"/>
      <c r="V3" s="441"/>
      <c r="W3" s="441"/>
      <c r="X3" s="442"/>
    </row>
    <row r="4" spans="1:40" ht="14.25">
      <c r="A4" s="493"/>
      <c r="B4" s="494"/>
      <c r="C4" s="494"/>
      <c r="D4" s="494"/>
      <c r="E4" s="495"/>
      <c r="F4" s="480" t="s">
        <v>1388</v>
      </c>
      <c r="G4" s="456"/>
      <c r="H4" s="441"/>
      <c r="I4" s="441"/>
      <c r="J4" s="441"/>
      <c r="K4" s="441"/>
      <c r="L4" s="441"/>
      <c r="M4" s="441"/>
      <c r="N4" s="441"/>
      <c r="O4" s="441"/>
      <c r="P4" s="441"/>
      <c r="Q4" s="422" t="s">
        <v>1389</v>
      </c>
      <c r="R4" s="423"/>
      <c r="S4" s="423"/>
      <c r="T4" s="441" t="str">
        <f>"  "&amp;IF(VLOOKUP($T$2,area,2,0)="","",VLOOKUP($T$2,area,2,0))</f>
        <v xml:space="preserve">  10-PV-131061</v>
      </c>
      <c r="U4" s="441"/>
      <c r="V4" s="441"/>
      <c r="W4" s="441"/>
      <c r="X4" s="442"/>
    </row>
    <row r="5" spans="1:40" ht="14.25">
      <c r="A5" s="493"/>
      <c r="B5" s="494"/>
      <c r="C5" s="494"/>
      <c r="D5" s="494"/>
      <c r="E5" s="495"/>
      <c r="F5" s="480" t="s">
        <v>1390</v>
      </c>
      <c r="G5" s="456"/>
      <c r="H5" s="441" t="str">
        <f>"  "&amp;神通数据源!C4</f>
        <v xml:space="preserve">  </v>
      </c>
      <c r="I5" s="441"/>
      <c r="J5" s="441"/>
      <c r="K5" s="441"/>
      <c r="L5" s="106" t="s">
        <v>1391</v>
      </c>
      <c r="M5" s="128">
        <v>0</v>
      </c>
      <c r="N5" s="106" t="s">
        <v>1392</v>
      </c>
      <c r="O5" s="429" t="str">
        <f ca="1">"  "&amp;TEXT(神通数据源!$G$4,"yyyy-mm-dd")</f>
        <v xml:space="preserve">  2023-03-12</v>
      </c>
      <c r="P5" s="429"/>
      <c r="Q5" s="422" t="s">
        <v>1393</v>
      </c>
      <c r="R5" s="423"/>
      <c r="S5" s="423"/>
      <c r="T5" s="499"/>
      <c r="U5" s="499"/>
      <c r="V5" s="499"/>
      <c r="W5" s="499"/>
      <c r="X5" s="500"/>
    </row>
    <row r="6" spans="1:40" ht="14.25">
      <c r="A6" s="496"/>
      <c r="B6" s="497"/>
      <c r="C6" s="497"/>
      <c r="D6" s="497"/>
      <c r="E6" s="498"/>
      <c r="F6" s="480" t="s">
        <v>1394</v>
      </c>
      <c r="G6" s="456"/>
      <c r="H6" s="441" t="str">
        <f>"  "&amp;IF(VLOOKUP($T$2,area,3,0)="","",VLOOKUP($T$2,area,3,0))</f>
        <v xml:space="preserve">  </v>
      </c>
      <c r="I6" s="441"/>
      <c r="J6" s="441"/>
      <c r="K6" s="441"/>
      <c r="L6" s="441"/>
      <c r="M6" s="441"/>
      <c r="N6" s="441"/>
      <c r="O6" s="441"/>
      <c r="P6" s="481"/>
      <c r="Q6" s="422" t="s">
        <v>1395</v>
      </c>
      <c r="R6" s="423"/>
      <c r="S6" s="423"/>
      <c r="T6" s="441" t="str">
        <f>"  "&amp;VLOOKUP(T2,area,8,0)</f>
        <v xml:space="preserve">  1</v>
      </c>
      <c r="U6" s="441"/>
      <c r="V6" s="441"/>
      <c r="W6" s="441"/>
      <c r="X6" s="442"/>
    </row>
    <row r="7" spans="1:40" ht="15" customHeight="1">
      <c r="A7" s="108">
        <v>1</v>
      </c>
      <c r="B7" s="501" t="s">
        <v>1396</v>
      </c>
      <c r="C7" s="482" t="s">
        <v>1397</v>
      </c>
      <c r="D7" s="482"/>
      <c r="E7" s="483" t="str">
        <f>IF(VLOOKUP($T$2,area,13,0)="","",VLOOKUP($T$2,area,13,0))</f>
        <v>CHLOROSILANES</v>
      </c>
      <c r="F7" s="483"/>
      <c r="G7" s="483"/>
      <c r="H7" s="483"/>
      <c r="I7" s="483"/>
      <c r="J7" s="484"/>
      <c r="K7" s="485" t="s">
        <v>1398</v>
      </c>
      <c r="L7" s="482"/>
      <c r="M7" s="482"/>
      <c r="N7" s="486"/>
      <c r="O7" s="486"/>
      <c r="P7" s="487" t="s">
        <v>1399</v>
      </c>
      <c r="Q7" s="488"/>
      <c r="R7" s="485" t="s">
        <v>1400</v>
      </c>
      <c r="S7" s="482"/>
      <c r="T7" s="482"/>
      <c r="U7" s="486"/>
      <c r="V7" s="486"/>
      <c r="W7" s="483" t="s">
        <v>1401</v>
      </c>
      <c r="X7" s="489"/>
    </row>
    <row r="8" spans="1:40" ht="12.95" customHeight="1">
      <c r="A8" s="109"/>
      <c r="B8" s="415"/>
      <c r="C8" s="449" t="s">
        <v>1152</v>
      </c>
      <c r="D8" s="445"/>
      <c r="E8" s="423" t="str">
        <f>IF(VLOOKUP($T$2,area,14,0)="","",VLOOKUP($T$2,area,14,0))</f>
        <v>气体</v>
      </c>
      <c r="F8" s="423"/>
      <c r="G8" s="424"/>
      <c r="H8" s="443" t="s">
        <v>1402</v>
      </c>
      <c r="I8" s="445"/>
      <c r="J8" s="426" t="s">
        <v>1403</v>
      </c>
      <c r="K8" s="429"/>
      <c r="L8" s="427"/>
      <c r="M8" s="426" t="s">
        <v>1404</v>
      </c>
      <c r="N8" s="429"/>
      <c r="O8" s="427"/>
      <c r="P8" s="426" t="s">
        <v>1405</v>
      </c>
      <c r="Q8" s="429"/>
      <c r="R8" s="427"/>
      <c r="S8" s="426" t="s">
        <v>1406</v>
      </c>
      <c r="T8" s="429"/>
      <c r="U8" s="427"/>
      <c r="V8" s="426" t="s">
        <v>1407</v>
      </c>
      <c r="W8" s="429"/>
      <c r="X8" s="431"/>
    </row>
    <row r="9" spans="1:40" ht="12.95" customHeight="1">
      <c r="A9" s="109">
        <v>2</v>
      </c>
      <c r="B9" s="415"/>
      <c r="C9" s="423" t="s">
        <v>1408</v>
      </c>
      <c r="D9" s="423"/>
      <c r="E9" s="423"/>
      <c r="F9" s="423"/>
      <c r="G9" s="423"/>
      <c r="H9" s="426" t="str">
        <f>IF(VLOOKUP($T$2,area,20,0)="","",VLOOKUP($T$2,area,20,0))</f>
        <v>Nm3/h</v>
      </c>
      <c r="I9" s="429"/>
      <c r="J9" s="426">
        <f>IF(VLOOKUP($T$2,area,15,0)="","",VLOOKUP($T$2,area,15,0))</f>
        <v>3655</v>
      </c>
      <c r="K9" s="429"/>
      <c r="L9" s="427"/>
      <c r="M9" s="426" t="str">
        <f>IF(VLOOKUP($T$2,area,16,0)="","",VLOOKUP($T$2,area,16,0))</f>
        <v/>
      </c>
      <c r="N9" s="429"/>
      <c r="O9" s="427"/>
      <c r="P9" s="426" t="str">
        <f>IF(VLOOKUP($T$2,area,17,0)="","",VLOOKUP($T$2,area,17,0))</f>
        <v/>
      </c>
      <c r="Q9" s="429"/>
      <c r="R9" s="427"/>
      <c r="S9" s="426" t="str">
        <f>IF(VLOOKUP($T$2,area,18,0)="","",VLOOKUP($T$2,area,18,0))</f>
        <v/>
      </c>
      <c r="T9" s="429"/>
      <c r="U9" s="427"/>
      <c r="V9" s="426" t="str">
        <f>IF(VLOOKUP($T$2,area,19,0)="","",VLOOKUP($T$2,area,19,0))</f>
        <v/>
      </c>
      <c r="W9" s="429"/>
      <c r="X9" s="431"/>
    </row>
    <row r="10" spans="1:40" ht="12.95" customHeight="1">
      <c r="A10" s="109">
        <v>3</v>
      </c>
      <c r="B10" s="415"/>
      <c r="C10" s="423" t="s">
        <v>1409</v>
      </c>
      <c r="D10" s="423"/>
      <c r="E10" s="423"/>
      <c r="F10" s="423"/>
      <c r="G10" s="423"/>
      <c r="H10" s="426" t="str">
        <f>IF(VLOOKUP($T$2,area,26,0)="","",VLOOKUP($T$2,area,26,0))</f>
        <v>kPaG</v>
      </c>
      <c r="I10" s="429"/>
      <c r="J10" s="426">
        <f>IF(VLOOKUP($T$2,area,21,0)="","",VLOOKUP($T$2,area,21,0))</f>
        <v>2710</v>
      </c>
      <c r="K10" s="429"/>
      <c r="L10" s="427"/>
      <c r="M10" s="426" t="str">
        <f>IF(VLOOKUP($T$2,area,22,0)="","",VLOOKUP($T$2,area,22,0))</f>
        <v/>
      </c>
      <c r="N10" s="429"/>
      <c r="O10" s="427"/>
      <c r="P10" s="426" t="str">
        <f>IF(VLOOKUP($T$2,area,23,0)="","",VLOOKUP($T$2,area,23,0))</f>
        <v/>
      </c>
      <c r="Q10" s="429"/>
      <c r="R10" s="427"/>
      <c r="S10" s="426" t="str">
        <f>IF(VLOOKUP($T$2,area,24,0)="","",VLOOKUP($T$2,area,24,0))</f>
        <v/>
      </c>
      <c r="T10" s="429"/>
      <c r="U10" s="427"/>
      <c r="V10" s="426" t="str">
        <f>IF(VLOOKUP($T$2,area,25,0)="","",VLOOKUP($T$2,area,25,0))</f>
        <v/>
      </c>
      <c r="W10" s="429"/>
      <c r="X10" s="431"/>
    </row>
    <row r="11" spans="1:40" ht="12.95" customHeight="1">
      <c r="A11" s="109">
        <v>4</v>
      </c>
      <c r="B11" s="415"/>
      <c r="C11" s="423" t="s">
        <v>1410</v>
      </c>
      <c r="D11" s="423"/>
      <c r="E11" s="423"/>
      <c r="F11" s="423"/>
      <c r="G11" s="423"/>
      <c r="H11" s="426" t="str">
        <f>H10</f>
        <v>kPaG</v>
      </c>
      <c r="I11" s="429"/>
      <c r="J11" s="426">
        <f>IF(VLOOKUP($T$2,area,27,0)="","",VLOOKUP($T$2,area,27,0))</f>
        <v>2020</v>
      </c>
      <c r="K11" s="429"/>
      <c r="L11" s="427"/>
      <c r="M11" s="426" t="str">
        <f>IF(VLOOKUP($T$2,area,28,0)="","",VLOOKUP($T$2,area,28,0))</f>
        <v/>
      </c>
      <c r="N11" s="429"/>
      <c r="O11" s="427"/>
      <c r="P11" s="426" t="str">
        <f>IF(VLOOKUP($T$2,area,29,0)="","",VLOOKUP($T$2,area,29,0))</f>
        <v/>
      </c>
      <c r="Q11" s="429"/>
      <c r="R11" s="427"/>
      <c r="S11" s="426" t="str">
        <f>IF(VLOOKUP($T$2,area,30,0)="","",VLOOKUP($T$2,area,30,0))</f>
        <v/>
      </c>
      <c r="T11" s="429"/>
      <c r="U11" s="427"/>
      <c r="V11" s="426" t="str">
        <f>IF(VLOOKUP($T$2,area,31,0)="","",VLOOKUP($T$2,area,31,0))</f>
        <v/>
      </c>
      <c r="W11" s="429"/>
      <c r="X11" s="431"/>
    </row>
    <row r="12" spans="1:40" ht="12.95" customHeight="1">
      <c r="A12" s="109">
        <v>5</v>
      </c>
      <c r="B12" s="415"/>
      <c r="C12" s="423" t="s">
        <v>1411</v>
      </c>
      <c r="D12" s="423"/>
      <c r="E12" s="423"/>
      <c r="F12" s="423"/>
      <c r="G12" s="423"/>
      <c r="H12" s="426" t="str">
        <f>IF(VLOOKUP($T$2,area,37,0)="","",VLOOKUP($T$2,area,37,0))</f>
        <v>℃</v>
      </c>
      <c r="I12" s="429"/>
      <c r="J12" s="426">
        <f>IF(VLOOKUP($T$2,area,32,0)="","",VLOOKUP($T$2,area,32,0))</f>
        <v>157</v>
      </c>
      <c r="K12" s="429"/>
      <c r="L12" s="427"/>
      <c r="M12" s="426" t="str">
        <f>IF(VLOOKUP($T$2,area,33,0)="","",VLOOKUP($T$2,area,33,0))</f>
        <v/>
      </c>
      <c r="N12" s="429"/>
      <c r="O12" s="427"/>
      <c r="P12" s="426" t="str">
        <f>IF(VLOOKUP($T$2,area,34,0)="","",VLOOKUP($T$2,area,34,0))</f>
        <v/>
      </c>
      <c r="Q12" s="429"/>
      <c r="R12" s="427"/>
      <c r="S12" s="426" t="str">
        <f>IF(VLOOKUP($T$2,area,35,0)="","",VLOOKUP($T$2,area,35,0))</f>
        <v/>
      </c>
      <c r="T12" s="429"/>
      <c r="U12" s="427"/>
      <c r="V12" s="426" t="str">
        <f>IF(VLOOKUP($T$2,area,36,0)="","",VLOOKUP($T$2,area,36,0))</f>
        <v/>
      </c>
      <c r="W12" s="429"/>
      <c r="X12" s="431"/>
    </row>
    <row r="13" spans="1:40" ht="12.95" customHeight="1">
      <c r="A13" s="109">
        <v>6</v>
      </c>
      <c r="B13" s="415"/>
      <c r="C13" s="423" t="s">
        <v>1412</v>
      </c>
      <c r="D13" s="423"/>
      <c r="E13" s="423"/>
      <c r="F13" s="423"/>
      <c r="G13" s="423"/>
      <c r="H13" s="426" t="str">
        <f>IF(VLOOKUP($T$2,area,43,0)="","",VLOOKUP($T$2,area,43,0))</f>
        <v/>
      </c>
      <c r="I13" s="429"/>
      <c r="J13" s="426">
        <f>IF(VLOOKUP($T$2,area,38,0)="","",VLOOKUP($T$2,area,38,0))</f>
        <v>86.8</v>
      </c>
      <c r="K13" s="429"/>
      <c r="L13" s="427"/>
      <c r="M13" s="426" t="str">
        <f>IF(VLOOKUP($T$2,area,39,0)="","",VLOOKUP($T$2,area,39,0))</f>
        <v/>
      </c>
      <c r="N13" s="429"/>
      <c r="O13" s="427"/>
      <c r="P13" s="426" t="str">
        <f>IF(VLOOKUP($T$2,area,40,0)="","",VLOOKUP($T$2,area,40,0))</f>
        <v/>
      </c>
      <c r="Q13" s="429"/>
      <c r="R13" s="427"/>
      <c r="S13" s="426" t="str">
        <f>IF(VLOOKUP($T$2,area,41,0)="","",VLOOKUP($T$2,area,41,0))</f>
        <v/>
      </c>
      <c r="T13" s="429"/>
      <c r="U13" s="427"/>
      <c r="V13" s="426" t="str">
        <f>IF(VLOOKUP($T$2,area,42,0)="","",VLOOKUP($T$2,area,42,0))</f>
        <v/>
      </c>
      <c r="W13" s="429"/>
      <c r="X13" s="431"/>
    </row>
    <row r="14" spans="1:40" ht="12.95" customHeight="1">
      <c r="A14" s="109">
        <v>7</v>
      </c>
      <c r="B14" s="415"/>
      <c r="C14" s="479" t="s">
        <v>1158</v>
      </c>
      <c r="D14" s="423"/>
      <c r="E14" s="423"/>
      <c r="F14" s="423"/>
      <c r="G14" s="423"/>
      <c r="H14" s="426" t="str">
        <f>IF(VLOOKUP($T$2,area,49,0)="","",VLOOKUP($T$2,area,49,0))</f>
        <v>cP</v>
      </c>
      <c r="I14" s="429"/>
      <c r="J14" s="426">
        <f>IF(VLOOKUP($T$2,area,44,0)="","",VLOOKUP($T$2,area,44,0))</f>
        <v>2.5000000000000001E-2</v>
      </c>
      <c r="K14" s="429"/>
      <c r="L14" s="427"/>
      <c r="M14" s="426" t="str">
        <f>IF(VLOOKUP($T$2,area,45,0)="","",VLOOKUP($T$2,area,45,0))</f>
        <v/>
      </c>
      <c r="N14" s="429"/>
      <c r="O14" s="427"/>
      <c r="P14" s="426" t="str">
        <f>IF(VLOOKUP($T$2,area,46,0)="","",VLOOKUP($T$2,area,46,0))</f>
        <v/>
      </c>
      <c r="Q14" s="429"/>
      <c r="R14" s="427"/>
      <c r="S14" s="426" t="str">
        <f>IF(VLOOKUP($T$2,area,47,0)="","",VLOOKUP($T$2,area,47,0))</f>
        <v/>
      </c>
      <c r="T14" s="429"/>
      <c r="U14" s="427"/>
      <c r="V14" s="426" t="str">
        <f>IF(VLOOKUP($T$2,area,48,0)="","",VLOOKUP($T$2,area,48,0))</f>
        <v/>
      </c>
      <c r="W14" s="429"/>
      <c r="X14" s="431"/>
    </row>
    <row r="15" spans="1:40" ht="12.95" customHeight="1">
      <c r="A15" s="109">
        <v>8</v>
      </c>
      <c r="B15" s="415"/>
      <c r="C15" s="423" t="s">
        <v>1413</v>
      </c>
      <c r="D15" s="423"/>
      <c r="E15" s="423"/>
      <c r="F15" s="423"/>
      <c r="G15" s="423"/>
      <c r="H15" s="426" t="s">
        <v>1414</v>
      </c>
      <c r="I15" s="429"/>
      <c r="J15" s="426" t="str">
        <f>IF(VLOOKUP($T$2,area,51,0)="","",IF($J$9="","",VLOOKUP($T$2,area,51,0)))</f>
        <v/>
      </c>
      <c r="K15" s="429"/>
      <c r="L15" s="427"/>
      <c r="M15" s="426" t="str">
        <f>IF(VLOOKUP($T$2,area,51,0)="","",IF($M$9="","",VLOOKUP($T$2,area,51,0)))</f>
        <v/>
      </c>
      <c r="N15" s="429"/>
      <c r="O15" s="427"/>
      <c r="P15" s="426" t="str">
        <f>IF(VLOOKUP($T$2,area,51,0)="","",IF($P$9="","",VLOOKUP($T$2,area,51,0)))</f>
        <v/>
      </c>
      <c r="Q15" s="429"/>
      <c r="R15" s="427"/>
      <c r="S15" s="426" t="str">
        <f>IF(VLOOKUP($T$2,area,51,0)="","",IF($S$9="","",VLOOKUP($T$2,area,51,0)))</f>
        <v/>
      </c>
      <c r="T15" s="429"/>
      <c r="U15" s="427"/>
      <c r="V15" s="426" t="str">
        <f>IF(VLOOKUP($T$2,area,51,0)="","",IF($V$9="","",VLOOKUP($T$2,area,51,0)))</f>
        <v/>
      </c>
      <c r="W15" s="429"/>
      <c r="X15" s="431"/>
    </row>
    <row r="16" spans="1:40" ht="12.95" customHeight="1">
      <c r="A16" s="109">
        <v>9</v>
      </c>
      <c r="B16" s="415"/>
      <c r="C16" s="423" t="s">
        <v>1415</v>
      </c>
      <c r="D16" s="423"/>
      <c r="E16" s="423"/>
      <c r="F16" s="423"/>
      <c r="G16" s="423"/>
      <c r="H16" s="426" t="s">
        <v>1414</v>
      </c>
      <c r="I16" s="429"/>
      <c r="J16" s="426" t="str">
        <f>IF(VLOOKUP($T$2,area,50,0)="","",IF($J$9="","",VLOOKUP($T$2,area,50,0)))</f>
        <v/>
      </c>
      <c r="K16" s="429"/>
      <c r="L16" s="427"/>
      <c r="M16" s="426" t="str">
        <f>IF(VLOOKUP($T$2,area,50,0)="","",IF($M$9="","",VLOOKUP($T$2,area,50,0)))</f>
        <v/>
      </c>
      <c r="N16" s="429"/>
      <c r="O16" s="427"/>
      <c r="P16" s="426" t="str">
        <f>IF(VLOOKUP($T$2,area,50,0)="","",IF($P$9="","",VLOOKUP($T$2,area,50,0)))</f>
        <v/>
      </c>
      <c r="Q16" s="429"/>
      <c r="R16" s="427"/>
      <c r="S16" s="426" t="str">
        <f>IF(VLOOKUP($T$2,area,50,0)="","",IF($S$9="","",VLOOKUP($T$2,area,50,0)))</f>
        <v/>
      </c>
      <c r="T16" s="429"/>
      <c r="U16" s="427"/>
      <c r="V16" s="426" t="str">
        <f>IF(VLOOKUP($T$2,area,50,0)="","",IF($V$9="","",VLOOKUP($T$2,area,50,0)))</f>
        <v/>
      </c>
      <c r="W16" s="429"/>
      <c r="X16" s="431"/>
    </row>
    <row r="17" spans="1:31" ht="12.95" customHeight="1">
      <c r="A17" s="109">
        <v>10</v>
      </c>
      <c r="B17" s="415"/>
      <c r="C17" s="423" t="s">
        <v>1416</v>
      </c>
      <c r="D17" s="423"/>
      <c r="E17" s="423"/>
      <c r="F17" s="423"/>
      <c r="G17" s="423"/>
      <c r="H17" s="426" t="s">
        <v>1494</v>
      </c>
      <c r="I17" s="429"/>
      <c r="J17" s="426">
        <f>IF(VLOOKUP($T$2,area,68,0)="","",VLOOKUP($T$2,area,68,0))</f>
        <v>25.89</v>
      </c>
      <c r="K17" s="429"/>
      <c r="L17" s="427"/>
      <c r="M17" s="426" t="str">
        <f>IF(VLOOKUP($T$2,area,69,0)="","",VLOOKUP($T$2,area,69,0))</f>
        <v/>
      </c>
      <c r="N17" s="429"/>
      <c r="O17" s="427"/>
      <c r="P17" s="426" t="str">
        <f>IF(VLOOKUP($T$2,area,70,0)="","",VLOOKUP($T$2,area,70,0))</f>
        <v/>
      </c>
      <c r="Q17" s="429"/>
      <c r="R17" s="427"/>
      <c r="S17" s="426" t="str">
        <f>IF(VLOOKUP($T$2,area,71,0)="","",VLOOKUP($T$2,area,71,0))</f>
        <v/>
      </c>
      <c r="T17" s="429"/>
      <c r="U17" s="427"/>
      <c r="V17" s="426" t="str">
        <f>IF(VLOOKUP($T$2,area,72,0)="","",VLOOKUP($T$2,area,72,0))</f>
        <v/>
      </c>
      <c r="W17" s="429"/>
      <c r="X17" s="431"/>
    </row>
    <row r="18" spans="1:31" ht="12.95" customHeight="1">
      <c r="A18" s="109">
        <v>11</v>
      </c>
      <c r="B18" s="415"/>
      <c r="C18" s="423" t="s">
        <v>1417</v>
      </c>
      <c r="D18" s="423"/>
      <c r="E18" s="423"/>
      <c r="F18" s="423"/>
      <c r="G18" s="423"/>
      <c r="H18" s="476" t="s">
        <v>1418</v>
      </c>
      <c r="I18" s="477"/>
      <c r="J18" s="426">
        <f>IF(VLOOKUP($T$2,area,73,0)="","",VLOOKUP($T$2,area,73,0))</f>
        <v>47.94</v>
      </c>
      <c r="K18" s="429"/>
      <c r="L18" s="427"/>
      <c r="M18" s="426" t="str">
        <f>IF(VLOOKUP($T$2,area,74,0)="","",VLOOKUP($T$2,area,74,0))</f>
        <v/>
      </c>
      <c r="N18" s="429"/>
      <c r="O18" s="427"/>
      <c r="P18" s="426" t="str">
        <f>IF(VLOOKUP($T$2,area,75,0)="","",VLOOKUP($T$2,area,75,0))</f>
        <v/>
      </c>
      <c r="Q18" s="429"/>
      <c r="R18" s="427"/>
      <c r="S18" s="426" t="str">
        <f>IF(VLOOKUP($T$2,area,76,0)="","",VLOOKUP($T$2,area,76,0))</f>
        <v/>
      </c>
      <c r="T18" s="429"/>
      <c r="U18" s="427"/>
      <c r="V18" s="426" t="str">
        <f>IF(VLOOKUP($T$2,area,77,0)="","",VLOOKUP($T$2,area,77,0))</f>
        <v/>
      </c>
      <c r="W18" s="429"/>
      <c r="X18" s="431"/>
      <c r="AD18" s="123" t="s">
        <v>1259</v>
      </c>
      <c r="AE18" s="123">
        <v>194</v>
      </c>
    </row>
    <row r="19" spans="1:31" ht="12.95" customHeight="1">
      <c r="A19" s="109">
        <v>12</v>
      </c>
      <c r="B19" s="415"/>
      <c r="C19" s="424" t="s">
        <v>1419</v>
      </c>
      <c r="D19" s="478"/>
      <c r="E19" s="478"/>
      <c r="F19" s="478"/>
      <c r="G19" s="478"/>
      <c r="H19" s="462" t="s">
        <v>1420</v>
      </c>
      <c r="I19" s="462"/>
      <c r="J19" s="426">
        <f>IF(VLOOKUP($T$2,area,57,0)="","",VLOOKUP($T$2,area,57,0))</f>
        <v>75.900000000000006</v>
      </c>
      <c r="K19" s="429"/>
      <c r="L19" s="427"/>
      <c r="M19" s="426" t="str">
        <f>IF(VLOOKUP($T$2,area,58,0)="","",VLOOKUP($T$2,area,58,0))</f>
        <v/>
      </c>
      <c r="N19" s="429"/>
      <c r="O19" s="427"/>
      <c r="P19" s="426" t="str">
        <f>IF(VLOOKUP($T$2,area,59,0)="","",VLOOKUP($T$2,area,59,0))</f>
        <v/>
      </c>
      <c r="Q19" s="429"/>
      <c r="R19" s="427"/>
      <c r="S19" s="426" t="str">
        <f>IF(VLOOKUP($T$2,area,60,0)="","",VLOOKUP($T$2,area,60,0))</f>
        <v/>
      </c>
      <c r="T19" s="429"/>
      <c r="U19" s="427"/>
      <c r="V19" s="426" t="str">
        <f>IF(VLOOKUP($T$2,area,61,0)="","",VLOOKUP($T$2,area,61,0))</f>
        <v/>
      </c>
      <c r="W19" s="429"/>
      <c r="X19" s="431"/>
      <c r="AD19" s="123" t="s">
        <v>1260</v>
      </c>
      <c r="AE19" s="123">
        <v>195</v>
      </c>
    </row>
    <row r="20" spans="1:31" ht="12.95" customHeight="1">
      <c r="A20" s="109"/>
      <c r="B20" s="416"/>
      <c r="C20" s="424" t="s">
        <v>1421</v>
      </c>
      <c r="D20" s="478"/>
      <c r="E20" s="478"/>
      <c r="F20" s="478"/>
      <c r="G20" s="478"/>
      <c r="H20" s="462" t="str">
        <f>IF(VLOOKUP($T$2,area,67,0)="","",VLOOKUP($T$2,area,67,0))</f>
        <v>Mach</v>
      </c>
      <c r="I20" s="462"/>
      <c r="J20" s="426">
        <f>IF(VLOOKUP($T$2,area,62,0)="","",VLOOKUP($T$2,area,62,0))</f>
        <v>0.15</v>
      </c>
      <c r="K20" s="429"/>
      <c r="L20" s="427"/>
      <c r="M20" s="426" t="str">
        <f>IF(VLOOKUP($T$2,area,63,0)="","",VLOOKUP($T$2,area,63,0))</f>
        <v/>
      </c>
      <c r="N20" s="429"/>
      <c r="O20" s="427"/>
      <c r="P20" s="426" t="str">
        <f>IF(VLOOKUP($T$2,area,64,0)="","",VLOOKUP($T$2,area,64,0))</f>
        <v/>
      </c>
      <c r="Q20" s="429"/>
      <c r="R20" s="427"/>
      <c r="S20" s="426" t="str">
        <f>IF(VLOOKUP($T$2,area,65,0)="","",VLOOKUP($T$2,area,65,0))</f>
        <v/>
      </c>
      <c r="T20" s="429"/>
      <c r="U20" s="427"/>
      <c r="V20" s="426" t="str">
        <f>IF(VLOOKUP($T$2,area,66,0)="","",VLOOKUP($T$2,area,66,0))</f>
        <v/>
      </c>
      <c r="W20" s="429"/>
      <c r="X20" s="427"/>
      <c r="AD20" s="123" t="s">
        <v>1261</v>
      </c>
      <c r="AE20" s="123">
        <v>196</v>
      </c>
    </row>
    <row r="21" spans="1:31" ht="12.95" customHeight="1">
      <c r="A21" s="109"/>
      <c r="B21" s="414" t="s">
        <v>1422</v>
      </c>
      <c r="C21" s="422"/>
      <c r="D21" s="423"/>
      <c r="E21" s="423"/>
      <c r="F21" s="424"/>
      <c r="G21" s="475" t="s">
        <v>1423</v>
      </c>
      <c r="H21" s="475"/>
      <c r="I21" s="475"/>
      <c r="J21" s="475" t="s">
        <v>1424</v>
      </c>
      <c r="K21" s="475"/>
      <c r="L21" s="476"/>
      <c r="M21" s="116">
        <v>51</v>
      </c>
      <c r="N21" s="414" t="s">
        <v>1425</v>
      </c>
      <c r="O21" s="457" t="s">
        <v>1426</v>
      </c>
      <c r="P21" s="456"/>
      <c r="Q21" s="456"/>
      <c r="R21" s="429" t="str">
        <f>IF(VLOOKUP($T$2,area,194,0)="","",VLOOKUP($T$2,area,194,0))</f>
        <v>调节型</v>
      </c>
      <c r="S21" s="429"/>
      <c r="T21" s="429"/>
      <c r="U21" s="429" t="str">
        <f>IF(VLOOKUP($T$2,area,193,0)="","",VLOOKUP($T$2,area,193,0))</f>
        <v/>
      </c>
      <c r="V21" s="429"/>
      <c r="W21" s="429"/>
      <c r="X21" s="431"/>
      <c r="AD21" s="123" t="s">
        <v>1262</v>
      </c>
      <c r="AE21" s="123">
        <v>197</v>
      </c>
    </row>
    <row r="22" spans="1:31" ht="12.95" customHeight="1">
      <c r="A22" s="109">
        <v>13</v>
      </c>
      <c r="B22" s="415"/>
      <c r="C22" s="422" t="s">
        <v>1427</v>
      </c>
      <c r="D22" s="423"/>
      <c r="E22" s="423"/>
      <c r="F22" s="424"/>
      <c r="G22" s="462" t="str">
        <f>IF(VLOOKUP($T$2,area,9,0)="","",VLOOKUP($T$2,area,9,0))</f>
        <v>2"</v>
      </c>
      <c r="H22" s="462"/>
      <c r="I22" s="462"/>
      <c r="J22" s="462" t="str">
        <f>IF(VLOOKUP($T$2,area,10,0)="","",VLOOKUP($T$2,area,10,0))</f>
        <v>2"</v>
      </c>
      <c r="K22" s="462"/>
      <c r="L22" s="462"/>
      <c r="M22" s="117">
        <v>52</v>
      </c>
      <c r="N22" s="415"/>
      <c r="O22" s="422" t="s">
        <v>1446</v>
      </c>
      <c r="P22" s="423"/>
      <c r="Q22" s="423"/>
      <c r="R22" s="429" t="str">
        <f>IF(VLOOKUP($T$2,area,195,0)="","",VLOOKUP($T$2,area,195,0))</f>
        <v>西贝</v>
      </c>
      <c r="S22" s="429"/>
      <c r="T22" s="111" t="s">
        <v>1447</v>
      </c>
      <c r="U22" s="429" t="str">
        <f>IF(VLOOKUP($T$2,area,196,0)="","",VLOOKUP($T$2,area,196,0))</f>
        <v/>
      </c>
      <c r="V22" s="429"/>
      <c r="W22" s="429"/>
      <c r="X22" s="431"/>
      <c r="AD22" s="123" t="s">
        <v>1263</v>
      </c>
      <c r="AE22" s="123">
        <v>198</v>
      </c>
    </row>
    <row r="23" spans="1:31" ht="12.95" customHeight="1">
      <c r="A23" s="109">
        <v>14</v>
      </c>
      <c r="B23" s="416"/>
      <c r="C23" s="422" t="s">
        <v>1428</v>
      </c>
      <c r="D23" s="423"/>
      <c r="E23" s="423"/>
      <c r="F23" s="424"/>
      <c r="G23" s="462" t="str">
        <f>IF(VLOOKUP($T$2,area,11,0)="","",VLOOKUP($T$2,area,11,0))</f>
        <v>CS</v>
      </c>
      <c r="H23" s="462"/>
      <c r="I23" s="462"/>
      <c r="J23" s="462" t="str">
        <f>IF(VLOOKUP($T$2,area,12,0)="","",VLOOKUP($T$2,area,12,0))</f>
        <v>CS</v>
      </c>
      <c r="K23" s="462"/>
      <c r="L23" s="462"/>
      <c r="M23" s="117">
        <v>53</v>
      </c>
      <c r="N23" s="415"/>
      <c r="O23" s="428" t="s">
        <v>1262</v>
      </c>
      <c r="P23" s="423"/>
      <c r="Q23" s="423"/>
      <c r="R23" s="509" t="str">
        <f>IF(VLOOKUP($T$2,area,197,0)="","",VLOOKUP($T$2,area,197,0))</f>
        <v>带</v>
      </c>
      <c r="S23" s="429"/>
      <c r="T23" s="429"/>
      <c r="U23" s="429"/>
      <c r="V23" s="429"/>
      <c r="W23" s="429"/>
      <c r="X23" s="431"/>
      <c r="AD23" s="123" t="s">
        <v>1264</v>
      </c>
      <c r="AE23" s="123">
        <v>199</v>
      </c>
    </row>
    <row r="24" spans="1:31" ht="12.95" customHeight="1">
      <c r="A24" s="109">
        <v>15</v>
      </c>
      <c r="B24" s="415" t="s">
        <v>1430</v>
      </c>
      <c r="C24" s="428" t="s">
        <v>1431</v>
      </c>
      <c r="D24" s="466"/>
      <c r="E24" s="466"/>
      <c r="F24" s="467"/>
      <c r="G24" s="468" t="str">
        <f>IF(VLOOKUP($T$2,area,5,0)="","",VLOOKUP($T$2,area,5,0))</f>
        <v>2"</v>
      </c>
      <c r="H24" s="462"/>
      <c r="I24" s="462"/>
      <c r="J24" s="468" t="str">
        <f>IF(VLOOKUP($T$2,area,6,0)="","",VLOOKUP($T$2,area,6,0))</f>
        <v>2"</v>
      </c>
      <c r="K24" s="462"/>
      <c r="L24" s="462"/>
      <c r="M24" s="117">
        <v>54</v>
      </c>
      <c r="N24" s="415"/>
      <c r="O24" s="428" t="s">
        <v>1263</v>
      </c>
      <c r="P24" s="423"/>
      <c r="Q24" s="423"/>
      <c r="R24" s="429" t="str">
        <f>IF(VLOOKUP($T$2,area,198,0)="","",VLOOKUP($T$2,area,198,0))</f>
        <v>220V/50Hz</v>
      </c>
      <c r="S24" s="429"/>
      <c r="T24" s="429"/>
      <c r="U24" s="429" t="s">
        <v>1385</v>
      </c>
      <c r="V24" s="429" t="s">
        <v>1332</v>
      </c>
      <c r="W24" s="429"/>
      <c r="X24" s="431"/>
      <c r="AD24" s="123" t="s">
        <v>1265</v>
      </c>
      <c r="AE24" s="123">
        <v>200</v>
      </c>
    </row>
    <row r="25" spans="1:31" ht="12.95" customHeight="1">
      <c r="A25" s="109">
        <v>16</v>
      </c>
      <c r="B25" s="415"/>
      <c r="C25" s="422" t="s">
        <v>1433</v>
      </c>
      <c r="D25" s="423"/>
      <c r="E25" s="423"/>
      <c r="F25" s="110" t="e">
        <f>MID($H$10,1,FIND("A",$H$10)-1)</f>
        <v>#VALUE!</v>
      </c>
      <c r="G25" s="426">
        <f>IF(VLOOKUP($T$2,area,55,0)="","",VLOOKUP($T$2,area,55,0))</f>
        <v>2.5</v>
      </c>
      <c r="H25" s="429"/>
      <c r="I25" s="429"/>
      <c r="J25" s="429"/>
      <c r="K25" s="429"/>
      <c r="L25" s="430"/>
      <c r="M25" s="117">
        <v>55</v>
      </c>
      <c r="N25" s="415"/>
      <c r="O25" s="428" t="s">
        <v>1264</v>
      </c>
      <c r="P25" s="423"/>
      <c r="Q25" s="106" t="s">
        <v>1495</v>
      </c>
      <c r="R25" s="429" t="str">
        <f>IF(VLOOKUP($T$2,area,199,0)="","",VLOOKUP($T$2,area,199,0))</f>
        <v/>
      </c>
      <c r="S25" s="429"/>
      <c r="T25" s="429"/>
      <c r="U25" s="429"/>
      <c r="V25" s="429"/>
      <c r="W25" s="429"/>
      <c r="X25" s="431"/>
      <c r="AD25" s="123" t="s">
        <v>1266</v>
      </c>
      <c r="AE25" s="123">
        <v>201</v>
      </c>
    </row>
    <row r="26" spans="1:31" ht="12.95" customHeight="1">
      <c r="A26" s="109">
        <v>17</v>
      </c>
      <c r="B26" s="415"/>
      <c r="C26" s="422" t="s">
        <v>1435</v>
      </c>
      <c r="D26" s="423"/>
      <c r="E26" s="423"/>
      <c r="F26" s="110" t="s">
        <v>1401</v>
      </c>
      <c r="G26" s="426">
        <f>IF(VLOOKUP($T$2,area,56,0)="","",VLOOKUP($T$2,area,56,0))</f>
        <v>100</v>
      </c>
      <c r="H26" s="429"/>
      <c r="I26" s="429"/>
      <c r="J26" s="429"/>
      <c r="K26" s="429"/>
      <c r="L26" s="430"/>
      <c r="M26" s="117">
        <v>56</v>
      </c>
      <c r="N26" s="415"/>
      <c r="O26" s="428" t="s">
        <v>1265</v>
      </c>
      <c r="P26" s="423"/>
      <c r="Q26" s="106" t="s">
        <v>1108</v>
      </c>
      <c r="R26" s="429" t="str">
        <f>IF(VLOOKUP($T$2,area,200,0)="","",VLOOKUP($T$2,area,200,0))</f>
        <v/>
      </c>
      <c r="S26" s="429"/>
      <c r="T26" s="429">
        <v>8</v>
      </c>
      <c r="U26" s="429"/>
      <c r="V26" s="429" t="s">
        <v>1385</v>
      </c>
      <c r="W26" s="429">
        <v>4</v>
      </c>
      <c r="X26" s="431"/>
      <c r="AD26" s="123" t="s">
        <v>1267</v>
      </c>
      <c r="AE26" s="123">
        <v>202</v>
      </c>
    </row>
    <row r="27" spans="1:31" ht="12.95" customHeight="1">
      <c r="A27" s="109">
        <v>18</v>
      </c>
      <c r="B27" s="415"/>
      <c r="C27" s="428" t="s">
        <v>1163</v>
      </c>
      <c r="D27" s="423"/>
      <c r="E27" s="423"/>
      <c r="F27" s="110" t="e">
        <f>MID($H$10,1,FIND("A",$H$10)-1)</f>
        <v>#VALUE!</v>
      </c>
      <c r="G27" s="426">
        <f>IF(VLOOKUP($T$2,area,54,0)="","",VLOOKUP($T$2,area,54,0))</f>
        <v>3620</v>
      </c>
      <c r="H27" s="429"/>
      <c r="I27" s="429"/>
      <c r="J27" s="429"/>
      <c r="K27" s="429"/>
      <c r="L27" s="430"/>
      <c r="M27" s="117">
        <v>57</v>
      </c>
      <c r="N27" s="415"/>
      <c r="O27" s="428" t="s">
        <v>1266</v>
      </c>
      <c r="P27" s="423"/>
      <c r="Q27" s="423"/>
      <c r="R27" s="429" t="str">
        <f>IF(VLOOKUP($T$2,area,201,0)="","",VLOOKUP($T$2,area,201,0))</f>
        <v>1/2NPT</v>
      </c>
      <c r="S27" s="429"/>
      <c r="T27" s="429"/>
      <c r="U27" s="429"/>
      <c r="V27" s="429"/>
      <c r="W27" s="429"/>
      <c r="X27" s="431"/>
      <c r="AD27" s="123" t="s">
        <v>1268</v>
      </c>
      <c r="AE27" s="123">
        <v>203</v>
      </c>
    </row>
    <row r="28" spans="1:31" ht="12.95" customHeight="1">
      <c r="A28" s="109">
        <v>19</v>
      </c>
      <c r="B28" s="415"/>
      <c r="C28" s="443" t="s">
        <v>1437</v>
      </c>
      <c r="D28" s="445"/>
      <c r="E28" s="445" t="str">
        <f>IF(VLOOKUP($T$2,area,80,0)="","",VLOOKUP($T$2,area,80,0))</f>
        <v>ANSI B16.5</v>
      </c>
      <c r="F28" s="444"/>
      <c r="G28" s="462" t="str">
        <f>IF(VLOOKUP($T$2,area,81,0)="","",VLOOKUP($T$2,area,81,0))</f>
        <v>CL300</v>
      </c>
      <c r="H28" s="462"/>
      <c r="I28" s="462"/>
      <c r="J28" s="462" t="str">
        <f>IF(VLOOKUP($T$2,area,82,0)="","",VLOOKUP($T$2,area,82,0))</f>
        <v>CL300</v>
      </c>
      <c r="K28" s="462"/>
      <c r="L28" s="462"/>
      <c r="M28" s="117">
        <v>58</v>
      </c>
      <c r="N28" s="415"/>
      <c r="O28" s="428" t="s">
        <v>1267</v>
      </c>
      <c r="P28" s="423"/>
      <c r="Q28" s="423"/>
      <c r="R28" s="429" t="str">
        <f>IF(VLOOKUP($T$2,area,202,0)="","",VLOOKUP($T$2,area,202,0))</f>
        <v>1/2NPT</v>
      </c>
      <c r="S28" s="429"/>
      <c r="T28" s="429"/>
      <c r="U28" s="429"/>
      <c r="V28" s="429"/>
      <c r="W28" s="429"/>
      <c r="X28" s="431"/>
      <c r="AD28" s="123" t="s">
        <v>1269</v>
      </c>
      <c r="AE28" s="123">
        <v>204</v>
      </c>
    </row>
    <row r="29" spans="1:31" ht="12.95" customHeight="1">
      <c r="A29" s="109">
        <v>20</v>
      </c>
      <c r="B29" s="415"/>
      <c r="C29" s="508" t="s">
        <v>1439</v>
      </c>
      <c r="D29" s="445"/>
      <c r="E29" s="445" t="str">
        <f>IF(VLOOKUP($T$2,area,83,0)="","",VLOOKUP($T$2,area,83,0))</f>
        <v>法兰连接</v>
      </c>
      <c r="F29" s="444"/>
      <c r="G29" s="462" t="str">
        <f>IF(VLOOKUP($T$2,area,84,0)="","",VLOOKUP($T$2,area,84,0))</f>
        <v>RF</v>
      </c>
      <c r="H29" s="462"/>
      <c r="I29" s="462"/>
      <c r="J29" s="462" t="str">
        <f>IF(VLOOKUP($T$2,area,85,0)="","",VLOOKUP($T$2,area,85,0))</f>
        <v>RF</v>
      </c>
      <c r="K29" s="462"/>
      <c r="L29" s="462"/>
      <c r="M29" s="117">
        <v>59</v>
      </c>
      <c r="N29" s="415"/>
      <c r="O29" s="428" t="s">
        <v>1268</v>
      </c>
      <c r="P29" s="423"/>
      <c r="Q29" s="106" t="str">
        <f>IF(VLOOKUP($T$2,area,204,0)="","",VLOOKUP($T$2,area,204,0))</f>
        <v>N</v>
      </c>
      <c r="R29" s="429" t="str">
        <f>IF(VLOOKUP($T$2,area,203,0)="","",VLOOKUP($T$2,area,203,0))</f>
        <v/>
      </c>
      <c r="S29" s="429"/>
      <c r="T29" s="429"/>
      <c r="U29" s="429"/>
      <c r="V29" s="429"/>
      <c r="W29" s="429"/>
      <c r="X29" s="431"/>
      <c r="AD29" s="123" t="s">
        <v>1792</v>
      </c>
      <c r="AE29" s="123">
        <v>205</v>
      </c>
    </row>
    <row r="30" spans="1:31" ht="12.95" customHeight="1">
      <c r="A30" s="109">
        <v>21</v>
      </c>
      <c r="B30" s="415"/>
      <c r="C30" s="422" t="s">
        <v>1440</v>
      </c>
      <c r="D30" s="423"/>
      <c r="E30" s="423"/>
      <c r="F30" s="424"/>
      <c r="G30" s="462" t="str">
        <f>IF(VLOOKUP($T$2,area,177,0)="","",VLOOKUP($T$2,area,177,0))</f>
        <v>NON</v>
      </c>
      <c r="H30" s="462"/>
      <c r="I30" s="462"/>
      <c r="J30" s="462" t="str">
        <f>IF(VLOOKUP($T$2,area,179,0)="","",VLOOKUP($T$2,area,179,0))</f>
        <v>NON</v>
      </c>
      <c r="K30" s="462"/>
      <c r="L30" s="462"/>
      <c r="M30" s="117">
        <v>60</v>
      </c>
      <c r="N30" s="415"/>
      <c r="O30" s="422" t="s">
        <v>1496</v>
      </c>
      <c r="P30" s="423"/>
      <c r="Q30" s="423"/>
      <c r="R30" s="429" t="str">
        <f>IF(VLOOKUP($T$2,area,205,0)="","",VLOOKUP($T$2,area,205,0))</f>
        <v/>
      </c>
      <c r="S30" s="429"/>
      <c r="T30" s="429"/>
      <c r="U30" s="429"/>
      <c r="V30" s="429"/>
      <c r="W30" s="429"/>
      <c r="X30" s="431"/>
      <c r="AD30" s="123" t="s">
        <v>1271</v>
      </c>
      <c r="AE30" s="123">
        <v>206</v>
      </c>
    </row>
    <row r="31" spans="1:31" ht="12.95" customHeight="1">
      <c r="A31" s="109">
        <v>22</v>
      </c>
      <c r="B31" s="415"/>
      <c r="C31" s="422" t="s">
        <v>1444</v>
      </c>
      <c r="D31" s="423"/>
      <c r="E31" s="423"/>
      <c r="F31" s="424"/>
      <c r="G31" s="462" t="str">
        <f>IF(VLOOKUP($T$2,area,178,0)="","",VLOOKUP($T$2,area,178,0))</f>
        <v>NON</v>
      </c>
      <c r="H31" s="462"/>
      <c r="I31" s="462"/>
      <c r="J31" s="462" t="str">
        <f>IF(VLOOKUP($T$2,area,180,0)="","",VLOOKUP($T$2,area,180,0))</f>
        <v>NON</v>
      </c>
      <c r="K31" s="462"/>
      <c r="L31" s="462"/>
      <c r="M31" s="117">
        <v>61</v>
      </c>
      <c r="N31" s="415"/>
      <c r="O31" s="428" t="s">
        <v>1271</v>
      </c>
      <c r="P31" s="423"/>
      <c r="Q31" s="423"/>
      <c r="R31" s="429" t="str">
        <f>IF(VLOOKUP($T$2,area,206,0)="","",VLOOKUP($T$2,area,206,0))</f>
        <v>——</v>
      </c>
      <c r="S31" s="429"/>
      <c r="T31" s="429"/>
      <c r="U31" s="429"/>
      <c r="V31" s="429"/>
      <c r="W31" s="429"/>
      <c r="X31" s="431"/>
      <c r="AD31" s="123" t="s">
        <v>1238</v>
      </c>
      <c r="AE31" s="123">
        <v>207</v>
      </c>
    </row>
    <row r="32" spans="1:31" ht="12.95" customHeight="1">
      <c r="A32" s="109">
        <v>23</v>
      </c>
      <c r="B32" s="415"/>
      <c r="C32" s="428" t="s">
        <v>1445</v>
      </c>
      <c r="D32" s="423"/>
      <c r="E32" s="423"/>
      <c r="F32" s="429" t="str">
        <f>IF(VLOOKUP($T$2,area,78,0)="","",VLOOKUP($T$2,area,78,0))</f>
        <v>多孔式套筒导向型单座调节阀</v>
      </c>
      <c r="G32" s="429"/>
      <c r="H32" s="429"/>
      <c r="I32" s="429"/>
      <c r="J32" s="429"/>
      <c r="K32" s="429"/>
      <c r="L32" s="429"/>
      <c r="M32" s="117">
        <v>62</v>
      </c>
      <c r="N32" s="415"/>
      <c r="O32" s="428" t="s">
        <v>1238</v>
      </c>
      <c r="P32" s="423"/>
      <c r="Q32" s="423"/>
      <c r="R32" s="429" t="str">
        <f>IF(VLOOKUP($T$2,area,207,0)="","",VLOOKUP($T$2,area,207,0))</f>
        <v>IP65</v>
      </c>
      <c r="S32" s="429"/>
      <c r="T32" s="429"/>
      <c r="U32" s="429"/>
      <c r="V32" s="429"/>
      <c r="W32" s="429"/>
      <c r="X32" s="431"/>
      <c r="AD32" s="123" t="s">
        <v>1272</v>
      </c>
      <c r="AE32" s="123">
        <v>208</v>
      </c>
    </row>
    <row r="33" spans="1:31" ht="12.95" customHeight="1">
      <c r="A33" s="109">
        <v>24</v>
      </c>
      <c r="B33" s="415"/>
      <c r="C33" s="460" t="s">
        <v>1261</v>
      </c>
      <c r="D33" s="461"/>
      <c r="E33" s="461"/>
      <c r="F33" s="429" t="str">
        <f>IF(VLOOKUP($T$2,area,79,0)="","",VLOOKUP($T$2,area,79,0))</f>
        <v>ST301C</v>
      </c>
      <c r="G33" s="429"/>
      <c r="H33" s="429"/>
      <c r="I33" s="429"/>
      <c r="J33" s="429"/>
      <c r="K33" s="429"/>
      <c r="L33" s="429"/>
      <c r="M33" s="117">
        <v>63</v>
      </c>
      <c r="N33" s="415"/>
      <c r="O33" s="428" t="s">
        <v>1272</v>
      </c>
      <c r="P33" s="423"/>
      <c r="Q33" s="423"/>
      <c r="R33" s="429" t="str">
        <f>IF(VLOOKUP($T$2,area,208,0)="","",VLOOKUP($T$2,area,208,0))</f>
        <v>4~20mA</v>
      </c>
      <c r="S33" s="429"/>
      <c r="T33" s="429"/>
      <c r="U33" s="429"/>
      <c r="V33" s="429"/>
      <c r="W33" s="429"/>
      <c r="X33" s="431"/>
      <c r="AD33" s="123" t="s">
        <v>1273</v>
      </c>
      <c r="AE33" s="123">
        <v>209</v>
      </c>
    </row>
    <row r="34" spans="1:31" ht="12.95" customHeight="1">
      <c r="A34" s="109">
        <v>25</v>
      </c>
      <c r="B34" s="415"/>
      <c r="C34" s="422" t="s">
        <v>1449</v>
      </c>
      <c r="D34" s="423"/>
      <c r="E34" s="423"/>
      <c r="F34" s="429" t="str">
        <f>IF(VLOOKUP($T$2,area,86,0)="","",VLOOKUP($T$2,area,86,0))</f>
        <v>WCB</v>
      </c>
      <c r="G34" s="429"/>
      <c r="H34" s="429"/>
      <c r="I34" s="248" t="s">
        <v>1385</v>
      </c>
      <c r="J34" s="429" t="str">
        <f>IF(VLOOKUP($T$2,area,87,0)="","",VLOOKUP($T$2,area,87,0))</f>
        <v>WCB</v>
      </c>
      <c r="K34" s="429"/>
      <c r="L34" s="429"/>
      <c r="M34" s="117">
        <v>64</v>
      </c>
      <c r="N34" s="415"/>
      <c r="O34" s="428" t="s">
        <v>1273</v>
      </c>
      <c r="P34" s="423"/>
      <c r="Q34" s="423" t="s">
        <v>1332</v>
      </c>
      <c r="R34" s="429" t="str">
        <f>IF(VLOOKUP($T$2,area,209,0)="","",VLOOKUP($T$2,area,209,0))</f>
        <v>带</v>
      </c>
      <c r="S34" s="429"/>
      <c r="T34" s="429"/>
      <c r="U34" s="429"/>
      <c r="V34" s="429"/>
      <c r="W34" s="429"/>
      <c r="X34" s="431"/>
      <c r="AD34" s="123" t="s">
        <v>1274</v>
      </c>
      <c r="AE34" s="123">
        <v>210</v>
      </c>
    </row>
    <row r="35" spans="1:31" ht="12.95" customHeight="1">
      <c r="A35" s="109">
        <v>26</v>
      </c>
      <c r="B35" s="415"/>
      <c r="C35" s="428" t="s">
        <v>1452</v>
      </c>
      <c r="D35" s="423"/>
      <c r="E35" s="423"/>
      <c r="F35" s="453" t="str">
        <f>IF(VLOOKUP($T$2,area,94,0)="","",VLOOKUP($T$2,area,94,0))</f>
        <v>NON</v>
      </c>
      <c r="G35" s="453"/>
      <c r="H35" s="453"/>
      <c r="I35" s="453"/>
      <c r="J35" s="453"/>
      <c r="K35" s="453"/>
      <c r="L35" s="459"/>
      <c r="M35" s="117">
        <v>65</v>
      </c>
      <c r="N35" s="415"/>
      <c r="O35" s="428" t="s">
        <v>1274</v>
      </c>
      <c r="P35" s="423"/>
      <c r="Q35" s="423"/>
      <c r="R35" s="429" t="str">
        <f>IF(VLOOKUP($T$2,area,210,0)="","",VLOOKUP($T$2,area,210,0))</f>
        <v>带</v>
      </c>
      <c r="S35" s="429"/>
      <c r="T35" s="429"/>
      <c r="U35" s="429"/>
      <c r="V35" s="429"/>
      <c r="W35" s="429"/>
      <c r="X35" s="431"/>
      <c r="AD35" s="123" t="s">
        <v>1275</v>
      </c>
      <c r="AE35" s="123">
        <v>211</v>
      </c>
    </row>
    <row r="36" spans="1:31" ht="12.95" customHeight="1">
      <c r="A36" s="109">
        <v>27</v>
      </c>
      <c r="B36" s="415"/>
      <c r="C36" s="422" t="s">
        <v>1454</v>
      </c>
      <c r="D36" s="423"/>
      <c r="E36" s="423"/>
      <c r="F36" s="429" t="str">
        <f>IF(VLOOKUP($T$2,area,88,0)="","",VLOOKUP($T$2,area,88,0))</f>
        <v>流开</v>
      </c>
      <c r="G36" s="429"/>
      <c r="H36" s="429"/>
      <c r="I36" s="429"/>
      <c r="J36" s="429"/>
      <c r="K36" s="429"/>
      <c r="L36" s="429"/>
      <c r="M36" s="117">
        <v>66</v>
      </c>
      <c r="N36" s="415"/>
      <c r="O36" s="428" t="s">
        <v>1275</v>
      </c>
      <c r="P36" s="423"/>
      <c r="Q36" s="423"/>
      <c r="R36" s="429" t="str">
        <f>IF(VLOOKUP($T$2,area,211,0)="","",VLOOKUP($T$2,area,211,0))</f>
        <v>4~20mA</v>
      </c>
      <c r="S36" s="429"/>
      <c r="T36" s="429"/>
      <c r="U36" s="429"/>
      <c r="V36" s="429"/>
      <c r="W36" s="429"/>
      <c r="X36" s="431"/>
      <c r="AD36" s="123" t="s">
        <v>1875</v>
      </c>
      <c r="AE36" s="123">
        <v>212</v>
      </c>
    </row>
    <row r="37" spans="1:31" ht="12.95" customHeight="1">
      <c r="A37" s="109">
        <v>28</v>
      </c>
      <c r="B37" s="415"/>
      <c r="C37" s="422" t="s">
        <v>1455</v>
      </c>
      <c r="D37" s="423"/>
      <c r="E37" s="423"/>
      <c r="F37" s="429" t="str">
        <f>IF(VLOOKUP($T$2,area,90,0)="","",VLOOKUP($T$2,area,90,0))</f>
        <v>标准型</v>
      </c>
      <c r="G37" s="429"/>
      <c r="H37" s="429"/>
      <c r="I37" s="429"/>
      <c r="J37" s="429"/>
      <c r="K37" s="429"/>
      <c r="L37" s="429"/>
      <c r="M37" s="117">
        <v>67</v>
      </c>
      <c r="N37" s="415"/>
      <c r="O37" s="422" t="s">
        <v>1497</v>
      </c>
      <c r="P37" s="423"/>
      <c r="Q37" s="423"/>
      <c r="R37" s="429" t="str">
        <f>IF(VLOOKUP($T$2,area,212,0)="","",VLOOKUP($T$2,area,212,0))</f>
        <v>带</v>
      </c>
      <c r="S37" s="429"/>
      <c r="T37" s="429"/>
      <c r="U37" s="429"/>
      <c r="V37" s="429"/>
      <c r="W37" s="429"/>
      <c r="X37" s="431"/>
      <c r="AD37" s="123" t="s">
        <v>1876</v>
      </c>
      <c r="AE37" s="123">
        <v>213</v>
      </c>
    </row>
    <row r="38" spans="1:31" ht="12.95" customHeight="1">
      <c r="A38" s="109">
        <v>29</v>
      </c>
      <c r="B38" s="416"/>
      <c r="C38" s="422"/>
      <c r="D38" s="423"/>
      <c r="E38" s="423"/>
      <c r="F38" s="429"/>
      <c r="G38" s="429"/>
      <c r="H38" s="106"/>
      <c r="I38" s="429"/>
      <c r="J38" s="429"/>
      <c r="K38" s="429"/>
      <c r="L38" s="429"/>
      <c r="M38" s="117">
        <v>68</v>
      </c>
      <c r="N38" s="415"/>
      <c r="O38" s="422" t="s">
        <v>1498</v>
      </c>
      <c r="P38" s="423"/>
      <c r="Q38" s="423"/>
      <c r="R38" s="429" t="str">
        <f>IF(VLOOKUP($T$2,area,213,0)="","",VLOOKUP($T$2,area,213,0))</f>
        <v>带</v>
      </c>
      <c r="S38" s="429"/>
      <c r="T38" s="429"/>
      <c r="U38" s="429"/>
      <c r="V38" s="429"/>
      <c r="W38" s="429"/>
      <c r="X38" s="431"/>
      <c r="AD38" s="123" t="s">
        <v>1278</v>
      </c>
      <c r="AE38" s="123">
        <v>214</v>
      </c>
    </row>
    <row r="39" spans="1:31" ht="12.95" customHeight="1">
      <c r="A39" s="109">
        <v>30</v>
      </c>
      <c r="B39" s="125"/>
      <c r="C39" s="422" t="s">
        <v>1457</v>
      </c>
      <c r="D39" s="423"/>
      <c r="E39" s="423"/>
      <c r="F39" s="429" t="str">
        <f>IF(VLOOKUP($T$2,area,91,0)="","",VLOOKUP($T$2,area,91,0))</f>
        <v>标准型</v>
      </c>
      <c r="G39" s="429"/>
      <c r="H39" s="429"/>
      <c r="I39" s="248" t="s">
        <v>1385</v>
      </c>
      <c r="J39" s="429" t="str">
        <f>IF(VLOOKUP($T$2,area,92,0)="","",VLOOKUP($T$2,area,92,0))</f>
        <v>PTFE</v>
      </c>
      <c r="K39" s="429"/>
      <c r="L39" s="429"/>
      <c r="M39" s="117">
        <v>69</v>
      </c>
      <c r="N39" s="415"/>
      <c r="O39" s="428" t="s">
        <v>1278</v>
      </c>
      <c r="P39" s="423"/>
      <c r="Q39" s="423"/>
      <c r="R39" s="429" t="str">
        <f>IF(VLOOKUP($T$2,area,214,0)="","",VLOOKUP($T$2,area,214,0))</f>
        <v>带</v>
      </c>
      <c r="S39" s="429"/>
      <c r="T39" s="429"/>
      <c r="U39" s="429"/>
      <c r="V39" s="429"/>
      <c r="W39" s="429"/>
      <c r="X39" s="431"/>
      <c r="AD39" s="123" t="s">
        <v>1279</v>
      </c>
      <c r="AE39" s="123">
        <v>215</v>
      </c>
    </row>
    <row r="40" spans="1:31" ht="12.95" customHeight="1">
      <c r="A40" s="109">
        <v>31</v>
      </c>
      <c r="B40" s="417" t="s">
        <v>1121</v>
      </c>
      <c r="C40" s="422" t="s">
        <v>1459</v>
      </c>
      <c r="D40" s="423"/>
      <c r="E40" s="423"/>
      <c r="F40" s="423"/>
      <c r="G40" s="429" t="str">
        <f>IF(VLOOKUP($T$2,area,104,0)="","",VLOOKUP($T$2,area,104,0))</f>
        <v>——</v>
      </c>
      <c r="H40" s="429"/>
      <c r="I40" s="429"/>
      <c r="J40" s="429"/>
      <c r="K40" s="429"/>
      <c r="L40" s="429"/>
      <c r="M40" s="117">
        <v>70</v>
      </c>
      <c r="N40" s="415"/>
      <c r="O40" s="428" t="s">
        <v>1279</v>
      </c>
      <c r="P40" s="423"/>
      <c r="Q40" s="423"/>
      <c r="R40" s="429" t="str">
        <f>IF(VLOOKUP($T$2,area,215,0)="","",VLOOKUP($T$2,area,215,0))</f>
        <v>带</v>
      </c>
      <c r="S40" s="429"/>
      <c r="T40" s="429"/>
      <c r="U40" s="429"/>
      <c r="V40" s="429"/>
      <c r="W40" s="429"/>
      <c r="X40" s="431"/>
      <c r="AD40" s="123" t="s">
        <v>1280</v>
      </c>
      <c r="AE40" s="123">
        <v>216</v>
      </c>
    </row>
    <row r="41" spans="1:31" ht="12.95" customHeight="1">
      <c r="A41" s="109">
        <v>32</v>
      </c>
      <c r="B41" s="415"/>
      <c r="C41" s="422" t="s">
        <v>1461</v>
      </c>
      <c r="D41" s="423"/>
      <c r="E41" s="423"/>
      <c r="F41" s="423"/>
      <c r="G41" s="429" t="str">
        <f>IF(VLOOKUP($T$2,area,101,0)="","",VLOOKUP($T$2,area,101,0))</f>
        <v>2"</v>
      </c>
      <c r="H41" s="429"/>
      <c r="I41" s="429"/>
      <c r="J41" s="248" t="s">
        <v>1385</v>
      </c>
      <c r="K41" s="429" t="str">
        <f>IF(VLOOKUP($T$2,area,97,0)="","",VLOOKUP($T$2,area,97,0)&amp;" "&amp;VLOOKUP($T$2,area,98,0))</f>
        <v>30 mm</v>
      </c>
      <c r="L41" s="429"/>
      <c r="M41" s="117">
        <v>71</v>
      </c>
      <c r="N41" s="415"/>
      <c r="O41" s="428" t="s">
        <v>1280</v>
      </c>
      <c r="P41" s="423"/>
      <c r="Q41" s="423"/>
      <c r="R41" s="429" t="str">
        <f>IF(VLOOKUP($T$2,area,216,0)="","",VLOOKUP($T$2,area,216,0))</f>
        <v>带</v>
      </c>
      <c r="S41" s="429"/>
      <c r="T41" s="429"/>
      <c r="U41" s="429"/>
      <c r="V41" s="429"/>
      <c r="W41" s="429"/>
      <c r="X41" s="431"/>
      <c r="AD41" s="123" t="s">
        <v>1281</v>
      </c>
      <c r="AE41" s="123">
        <v>217</v>
      </c>
    </row>
    <row r="42" spans="1:31" ht="12.95" customHeight="1">
      <c r="A42" s="109">
        <v>33</v>
      </c>
      <c r="B42" s="415"/>
      <c r="C42" s="422" t="s">
        <v>1462</v>
      </c>
      <c r="D42" s="423"/>
      <c r="E42" s="423"/>
      <c r="F42" s="423" t="s">
        <v>1463</v>
      </c>
      <c r="G42" s="429" t="str">
        <f>IF(VLOOKUP($T$2,area,96,0)="","",VLOOKUP($T$2,area,96,0))</f>
        <v>线性</v>
      </c>
      <c r="H42" s="429"/>
      <c r="I42" s="429"/>
      <c r="J42" s="429"/>
      <c r="K42" s="429"/>
      <c r="L42" s="429"/>
      <c r="M42" s="117">
        <v>72</v>
      </c>
      <c r="N42" s="415"/>
      <c r="O42" s="428" t="s">
        <v>1281</v>
      </c>
      <c r="P42" s="423"/>
      <c r="Q42" s="423"/>
      <c r="R42" s="429" t="str">
        <f>IF(VLOOKUP($T$2,area,217,0)="","",VLOOKUP($T$2,area,217,0))</f>
        <v>带</v>
      </c>
      <c r="S42" s="429"/>
      <c r="T42" s="429"/>
      <c r="U42" s="429"/>
      <c r="V42" s="429"/>
      <c r="W42" s="429"/>
      <c r="X42" s="431"/>
      <c r="AD42" s="123" t="s">
        <v>1282</v>
      </c>
      <c r="AE42" s="123">
        <v>218</v>
      </c>
    </row>
    <row r="43" spans="1:31" ht="12.95" customHeight="1">
      <c r="A43" s="109">
        <v>34</v>
      </c>
      <c r="B43" s="415"/>
      <c r="C43" s="422" t="s">
        <v>1465</v>
      </c>
      <c r="D43" s="423"/>
      <c r="E43" s="423"/>
      <c r="F43" s="423"/>
      <c r="G43" s="429" t="str">
        <f>IF(VLOOKUP($T$2,area,99,0)="","",VLOOKUP($T$2,area,99,0))</f>
        <v>平衡型</v>
      </c>
      <c r="H43" s="429"/>
      <c r="I43" s="429"/>
      <c r="J43" s="429"/>
      <c r="K43" s="429"/>
      <c r="L43" s="429"/>
      <c r="M43" s="117">
        <v>73</v>
      </c>
      <c r="N43" s="415"/>
      <c r="O43" s="428" t="s">
        <v>1282</v>
      </c>
      <c r="P43" s="423"/>
      <c r="Q43" s="423"/>
      <c r="R43" s="429" t="str">
        <f>IF(VLOOKUP($T$2,area,218,0)="","",VLOOKUP($T$2,area,218,0))</f>
        <v>带</v>
      </c>
      <c r="S43" s="429"/>
      <c r="T43" s="429"/>
      <c r="U43" s="429"/>
      <c r="V43" s="429"/>
      <c r="W43" s="429"/>
      <c r="X43" s="431"/>
      <c r="AD43" s="123" t="s">
        <v>1283</v>
      </c>
      <c r="AE43" s="123">
        <v>219</v>
      </c>
    </row>
    <row r="44" spans="1:31" ht="12.95" customHeight="1">
      <c r="A44" s="109">
        <v>35</v>
      </c>
      <c r="B44" s="415"/>
      <c r="C44" s="422" t="s">
        <v>1499</v>
      </c>
      <c r="D44" s="423"/>
      <c r="E44" s="423"/>
      <c r="F44" s="423"/>
      <c r="G44" s="429">
        <f>IF(VLOOKUP($T$2,area,95,0)="","",VLOOKUP($T$2,area,95,0))</f>
        <v>54</v>
      </c>
      <c r="H44" s="429"/>
      <c r="I44" s="429"/>
      <c r="J44" s="429"/>
      <c r="K44" s="429"/>
      <c r="L44" s="429"/>
      <c r="M44" s="117">
        <v>74</v>
      </c>
      <c r="N44" s="415"/>
      <c r="O44" s="428" t="s">
        <v>1283</v>
      </c>
      <c r="P44" s="423"/>
      <c r="Q44" s="423"/>
      <c r="R44" s="429" t="str">
        <f>IF(VLOOKUP($T$2,area,219,0)="","",VLOOKUP($T$2,area,219,0))</f>
        <v>带</v>
      </c>
      <c r="S44" s="429"/>
      <c r="T44" s="429"/>
      <c r="U44" s="429"/>
      <c r="V44" s="429"/>
      <c r="W44" s="429"/>
      <c r="X44" s="431"/>
      <c r="AD44" s="123" t="s">
        <v>1210</v>
      </c>
      <c r="AE44" s="123">
        <v>220</v>
      </c>
    </row>
    <row r="45" spans="1:31" ht="12.95" customHeight="1">
      <c r="A45" s="109">
        <v>36</v>
      </c>
      <c r="B45" s="415"/>
      <c r="C45" s="422" t="s">
        <v>1468</v>
      </c>
      <c r="D45" s="423"/>
      <c r="E45" s="423"/>
      <c r="F45" s="423"/>
      <c r="G45" s="429" t="str">
        <f>IF(VLOOKUP($T$2,area,100,0)="","",VLOOKUP($T$2,area,100,0))</f>
        <v>410/热处理</v>
      </c>
      <c r="H45" s="429"/>
      <c r="I45" s="429"/>
      <c r="J45" s="429"/>
      <c r="K45" s="429"/>
      <c r="L45" s="429"/>
      <c r="M45" s="117">
        <v>75</v>
      </c>
      <c r="N45" s="415"/>
      <c r="O45" s="422" t="s">
        <v>1432</v>
      </c>
      <c r="P45" s="423"/>
      <c r="Q45" s="423"/>
      <c r="R45" s="429" t="str">
        <f>IF(VLOOKUP($T$2,area,221,0)="","",VLOOKUP($T$2,area,221,0))</f>
        <v>FL</v>
      </c>
      <c r="S45" s="429"/>
      <c r="T45" s="429"/>
      <c r="U45" s="248" t="s">
        <v>1385</v>
      </c>
      <c r="V45" s="429" t="str">
        <f>IF(VLOOKUP($T$2,area,222,0)="","",VLOOKUP($T$2,area,222,0))</f>
        <v/>
      </c>
      <c r="W45" s="429"/>
      <c r="X45" s="431"/>
      <c r="AD45" s="123" t="s">
        <v>1877</v>
      </c>
      <c r="AE45" s="123">
        <v>221</v>
      </c>
    </row>
    <row r="46" spans="1:31" ht="12.95" customHeight="1">
      <c r="A46" s="109">
        <v>37</v>
      </c>
      <c r="B46" s="415"/>
      <c r="C46" s="455" t="s">
        <v>1469</v>
      </c>
      <c r="D46" s="456"/>
      <c r="E46" s="456"/>
      <c r="F46" s="456"/>
      <c r="G46" s="429" t="str">
        <f>IF(VLOOKUP($T$2,area,102,0)="","",VLOOKUP($T$2,area,102,0))</f>
        <v>410/热处理</v>
      </c>
      <c r="H46" s="429"/>
      <c r="I46" s="429"/>
      <c r="J46" s="429"/>
      <c r="K46" s="429"/>
      <c r="L46" s="429"/>
      <c r="M46" s="117">
        <v>76</v>
      </c>
      <c r="N46" s="415"/>
      <c r="O46" s="428"/>
      <c r="P46" s="423"/>
      <c r="Q46" s="423"/>
      <c r="R46" s="429"/>
      <c r="S46" s="429"/>
      <c r="T46" s="429"/>
      <c r="U46" s="429"/>
      <c r="V46" s="429"/>
      <c r="W46" s="429"/>
      <c r="X46" s="431"/>
      <c r="AD46" s="123" t="s">
        <v>1878</v>
      </c>
      <c r="AE46" s="123">
        <v>222</v>
      </c>
    </row>
    <row r="47" spans="1:31" ht="12.95" customHeight="1">
      <c r="A47" s="109">
        <v>38</v>
      </c>
      <c r="B47" s="415"/>
      <c r="C47" s="422" t="s">
        <v>1472</v>
      </c>
      <c r="D47" s="423"/>
      <c r="E47" s="423"/>
      <c r="F47" s="423"/>
      <c r="G47" s="429" t="str">
        <f>IF(VLOOKUP($T$2,area,103,0)="","",VLOOKUP($T$2,area,103,0))</f>
        <v>410/热处理</v>
      </c>
      <c r="H47" s="429"/>
      <c r="I47" s="429"/>
      <c r="J47" s="429"/>
      <c r="K47" s="429"/>
      <c r="L47" s="429"/>
      <c r="M47" s="117">
        <v>77</v>
      </c>
      <c r="N47" s="415"/>
      <c r="O47" s="428"/>
      <c r="P47" s="423"/>
      <c r="Q47" s="423"/>
      <c r="R47" s="429"/>
      <c r="S47" s="429"/>
      <c r="T47" s="429"/>
      <c r="U47" s="429"/>
      <c r="V47" s="429"/>
      <c r="W47" s="429"/>
      <c r="X47" s="431"/>
    </row>
    <row r="48" spans="1:31" ht="12.95" customHeight="1">
      <c r="A48" s="109">
        <v>39</v>
      </c>
      <c r="B48" s="415"/>
      <c r="C48" s="422" t="s">
        <v>1475</v>
      </c>
      <c r="D48" s="423"/>
      <c r="E48" s="423"/>
      <c r="F48" s="423"/>
      <c r="G48" s="429">
        <f>IF(VLOOKUP($T$2,area,106,0)="","",VLOOKUP($T$2,area,106,0))</f>
        <v>316</v>
      </c>
      <c r="H48" s="429"/>
      <c r="I48" s="429"/>
      <c r="J48" s="429"/>
      <c r="K48" s="429"/>
      <c r="L48" s="429"/>
      <c r="M48" s="117">
        <v>78</v>
      </c>
      <c r="N48" s="415"/>
      <c r="O48" s="428"/>
      <c r="P48" s="423"/>
      <c r="Q48" s="423"/>
      <c r="R48" s="429"/>
      <c r="S48" s="429"/>
      <c r="T48" s="429"/>
      <c r="U48" s="429"/>
      <c r="V48" s="429"/>
      <c r="W48" s="429"/>
      <c r="X48" s="431"/>
    </row>
    <row r="49" spans="1:24" ht="12.95" customHeight="1">
      <c r="A49" s="109">
        <v>40</v>
      </c>
      <c r="B49" s="416"/>
      <c r="C49" s="422" t="s">
        <v>1478</v>
      </c>
      <c r="D49" s="423"/>
      <c r="E49" s="423"/>
      <c r="F49" s="423"/>
      <c r="G49" s="429" t="str">
        <f>IF(VLOOKUP($T$2,area,105,0)="","",VLOOKUP($T$2,area,105,0))</f>
        <v>R.TFE/316L</v>
      </c>
      <c r="H49" s="429"/>
      <c r="I49" s="429"/>
      <c r="J49" s="429"/>
      <c r="K49" s="429"/>
      <c r="L49" s="429"/>
      <c r="M49" s="117">
        <v>79</v>
      </c>
      <c r="N49" s="415"/>
      <c r="O49" s="428"/>
      <c r="P49" s="423"/>
      <c r="Q49" s="423"/>
      <c r="R49" s="429"/>
      <c r="S49" s="429"/>
      <c r="T49" s="429"/>
      <c r="U49" s="429"/>
      <c r="V49" s="429"/>
      <c r="W49" s="429"/>
      <c r="X49" s="431"/>
    </row>
    <row r="50" spans="1:24" ht="12.95" customHeight="1">
      <c r="A50" s="109">
        <v>41</v>
      </c>
      <c r="B50" s="418" t="s">
        <v>1500</v>
      </c>
      <c r="C50" s="428"/>
      <c r="D50" s="423"/>
      <c r="E50" s="423"/>
      <c r="F50" s="429"/>
      <c r="G50" s="429"/>
      <c r="H50" s="429"/>
      <c r="I50" s="429"/>
      <c r="J50" s="429"/>
      <c r="K50" s="429"/>
      <c r="L50" s="430"/>
      <c r="M50" s="117">
        <v>80</v>
      </c>
      <c r="N50" s="416"/>
      <c r="O50" s="428"/>
      <c r="P50" s="423"/>
      <c r="Q50" s="423"/>
      <c r="R50" s="429"/>
      <c r="S50" s="429"/>
      <c r="T50" s="429"/>
      <c r="U50" s="429"/>
      <c r="V50" s="429"/>
      <c r="W50" s="429"/>
      <c r="X50" s="431"/>
    </row>
    <row r="51" spans="1:24" ht="12.95" customHeight="1">
      <c r="A51" s="109">
        <v>42</v>
      </c>
      <c r="B51" s="419"/>
      <c r="C51" s="428"/>
      <c r="D51" s="423"/>
      <c r="E51" s="423"/>
      <c r="F51" s="429"/>
      <c r="G51" s="429"/>
      <c r="H51" s="429"/>
      <c r="I51" s="429"/>
      <c r="J51" s="429"/>
      <c r="K51" s="429"/>
      <c r="L51" s="430"/>
      <c r="M51" s="117">
        <v>81</v>
      </c>
      <c r="N51" s="414" t="s">
        <v>1470</v>
      </c>
      <c r="O51" s="422" t="s">
        <v>1471</v>
      </c>
      <c r="P51" s="423"/>
      <c r="Q51" s="423"/>
      <c r="R51" s="429" t="str">
        <f>IF(VLOOKUP($T$2,area,89,0)="","",VLOOKUP($T$2,area,89,0))</f>
        <v>ANSI CLASS IV</v>
      </c>
      <c r="S51" s="429"/>
      <c r="T51" s="429"/>
      <c r="U51" s="429"/>
      <c r="V51" s="429"/>
      <c r="W51" s="429"/>
      <c r="X51" s="431"/>
    </row>
    <row r="52" spans="1:24" ht="12.95" customHeight="1">
      <c r="A52" s="109">
        <v>43</v>
      </c>
      <c r="B52" s="419"/>
      <c r="C52" s="428"/>
      <c r="D52" s="423"/>
      <c r="E52" s="423"/>
      <c r="F52" s="429"/>
      <c r="G52" s="429"/>
      <c r="H52" s="429"/>
      <c r="I52" s="429"/>
      <c r="J52" s="429"/>
      <c r="K52" s="429"/>
      <c r="L52" s="430"/>
      <c r="M52" s="117">
        <v>82</v>
      </c>
      <c r="N52" s="415"/>
      <c r="O52" s="428" t="s">
        <v>1197</v>
      </c>
      <c r="P52" s="423"/>
      <c r="Q52" s="423"/>
      <c r="R52" s="429" t="s">
        <v>1473</v>
      </c>
      <c r="S52" s="429"/>
      <c r="T52" s="129" t="s">
        <v>1474</v>
      </c>
      <c r="U52" s="441">
        <f>IF(VLOOKUP($T$2,area,107,0)="","",VLOOKUP($T$2,area,107,0))</f>
        <v>20</v>
      </c>
      <c r="V52" s="441"/>
      <c r="W52" s="441"/>
      <c r="X52" s="442"/>
    </row>
    <row r="53" spans="1:24" ht="12.95" customHeight="1">
      <c r="A53" s="109">
        <v>44</v>
      </c>
      <c r="B53" s="419"/>
      <c r="C53" s="428"/>
      <c r="D53" s="423"/>
      <c r="E53" s="423"/>
      <c r="F53" s="429"/>
      <c r="G53" s="429"/>
      <c r="H53" s="429"/>
      <c r="I53" s="429"/>
      <c r="J53" s="429"/>
      <c r="K53" s="429"/>
      <c r="L53" s="430"/>
      <c r="M53" s="117">
        <v>83</v>
      </c>
      <c r="N53" s="416"/>
      <c r="O53" s="422" t="s">
        <v>1476</v>
      </c>
      <c r="P53" s="506"/>
      <c r="Q53" s="506"/>
      <c r="R53" s="429" t="s">
        <v>1473</v>
      </c>
      <c r="S53" s="429"/>
      <c r="T53" s="129" t="s">
        <v>1477</v>
      </c>
      <c r="U53" s="441">
        <f>IF(VLOOKUP($T$2,area,108,0)="","",VLOOKUP($T$2,area,108,0))</f>
        <v>20</v>
      </c>
      <c r="V53" s="506"/>
      <c r="W53" s="506"/>
      <c r="X53" s="507"/>
    </row>
    <row r="54" spans="1:24" ht="12.95" customHeight="1">
      <c r="A54" s="109">
        <v>45</v>
      </c>
      <c r="B54" s="419"/>
      <c r="C54" s="422"/>
      <c r="D54" s="423"/>
      <c r="E54" s="423"/>
      <c r="F54" s="429"/>
      <c r="G54" s="429"/>
      <c r="H54" s="429"/>
      <c r="I54" s="429"/>
      <c r="J54" s="429"/>
      <c r="K54" s="429"/>
      <c r="L54" s="430"/>
      <c r="M54" s="117">
        <v>84</v>
      </c>
      <c r="N54" s="418" t="s">
        <v>1488</v>
      </c>
      <c r="O54" s="126">
        <v>7</v>
      </c>
      <c r="P54" s="422" t="str">
        <f>IF(VLOOKUP($T$2,area,187,0)="","",VLOOKUP($T$2,area,187,0))</f>
        <v/>
      </c>
      <c r="Q54" s="423"/>
      <c r="R54" s="423"/>
      <c r="S54" s="424"/>
      <c r="T54" s="126">
        <v>10</v>
      </c>
      <c r="U54" s="440" t="str">
        <f>IF(VLOOKUP($T$2,area,191,0)="","",VLOOKUP($T$2,area,191,0))</f>
        <v/>
      </c>
      <c r="V54" s="441"/>
      <c r="W54" s="441"/>
      <c r="X54" s="442"/>
    </row>
    <row r="55" spans="1:24" ht="12.95" customHeight="1">
      <c r="A55" s="109">
        <v>46</v>
      </c>
      <c r="B55" s="419"/>
      <c r="C55" s="428"/>
      <c r="D55" s="423"/>
      <c r="E55" s="423"/>
      <c r="F55" s="429"/>
      <c r="G55" s="429"/>
      <c r="H55" s="429"/>
      <c r="I55" s="429"/>
      <c r="J55" s="429"/>
      <c r="K55" s="429"/>
      <c r="L55" s="430"/>
      <c r="M55" s="117">
        <v>85</v>
      </c>
      <c r="N55" s="419"/>
      <c r="O55" s="126">
        <v>8</v>
      </c>
      <c r="P55" s="422" t="str">
        <f>IF(VLOOKUP($T$2,area,188,0)="","",VLOOKUP($T$2,area,188,0))</f>
        <v/>
      </c>
      <c r="Q55" s="423"/>
      <c r="R55" s="423"/>
      <c r="S55" s="424"/>
      <c r="T55" s="126">
        <v>11</v>
      </c>
      <c r="U55" s="440" t="str">
        <f>IF(VLOOKUP($T$2,area,192,0)="","",VLOOKUP($T$2,area,192,0))</f>
        <v/>
      </c>
      <c r="V55" s="441"/>
      <c r="W55" s="441"/>
      <c r="X55" s="442"/>
    </row>
    <row r="56" spans="1:24" ht="12.95" customHeight="1">
      <c r="A56" s="109">
        <v>47</v>
      </c>
      <c r="B56" s="420"/>
      <c r="C56" s="428"/>
      <c r="D56" s="423"/>
      <c r="E56" s="423"/>
      <c r="F56" s="429"/>
      <c r="G56" s="429"/>
      <c r="H56" s="429"/>
      <c r="I56" s="429"/>
      <c r="J56" s="429"/>
      <c r="K56" s="429"/>
      <c r="L56" s="430"/>
      <c r="M56" s="118">
        <v>86</v>
      </c>
      <c r="N56" s="420"/>
      <c r="O56" s="126">
        <v>9</v>
      </c>
      <c r="P56" s="422" t="str">
        <f>IF(VLOOKUP($T$2,area,189,0)="","",VLOOKUP($T$2,area,189,0)&amp;"  "&amp;"法兰距"&amp;VLOOKUP($T$2,area,190,0))</f>
        <v/>
      </c>
      <c r="Q56" s="423"/>
      <c r="R56" s="423"/>
      <c r="S56" s="424"/>
      <c r="T56" s="126">
        <v>12</v>
      </c>
      <c r="U56" s="440" t="str">
        <f>IF(VLOOKUP($T$2,area,193,0)="","",VLOOKUP($T$2,area,193,0))</f>
        <v/>
      </c>
      <c r="V56" s="441"/>
      <c r="W56" s="441"/>
      <c r="X56" s="442"/>
    </row>
    <row r="57" spans="1:24" ht="12.95" customHeight="1">
      <c r="A57" s="109">
        <v>48</v>
      </c>
      <c r="B57" s="418" t="s">
        <v>1488</v>
      </c>
      <c r="C57" s="126">
        <v>1</v>
      </c>
      <c r="D57" s="422" t="str">
        <f>IF(VLOOKUP($T$2,area,181,0)="","",VLOOKUP($T$2,area,181,0))</f>
        <v/>
      </c>
      <c r="E57" s="423"/>
      <c r="F57" s="423"/>
      <c r="G57" s="424"/>
      <c r="H57" s="124">
        <v>4</v>
      </c>
      <c r="I57" s="422" t="str">
        <f>IF(VLOOKUP($T$2,area,184,0)="","",VLOOKUP($T$2,area,184,0))</f>
        <v/>
      </c>
      <c r="J57" s="423"/>
      <c r="K57" s="423"/>
      <c r="L57" s="425"/>
      <c r="M57" s="118" t="s">
        <v>1489</v>
      </c>
      <c r="N57" s="443" t="s">
        <v>1392</v>
      </c>
      <c r="O57" s="444"/>
      <c r="P57" s="443" t="s">
        <v>1490</v>
      </c>
      <c r="Q57" s="445"/>
      <c r="R57" s="445"/>
      <c r="S57" s="445"/>
      <c r="T57" s="444"/>
      <c r="U57" s="443" t="s">
        <v>1491</v>
      </c>
      <c r="V57" s="444"/>
      <c r="W57" s="443" t="s">
        <v>1492</v>
      </c>
      <c r="X57" s="446"/>
    </row>
    <row r="58" spans="1:24" ht="12.95" customHeight="1">
      <c r="A58" s="109">
        <v>49</v>
      </c>
      <c r="B58" s="419"/>
      <c r="C58" s="126">
        <v>2</v>
      </c>
      <c r="D58" s="422" t="str">
        <f>IF(VLOOKUP($T$2,area,182,0)="","",VLOOKUP($T$2,area,182,0))</f>
        <v/>
      </c>
      <c r="E58" s="423"/>
      <c r="F58" s="423"/>
      <c r="G58" s="424"/>
      <c r="H58" s="124">
        <v>5</v>
      </c>
      <c r="I58" s="422" t="str">
        <f>IF(VLOOKUP($T$2,area,185,0)="","",VLOOKUP($T$2,area,185,0))</f>
        <v/>
      </c>
      <c r="J58" s="423"/>
      <c r="K58" s="423"/>
      <c r="L58" s="425"/>
      <c r="M58" s="119"/>
      <c r="N58" s="426"/>
      <c r="O58" s="427"/>
      <c r="P58" s="426"/>
      <c r="Q58" s="429"/>
      <c r="R58" s="429"/>
      <c r="S58" s="429"/>
      <c r="T58" s="427"/>
      <c r="U58" s="426"/>
      <c r="V58" s="427"/>
      <c r="W58" s="426"/>
      <c r="X58" s="431"/>
    </row>
    <row r="59" spans="1:24" ht="12.95" customHeight="1">
      <c r="A59" s="114">
        <v>50</v>
      </c>
      <c r="B59" s="421"/>
      <c r="C59" s="127">
        <v>3</v>
      </c>
      <c r="D59" s="432" t="str">
        <f>IF(VLOOKUP($T$2,area,183,0)="","",VLOOKUP($T$2,area,183,0))</f>
        <v/>
      </c>
      <c r="E59" s="433"/>
      <c r="F59" s="433"/>
      <c r="G59" s="434"/>
      <c r="H59" s="127">
        <v>6</v>
      </c>
      <c r="I59" s="432" t="str">
        <f>IF(VLOOKUP($T$2,area,186,0)="","",VLOOKUP($T$2,area,186,0))</f>
        <v>不锈钢配管、接头、支架</v>
      </c>
      <c r="J59" s="433"/>
      <c r="K59" s="433"/>
      <c r="L59" s="435"/>
      <c r="M59" s="120"/>
      <c r="N59" s="436"/>
      <c r="O59" s="437"/>
      <c r="P59" s="436"/>
      <c r="Q59" s="438"/>
      <c r="R59" s="438"/>
      <c r="S59" s="438"/>
      <c r="T59" s="437"/>
      <c r="U59" s="436"/>
      <c r="V59" s="437"/>
      <c r="W59" s="436"/>
      <c r="X59" s="439"/>
    </row>
  </sheetData>
  <mergeCells count="321">
    <mergeCell ref="A1:X1"/>
    <mergeCell ref="F2:G2"/>
    <mergeCell ref="H2:P2"/>
    <mergeCell ref="Q2:S2"/>
    <mergeCell ref="T2:U2"/>
    <mergeCell ref="W2:X2"/>
    <mergeCell ref="F3:G3"/>
    <mergeCell ref="H3:P3"/>
    <mergeCell ref="Q3:S3"/>
    <mergeCell ref="T3:X3"/>
    <mergeCell ref="F6:G6"/>
    <mergeCell ref="H6:P6"/>
    <mergeCell ref="Q6:S6"/>
    <mergeCell ref="T6:X6"/>
    <mergeCell ref="C7:D7"/>
    <mergeCell ref="E7:J7"/>
    <mergeCell ref="K7:M7"/>
    <mergeCell ref="N7:O7"/>
    <mergeCell ref="P7:Q7"/>
    <mergeCell ref="R7:T7"/>
    <mergeCell ref="U7:V7"/>
    <mergeCell ref="W7:X7"/>
    <mergeCell ref="A2:E6"/>
    <mergeCell ref="F4:G4"/>
    <mergeCell ref="H4:P4"/>
    <mergeCell ref="Q4:S4"/>
    <mergeCell ref="T4:X4"/>
    <mergeCell ref="F5:G5"/>
    <mergeCell ref="H5:K5"/>
    <mergeCell ref="O5:P5"/>
    <mergeCell ref="Q5:S5"/>
    <mergeCell ref="T5:X5"/>
    <mergeCell ref="B7:B20"/>
    <mergeCell ref="C8:D8"/>
    <mergeCell ref="E8:G8"/>
    <mergeCell ref="H8:I8"/>
    <mergeCell ref="J8:L8"/>
    <mergeCell ref="M8:O8"/>
    <mergeCell ref="P8:R8"/>
    <mergeCell ref="S8:U8"/>
    <mergeCell ref="V8:X8"/>
    <mergeCell ref="C9:G9"/>
    <mergeCell ref="H9:I9"/>
    <mergeCell ref="J9:L9"/>
    <mergeCell ref="M9:O9"/>
    <mergeCell ref="P9:R9"/>
    <mergeCell ref="S9:U9"/>
    <mergeCell ref="V9:X9"/>
    <mergeCell ref="C10:G10"/>
    <mergeCell ref="H10:I10"/>
    <mergeCell ref="J10:L10"/>
    <mergeCell ref="M10:O10"/>
    <mergeCell ref="P10:R10"/>
    <mergeCell ref="S10:U10"/>
    <mergeCell ref="V10:X10"/>
    <mergeCell ref="C11:G11"/>
    <mergeCell ref="H11:I11"/>
    <mergeCell ref="J11:L11"/>
    <mergeCell ref="M11:O11"/>
    <mergeCell ref="P11:R11"/>
    <mergeCell ref="S11:U11"/>
    <mergeCell ref="V11:X11"/>
    <mergeCell ref="C12:G12"/>
    <mergeCell ref="H12:I12"/>
    <mergeCell ref="J12:L12"/>
    <mergeCell ref="M12:O12"/>
    <mergeCell ref="P12:R12"/>
    <mergeCell ref="S12:U12"/>
    <mergeCell ref="V12:X12"/>
    <mergeCell ref="C13:G13"/>
    <mergeCell ref="H13:I13"/>
    <mergeCell ref="J13:L13"/>
    <mergeCell ref="M13:O13"/>
    <mergeCell ref="P13:R13"/>
    <mergeCell ref="S13:U13"/>
    <mergeCell ref="V13:X13"/>
    <mergeCell ref="C14:G14"/>
    <mergeCell ref="H14:I14"/>
    <mergeCell ref="J14:L14"/>
    <mergeCell ref="M14:O14"/>
    <mergeCell ref="P14:R14"/>
    <mergeCell ref="S14:U14"/>
    <mergeCell ref="V14:X14"/>
    <mergeCell ref="C15:G15"/>
    <mergeCell ref="H15:I15"/>
    <mergeCell ref="J15:L15"/>
    <mergeCell ref="M15:O15"/>
    <mergeCell ref="P15:R15"/>
    <mergeCell ref="S15:U15"/>
    <mergeCell ref="V15:X15"/>
    <mergeCell ref="C16:G16"/>
    <mergeCell ref="H16:I16"/>
    <mergeCell ref="J16:L16"/>
    <mergeCell ref="M16:O16"/>
    <mergeCell ref="P16:R16"/>
    <mergeCell ref="S16:U16"/>
    <mergeCell ref="V16:X16"/>
    <mergeCell ref="C17:G17"/>
    <mergeCell ref="H17:I17"/>
    <mergeCell ref="J17:L17"/>
    <mergeCell ref="M17:O17"/>
    <mergeCell ref="P17:R17"/>
    <mergeCell ref="S17:U17"/>
    <mergeCell ref="V17:X17"/>
    <mergeCell ref="C18:G18"/>
    <mergeCell ref="H18:I18"/>
    <mergeCell ref="J18:L18"/>
    <mergeCell ref="M18:O18"/>
    <mergeCell ref="P18:R18"/>
    <mergeCell ref="S18:U18"/>
    <mergeCell ref="V18:X18"/>
    <mergeCell ref="C19:G19"/>
    <mergeCell ref="H19:I19"/>
    <mergeCell ref="J19:L19"/>
    <mergeCell ref="M19:O19"/>
    <mergeCell ref="P19:R19"/>
    <mergeCell ref="S19:U19"/>
    <mergeCell ref="V19:X19"/>
    <mergeCell ref="C20:G20"/>
    <mergeCell ref="H20:I20"/>
    <mergeCell ref="J20:L20"/>
    <mergeCell ref="M20:O20"/>
    <mergeCell ref="P20:R20"/>
    <mergeCell ref="S20:U20"/>
    <mergeCell ref="V20:X20"/>
    <mergeCell ref="C21:F21"/>
    <mergeCell ref="G21:I21"/>
    <mergeCell ref="J21:L21"/>
    <mergeCell ref="O21:Q21"/>
    <mergeCell ref="R21:T21"/>
    <mergeCell ref="U21:X21"/>
    <mergeCell ref="C22:F22"/>
    <mergeCell ref="G22:I22"/>
    <mergeCell ref="J22:L22"/>
    <mergeCell ref="O22:Q22"/>
    <mergeCell ref="R22:S22"/>
    <mergeCell ref="U22:X22"/>
    <mergeCell ref="C23:F23"/>
    <mergeCell ref="G23:I23"/>
    <mergeCell ref="J23:L23"/>
    <mergeCell ref="O23:Q23"/>
    <mergeCell ref="R23:X23"/>
    <mergeCell ref="C24:F24"/>
    <mergeCell ref="G24:I24"/>
    <mergeCell ref="J24:L24"/>
    <mergeCell ref="O24:Q24"/>
    <mergeCell ref="R24:X24"/>
    <mergeCell ref="C25:E25"/>
    <mergeCell ref="G25:L25"/>
    <mergeCell ref="O25:P25"/>
    <mergeCell ref="R25:X25"/>
    <mergeCell ref="C26:E26"/>
    <mergeCell ref="G26:L26"/>
    <mergeCell ref="O26:P26"/>
    <mergeCell ref="R26:X26"/>
    <mergeCell ref="C27:E27"/>
    <mergeCell ref="G27:L27"/>
    <mergeCell ref="O27:Q27"/>
    <mergeCell ref="R27:X27"/>
    <mergeCell ref="C28:D28"/>
    <mergeCell ref="E28:F28"/>
    <mergeCell ref="G28:I28"/>
    <mergeCell ref="J28:L28"/>
    <mergeCell ref="O28:Q28"/>
    <mergeCell ref="R28:X28"/>
    <mergeCell ref="C29:D29"/>
    <mergeCell ref="E29:F29"/>
    <mergeCell ref="G29:I29"/>
    <mergeCell ref="J29:L29"/>
    <mergeCell ref="O29:P29"/>
    <mergeCell ref="R29:X29"/>
    <mergeCell ref="C30:F30"/>
    <mergeCell ref="G30:I30"/>
    <mergeCell ref="J30:L30"/>
    <mergeCell ref="O30:Q30"/>
    <mergeCell ref="R30:X30"/>
    <mergeCell ref="C31:F31"/>
    <mergeCell ref="G31:I31"/>
    <mergeCell ref="J31:L31"/>
    <mergeCell ref="O31:Q31"/>
    <mergeCell ref="R31:X31"/>
    <mergeCell ref="C32:E32"/>
    <mergeCell ref="F32:L32"/>
    <mergeCell ref="O32:Q32"/>
    <mergeCell ref="R32:X32"/>
    <mergeCell ref="C33:E33"/>
    <mergeCell ref="F33:L33"/>
    <mergeCell ref="O33:Q33"/>
    <mergeCell ref="R33:X33"/>
    <mergeCell ref="C34:E34"/>
    <mergeCell ref="F34:H34"/>
    <mergeCell ref="J34:L34"/>
    <mergeCell ref="O34:Q34"/>
    <mergeCell ref="R34:X34"/>
    <mergeCell ref="C35:E35"/>
    <mergeCell ref="F35:L35"/>
    <mergeCell ref="O35:Q35"/>
    <mergeCell ref="R35:X35"/>
    <mergeCell ref="C36:E36"/>
    <mergeCell ref="F36:L36"/>
    <mergeCell ref="O36:Q36"/>
    <mergeCell ref="R36:X36"/>
    <mergeCell ref="C37:E37"/>
    <mergeCell ref="F37:L37"/>
    <mergeCell ref="O37:Q37"/>
    <mergeCell ref="R37:X37"/>
    <mergeCell ref="C38:E38"/>
    <mergeCell ref="F38:G38"/>
    <mergeCell ref="I38:L38"/>
    <mergeCell ref="O38:Q38"/>
    <mergeCell ref="R38:X38"/>
    <mergeCell ref="C39:E39"/>
    <mergeCell ref="F39:H39"/>
    <mergeCell ref="J39:L39"/>
    <mergeCell ref="O39:Q39"/>
    <mergeCell ref="R39:X39"/>
    <mergeCell ref="C40:F40"/>
    <mergeCell ref="G40:L40"/>
    <mergeCell ref="O40:Q40"/>
    <mergeCell ref="R40:X40"/>
    <mergeCell ref="C41:F41"/>
    <mergeCell ref="G41:I41"/>
    <mergeCell ref="K41:L41"/>
    <mergeCell ref="O41:Q41"/>
    <mergeCell ref="R41:X41"/>
    <mergeCell ref="O45:Q45"/>
    <mergeCell ref="R45:T45"/>
    <mergeCell ref="V45:X45"/>
    <mergeCell ref="C46:F46"/>
    <mergeCell ref="G46:L46"/>
    <mergeCell ref="O46:Q46"/>
    <mergeCell ref="R46:X46"/>
    <mergeCell ref="C42:F42"/>
    <mergeCell ref="G42:L42"/>
    <mergeCell ref="O42:Q42"/>
    <mergeCell ref="R42:X42"/>
    <mergeCell ref="C43:F43"/>
    <mergeCell ref="G43:L43"/>
    <mergeCell ref="O43:Q43"/>
    <mergeCell ref="R43:X43"/>
    <mergeCell ref="C44:F44"/>
    <mergeCell ref="G44:L44"/>
    <mergeCell ref="O44:Q44"/>
    <mergeCell ref="R44:X44"/>
    <mergeCell ref="R47:X47"/>
    <mergeCell ref="C48:F48"/>
    <mergeCell ref="G48:L48"/>
    <mergeCell ref="O48:Q48"/>
    <mergeCell ref="R48:X48"/>
    <mergeCell ref="C49:F49"/>
    <mergeCell ref="G49:L49"/>
    <mergeCell ref="O49:Q49"/>
    <mergeCell ref="R49:X49"/>
    <mergeCell ref="R52:S52"/>
    <mergeCell ref="U52:X52"/>
    <mergeCell ref="C53:E53"/>
    <mergeCell ref="F53:J53"/>
    <mergeCell ref="K53:L53"/>
    <mergeCell ref="O53:Q53"/>
    <mergeCell ref="R53:S53"/>
    <mergeCell ref="U53:X53"/>
    <mergeCell ref="C50:E50"/>
    <mergeCell ref="F50:J50"/>
    <mergeCell ref="K50:L50"/>
    <mergeCell ref="O50:Q50"/>
    <mergeCell ref="R50:X50"/>
    <mergeCell ref="C51:E51"/>
    <mergeCell ref="F51:J51"/>
    <mergeCell ref="K51:L51"/>
    <mergeCell ref="O51:Q51"/>
    <mergeCell ref="R51:X51"/>
    <mergeCell ref="C54:E54"/>
    <mergeCell ref="F54:J54"/>
    <mergeCell ref="K54:L54"/>
    <mergeCell ref="P54:S54"/>
    <mergeCell ref="U54:X54"/>
    <mergeCell ref="C55:E55"/>
    <mergeCell ref="F55:J55"/>
    <mergeCell ref="K55:L55"/>
    <mergeCell ref="P55:S55"/>
    <mergeCell ref="U55:X55"/>
    <mergeCell ref="U58:V58"/>
    <mergeCell ref="W58:X58"/>
    <mergeCell ref="D59:G59"/>
    <mergeCell ref="I59:L59"/>
    <mergeCell ref="N59:O59"/>
    <mergeCell ref="P59:T59"/>
    <mergeCell ref="U59:V59"/>
    <mergeCell ref="W59:X59"/>
    <mergeCell ref="P56:S56"/>
    <mergeCell ref="U56:X56"/>
    <mergeCell ref="D57:G57"/>
    <mergeCell ref="I57:L57"/>
    <mergeCell ref="N57:O57"/>
    <mergeCell ref="P57:T57"/>
    <mergeCell ref="U57:V57"/>
    <mergeCell ref="W57:X57"/>
    <mergeCell ref="B21:B23"/>
    <mergeCell ref="B24:B38"/>
    <mergeCell ref="B40:B49"/>
    <mergeCell ref="B50:B56"/>
    <mergeCell ref="B57:B59"/>
    <mergeCell ref="N21:N50"/>
    <mergeCell ref="N51:N53"/>
    <mergeCell ref="N54:N56"/>
    <mergeCell ref="D58:G58"/>
    <mergeCell ref="I58:L58"/>
    <mergeCell ref="N58:O58"/>
    <mergeCell ref="C56:E56"/>
    <mergeCell ref="F56:J56"/>
    <mergeCell ref="K56:L56"/>
    <mergeCell ref="C52:E52"/>
    <mergeCell ref="F52:J52"/>
    <mergeCell ref="K52:L52"/>
    <mergeCell ref="O52:Q52"/>
    <mergeCell ref="C47:F47"/>
    <mergeCell ref="G47:L47"/>
    <mergeCell ref="O47:Q47"/>
    <mergeCell ref="C45:F45"/>
    <mergeCell ref="G45:L45"/>
    <mergeCell ref="P58:T58"/>
  </mergeCells>
  <phoneticPr fontId="107" type="noConversion"/>
  <dataValidations count="3">
    <dataValidation type="list" allowBlank="1" showInputMessage="1" showErrorMessage="1" sqref="M5" xr:uid="{00000000-0002-0000-0700-000000000000}">
      <formula1>"0,1,2,3,4"</formula1>
    </dataValidation>
    <dataValidation type="list" allowBlank="1" showInputMessage="1" showErrorMessage="1" sqref="F26" xr:uid="{00000000-0002-0000-0700-000001000000}">
      <formula1>"°C,°F"</formula1>
    </dataValidation>
    <dataValidation type="list" allowBlank="1" showInputMessage="1" showErrorMessage="1" sqref="F42" xr:uid="{00000000-0002-0000-0700-000002000000}">
      <formula1>"线性,等百分比,近似等百分比,固有特性"</formula1>
    </dataValidation>
  </dataValidations>
  <printOptions horizontalCentered="1"/>
  <pageMargins left="7.8740157480315001E-2" right="7.8740157480315001E-2" top="0.196850393700787" bottom="0.196850393700787" header="0.31496062992126" footer="0.31496062992126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Drop Down 1">
              <controlPr locked="0" defaultSize="0" autoPict="0">
                <anchor moveWithCells="1">
                  <from>
                    <xdr:col>25</xdr:col>
                    <xdr:colOff>38100</xdr:colOff>
                    <xdr:row>1</xdr:row>
                    <xdr:rowOff>19050</xdr:rowOff>
                  </from>
                  <to>
                    <xdr:col>28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Pict="0" macro="[0]!打印全部">
                <anchor moveWithCells="1" sizeWithCells="1">
                  <from>
                    <xdr:col>25</xdr:col>
                    <xdr:colOff>38100</xdr:colOff>
                    <xdr:row>7</xdr:row>
                    <xdr:rowOff>104775</xdr:rowOff>
                  </from>
                  <to>
                    <xdr:col>29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Button 4">
              <controlPr defaultSize="0" print="0" autoPict="0" macro="[0]!打印当前页">
                <anchor moveWithCells="1" sizeWithCells="1">
                  <from>
                    <xdr:col>25</xdr:col>
                    <xdr:colOff>38100</xdr:colOff>
                    <xdr:row>9</xdr:row>
                    <xdr:rowOff>114300</xdr:rowOff>
                  </from>
                  <to>
                    <xdr:col>29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7" name="Drop Down 6">
              <controlPr locked="0" defaultSize="0" autoPict="0">
                <anchor moveWithCells="1">
                  <from>
                    <xdr:col>29</xdr:col>
                    <xdr:colOff>0</xdr:colOff>
                    <xdr:row>1</xdr:row>
                    <xdr:rowOff>47625</xdr:rowOff>
                  </from>
                  <to>
                    <xdr:col>29</xdr:col>
                    <xdr:colOff>714375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X59"/>
  <sheetViews>
    <sheetView workbookViewId="0">
      <selection activeCell="F35" sqref="F35:L35"/>
    </sheetView>
  </sheetViews>
  <sheetFormatPr defaultColWidth="9.125" defaultRowHeight="14.25"/>
  <cols>
    <col min="1" max="3" width="4.125" customWidth="1"/>
    <col min="4" max="4" width="3.625" customWidth="1"/>
    <col min="5" max="5" width="4.125" customWidth="1"/>
    <col min="6" max="6" width="6.75" customWidth="1"/>
    <col min="7" max="7" width="3.625" customWidth="1"/>
    <col min="8" max="8" width="4.125" customWidth="1"/>
    <col min="9" max="9" width="3.625" customWidth="1"/>
    <col min="10" max="11" width="4.125" customWidth="1"/>
    <col min="12" max="12" width="3.625" customWidth="1"/>
    <col min="13" max="13" width="4.125" customWidth="1"/>
    <col min="14" max="15" width="3.625" customWidth="1"/>
    <col min="16" max="16" width="4.125" customWidth="1"/>
    <col min="17" max="18" width="3.625" customWidth="1"/>
    <col min="19" max="20" width="4.125" customWidth="1"/>
    <col min="21" max="21" width="3.625" customWidth="1"/>
    <col min="22" max="23" width="4.125" customWidth="1"/>
    <col min="24" max="24" width="3.625" customWidth="1"/>
    <col min="25" max="29" width="4.125" customWidth="1"/>
    <col min="30" max="30" width="6.75" customWidth="1"/>
    <col min="31" max="48" width="4.125" customWidth="1"/>
    <col min="49" max="51" width="4.625" customWidth="1"/>
    <col min="257" max="261" width="4.125" customWidth="1"/>
    <col min="262" max="262" width="6.75" customWidth="1"/>
    <col min="263" max="285" width="4.125" customWidth="1"/>
    <col min="286" max="286" width="6.75" customWidth="1"/>
    <col min="287" max="304" width="4.125" customWidth="1"/>
    <col min="305" max="307" width="4.625" customWidth="1"/>
    <col min="513" max="517" width="4.125" customWidth="1"/>
    <col min="518" max="518" width="6.75" customWidth="1"/>
    <col min="519" max="541" width="4.125" customWidth="1"/>
    <col min="542" max="542" width="6.75" customWidth="1"/>
    <col min="543" max="560" width="4.125" customWidth="1"/>
    <col min="561" max="563" width="4.625" customWidth="1"/>
    <col min="769" max="773" width="4.125" customWidth="1"/>
    <col min="774" max="774" width="6.75" customWidth="1"/>
    <col min="775" max="797" width="4.125" customWidth="1"/>
    <col min="798" max="798" width="6.75" customWidth="1"/>
    <col min="799" max="816" width="4.125" customWidth="1"/>
    <col min="817" max="819" width="4.625" customWidth="1"/>
    <col min="1025" max="1029" width="4.125" customWidth="1"/>
    <col min="1030" max="1030" width="6.75" customWidth="1"/>
    <col min="1031" max="1053" width="4.125" customWidth="1"/>
    <col min="1054" max="1054" width="6.75" customWidth="1"/>
    <col min="1055" max="1072" width="4.125" customWidth="1"/>
    <col min="1073" max="1075" width="4.625" customWidth="1"/>
    <col min="1281" max="1285" width="4.125" customWidth="1"/>
    <col min="1286" max="1286" width="6.75" customWidth="1"/>
    <col min="1287" max="1309" width="4.125" customWidth="1"/>
    <col min="1310" max="1310" width="6.75" customWidth="1"/>
    <col min="1311" max="1328" width="4.125" customWidth="1"/>
    <col min="1329" max="1331" width="4.625" customWidth="1"/>
    <col min="1537" max="1541" width="4.125" customWidth="1"/>
    <col min="1542" max="1542" width="6.75" customWidth="1"/>
    <col min="1543" max="1565" width="4.125" customWidth="1"/>
    <col min="1566" max="1566" width="6.75" customWidth="1"/>
    <col min="1567" max="1584" width="4.125" customWidth="1"/>
    <col min="1585" max="1587" width="4.625" customWidth="1"/>
    <col min="1793" max="1797" width="4.125" customWidth="1"/>
    <col min="1798" max="1798" width="6.75" customWidth="1"/>
    <col min="1799" max="1821" width="4.125" customWidth="1"/>
    <col min="1822" max="1822" width="6.75" customWidth="1"/>
    <col min="1823" max="1840" width="4.125" customWidth="1"/>
    <col min="1841" max="1843" width="4.625" customWidth="1"/>
    <col min="2049" max="2053" width="4.125" customWidth="1"/>
    <col min="2054" max="2054" width="6.75" customWidth="1"/>
    <col min="2055" max="2077" width="4.125" customWidth="1"/>
    <col min="2078" max="2078" width="6.75" customWidth="1"/>
    <col min="2079" max="2096" width="4.125" customWidth="1"/>
    <col min="2097" max="2099" width="4.625" customWidth="1"/>
    <col min="2305" max="2309" width="4.125" customWidth="1"/>
    <col min="2310" max="2310" width="6.75" customWidth="1"/>
    <col min="2311" max="2333" width="4.125" customWidth="1"/>
    <col min="2334" max="2334" width="6.75" customWidth="1"/>
    <col min="2335" max="2352" width="4.125" customWidth="1"/>
    <col min="2353" max="2355" width="4.625" customWidth="1"/>
    <col min="2561" max="2565" width="4.125" customWidth="1"/>
    <col min="2566" max="2566" width="6.75" customWidth="1"/>
    <col min="2567" max="2589" width="4.125" customWidth="1"/>
    <col min="2590" max="2590" width="6.75" customWidth="1"/>
    <col min="2591" max="2608" width="4.125" customWidth="1"/>
    <col min="2609" max="2611" width="4.625" customWidth="1"/>
    <col min="2817" max="2821" width="4.125" customWidth="1"/>
    <col min="2822" max="2822" width="6.75" customWidth="1"/>
    <col min="2823" max="2845" width="4.125" customWidth="1"/>
    <col min="2846" max="2846" width="6.75" customWidth="1"/>
    <col min="2847" max="2864" width="4.125" customWidth="1"/>
    <col min="2865" max="2867" width="4.625" customWidth="1"/>
    <col min="3073" max="3077" width="4.125" customWidth="1"/>
    <col min="3078" max="3078" width="6.75" customWidth="1"/>
    <col min="3079" max="3101" width="4.125" customWidth="1"/>
    <col min="3102" max="3102" width="6.75" customWidth="1"/>
    <col min="3103" max="3120" width="4.125" customWidth="1"/>
    <col min="3121" max="3123" width="4.625" customWidth="1"/>
    <col min="3329" max="3333" width="4.125" customWidth="1"/>
    <col min="3334" max="3334" width="6.75" customWidth="1"/>
    <col min="3335" max="3357" width="4.125" customWidth="1"/>
    <col min="3358" max="3358" width="6.75" customWidth="1"/>
    <col min="3359" max="3376" width="4.125" customWidth="1"/>
    <col min="3377" max="3379" width="4.625" customWidth="1"/>
    <col min="3585" max="3589" width="4.125" customWidth="1"/>
    <col min="3590" max="3590" width="6.75" customWidth="1"/>
    <col min="3591" max="3613" width="4.125" customWidth="1"/>
    <col min="3614" max="3614" width="6.75" customWidth="1"/>
    <col min="3615" max="3632" width="4.125" customWidth="1"/>
    <col min="3633" max="3635" width="4.625" customWidth="1"/>
    <col min="3841" max="3845" width="4.125" customWidth="1"/>
    <col min="3846" max="3846" width="6.75" customWidth="1"/>
    <col min="3847" max="3869" width="4.125" customWidth="1"/>
    <col min="3870" max="3870" width="6.75" customWidth="1"/>
    <col min="3871" max="3888" width="4.125" customWidth="1"/>
    <col min="3889" max="3891" width="4.625" customWidth="1"/>
    <col min="4097" max="4101" width="4.125" customWidth="1"/>
    <col min="4102" max="4102" width="6.75" customWidth="1"/>
    <col min="4103" max="4125" width="4.125" customWidth="1"/>
    <col min="4126" max="4126" width="6.75" customWidth="1"/>
    <col min="4127" max="4144" width="4.125" customWidth="1"/>
    <col min="4145" max="4147" width="4.625" customWidth="1"/>
    <col min="4353" max="4357" width="4.125" customWidth="1"/>
    <col min="4358" max="4358" width="6.75" customWidth="1"/>
    <col min="4359" max="4381" width="4.125" customWidth="1"/>
    <col min="4382" max="4382" width="6.75" customWidth="1"/>
    <col min="4383" max="4400" width="4.125" customWidth="1"/>
    <col min="4401" max="4403" width="4.625" customWidth="1"/>
    <col min="4609" max="4613" width="4.125" customWidth="1"/>
    <col min="4614" max="4614" width="6.75" customWidth="1"/>
    <col min="4615" max="4637" width="4.125" customWidth="1"/>
    <col min="4638" max="4638" width="6.75" customWidth="1"/>
    <col min="4639" max="4656" width="4.125" customWidth="1"/>
    <col min="4657" max="4659" width="4.625" customWidth="1"/>
    <col min="4865" max="4869" width="4.125" customWidth="1"/>
    <col min="4870" max="4870" width="6.75" customWidth="1"/>
    <col min="4871" max="4893" width="4.125" customWidth="1"/>
    <col min="4894" max="4894" width="6.75" customWidth="1"/>
    <col min="4895" max="4912" width="4.125" customWidth="1"/>
    <col min="4913" max="4915" width="4.625" customWidth="1"/>
    <col min="5121" max="5125" width="4.125" customWidth="1"/>
    <col min="5126" max="5126" width="6.75" customWidth="1"/>
    <col min="5127" max="5149" width="4.125" customWidth="1"/>
    <col min="5150" max="5150" width="6.75" customWidth="1"/>
    <col min="5151" max="5168" width="4.125" customWidth="1"/>
    <col min="5169" max="5171" width="4.625" customWidth="1"/>
    <col min="5377" max="5381" width="4.125" customWidth="1"/>
    <col min="5382" max="5382" width="6.75" customWidth="1"/>
    <col min="5383" max="5405" width="4.125" customWidth="1"/>
    <col min="5406" max="5406" width="6.75" customWidth="1"/>
    <col min="5407" max="5424" width="4.125" customWidth="1"/>
    <col min="5425" max="5427" width="4.625" customWidth="1"/>
    <col min="5633" max="5637" width="4.125" customWidth="1"/>
    <col min="5638" max="5638" width="6.75" customWidth="1"/>
    <col min="5639" max="5661" width="4.125" customWidth="1"/>
    <col min="5662" max="5662" width="6.75" customWidth="1"/>
    <col min="5663" max="5680" width="4.125" customWidth="1"/>
    <col min="5681" max="5683" width="4.625" customWidth="1"/>
    <col min="5889" max="5893" width="4.125" customWidth="1"/>
    <col min="5894" max="5894" width="6.75" customWidth="1"/>
    <col min="5895" max="5917" width="4.125" customWidth="1"/>
    <col min="5918" max="5918" width="6.75" customWidth="1"/>
    <col min="5919" max="5936" width="4.125" customWidth="1"/>
    <col min="5937" max="5939" width="4.625" customWidth="1"/>
    <col min="6145" max="6149" width="4.125" customWidth="1"/>
    <col min="6150" max="6150" width="6.75" customWidth="1"/>
    <col min="6151" max="6173" width="4.125" customWidth="1"/>
    <col min="6174" max="6174" width="6.75" customWidth="1"/>
    <col min="6175" max="6192" width="4.125" customWidth="1"/>
    <col min="6193" max="6195" width="4.625" customWidth="1"/>
    <col min="6401" max="6405" width="4.125" customWidth="1"/>
    <col min="6406" max="6406" width="6.75" customWidth="1"/>
    <col min="6407" max="6429" width="4.125" customWidth="1"/>
    <col min="6430" max="6430" width="6.75" customWidth="1"/>
    <col min="6431" max="6448" width="4.125" customWidth="1"/>
    <col min="6449" max="6451" width="4.625" customWidth="1"/>
    <col min="6657" max="6661" width="4.125" customWidth="1"/>
    <col min="6662" max="6662" width="6.75" customWidth="1"/>
    <col min="6663" max="6685" width="4.125" customWidth="1"/>
    <col min="6686" max="6686" width="6.75" customWidth="1"/>
    <col min="6687" max="6704" width="4.125" customWidth="1"/>
    <col min="6705" max="6707" width="4.625" customWidth="1"/>
    <col min="6913" max="6917" width="4.125" customWidth="1"/>
    <col min="6918" max="6918" width="6.75" customWidth="1"/>
    <col min="6919" max="6941" width="4.125" customWidth="1"/>
    <col min="6942" max="6942" width="6.75" customWidth="1"/>
    <col min="6943" max="6960" width="4.125" customWidth="1"/>
    <col min="6961" max="6963" width="4.625" customWidth="1"/>
    <col min="7169" max="7173" width="4.125" customWidth="1"/>
    <col min="7174" max="7174" width="6.75" customWidth="1"/>
    <col min="7175" max="7197" width="4.125" customWidth="1"/>
    <col min="7198" max="7198" width="6.75" customWidth="1"/>
    <col min="7199" max="7216" width="4.125" customWidth="1"/>
    <col min="7217" max="7219" width="4.625" customWidth="1"/>
    <col min="7425" max="7429" width="4.125" customWidth="1"/>
    <col min="7430" max="7430" width="6.75" customWidth="1"/>
    <col min="7431" max="7453" width="4.125" customWidth="1"/>
    <col min="7454" max="7454" width="6.75" customWidth="1"/>
    <col min="7455" max="7472" width="4.125" customWidth="1"/>
    <col min="7473" max="7475" width="4.625" customWidth="1"/>
    <col min="7681" max="7685" width="4.125" customWidth="1"/>
    <col min="7686" max="7686" width="6.75" customWidth="1"/>
    <col min="7687" max="7709" width="4.125" customWidth="1"/>
    <col min="7710" max="7710" width="6.75" customWidth="1"/>
    <col min="7711" max="7728" width="4.125" customWidth="1"/>
    <col min="7729" max="7731" width="4.625" customWidth="1"/>
    <col min="7937" max="7941" width="4.125" customWidth="1"/>
    <col min="7942" max="7942" width="6.75" customWidth="1"/>
    <col min="7943" max="7965" width="4.125" customWidth="1"/>
    <col min="7966" max="7966" width="6.75" customWidth="1"/>
    <col min="7967" max="7984" width="4.125" customWidth="1"/>
    <col min="7985" max="7987" width="4.625" customWidth="1"/>
    <col min="8193" max="8197" width="4.125" customWidth="1"/>
    <col min="8198" max="8198" width="6.75" customWidth="1"/>
    <col min="8199" max="8221" width="4.125" customWidth="1"/>
    <col min="8222" max="8222" width="6.75" customWidth="1"/>
    <col min="8223" max="8240" width="4.125" customWidth="1"/>
    <col min="8241" max="8243" width="4.625" customWidth="1"/>
    <col min="8449" max="8453" width="4.125" customWidth="1"/>
    <col min="8454" max="8454" width="6.75" customWidth="1"/>
    <col min="8455" max="8477" width="4.125" customWidth="1"/>
    <col min="8478" max="8478" width="6.75" customWidth="1"/>
    <col min="8479" max="8496" width="4.125" customWidth="1"/>
    <col min="8497" max="8499" width="4.625" customWidth="1"/>
    <col min="8705" max="8709" width="4.125" customWidth="1"/>
    <col min="8710" max="8710" width="6.75" customWidth="1"/>
    <col min="8711" max="8733" width="4.125" customWidth="1"/>
    <col min="8734" max="8734" width="6.75" customWidth="1"/>
    <col min="8735" max="8752" width="4.125" customWidth="1"/>
    <col min="8753" max="8755" width="4.625" customWidth="1"/>
    <col min="8961" max="8965" width="4.125" customWidth="1"/>
    <col min="8966" max="8966" width="6.75" customWidth="1"/>
    <col min="8967" max="8989" width="4.125" customWidth="1"/>
    <col min="8990" max="8990" width="6.75" customWidth="1"/>
    <col min="8991" max="9008" width="4.125" customWidth="1"/>
    <col min="9009" max="9011" width="4.625" customWidth="1"/>
    <col min="9217" max="9221" width="4.125" customWidth="1"/>
    <col min="9222" max="9222" width="6.75" customWidth="1"/>
    <col min="9223" max="9245" width="4.125" customWidth="1"/>
    <col min="9246" max="9246" width="6.75" customWidth="1"/>
    <col min="9247" max="9264" width="4.125" customWidth="1"/>
    <col min="9265" max="9267" width="4.625" customWidth="1"/>
    <col min="9473" max="9477" width="4.125" customWidth="1"/>
    <col min="9478" max="9478" width="6.75" customWidth="1"/>
    <col min="9479" max="9501" width="4.125" customWidth="1"/>
    <col min="9502" max="9502" width="6.75" customWidth="1"/>
    <col min="9503" max="9520" width="4.125" customWidth="1"/>
    <col min="9521" max="9523" width="4.625" customWidth="1"/>
    <col min="9729" max="9733" width="4.125" customWidth="1"/>
    <col min="9734" max="9734" width="6.75" customWidth="1"/>
    <col min="9735" max="9757" width="4.125" customWidth="1"/>
    <col min="9758" max="9758" width="6.75" customWidth="1"/>
    <col min="9759" max="9776" width="4.125" customWidth="1"/>
    <col min="9777" max="9779" width="4.625" customWidth="1"/>
    <col min="9985" max="9989" width="4.125" customWidth="1"/>
    <col min="9990" max="9990" width="6.75" customWidth="1"/>
    <col min="9991" max="10013" width="4.125" customWidth="1"/>
    <col min="10014" max="10014" width="6.75" customWidth="1"/>
    <col min="10015" max="10032" width="4.125" customWidth="1"/>
    <col min="10033" max="10035" width="4.625" customWidth="1"/>
    <col min="10241" max="10245" width="4.125" customWidth="1"/>
    <col min="10246" max="10246" width="6.75" customWidth="1"/>
    <col min="10247" max="10269" width="4.125" customWidth="1"/>
    <col min="10270" max="10270" width="6.75" customWidth="1"/>
    <col min="10271" max="10288" width="4.125" customWidth="1"/>
    <col min="10289" max="10291" width="4.625" customWidth="1"/>
    <col min="10497" max="10501" width="4.125" customWidth="1"/>
    <col min="10502" max="10502" width="6.75" customWidth="1"/>
    <col min="10503" max="10525" width="4.125" customWidth="1"/>
    <col min="10526" max="10526" width="6.75" customWidth="1"/>
    <col min="10527" max="10544" width="4.125" customWidth="1"/>
    <col min="10545" max="10547" width="4.625" customWidth="1"/>
    <col min="10753" max="10757" width="4.125" customWidth="1"/>
    <col min="10758" max="10758" width="6.75" customWidth="1"/>
    <col min="10759" max="10781" width="4.125" customWidth="1"/>
    <col min="10782" max="10782" width="6.75" customWidth="1"/>
    <col min="10783" max="10800" width="4.125" customWidth="1"/>
    <col min="10801" max="10803" width="4.625" customWidth="1"/>
    <col min="11009" max="11013" width="4.125" customWidth="1"/>
    <col min="11014" max="11014" width="6.75" customWidth="1"/>
    <col min="11015" max="11037" width="4.125" customWidth="1"/>
    <col min="11038" max="11038" width="6.75" customWidth="1"/>
    <col min="11039" max="11056" width="4.125" customWidth="1"/>
    <col min="11057" max="11059" width="4.625" customWidth="1"/>
    <col min="11265" max="11269" width="4.125" customWidth="1"/>
    <col min="11270" max="11270" width="6.75" customWidth="1"/>
    <col min="11271" max="11293" width="4.125" customWidth="1"/>
    <col min="11294" max="11294" width="6.75" customWidth="1"/>
    <col min="11295" max="11312" width="4.125" customWidth="1"/>
    <col min="11313" max="11315" width="4.625" customWidth="1"/>
    <col min="11521" max="11525" width="4.125" customWidth="1"/>
    <col min="11526" max="11526" width="6.75" customWidth="1"/>
    <col min="11527" max="11549" width="4.125" customWidth="1"/>
    <col min="11550" max="11550" width="6.75" customWidth="1"/>
    <col min="11551" max="11568" width="4.125" customWidth="1"/>
    <col min="11569" max="11571" width="4.625" customWidth="1"/>
    <col min="11777" max="11781" width="4.125" customWidth="1"/>
    <col min="11782" max="11782" width="6.75" customWidth="1"/>
    <col min="11783" max="11805" width="4.125" customWidth="1"/>
    <col min="11806" max="11806" width="6.75" customWidth="1"/>
    <col min="11807" max="11824" width="4.125" customWidth="1"/>
    <col min="11825" max="11827" width="4.625" customWidth="1"/>
    <col min="12033" max="12037" width="4.125" customWidth="1"/>
    <col min="12038" max="12038" width="6.75" customWidth="1"/>
    <col min="12039" max="12061" width="4.125" customWidth="1"/>
    <col min="12062" max="12062" width="6.75" customWidth="1"/>
    <col min="12063" max="12080" width="4.125" customWidth="1"/>
    <col min="12081" max="12083" width="4.625" customWidth="1"/>
    <col min="12289" max="12293" width="4.125" customWidth="1"/>
    <col min="12294" max="12294" width="6.75" customWidth="1"/>
    <col min="12295" max="12317" width="4.125" customWidth="1"/>
    <col min="12318" max="12318" width="6.75" customWidth="1"/>
    <col min="12319" max="12336" width="4.125" customWidth="1"/>
    <col min="12337" max="12339" width="4.625" customWidth="1"/>
    <col min="12545" max="12549" width="4.125" customWidth="1"/>
    <col min="12550" max="12550" width="6.75" customWidth="1"/>
    <col min="12551" max="12573" width="4.125" customWidth="1"/>
    <col min="12574" max="12574" width="6.75" customWidth="1"/>
    <col min="12575" max="12592" width="4.125" customWidth="1"/>
    <col min="12593" max="12595" width="4.625" customWidth="1"/>
    <col min="12801" max="12805" width="4.125" customWidth="1"/>
    <col min="12806" max="12806" width="6.75" customWidth="1"/>
    <col min="12807" max="12829" width="4.125" customWidth="1"/>
    <col min="12830" max="12830" width="6.75" customWidth="1"/>
    <col min="12831" max="12848" width="4.125" customWidth="1"/>
    <col min="12849" max="12851" width="4.625" customWidth="1"/>
    <col min="13057" max="13061" width="4.125" customWidth="1"/>
    <col min="13062" max="13062" width="6.75" customWidth="1"/>
    <col min="13063" max="13085" width="4.125" customWidth="1"/>
    <col min="13086" max="13086" width="6.75" customWidth="1"/>
    <col min="13087" max="13104" width="4.125" customWidth="1"/>
    <col min="13105" max="13107" width="4.625" customWidth="1"/>
    <col min="13313" max="13317" width="4.125" customWidth="1"/>
    <col min="13318" max="13318" width="6.75" customWidth="1"/>
    <col min="13319" max="13341" width="4.125" customWidth="1"/>
    <col min="13342" max="13342" width="6.75" customWidth="1"/>
    <col min="13343" max="13360" width="4.125" customWidth="1"/>
    <col min="13361" max="13363" width="4.625" customWidth="1"/>
    <col min="13569" max="13573" width="4.125" customWidth="1"/>
    <col min="13574" max="13574" width="6.75" customWidth="1"/>
    <col min="13575" max="13597" width="4.125" customWidth="1"/>
    <col min="13598" max="13598" width="6.75" customWidth="1"/>
    <col min="13599" max="13616" width="4.125" customWidth="1"/>
    <col min="13617" max="13619" width="4.625" customWidth="1"/>
    <col min="13825" max="13829" width="4.125" customWidth="1"/>
    <col min="13830" max="13830" width="6.75" customWidth="1"/>
    <col min="13831" max="13853" width="4.125" customWidth="1"/>
    <col min="13854" max="13854" width="6.75" customWidth="1"/>
    <col min="13855" max="13872" width="4.125" customWidth="1"/>
    <col min="13873" max="13875" width="4.625" customWidth="1"/>
    <col min="14081" max="14085" width="4.125" customWidth="1"/>
    <col min="14086" max="14086" width="6.75" customWidth="1"/>
    <col min="14087" max="14109" width="4.125" customWidth="1"/>
    <col min="14110" max="14110" width="6.75" customWidth="1"/>
    <col min="14111" max="14128" width="4.125" customWidth="1"/>
    <col min="14129" max="14131" width="4.625" customWidth="1"/>
    <col min="14337" max="14341" width="4.125" customWidth="1"/>
    <col min="14342" max="14342" width="6.75" customWidth="1"/>
    <col min="14343" max="14365" width="4.125" customWidth="1"/>
    <col min="14366" max="14366" width="6.75" customWidth="1"/>
    <col min="14367" max="14384" width="4.125" customWidth="1"/>
    <col min="14385" max="14387" width="4.625" customWidth="1"/>
    <col min="14593" max="14597" width="4.125" customWidth="1"/>
    <col min="14598" max="14598" width="6.75" customWidth="1"/>
    <col min="14599" max="14621" width="4.125" customWidth="1"/>
    <col min="14622" max="14622" width="6.75" customWidth="1"/>
    <col min="14623" max="14640" width="4.125" customWidth="1"/>
    <col min="14641" max="14643" width="4.625" customWidth="1"/>
    <col min="14849" max="14853" width="4.125" customWidth="1"/>
    <col min="14854" max="14854" width="6.75" customWidth="1"/>
    <col min="14855" max="14877" width="4.125" customWidth="1"/>
    <col min="14878" max="14878" width="6.75" customWidth="1"/>
    <col min="14879" max="14896" width="4.125" customWidth="1"/>
    <col min="14897" max="14899" width="4.625" customWidth="1"/>
    <col min="15105" max="15109" width="4.125" customWidth="1"/>
    <col min="15110" max="15110" width="6.75" customWidth="1"/>
    <col min="15111" max="15133" width="4.125" customWidth="1"/>
    <col min="15134" max="15134" width="6.75" customWidth="1"/>
    <col min="15135" max="15152" width="4.125" customWidth="1"/>
    <col min="15153" max="15155" width="4.625" customWidth="1"/>
    <col min="15361" max="15365" width="4.125" customWidth="1"/>
    <col min="15366" max="15366" width="6.75" customWidth="1"/>
    <col min="15367" max="15389" width="4.125" customWidth="1"/>
    <col min="15390" max="15390" width="6.75" customWidth="1"/>
    <col min="15391" max="15408" width="4.125" customWidth="1"/>
    <col min="15409" max="15411" width="4.625" customWidth="1"/>
    <col min="15617" max="15621" width="4.125" customWidth="1"/>
    <col min="15622" max="15622" width="6.75" customWidth="1"/>
    <col min="15623" max="15645" width="4.125" customWidth="1"/>
    <col min="15646" max="15646" width="6.75" customWidth="1"/>
    <col min="15647" max="15664" width="4.125" customWidth="1"/>
    <col min="15665" max="15667" width="4.625" customWidth="1"/>
    <col min="15873" max="15877" width="4.125" customWidth="1"/>
    <col min="15878" max="15878" width="6.75" customWidth="1"/>
    <col min="15879" max="15901" width="4.125" customWidth="1"/>
    <col min="15902" max="15902" width="6.75" customWidth="1"/>
    <col min="15903" max="15920" width="4.125" customWidth="1"/>
    <col min="15921" max="15923" width="4.625" customWidth="1"/>
    <col min="16129" max="16133" width="4.125" customWidth="1"/>
    <col min="16134" max="16134" width="6.75" customWidth="1"/>
    <col min="16135" max="16157" width="4.125" customWidth="1"/>
    <col min="16158" max="16158" width="6.75" customWidth="1"/>
    <col min="16159" max="16176" width="4.125" customWidth="1"/>
    <col min="16177" max="16179" width="4.625" customWidth="1"/>
  </cols>
  <sheetData>
    <row r="1" spans="1:24" ht="18">
      <c r="A1" s="527" t="s">
        <v>1501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9"/>
    </row>
    <row r="2" spans="1:24" ht="13.5" customHeight="1">
      <c r="A2" s="490" t="s">
        <v>1382</v>
      </c>
      <c r="B2" s="530"/>
      <c r="C2" s="530"/>
      <c r="D2" s="530"/>
      <c r="E2" s="531"/>
      <c r="F2" s="504" t="s">
        <v>1502</v>
      </c>
      <c r="G2" s="482"/>
      <c r="H2" s="483" t="s">
        <v>1503</v>
      </c>
      <c r="I2" s="483"/>
      <c r="J2" s="483"/>
      <c r="K2" s="483"/>
      <c r="L2" s="483"/>
      <c r="M2" s="483"/>
      <c r="N2" s="483"/>
      <c r="O2" s="483"/>
      <c r="P2" s="484"/>
      <c r="Q2" s="485" t="s">
        <v>1504</v>
      </c>
      <c r="R2" s="482"/>
      <c r="S2" s="482"/>
      <c r="T2" s="486">
        <v>1</v>
      </c>
      <c r="U2" s="486"/>
      <c r="V2" s="121" t="s">
        <v>1505</v>
      </c>
      <c r="W2" s="486">
        <v>1</v>
      </c>
      <c r="X2" s="505"/>
    </row>
    <row r="3" spans="1:24">
      <c r="A3" s="532"/>
      <c r="B3" s="533"/>
      <c r="C3" s="533"/>
      <c r="D3" s="533"/>
      <c r="E3" s="534"/>
      <c r="F3" s="480" t="s">
        <v>1506</v>
      </c>
      <c r="G3" s="456"/>
      <c r="H3" s="441" t="s">
        <v>1507</v>
      </c>
      <c r="I3" s="441"/>
      <c r="J3" s="441"/>
      <c r="K3" s="441"/>
      <c r="L3" s="441"/>
      <c r="M3" s="441"/>
      <c r="N3" s="441"/>
      <c r="O3" s="441"/>
      <c r="P3" s="441"/>
      <c r="Q3" s="422" t="s">
        <v>1508</v>
      </c>
      <c r="R3" s="423"/>
      <c r="S3" s="423"/>
      <c r="T3" s="441" t="s">
        <v>1414</v>
      </c>
      <c r="U3" s="441"/>
      <c r="V3" s="441"/>
      <c r="W3" s="441"/>
      <c r="X3" s="442"/>
    </row>
    <row r="4" spans="1:24">
      <c r="A4" s="532"/>
      <c r="B4" s="533"/>
      <c r="C4" s="533"/>
      <c r="D4" s="533"/>
      <c r="E4" s="534"/>
      <c r="F4" s="480" t="s">
        <v>1509</v>
      </c>
      <c r="G4" s="456"/>
      <c r="H4" s="441" t="s">
        <v>1414</v>
      </c>
      <c r="I4" s="441"/>
      <c r="J4" s="441"/>
      <c r="K4" s="441"/>
      <c r="L4" s="441"/>
      <c r="M4" s="441"/>
      <c r="N4" s="441"/>
      <c r="O4" s="441"/>
      <c r="P4" s="441"/>
      <c r="Q4" s="422" t="s">
        <v>1510</v>
      </c>
      <c r="R4" s="423"/>
      <c r="S4" s="423"/>
      <c r="T4" s="441" t="s">
        <v>1511</v>
      </c>
      <c r="U4" s="441"/>
      <c r="V4" s="441"/>
      <c r="W4" s="441"/>
      <c r="X4" s="442"/>
    </row>
    <row r="5" spans="1:24">
      <c r="A5" s="532"/>
      <c r="B5" s="533"/>
      <c r="C5" s="533"/>
      <c r="D5" s="533"/>
      <c r="E5" s="534"/>
      <c r="F5" s="480" t="s">
        <v>1512</v>
      </c>
      <c r="G5" s="456"/>
      <c r="H5" s="441" t="s">
        <v>1414</v>
      </c>
      <c r="I5" s="441"/>
      <c r="J5" s="441"/>
      <c r="K5" s="441"/>
      <c r="L5" s="106" t="s">
        <v>1391</v>
      </c>
      <c r="M5" s="111" t="s">
        <v>1414</v>
      </c>
      <c r="N5" s="106" t="s">
        <v>1513</v>
      </c>
      <c r="O5" s="538">
        <v>42447</v>
      </c>
      <c r="P5" s="538"/>
      <c r="Q5" s="422" t="s">
        <v>1514</v>
      </c>
      <c r="R5" s="423"/>
      <c r="S5" s="423"/>
      <c r="T5" s="441">
        <v>2</v>
      </c>
      <c r="U5" s="441"/>
      <c r="V5" s="441"/>
      <c r="W5" s="441"/>
      <c r="X5" s="442"/>
    </row>
    <row r="6" spans="1:24">
      <c r="A6" s="532"/>
      <c r="B6" s="533"/>
      <c r="C6" s="533"/>
      <c r="D6" s="533"/>
      <c r="E6" s="534"/>
      <c r="F6" s="480" t="s">
        <v>1515</v>
      </c>
      <c r="G6" s="456"/>
      <c r="H6" s="441" t="s">
        <v>1414</v>
      </c>
      <c r="I6" s="441"/>
      <c r="J6" s="441"/>
      <c r="K6" s="441"/>
      <c r="L6" s="106" t="s">
        <v>1391</v>
      </c>
      <c r="M6" s="111" t="s">
        <v>1414</v>
      </c>
      <c r="N6" s="106" t="s">
        <v>1513</v>
      </c>
      <c r="O6" s="538">
        <v>42447</v>
      </c>
      <c r="P6" s="538"/>
      <c r="Q6" s="422" t="s">
        <v>1516</v>
      </c>
      <c r="R6" s="423"/>
      <c r="S6" s="423"/>
      <c r="T6" s="441">
        <v>2</v>
      </c>
      <c r="U6" s="441"/>
      <c r="V6" s="441"/>
      <c r="W6" s="441"/>
      <c r="X6" s="442"/>
    </row>
    <row r="7" spans="1:24">
      <c r="A7" s="535"/>
      <c r="B7" s="536"/>
      <c r="C7" s="536"/>
      <c r="D7" s="536"/>
      <c r="E7" s="537"/>
      <c r="F7" s="524" t="s">
        <v>1517</v>
      </c>
      <c r="G7" s="525"/>
      <c r="H7" s="511" t="s">
        <v>1518</v>
      </c>
      <c r="I7" s="511"/>
      <c r="J7" s="511"/>
      <c r="K7" s="511"/>
      <c r="L7" s="511"/>
      <c r="M7" s="511"/>
      <c r="N7" s="511"/>
      <c r="O7" s="511"/>
      <c r="P7" s="511"/>
      <c r="Q7" s="432" t="s">
        <v>1519</v>
      </c>
      <c r="R7" s="433"/>
      <c r="S7" s="433"/>
      <c r="T7" s="511" t="s">
        <v>1414</v>
      </c>
      <c r="U7" s="511"/>
      <c r="V7" s="511"/>
      <c r="W7" s="511"/>
      <c r="X7" s="526"/>
    </row>
    <row r="8" spans="1:24" ht="13.15" customHeight="1">
      <c r="A8" s="108">
        <v>1</v>
      </c>
      <c r="B8" s="501" t="s">
        <v>1520</v>
      </c>
      <c r="C8" s="482" t="s">
        <v>1521</v>
      </c>
      <c r="D8" s="482"/>
      <c r="E8" s="483" t="s">
        <v>1522</v>
      </c>
      <c r="F8" s="483"/>
      <c r="G8" s="483"/>
      <c r="H8" s="483"/>
      <c r="I8" s="483"/>
      <c r="J8" s="484"/>
      <c r="K8" s="485" t="s">
        <v>1523</v>
      </c>
      <c r="L8" s="482"/>
      <c r="M8" s="482"/>
      <c r="N8" s="486"/>
      <c r="O8" s="486"/>
      <c r="P8" s="487" t="s">
        <v>1318</v>
      </c>
      <c r="Q8" s="488"/>
      <c r="R8" s="485" t="s">
        <v>1524</v>
      </c>
      <c r="S8" s="482"/>
      <c r="T8" s="482"/>
      <c r="U8" s="486">
        <v>373.95</v>
      </c>
      <c r="V8" s="486"/>
      <c r="W8" s="483" t="s">
        <v>1525</v>
      </c>
      <c r="X8" s="489"/>
    </row>
    <row r="9" spans="1:24" ht="13.15" customHeight="1">
      <c r="A9" s="109"/>
      <c r="B9" s="415"/>
      <c r="C9" s="423"/>
      <c r="D9" s="423"/>
      <c r="E9" s="423"/>
      <c r="F9" s="423"/>
      <c r="G9" s="423"/>
      <c r="H9" s="443" t="s">
        <v>1526</v>
      </c>
      <c r="I9" s="445"/>
      <c r="J9" s="426" t="s">
        <v>1527</v>
      </c>
      <c r="K9" s="429"/>
      <c r="L9" s="427"/>
      <c r="M9" s="426" t="s">
        <v>1528</v>
      </c>
      <c r="N9" s="429"/>
      <c r="O9" s="427"/>
      <c r="P9" s="426" t="s">
        <v>1529</v>
      </c>
      <c r="Q9" s="429"/>
      <c r="R9" s="427"/>
      <c r="S9" s="426" t="s">
        <v>1530</v>
      </c>
      <c r="T9" s="429"/>
      <c r="U9" s="427"/>
      <c r="V9" s="426" t="s">
        <v>1531</v>
      </c>
      <c r="W9" s="429"/>
      <c r="X9" s="427"/>
    </row>
    <row r="10" spans="1:24" ht="13.15" customHeight="1">
      <c r="A10" s="109">
        <v>2</v>
      </c>
      <c r="B10" s="415"/>
      <c r="C10" s="423" t="s">
        <v>1532</v>
      </c>
      <c r="D10" s="423"/>
      <c r="E10" s="423"/>
      <c r="F10" s="423"/>
      <c r="G10" s="423"/>
      <c r="H10" s="426" t="s">
        <v>214</v>
      </c>
      <c r="I10" s="429"/>
      <c r="J10" s="426">
        <v>61.25</v>
      </c>
      <c r="K10" s="429"/>
      <c r="L10" s="427"/>
      <c r="M10" s="426" t="s">
        <v>1414</v>
      </c>
      <c r="N10" s="429"/>
      <c r="O10" s="427"/>
      <c r="P10" s="426" t="s">
        <v>1414</v>
      </c>
      <c r="Q10" s="429"/>
      <c r="R10" s="427"/>
      <c r="S10" s="426" t="s">
        <v>1414</v>
      </c>
      <c r="T10" s="429"/>
      <c r="U10" s="427"/>
      <c r="V10" s="426" t="s">
        <v>1414</v>
      </c>
      <c r="W10" s="429"/>
      <c r="X10" s="431"/>
    </row>
    <row r="11" spans="1:24" ht="13.15" customHeight="1">
      <c r="A11" s="109">
        <v>3</v>
      </c>
      <c r="B11" s="415"/>
      <c r="C11" s="423" t="s">
        <v>1533</v>
      </c>
      <c r="D11" s="423"/>
      <c r="E11" s="423"/>
      <c r="F11" s="423"/>
      <c r="G11" s="423"/>
      <c r="H11" s="426" t="s">
        <v>1534</v>
      </c>
      <c r="I11" s="429"/>
      <c r="J11" s="426">
        <v>0.8</v>
      </c>
      <c r="K11" s="429"/>
      <c r="L11" s="427"/>
      <c r="M11" s="426" t="s">
        <v>1414</v>
      </c>
      <c r="N11" s="429"/>
      <c r="O11" s="427"/>
      <c r="P11" s="426" t="s">
        <v>1414</v>
      </c>
      <c r="Q11" s="429"/>
      <c r="R11" s="427"/>
      <c r="S11" s="426" t="s">
        <v>1414</v>
      </c>
      <c r="T11" s="429"/>
      <c r="U11" s="427"/>
      <c r="V11" s="426" t="s">
        <v>1414</v>
      </c>
      <c r="W11" s="429"/>
      <c r="X11" s="431"/>
    </row>
    <row r="12" spans="1:24" ht="13.15" customHeight="1">
      <c r="A12" s="109">
        <v>4</v>
      </c>
      <c r="B12" s="415"/>
      <c r="C12" s="423" t="s">
        <v>1535</v>
      </c>
      <c r="D12" s="423"/>
      <c r="E12" s="423"/>
      <c r="F12" s="423"/>
      <c r="G12" s="423"/>
      <c r="H12" s="426" t="s">
        <v>1534</v>
      </c>
      <c r="I12" s="429"/>
      <c r="J12" s="426">
        <v>0.45</v>
      </c>
      <c r="K12" s="429"/>
      <c r="L12" s="427"/>
      <c r="M12" s="426" t="s">
        <v>1414</v>
      </c>
      <c r="N12" s="429"/>
      <c r="O12" s="427"/>
      <c r="P12" s="426" t="s">
        <v>1414</v>
      </c>
      <c r="Q12" s="429"/>
      <c r="R12" s="427"/>
      <c r="S12" s="426" t="s">
        <v>1414</v>
      </c>
      <c r="T12" s="429"/>
      <c r="U12" s="427"/>
      <c r="V12" s="426" t="s">
        <v>1414</v>
      </c>
      <c r="W12" s="429"/>
      <c r="X12" s="431"/>
    </row>
    <row r="13" spans="1:24" ht="13.15" customHeight="1">
      <c r="A13" s="109">
        <v>5</v>
      </c>
      <c r="B13" s="415"/>
      <c r="C13" s="423" t="s">
        <v>1536</v>
      </c>
      <c r="D13" s="423"/>
      <c r="E13" s="423"/>
      <c r="F13" s="423"/>
      <c r="G13" s="423"/>
      <c r="H13" s="426" t="s">
        <v>1525</v>
      </c>
      <c r="I13" s="429"/>
      <c r="J13" s="426">
        <v>37.700000000000003</v>
      </c>
      <c r="K13" s="429"/>
      <c r="L13" s="427"/>
      <c r="M13" s="426" t="s">
        <v>1414</v>
      </c>
      <c r="N13" s="429"/>
      <c r="O13" s="427"/>
      <c r="P13" s="426" t="s">
        <v>1414</v>
      </c>
      <c r="Q13" s="429"/>
      <c r="R13" s="427"/>
      <c r="S13" s="426" t="s">
        <v>1414</v>
      </c>
      <c r="T13" s="429"/>
      <c r="U13" s="427"/>
      <c r="V13" s="426" t="s">
        <v>1414</v>
      </c>
      <c r="W13" s="429"/>
      <c r="X13" s="431"/>
    </row>
    <row r="14" spans="1:24" ht="13.15" customHeight="1">
      <c r="A14" s="109">
        <v>6</v>
      </c>
      <c r="B14" s="415"/>
      <c r="C14" s="423" t="s">
        <v>1537</v>
      </c>
      <c r="D14" s="423"/>
      <c r="E14" s="423"/>
      <c r="F14" s="423"/>
      <c r="G14" s="423"/>
      <c r="H14" s="426" t="s">
        <v>1538</v>
      </c>
      <c r="I14" s="429"/>
      <c r="J14" s="426">
        <v>993.39</v>
      </c>
      <c r="K14" s="429"/>
      <c r="L14" s="427"/>
      <c r="M14" s="426" t="s">
        <v>1414</v>
      </c>
      <c r="N14" s="429"/>
      <c r="O14" s="427"/>
      <c r="P14" s="426" t="s">
        <v>1414</v>
      </c>
      <c r="Q14" s="429"/>
      <c r="R14" s="427"/>
      <c r="S14" s="426" t="s">
        <v>1414</v>
      </c>
      <c r="T14" s="429"/>
      <c r="U14" s="427"/>
      <c r="V14" s="426" t="s">
        <v>1414</v>
      </c>
      <c r="W14" s="429"/>
      <c r="X14" s="431"/>
    </row>
    <row r="15" spans="1:24" ht="13.15" customHeight="1">
      <c r="A15" s="109">
        <v>7</v>
      </c>
      <c r="B15" s="415"/>
      <c r="C15" s="423" t="s">
        <v>1539</v>
      </c>
      <c r="D15" s="423"/>
      <c r="E15" s="423"/>
      <c r="F15" s="423"/>
      <c r="G15" s="423"/>
      <c r="H15" s="426" t="s">
        <v>1540</v>
      </c>
      <c r="I15" s="429"/>
      <c r="J15" s="426">
        <v>0.68</v>
      </c>
      <c r="K15" s="429"/>
      <c r="L15" s="427"/>
      <c r="M15" s="426" t="s">
        <v>1414</v>
      </c>
      <c r="N15" s="429"/>
      <c r="O15" s="427"/>
      <c r="P15" s="426" t="s">
        <v>1414</v>
      </c>
      <c r="Q15" s="429"/>
      <c r="R15" s="427"/>
      <c r="S15" s="426" t="s">
        <v>1414</v>
      </c>
      <c r="T15" s="429"/>
      <c r="U15" s="427"/>
      <c r="V15" s="426" t="s">
        <v>1414</v>
      </c>
      <c r="W15" s="429"/>
      <c r="X15" s="431"/>
    </row>
    <row r="16" spans="1:24" ht="13.15" customHeight="1">
      <c r="A16" s="109">
        <v>8</v>
      </c>
      <c r="B16" s="415"/>
      <c r="C16" s="423" t="s">
        <v>1541</v>
      </c>
      <c r="D16" s="423"/>
      <c r="E16" s="423"/>
      <c r="F16" s="423"/>
      <c r="G16" s="423"/>
      <c r="H16" s="426" t="s">
        <v>1318</v>
      </c>
      <c r="I16" s="429"/>
      <c r="J16" s="426">
        <v>-0.09</v>
      </c>
      <c r="K16" s="429"/>
      <c r="L16" s="427"/>
      <c r="M16" s="426" t="s">
        <v>1414</v>
      </c>
      <c r="N16" s="429"/>
      <c r="O16" s="427"/>
      <c r="P16" s="426" t="s">
        <v>1414</v>
      </c>
      <c r="Q16" s="429"/>
      <c r="R16" s="427"/>
      <c r="S16" s="426" t="s">
        <v>1414</v>
      </c>
      <c r="T16" s="429"/>
      <c r="U16" s="427"/>
      <c r="V16" s="426" t="s">
        <v>1414</v>
      </c>
      <c r="W16" s="429"/>
      <c r="X16" s="431"/>
    </row>
    <row r="17" spans="1:24" ht="13.15" customHeight="1">
      <c r="A17" s="109">
        <v>9</v>
      </c>
      <c r="B17" s="415"/>
      <c r="C17" s="423" t="s">
        <v>1542</v>
      </c>
      <c r="D17" s="423"/>
      <c r="E17" s="423"/>
      <c r="F17" s="423"/>
      <c r="G17" s="423"/>
      <c r="H17" s="426" t="s">
        <v>1494</v>
      </c>
      <c r="I17" s="429"/>
      <c r="J17" s="426">
        <v>37.71</v>
      </c>
      <c r="K17" s="429"/>
      <c r="L17" s="427"/>
      <c r="M17" s="426" t="s">
        <v>1414</v>
      </c>
      <c r="N17" s="429"/>
      <c r="O17" s="427"/>
      <c r="P17" s="426" t="s">
        <v>1414</v>
      </c>
      <c r="Q17" s="429"/>
      <c r="R17" s="427"/>
      <c r="S17" s="426" t="s">
        <v>1414</v>
      </c>
      <c r="T17" s="429"/>
      <c r="U17" s="427"/>
      <c r="V17" s="426" t="s">
        <v>1414</v>
      </c>
      <c r="W17" s="429"/>
      <c r="X17" s="431"/>
    </row>
    <row r="18" spans="1:24" ht="13.15" customHeight="1">
      <c r="A18" s="109">
        <v>10</v>
      </c>
      <c r="B18" s="415"/>
      <c r="C18" s="522" t="s">
        <v>1543</v>
      </c>
      <c r="D18" s="522"/>
      <c r="E18" s="522"/>
      <c r="F18" s="522"/>
      <c r="G18" s="522"/>
      <c r="H18" s="476" t="s">
        <v>1418</v>
      </c>
      <c r="I18" s="477"/>
      <c r="J18" s="426">
        <v>88.13</v>
      </c>
      <c r="K18" s="429"/>
      <c r="L18" s="427"/>
      <c r="M18" s="426" t="s">
        <v>1414</v>
      </c>
      <c r="N18" s="429"/>
      <c r="O18" s="427"/>
      <c r="P18" s="426" t="s">
        <v>1414</v>
      </c>
      <c r="Q18" s="429"/>
      <c r="R18" s="427"/>
      <c r="S18" s="426" t="s">
        <v>1414</v>
      </c>
      <c r="T18" s="429"/>
      <c r="U18" s="427"/>
      <c r="V18" s="426" t="s">
        <v>1414</v>
      </c>
      <c r="W18" s="429"/>
      <c r="X18" s="431"/>
    </row>
    <row r="19" spans="1:24" ht="13.15" customHeight="1">
      <c r="A19" s="109">
        <v>11</v>
      </c>
      <c r="B19" s="415"/>
      <c r="C19" s="424" t="s">
        <v>1544</v>
      </c>
      <c r="D19" s="478"/>
      <c r="E19" s="478"/>
      <c r="F19" s="478"/>
      <c r="G19" s="478"/>
      <c r="H19" s="462" t="s">
        <v>1420</v>
      </c>
      <c r="I19" s="462"/>
      <c r="J19" s="426">
        <v>75</v>
      </c>
      <c r="K19" s="429"/>
      <c r="L19" s="427"/>
      <c r="M19" s="426" t="s">
        <v>1414</v>
      </c>
      <c r="N19" s="429"/>
      <c r="O19" s="427"/>
      <c r="P19" s="426" t="s">
        <v>1414</v>
      </c>
      <c r="Q19" s="429"/>
      <c r="R19" s="427"/>
      <c r="S19" s="426" t="s">
        <v>1414</v>
      </c>
      <c r="T19" s="429"/>
      <c r="U19" s="427"/>
      <c r="V19" s="426" t="s">
        <v>1414</v>
      </c>
      <c r="W19" s="429"/>
      <c r="X19" s="431"/>
    </row>
    <row r="20" spans="1:24" ht="13.15" customHeight="1">
      <c r="A20" s="109">
        <v>12</v>
      </c>
      <c r="B20" s="416"/>
      <c r="C20" s="522" t="s">
        <v>1545</v>
      </c>
      <c r="D20" s="522"/>
      <c r="E20" s="522"/>
      <c r="F20" s="522"/>
      <c r="G20" s="523"/>
      <c r="H20" s="476" t="str">
        <f>H11</f>
        <v>MPaA</v>
      </c>
      <c r="I20" s="477"/>
      <c r="J20" s="426" t="s">
        <v>1414</v>
      </c>
      <c r="K20" s="429"/>
      <c r="L20" s="427"/>
      <c r="M20" s="426" t="s">
        <v>1414</v>
      </c>
      <c r="N20" s="429"/>
      <c r="O20" s="427"/>
      <c r="P20" s="426" t="s">
        <v>1414</v>
      </c>
      <c r="Q20" s="429"/>
      <c r="R20" s="427"/>
      <c r="S20" s="426" t="s">
        <v>1414</v>
      </c>
      <c r="T20" s="429"/>
      <c r="U20" s="427"/>
      <c r="V20" s="426" t="s">
        <v>1414</v>
      </c>
      <c r="W20" s="429"/>
      <c r="X20" s="431"/>
    </row>
    <row r="21" spans="1:24" ht="13.15" customHeight="1">
      <c r="A21" s="109"/>
      <c r="B21" s="414" t="s">
        <v>1546</v>
      </c>
      <c r="C21" s="422"/>
      <c r="D21" s="423"/>
      <c r="E21" s="423"/>
      <c r="F21" s="424"/>
      <c r="G21" s="475" t="s">
        <v>1547</v>
      </c>
      <c r="H21" s="475"/>
      <c r="I21" s="475"/>
      <c r="J21" s="475" t="s">
        <v>1548</v>
      </c>
      <c r="K21" s="475"/>
      <c r="L21" s="476"/>
      <c r="M21" s="116">
        <v>51</v>
      </c>
      <c r="N21" s="414" t="s">
        <v>1549</v>
      </c>
      <c r="O21" s="457" t="s">
        <v>1550</v>
      </c>
      <c r="P21" s="456"/>
      <c r="Q21" s="456"/>
      <c r="R21" s="429" t="s">
        <v>1551</v>
      </c>
      <c r="S21" s="429"/>
      <c r="T21" s="429"/>
      <c r="U21" s="429"/>
      <c r="V21" s="429"/>
      <c r="W21" s="429"/>
      <c r="X21" s="431"/>
    </row>
    <row r="22" spans="1:24" ht="13.15" customHeight="1">
      <c r="A22" s="109">
        <v>13</v>
      </c>
      <c r="B22" s="415"/>
      <c r="C22" s="422" t="s">
        <v>1552</v>
      </c>
      <c r="D22" s="423"/>
      <c r="E22" s="423"/>
      <c r="F22" s="110" t="s">
        <v>1317</v>
      </c>
      <c r="G22" s="519" t="s">
        <v>1553</v>
      </c>
      <c r="H22" s="519"/>
      <c r="I22" s="519"/>
      <c r="J22" s="519" t="s">
        <v>1553</v>
      </c>
      <c r="K22" s="519"/>
      <c r="L22" s="521"/>
      <c r="M22" s="117">
        <v>52</v>
      </c>
      <c r="N22" s="415"/>
      <c r="O22" s="422" t="s">
        <v>1554</v>
      </c>
      <c r="P22" s="423"/>
      <c r="Q22" s="423"/>
      <c r="R22" s="429" t="s">
        <v>1555</v>
      </c>
      <c r="S22" s="429"/>
      <c r="T22" s="429"/>
      <c r="U22" s="111" t="s">
        <v>1447</v>
      </c>
      <c r="V22" s="429" t="s">
        <v>1556</v>
      </c>
      <c r="W22" s="429"/>
      <c r="X22" s="431"/>
    </row>
    <row r="23" spans="1:24" ht="13.15" customHeight="1">
      <c r="A23" s="109">
        <v>14</v>
      </c>
      <c r="B23" s="415"/>
      <c r="C23" s="422" t="s">
        <v>1557</v>
      </c>
      <c r="D23" s="423"/>
      <c r="E23" s="423"/>
      <c r="F23" s="424"/>
      <c r="G23" s="462" t="s">
        <v>1558</v>
      </c>
      <c r="H23" s="462"/>
      <c r="I23" s="462"/>
      <c r="J23" s="462" t="s">
        <v>1558</v>
      </c>
      <c r="K23" s="462"/>
      <c r="L23" s="462"/>
      <c r="M23" s="117">
        <v>53</v>
      </c>
      <c r="N23" s="415"/>
      <c r="O23" s="422" t="s">
        <v>1559</v>
      </c>
      <c r="P23" s="423"/>
      <c r="Q23" s="429">
        <v>270</v>
      </c>
      <c r="R23" s="429"/>
      <c r="S23" s="429"/>
      <c r="T23" s="423" t="s">
        <v>1560</v>
      </c>
      <c r="U23" s="423"/>
      <c r="V23" s="429" t="s">
        <v>1332</v>
      </c>
      <c r="W23" s="429"/>
      <c r="X23" s="431"/>
    </row>
    <row r="24" spans="1:24" ht="13.15" customHeight="1">
      <c r="A24" s="109">
        <v>15</v>
      </c>
      <c r="B24" s="416"/>
      <c r="C24" s="457" t="s">
        <v>1561</v>
      </c>
      <c r="D24" s="456"/>
      <c r="E24" s="456"/>
      <c r="F24" s="520"/>
      <c r="G24" s="426" t="s">
        <v>1332</v>
      </c>
      <c r="H24" s="429"/>
      <c r="I24" s="429"/>
      <c r="J24" s="429"/>
      <c r="K24" s="429"/>
      <c r="L24" s="429"/>
      <c r="M24" s="117">
        <v>54</v>
      </c>
      <c r="N24" s="415"/>
      <c r="O24" s="422" t="s">
        <v>1562</v>
      </c>
      <c r="P24" s="423"/>
      <c r="Q24" s="423"/>
      <c r="R24" s="429" t="s">
        <v>1563</v>
      </c>
      <c r="S24" s="429"/>
      <c r="T24" s="429"/>
      <c r="U24" s="248" t="s">
        <v>1385</v>
      </c>
      <c r="V24" s="429" t="s">
        <v>1564</v>
      </c>
      <c r="W24" s="429"/>
      <c r="X24" s="431"/>
    </row>
    <row r="25" spans="1:24" ht="13.15" customHeight="1">
      <c r="A25" s="109">
        <v>16</v>
      </c>
      <c r="B25" s="414" t="s">
        <v>1565</v>
      </c>
      <c r="C25" s="422" t="s">
        <v>1566</v>
      </c>
      <c r="D25" s="423"/>
      <c r="E25" s="423"/>
      <c r="F25" s="110" t="s">
        <v>1567</v>
      </c>
      <c r="G25" s="519" t="s">
        <v>1568</v>
      </c>
      <c r="H25" s="519"/>
      <c r="I25" s="519"/>
      <c r="J25" s="519" t="s">
        <v>1568</v>
      </c>
      <c r="K25" s="519"/>
      <c r="L25" s="519"/>
      <c r="M25" s="117">
        <v>55</v>
      </c>
      <c r="N25" s="415"/>
      <c r="O25" s="422" t="s">
        <v>1569</v>
      </c>
      <c r="P25" s="423"/>
      <c r="Q25" s="423"/>
      <c r="R25" s="429" t="s">
        <v>1570</v>
      </c>
      <c r="S25" s="429"/>
      <c r="T25" s="429"/>
      <c r="U25" s="429"/>
      <c r="V25" s="429"/>
      <c r="W25" s="429"/>
      <c r="X25" s="431"/>
    </row>
    <row r="26" spans="1:24" ht="13.15" customHeight="1">
      <c r="A26" s="109">
        <v>17</v>
      </c>
      <c r="B26" s="415"/>
      <c r="C26" s="422" t="s">
        <v>1571</v>
      </c>
      <c r="D26" s="423"/>
      <c r="E26" s="423"/>
      <c r="F26" s="110" t="s">
        <v>1318</v>
      </c>
      <c r="G26" s="519" t="s">
        <v>1331</v>
      </c>
      <c r="H26" s="519"/>
      <c r="I26" s="519"/>
      <c r="J26" s="519" t="s">
        <v>1331</v>
      </c>
      <c r="K26" s="519"/>
      <c r="L26" s="519"/>
      <c r="M26" s="117">
        <v>56</v>
      </c>
      <c r="N26" s="415"/>
      <c r="O26" s="422" t="s">
        <v>1572</v>
      </c>
      <c r="P26" s="423"/>
      <c r="Q26" s="423"/>
      <c r="R26" s="429" t="s">
        <v>1573</v>
      </c>
      <c r="S26" s="429"/>
      <c r="T26" s="429">
        <v>8</v>
      </c>
      <c r="U26" s="429"/>
      <c r="V26" s="248" t="s">
        <v>1385</v>
      </c>
      <c r="W26" s="429">
        <v>3</v>
      </c>
      <c r="X26" s="431"/>
    </row>
    <row r="27" spans="1:24" ht="13.15" customHeight="1">
      <c r="A27" s="109">
        <v>18</v>
      </c>
      <c r="B27" s="415"/>
      <c r="C27" s="422" t="s">
        <v>1574</v>
      </c>
      <c r="D27" s="423"/>
      <c r="E27" s="423"/>
      <c r="F27" s="110" t="s">
        <v>1525</v>
      </c>
      <c r="G27" s="519" t="s">
        <v>1414</v>
      </c>
      <c r="H27" s="519"/>
      <c r="I27" s="519"/>
      <c r="J27" s="519" t="s">
        <v>1414</v>
      </c>
      <c r="K27" s="519"/>
      <c r="L27" s="519"/>
      <c r="M27" s="117">
        <v>57</v>
      </c>
      <c r="N27" s="415"/>
      <c r="O27" s="422" t="s">
        <v>1575</v>
      </c>
      <c r="P27" s="423"/>
      <c r="Q27" s="423"/>
      <c r="R27" s="429" t="s">
        <v>1576</v>
      </c>
      <c r="S27" s="429"/>
      <c r="T27" s="429"/>
      <c r="U27" s="429"/>
      <c r="V27" s="429"/>
      <c r="W27" s="429"/>
      <c r="X27" s="431"/>
    </row>
    <row r="28" spans="1:24" ht="13.15" customHeight="1">
      <c r="A28" s="109">
        <v>19</v>
      </c>
      <c r="B28" s="415"/>
      <c r="C28" s="457" t="s">
        <v>1577</v>
      </c>
      <c r="D28" s="456"/>
      <c r="E28" s="456"/>
      <c r="F28" s="110" t="s">
        <v>1578</v>
      </c>
      <c r="G28" s="519">
        <v>150</v>
      </c>
      <c r="H28" s="519"/>
      <c r="I28" s="519"/>
      <c r="J28" s="519">
        <v>150</v>
      </c>
      <c r="K28" s="519"/>
      <c r="L28" s="519"/>
      <c r="M28" s="117">
        <v>58</v>
      </c>
      <c r="N28" s="415"/>
      <c r="O28" s="422" t="s">
        <v>1579</v>
      </c>
      <c r="P28" s="423"/>
      <c r="Q28" s="423"/>
      <c r="R28" s="429" t="s">
        <v>1580</v>
      </c>
      <c r="S28" s="429"/>
      <c r="T28" s="429"/>
      <c r="U28" s="429"/>
      <c r="V28" s="429"/>
      <c r="W28" s="429"/>
      <c r="X28" s="431"/>
    </row>
    <row r="29" spans="1:24" ht="13.15" customHeight="1">
      <c r="A29" s="109">
        <v>20</v>
      </c>
      <c r="B29" s="415"/>
      <c r="C29" s="422" t="s">
        <v>1581</v>
      </c>
      <c r="D29" s="423"/>
      <c r="E29" s="423"/>
      <c r="F29" s="424"/>
      <c r="G29" s="462" t="s">
        <v>398</v>
      </c>
      <c r="H29" s="462"/>
      <c r="I29" s="462"/>
      <c r="J29" s="462" t="s">
        <v>398</v>
      </c>
      <c r="K29" s="462"/>
      <c r="L29" s="426"/>
      <c r="M29" s="117">
        <v>59</v>
      </c>
      <c r="N29" s="416"/>
      <c r="O29" s="457" t="s">
        <v>1582</v>
      </c>
      <c r="P29" s="456"/>
      <c r="Q29" s="456"/>
      <c r="R29" s="429" t="s">
        <v>1583</v>
      </c>
      <c r="S29" s="429"/>
      <c r="T29" s="429">
        <v>0.8</v>
      </c>
      <c r="U29" s="429"/>
      <c r="V29" s="429"/>
      <c r="W29" s="429"/>
      <c r="X29" s="431"/>
    </row>
    <row r="30" spans="1:24" ht="13.15" customHeight="1">
      <c r="A30" s="109">
        <v>21</v>
      </c>
      <c r="B30" s="415"/>
      <c r="C30" s="422" t="s">
        <v>1584</v>
      </c>
      <c r="D30" s="423"/>
      <c r="E30" s="423"/>
      <c r="F30" s="424"/>
      <c r="G30" s="462" t="s">
        <v>1414</v>
      </c>
      <c r="H30" s="462"/>
      <c r="I30" s="462"/>
      <c r="J30" s="462" t="s">
        <v>1414</v>
      </c>
      <c r="K30" s="462"/>
      <c r="L30" s="462"/>
      <c r="M30" s="117">
        <v>60</v>
      </c>
      <c r="N30" s="414" t="s">
        <v>1585</v>
      </c>
      <c r="O30" s="422" t="s">
        <v>1586</v>
      </c>
      <c r="P30" s="423"/>
      <c r="Q30" s="423"/>
      <c r="R30" s="429" t="s">
        <v>1587</v>
      </c>
      <c r="S30" s="429"/>
      <c r="T30" s="429"/>
      <c r="U30" s="429"/>
      <c r="V30" s="429"/>
      <c r="W30" s="429"/>
      <c r="X30" s="431"/>
    </row>
    <row r="31" spans="1:24" ht="13.15" customHeight="1">
      <c r="A31" s="109">
        <v>22</v>
      </c>
      <c r="B31" s="415"/>
      <c r="C31" s="422" t="s">
        <v>1588</v>
      </c>
      <c r="D31" s="423"/>
      <c r="E31" s="423"/>
      <c r="F31" s="424"/>
      <c r="G31" s="462" t="s">
        <v>1558</v>
      </c>
      <c r="H31" s="462"/>
      <c r="I31" s="462"/>
      <c r="J31" s="462" t="s">
        <v>1558</v>
      </c>
      <c r="K31" s="462"/>
      <c r="L31" s="462"/>
      <c r="M31" s="117">
        <v>61</v>
      </c>
      <c r="N31" s="415"/>
      <c r="O31" s="422" t="s">
        <v>1550</v>
      </c>
      <c r="P31" s="423"/>
      <c r="Q31" s="423"/>
      <c r="R31" s="423"/>
      <c r="S31" s="429" t="s">
        <v>1589</v>
      </c>
      <c r="T31" s="429"/>
      <c r="U31" s="429"/>
      <c r="V31" s="429"/>
      <c r="W31" s="429"/>
      <c r="X31" s="431"/>
    </row>
    <row r="32" spans="1:24" ht="13.15" customHeight="1">
      <c r="A32" s="109">
        <v>23</v>
      </c>
      <c r="B32" s="415"/>
      <c r="C32" s="422" t="s">
        <v>1590</v>
      </c>
      <c r="D32" s="423"/>
      <c r="E32" s="423"/>
      <c r="F32" s="429" t="s">
        <v>1591</v>
      </c>
      <c r="G32" s="429"/>
      <c r="H32" s="429"/>
      <c r="I32" s="429"/>
      <c r="J32" s="429"/>
      <c r="K32" s="429"/>
      <c r="L32" s="429"/>
      <c r="M32" s="117">
        <v>62</v>
      </c>
      <c r="N32" s="415"/>
      <c r="O32" s="422" t="s">
        <v>1554</v>
      </c>
      <c r="P32" s="423"/>
      <c r="Q32" s="423"/>
      <c r="R32" s="429" t="s">
        <v>1319</v>
      </c>
      <c r="S32" s="429"/>
      <c r="T32" s="429"/>
      <c r="U32" s="111" t="s">
        <v>1447</v>
      </c>
      <c r="V32" s="429" t="s">
        <v>1106</v>
      </c>
      <c r="W32" s="429"/>
      <c r="X32" s="431"/>
    </row>
    <row r="33" spans="1:24" ht="13.15" customHeight="1">
      <c r="A33" s="109">
        <v>24</v>
      </c>
      <c r="B33" s="415"/>
      <c r="C33" s="422" t="s">
        <v>1554</v>
      </c>
      <c r="D33" s="423"/>
      <c r="E33" s="423"/>
      <c r="F33" s="429" t="s">
        <v>1592</v>
      </c>
      <c r="G33" s="429"/>
      <c r="H33" s="429"/>
      <c r="I33" s="115" t="s">
        <v>1447</v>
      </c>
      <c r="J33" s="429" t="s">
        <v>1593</v>
      </c>
      <c r="K33" s="429"/>
      <c r="L33" s="429"/>
      <c r="M33" s="117">
        <v>63</v>
      </c>
      <c r="N33" s="415"/>
      <c r="O33" s="422" t="s">
        <v>1594</v>
      </c>
      <c r="P33" s="423"/>
      <c r="Q33" s="423"/>
      <c r="R33" s="423"/>
      <c r="S33" s="429" t="s">
        <v>1595</v>
      </c>
      <c r="T33" s="429"/>
      <c r="U33" s="429"/>
      <c r="V33" s="429"/>
      <c r="W33" s="429"/>
      <c r="X33" s="431"/>
    </row>
    <row r="34" spans="1:24" ht="13.15" customHeight="1">
      <c r="A34" s="109">
        <v>25</v>
      </c>
      <c r="B34" s="415"/>
      <c r="C34" s="422" t="s">
        <v>1596</v>
      </c>
      <c r="D34" s="423"/>
      <c r="E34" s="423"/>
      <c r="F34" s="429" t="s">
        <v>1597</v>
      </c>
      <c r="G34" s="429"/>
      <c r="H34" s="429"/>
      <c r="I34" s="248" t="s">
        <v>1385</v>
      </c>
      <c r="J34" s="429" t="s">
        <v>1598</v>
      </c>
      <c r="K34" s="429"/>
      <c r="L34" s="429"/>
      <c r="M34" s="117">
        <v>64</v>
      </c>
      <c r="N34" s="415"/>
      <c r="O34" s="457" t="s">
        <v>1599</v>
      </c>
      <c r="P34" s="456"/>
      <c r="Q34" s="429" t="s">
        <v>1600</v>
      </c>
      <c r="R34" s="429"/>
      <c r="S34" s="429"/>
      <c r="T34" s="456" t="s">
        <v>1601</v>
      </c>
      <c r="U34" s="456"/>
      <c r="V34" s="429" t="s">
        <v>1600</v>
      </c>
      <c r="W34" s="429"/>
      <c r="X34" s="431"/>
    </row>
    <row r="35" spans="1:24" ht="13.15" customHeight="1">
      <c r="A35" s="109">
        <v>26</v>
      </c>
      <c r="B35" s="415"/>
      <c r="C35" s="422" t="s">
        <v>1602</v>
      </c>
      <c r="D35" s="423"/>
      <c r="E35" s="423"/>
      <c r="F35" s="429" t="s">
        <v>1603</v>
      </c>
      <c r="G35" s="429"/>
      <c r="H35" s="429"/>
      <c r="I35" s="429"/>
      <c r="J35" s="429"/>
      <c r="K35" s="429"/>
      <c r="L35" s="429"/>
      <c r="M35" s="117">
        <v>65</v>
      </c>
      <c r="N35" s="415"/>
      <c r="O35" s="422" t="s">
        <v>1604</v>
      </c>
      <c r="P35" s="423"/>
      <c r="Q35" s="423"/>
      <c r="R35" s="423"/>
      <c r="S35" s="429" t="s">
        <v>228</v>
      </c>
      <c r="T35" s="429"/>
      <c r="U35" s="429"/>
      <c r="V35" s="429"/>
      <c r="W35" s="429"/>
      <c r="X35" s="431"/>
    </row>
    <row r="36" spans="1:24" ht="13.15" customHeight="1">
      <c r="A36" s="109">
        <v>27</v>
      </c>
      <c r="B36" s="415"/>
      <c r="C36" s="422" t="s">
        <v>1605</v>
      </c>
      <c r="D36" s="423"/>
      <c r="E36" s="423"/>
      <c r="F36" s="429" t="s">
        <v>1606</v>
      </c>
      <c r="G36" s="429"/>
      <c r="H36" s="429"/>
      <c r="I36" s="429"/>
      <c r="J36" s="429"/>
      <c r="K36" s="429"/>
      <c r="L36" s="429"/>
      <c r="M36" s="117">
        <v>66</v>
      </c>
      <c r="N36" s="416"/>
      <c r="O36" s="440" t="s">
        <v>1414</v>
      </c>
      <c r="P36" s="441"/>
      <c r="Q36" s="441"/>
      <c r="R36" s="441"/>
      <c r="S36" s="441"/>
      <c r="T36" s="441"/>
      <c r="U36" s="441"/>
      <c r="V36" s="441"/>
      <c r="W36" s="441"/>
      <c r="X36" s="442"/>
    </row>
    <row r="37" spans="1:24" ht="13.15" customHeight="1">
      <c r="A37" s="109">
        <v>28</v>
      </c>
      <c r="B37" s="415"/>
      <c r="C37" s="422" t="s">
        <v>1607</v>
      </c>
      <c r="D37" s="423"/>
      <c r="E37" s="423"/>
      <c r="F37" s="429" t="s">
        <v>1608</v>
      </c>
      <c r="G37" s="429"/>
      <c r="H37" s="106" t="s">
        <v>1609</v>
      </c>
      <c r="I37" s="429" t="s">
        <v>1608</v>
      </c>
      <c r="J37" s="429"/>
      <c r="K37" s="429"/>
      <c r="L37" s="429"/>
      <c r="M37" s="117">
        <v>67</v>
      </c>
      <c r="N37" s="414" t="s">
        <v>1610</v>
      </c>
      <c r="O37" s="457" t="s">
        <v>1550</v>
      </c>
      <c r="P37" s="456"/>
      <c r="Q37" s="429" t="s">
        <v>1611</v>
      </c>
      <c r="R37" s="429"/>
      <c r="S37" s="429"/>
      <c r="T37" s="429"/>
      <c r="U37" s="456" t="s">
        <v>1612</v>
      </c>
      <c r="V37" s="456"/>
      <c r="W37" s="458">
        <v>2</v>
      </c>
      <c r="X37" s="431"/>
    </row>
    <row r="38" spans="1:24" ht="13.15" customHeight="1">
      <c r="A38" s="109">
        <v>29</v>
      </c>
      <c r="B38" s="416"/>
      <c r="C38" s="422" t="s">
        <v>1613</v>
      </c>
      <c r="D38" s="423"/>
      <c r="E38" s="423"/>
      <c r="F38" s="429" t="s">
        <v>1614</v>
      </c>
      <c r="G38" s="429"/>
      <c r="H38" s="429"/>
      <c r="I38" s="248" t="s">
        <v>1385</v>
      </c>
      <c r="J38" s="429" t="s">
        <v>1615</v>
      </c>
      <c r="K38" s="429"/>
      <c r="L38" s="429"/>
      <c r="M38" s="117">
        <v>68</v>
      </c>
      <c r="N38" s="415"/>
      <c r="O38" s="422" t="s">
        <v>1554</v>
      </c>
      <c r="P38" s="423"/>
      <c r="Q38" s="423"/>
      <c r="R38" s="429" t="s">
        <v>1616</v>
      </c>
      <c r="S38" s="429"/>
      <c r="T38" s="429"/>
      <c r="U38" s="111" t="s">
        <v>1447</v>
      </c>
      <c r="V38" s="429" t="s">
        <v>1617</v>
      </c>
      <c r="W38" s="429"/>
      <c r="X38" s="431"/>
    </row>
    <row r="39" spans="1:24" ht="13.15" customHeight="1">
      <c r="A39" s="109">
        <v>30</v>
      </c>
      <c r="B39" s="414" t="s">
        <v>1618</v>
      </c>
      <c r="C39" s="422" t="s">
        <v>1550</v>
      </c>
      <c r="D39" s="423"/>
      <c r="E39" s="423"/>
      <c r="F39" s="429" t="s">
        <v>1619</v>
      </c>
      <c r="G39" s="429"/>
      <c r="H39" s="429"/>
      <c r="I39" s="429"/>
      <c r="J39" s="429"/>
      <c r="K39" s="429"/>
      <c r="L39" s="429"/>
      <c r="M39" s="117">
        <v>69</v>
      </c>
      <c r="N39" s="415"/>
      <c r="O39" s="422" t="s">
        <v>1620</v>
      </c>
      <c r="P39" s="423"/>
      <c r="Q39" s="423"/>
      <c r="R39" s="429">
        <v>2</v>
      </c>
      <c r="S39" s="429"/>
      <c r="T39" s="429"/>
      <c r="U39" s="248" t="s">
        <v>1385</v>
      </c>
      <c r="V39" s="429" t="s">
        <v>1621</v>
      </c>
      <c r="W39" s="429"/>
      <c r="X39" s="431"/>
    </row>
    <row r="40" spans="1:24" ht="13.15" customHeight="1">
      <c r="A40" s="109">
        <v>31</v>
      </c>
      <c r="B40" s="415"/>
      <c r="C40" s="422" t="s">
        <v>1622</v>
      </c>
      <c r="D40" s="423"/>
      <c r="E40" s="423"/>
      <c r="F40" s="423"/>
      <c r="G40" s="423"/>
      <c r="H40" s="423"/>
      <c r="I40" s="423"/>
      <c r="J40" s="518" t="s">
        <v>1414</v>
      </c>
      <c r="K40" s="518"/>
      <c r="L40" s="518"/>
      <c r="M40" s="117">
        <v>70</v>
      </c>
      <c r="N40" s="415"/>
      <c r="O40" s="422" t="s">
        <v>1623</v>
      </c>
      <c r="P40" s="423"/>
      <c r="Q40" s="423"/>
      <c r="R40" s="429" t="s">
        <v>138</v>
      </c>
      <c r="S40" s="429"/>
      <c r="T40" s="429"/>
      <c r="U40" s="248" t="s">
        <v>1385</v>
      </c>
      <c r="V40" s="429" t="s">
        <v>194</v>
      </c>
      <c r="W40" s="429"/>
      <c r="X40" s="431"/>
    </row>
    <row r="41" spans="1:24" ht="13.15" customHeight="1">
      <c r="A41" s="109">
        <v>32</v>
      </c>
      <c r="B41" s="415"/>
      <c r="C41" s="422" t="s">
        <v>1624</v>
      </c>
      <c r="D41" s="423"/>
      <c r="E41" s="423"/>
      <c r="F41" s="423"/>
      <c r="G41" s="107" t="s">
        <v>1317</v>
      </c>
      <c r="H41" s="518">
        <v>62</v>
      </c>
      <c r="I41" s="518"/>
      <c r="J41" s="248" t="s">
        <v>1385</v>
      </c>
      <c r="K41" s="429" t="s">
        <v>1625</v>
      </c>
      <c r="L41" s="429"/>
      <c r="M41" s="117">
        <v>71</v>
      </c>
      <c r="N41" s="416"/>
      <c r="O41" s="440" t="s">
        <v>1414</v>
      </c>
      <c r="P41" s="441"/>
      <c r="Q41" s="441"/>
      <c r="R41" s="441"/>
      <c r="S41" s="441"/>
      <c r="T41" s="441"/>
      <c r="U41" s="441"/>
      <c r="V41" s="441"/>
      <c r="W41" s="441"/>
      <c r="X41" s="442"/>
    </row>
    <row r="42" spans="1:24" ht="13.15" customHeight="1">
      <c r="A42" s="109">
        <v>33</v>
      </c>
      <c r="B42" s="415"/>
      <c r="C42" s="422" t="s">
        <v>1626</v>
      </c>
      <c r="D42" s="423"/>
      <c r="E42" s="423"/>
      <c r="F42" s="429" t="s">
        <v>1627</v>
      </c>
      <c r="G42" s="429"/>
      <c r="H42" s="429"/>
      <c r="I42" s="429"/>
      <c r="J42" s="429"/>
      <c r="K42" s="429"/>
      <c r="L42" s="429"/>
      <c r="M42" s="117">
        <v>72</v>
      </c>
      <c r="N42" s="414" t="s">
        <v>1628</v>
      </c>
      <c r="O42" s="422" t="s">
        <v>1554</v>
      </c>
      <c r="P42" s="423"/>
      <c r="Q42" s="423"/>
      <c r="R42" s="429" t="s">
        <v>1321</v>
      </c>
      <c r="S42" s="429"/>
      <c r="T42" s="429"/>
      <c r="U42" s="111" t="s">
        <v>1447</v>
      </c>
      <c r="V42" s="429" t="s">
        <v>1629</v>
      </c>
      <c r="W42" s="429"/>
      <c r="X42" s="431"/>
    </row>
    <row r="43" spans="1:24" ht="13.15" customHeight="1">
      <c r="A43" s="109">
        <v>34</v>
      </c>
      <c r="B43" s="415"/>
      <c r="C43" s="422" t="s">
        <v>1630</v>
      </c>
      <c r="D43" s="423"/>
      <c r="E43" s="423"/>
      <c r="F43" s="423"/>
      <c r="G43" s="429" t="s">
        <v>1631</v>
      </c>
      <c r="H43" s="429"/>
      <c r="I43" s="429"/>
      <c r="J43" s="429"/>
      <c r="K43" s="429"/>
      <c r="L43" s="429"/>
      <c r="M43" s="117">
        <v>73</v>
      </c>
      <c r="N43" s="415"/>
      <c r="O43" s="422" t="s">
        <v>1632</v>
      </c>
      <c r="P43" s="423"/>
      <c r="Q43" s="423"/>
      <c r="R43" s="429" t="s">
        <v>1633</v>
      </c>
      <c r="S43" s="429"/>
      <c r="T43" s="429" t="s">
        <v>1634</v>
      </c>
      <c r="U43" s="429"/>
      <c r="V43" s="429"/>
      <c r="W43" s="429"/>
      <c r="X43" s="431"/>
    </row>
    <row r="44" spans="1:24" ht="13.15" customHeight="1">
      <c r="A44" s="109">
        <v>35</v>
      </c>
      <c r="B44" s="415"/>
      <c r="C44" s="516" t="s">
        <v>1635</v>
      </c>
      <c r="D44" s="461"/>
      <c r="E44" s="461"/>
      <c r="F44" s="112">
        <v>60</v>
      </c>
      <c r="G44" s="113" t="s">
        <v>1328</v>
      </c>
      <c r="H44" s="517">
        <v>0.91</v>
      </c>
      <c r="I44" s="517"/>
      <c r="J44" s="113" t="s">
        <v>1636</v>
      </c>
      <c r="K44" s="517" t="s">
        <v>1414</v>
      </c>
      <c r="L44" s="517"/>
      <c r="M44" s="117">
        <v>74</v>
      </c>
      <c r="N44" s="415"/>
      <c r="O44" s="422" t="s">
        <v>1637</v>
      </c>
      <c r="P44" s="423"/>
      <c r="Q44" s="423"/>
      <c r="R44" s="429"/>
      <c r="S44" s="429"/>
      <c r="T44" s="445" t="s">
        <v>1599</v>
      </c>
      <c r="U44" s="445"/>
      <c r="V44" s="429" t="s">
        <v>1638</v>
      </c>
      <c r="W44" s="429"/>
      <c r="X44" s="431"/>
    </row>
    <row r="45" spans="1:24" ht="13.15" customHeight="1">
      <c r="A45" s="109">
        <v>36</v>
      </c>
      <c r="B45" s="415"/>
      <c r="C45" s="422" t="s">
        <v>1639</v>
      </c>
      <c r="D45" s="423"/>
      <c r="E45" s="423"/>
      <c r="F45" s="423"/>
      <c r="G45" s="429" t="s">
        <v>1640</v>
      </c>
      <c r="H45" s="429"/>
      <c r="I45" s="429"/>
      <c r="J45" s="429"/>
      <c r="K45" s="429"/>
      <c r="L45" s="429"/>
      <c r="M45" s="117">
        <v>75</v>
      </c>
      <c r="N45" s="416"/>
      <c r="O45" s="440" t="s">
        <v>1414</v>
      </c>
      <c r="P45" s="441"/>
      <c r="Q45" s="441"/>
      <c r="R45" s="441"/>
      <c r="S45" s="441"/>
      <c r="T45" s="441"/>
      <c r="U45" s="441"/>
      <c r="V45" s="441"/>
      <c r="W45" s="441"/>
      <c r="X45" s="442"/>
    </row>
    <row r="46" spans="1:24" ht="13.15" customHeight="1">
      <c r="A46" s="109">
        <v>37</v>
      </c>
      <c r="B46" s="415"/>
      <c r="C46" s="457" t="s">
        <v>1641</v>
      </c>
      <c r="D46" s="456"/>
      <c r="E46" s="456"/>
      <c r="F46" s="456"/>
      <c r="G46" s="429" t="s">
        <v>1640</v>
      </c>
      <c r="H46" s="429"/>
      <c r="I46" s="429"/>
      <c r="J46" s="429"/>
      <c r="K46" s="429"/>
      <c r="L46" s="429"/>
      <c r="M46" s="117">
        <v>76</v>
      </c>
      <c r="N46" s="414" t="s">
        <v>1642</v>
      </c>
      <c r="O46" s="422" t="s">
        <v>1643</v>
      </c>
      <c r="P46" s="423"/>
      <c r="Q46" s="423"/>
      <c r="R46" s="429" t="s">
        <v>1633</v>
      </c>
      <c r="S46" s="429"/>
      <c r="T46" s="429" t="s">
        <v>1414</v>
      </c>
      <c r="U46" s="429"/>
      <c r="V46" s="429"/>
      <c r="W46" s="429"/>
      <c r="X46" s="431"/>
    </row>
    <row r="47" spans="1:24" ht="13.15" customHeight="1">
      <c r="A47" s="109">
        <v>38</v>
      </c>
      <c r="B47" s="415"/>
      <c r="C47" s="422" t="s">
        <v>1644</v>
      </c>
      <c r="D47" s="423"/>
      <c r="E47" s="423"/>
      <c r="F47" s="423"/>
      <c r="G47" s="429" t="s">
        <v>1645</v>
      </c>
      <c r="H47" s="429"/>
      <c r="I47" s="429"/>
      <c r="J47" s="429"/>
      <c r="K47" s="429"/>
      <c r="L47" s="429"/>
      <c r="M47" s="117">
        <v>77</v>
      </c>
      <c r="N47" s="415"/>
      <c r="O47" s="422" t="s">
        <v>1646</v>
      </c>
      <c r="P47" s="423"/>
      <c r="Q47" s="423"/>
      <c r="R47" s="429" t="s">
        <v>1647</v>
      </c>
      <c r="S47" s="429"/>
      <c r="T47" s="429"/>
      <c r="U47" s="429"/>
      <c r="V47" s="429"/>
      <c r="W47" s="429"/>
      <c r="X47" s="431"/>
    </row>
    <row r="48" spans="1:24" ht="13.15" customHeight="1">
      <c r="A48" s="109">
        <v>39</v>
      </c>
      <c r="B48" s="415"/>
      <c r="C48" s="422" t="s">
        <v>1648</v>
      </c>
      <c r="D48" s="423"/>
      <c r="E48" s="423"/>
      <c r="F48" s="423"/>
      <c r="G48" s="429" t="s">
        <v>1649</v>
      </c>
      <c r="H48" s="429"/>
      <c r="I48" s="429"/>
      <c r="J48" s="429"/>
      <c r="K48" s="429"/>
      <c r="L48" s="429"/>
      <c r="M48" s="117">
        <v>78</v>
      </c>
      <c r="N48" s="415"/>
      <c r="O48" s="422" t="s">
        <v>1650</v>
      </c>
      <c r="P48" s="423"/>
      <c r="Q48" s="423"/>
      <c r="R48" s="429" t="s">
        <v>1414</v>
      </c>
      <c r="S48" s="429"/>
      <c r="T48" s="429"/>
      <c r="U48" s="429"/>
      <c r="V48" s="429"/>
      <c r="W48" s="429"/>
      <c r="X48" s="431"/>
    </row>
    <row r="49" spans="1:24" ht="13.15" customHeight="1">
      <c r="A49" s="109">
        <v>40</v>
      </c>
      <c r="B49" s="416"/>
      <c r="C49" s="422" t="s">
        <v>1414</v>
      </c>
      <c r="D49" s="423"/>
      <c r="E49" s="423"/>
      <c r="F49" s="423"/>
      <c r="G49" s="423"/>
      <c r="H49" s="423"/>
      <c r="I49" s="423"/>
      <c r="J49" s="423"/>
      <c r="K49" s="423"/>
      <c r="L49" s="423"/>
      <c r="M49" s="117">
        <v>79</v>
      </c>
      <c r="N49" s="415"/>
      <c r="O49" s="422" t="s">
        <v>1651</v>
      </c>
      <c r="P49" s="423"/>
      <c r="Q49" s="423"/>
      <c r="R49" s="429" t="s">
        <v>1414</v>
      </c>
      <c r="S49" s="429"/>
      <c r="T49" s="429"/>
      <c r="U49" s="429"/>
      <c r="V49" s="429"/>
      <c r="W49" s="429"/>
      <c r="X49" s="431"/>
    </row>
    <row r="50" spans="1:24" ht="13.15" customHeight="1">
      <c r="A50" s="109">
        <v>41</v>
      </c>
      <c r="B50" s="414" t="s">
        <v>1652</v>
      </c>
      <c r="C50" s="457" t="s">
        <v>1653</v>
      </c>
      <c r="D50" s="456"/>
      <c r="E50" s="429" t="s">
        <v>1332</v>
      </c>
      <c r="F50" s="429"/>
      <c r="G50" s="441" t="s">
        <v>1414</v>
      </c>
      <c r="H50" s="441"/>
      <c r="I50" s="441"/>
      <c r="J50" s="441"/>
      <c r="K50" s="441"/>
      <c r="L50" s="441"/>
      <c r="M50" s="117">
        <v>80</v>
      </c>
      <c r="N50" s="415"/>
      <c r="O50" s="440" t="s">
        <v>1414</v>
      </c>
      <c r="P50" s="441"/>
      <c r="Q50" s="441"/>
      <c r="R50" s="441"/>
      <c r="S50" s="441"/>
      <c r="T50" s="441"/>
      <c r="U50" s="441"/>
      <c r="V50" s="441"/>
      <c r="W50" s="441"/>
      <c r="X50" s="442"/>
    </row>
    <row r="51" spans="1:24" ht="13.15" customHeight="1">
      <c r="A51" s="109">
        <v>42</v>
      </c>
      <c r="B51" s="415"/>
      <c r="C51" s="422" t="s">
        <v>1654</v>
      </c>
      <c r="D51" s="423"/>
      <c r="E51" s="423"/>
      <c r="F51" s="423"/>
      <c r="G51" s="429" t="s">
        <v>1332</v>
      </c>
      <c r="H51" s="429"/>
      <c r="I51" s="429"/>
      <c r="J51" s="429"/>
      <c r="K51" s="429"/>
      <c r="L51" s="429"/>
      <c r="M51" s="117">
        <v>81</v>
      </c>
      <c r="N51" s="416"/>
      <c r="O51" s="440" t="s">
        <v>1414</v>
      </c>
      <c r="P51" s="441"/>
      <c r="Q51" s="441"/>
      <c r="R51" s="441"/>
      <c r="S51" s="441"/>
      <c r="T51" s="441"/>
      <c r="U51" s="441"/>
      <c r="V51" s="441"/>
      <c r="W51" s="441"/>
      <c r="X51" s="442"/>
    </row>
    <row r="52" spans="1:24" ht="13.15" customHeight="1">
      <c r="A52" s="109">
        <v>43</v>
      </c>
      <c r="B52" s="415"/>
      <c r="C52" s="422" t="s">
        <v>1655</v>
      </c>
      <c r="D52" s="423"/>
      <c r="E52" s="423"/>
      <c r="F52" s="423"/>
      <c r="G52" s="429" t="s">
        <v>1332</v>
      </c>
      <c r="H52" s="429"/>
      <c r="I52" s="429"/>
      <c r="J52" s="429"/>
      <c r="K52" s="429"/>
      <c r="L52" s="429"/>
      <c r="M52" s="117">
        <v>82</v>
      </c>
      <c r="N52" s="418" t="s">
        <v>1656</v>
      </c>
      <c r="O52" s="422"/>
      <c r="P52" s="423" t="s">
        <v>1490</v>
      </c>
      <c r="Q52" s="423"/>
      <c r="R52" s="423"/>
      <c r="S52" s="429"/>
      <c r="T52" s="429"/>
      <c r="U52" s="429" t="s">
        <v>1491</v>
      </c>
      <c r="V52" s="429"/>
      <c r="W52" s="429" t="s">
        <v>1492</v>
      </c>
      <c r="X52" s="431"/>
    </row>
    <row r="53" spans="1:24" ht="13.15" customHeight="1">
      <c r="A53" s="109">
        <v>44</v>
      </c>
      <c r="B53" s="415"/>
      <c r="C53" s="422" t="s">
        <v>1657</v>
      </c>
      <c r="D53" s="423"/>
      <c r="E53" s="423"/>
      <c r="F53" s="423"/>
      <c r="G53" s="429" t="s">
        <v>1658</v>
      </c>
      <c r="H53" s="429"/>
      <c r="I53" s="429"/>
      <c r="J53" s="429"/>
      <c r="K53" s="429"/>
      <c r="L53" s="429"/>
      <c r="M53" s="117">
        <v>83</v>
      </c>
      <c r="N53" s="415"/>
      <c r="O53" s="422"/>
      <c r="P53" s="423"/>
      <c r="Q53" s="423"/>
      <c r="R53" s="423"/>
      <c r="S53" s="429"/>
      <c r="T53" s="429"/>
      <c r="U53" s="429"/>
      <c r="V53" s="429"/>
      <c r="W53" s="429"/>
      <c r="X53" s="431"/>
    </row>
    <row r="54" spans="1:24" ht="13.15" customHeight="1">
      <c r="A54" s="109">
        <v>45</v>
      </c>
      <c r="B54" s="415"/>
      <c r="C54" s="513" t="s">
        <v>1659</v>
      </c>
      <c r="D54" s="441"/>
      <c r="E54" s="441"/>
      <c r="F54" s="441"/>
      <c r="G54" s="429" t="s">
        <v>1660</v>
      </c>
      <c r="H54" s="429"/>
      <c r="I54" s="429"/>
      <c r="J54" s="429"/>
      <c r="K54" s="429"/>
      <c r="L54" s="429"/>
      <c r="M54" s="117">
        <v>84</v>
      </c>
      <c r="N54" s="415"/>
      <c r="O54" s="422"/>
      <c r="P54" s="423"/>
      <c r="Q54" s="423"/>
      <c r="R54" s="423"/>
      <c r="S54" s="429"/>
      <c r="T54" s="429"/>
      <c r="U54" s="429"/>
      <c r="V54" s="429"/>
      <c r="W54" s="429"/>
      <c r="X54" s="431"/>
    </row>
    <row r="55" spans="1:24" ht="13.15" customHeight="1">
      <c r="A55" s="109">
        <v>46</v>
      </c>
      <c r="B55" s="415"/>
      <c r="C55" s="513" t="s">
        <v>1661</v>
      </c>
      <c r="D55" s="441"/>
      <c r="E55" s="441"/>
      <c r="F55" s="441"/>
      <c r="G55" s="429" t="s">
        <v>1662</v>
      </c>
      <c r="H55" s="429"/>
      <c r="I55" s="429"/>
      <c r="J55" s="429"/>
      <c r="K55" s="429"/>
      <c r="L55" s="429"/>
      <c r="M55" s="117">
        <v>85</v>
      </c>
      <c r="N55" s="415"/>
      <c r="O55" s="422"/>
      <c r="P55" s="423"/>
      <c r="Q55" s="423"/>
      <c r="R55" s="423"/>
      <c r="S55" s="429"/>
      <c r="T55" s="429"/>
      <c r="U55" s="429"/>
      <c r="V55" s="429"/>
      <c r="W55" s="429"/>
      <c r="X55" s="431"/>
    </row>
    <row r="56" spans="1:24" ht="13.15" customHeight="1">
      <c r="A56" s="109">
        <v>47</v>
      </c>
      <c r="B56" s="415"/>
      <c r="C56" s="440" t="s">
        <v>1414</v>
      </c>
      <c r="D56" s="441"/>
      <c r="E56" s="441"/>
      <c r="F56" s="441"/>
      <c r="G56" s="441"/>
      <c r="H56" s="441"/>
      <c r="I56" s="441"/>
      <c r="J56" s="441"/>
      <c r="K56" s="441"/>
      <c r="L56" s="441"/>
      <c r="M56" s="118" t="s">
        <v>1489</v>
      </c>
      <c r="N56" s="508" t="s">
        <v>1663</v>
      </c>
      <c r="O56" s="444"/>
      <c r="P56" s="508" t="s">
        <v>1664</v>
      </c>
      <c r="Q56" s="514"/>
      <c r="R56" s="514"/>
      <c r="S56" s="514"/>
      <c r="T56" s="515"/>
      <c r="U56" s="508" t="s">
        <v>1665</v>
      </c>
      <c r="V56" s="515"/>
      <c r="W56" s="443" t="s">
        <v>1492</v>
      </c>
      <c r="X56" s="446"/>
    </row>
    <row r="57" spans="1:24" ht="13.15" customHeight="1">
      <c r="A57" s="109">
        <v>48</v>
      </c>
      <c r="B57" s="415"/>
      <c r="C57" s="440" t="s">
        <v>1414</v>
      </c>
      <c r="D57" s="441"/>
      <c r="E57" s="441"/>
      <c r="F57" s="441"/>
      <c r="G57" s="441"/>
      <c r="H57" s="441"/>
      <c r="I57" s="441"/>
      <c r="J57" s="441"/>
      <c r="K57" s="441"/>
      <c r="L57" s="441"/>
      <c r="M57" s="119"/>
      <c r="N57" s="426"/>
      <c r="O57" s="427"/>
      <c r="P57" s="426"/>
      <c r="Q57" s="429"/>
      <c r="R57" s="429"/>
      <c r="S57" s="429"/>
      <c r="T57" s="427"/>
      <c r="U57" s="426"/>
      <c r="V57" s="427"/>
      <c r="W57" s="426"/>
      <c r="X57" s="431"/>
    </row>
    <row r="58" spans="1:24" ht="13.15" customHeight="1">
      <c r="A58" s="109">
        <v>49</v>
      </c>
      <c r="B58" s="415"/>
      <c r="C58" s="440" t="s">
        <v>1414</v>
      </c>
      <c r="D58" s="441"/>
      <c r="E58" s="441"/>
      <c r="F58" s="441"/>
      <c r="G58" s="441"/>
      <c r="H58" s="441"/>
      <c r="I58" s="441"/>
      <c r="J58" s="441"/>
      <c r="K58" s="441"/>
      <c r="L58" s="441"/>
      <c r="M58" s="119"/>
      <c r="N58" s="426"/>
      <c r="O58" s="427"/>
      <c r="P58" s="426"/>
      <c r="Q58" s="429"/>
      <c r="R58" s="429"/>
      <c r="S58" s="429"/>
      <c r="T58" s="427"/>
      <c r="U58" s="426"/>
      <c r="V58" s="427"/>
      <c r="W58" s="426"/>
      <c r="X58" s="431"/>
    </row>
    <row r="59" spans="1:24" ht="13.15" customHeight="1">
      <c r="A59" s="114">
        <v>50</v>
      </c>
      <c r="B59" s="512"/>
      <c r="C59" s="510" t="s">
        <v>1414</v>
      </c>
      <c r="D59" s="511"/>
      <c r="E59" s="511"/>
      <c r="F59" s="511"/>
      <c r="G59" s="511"/>
      <c r="H59" s="511"/>
      <c r="I59" s="511"/>
      <c r="J59" s="511"/>
      <c r="K59" s="511"/>
      <c r="L59" s="511"/>
      <c r="M59" s="120"/>
      <c r="N59" s="436"/>
      <c r="O59" s="437"/>
      <c r="P59" s="436"/>
      <c r="Q59" s="438"/>
      <c r="R59" s="438"/>
      <c r="S59" s="438"/>
      <c r="T59" s="437"/>
      <c r="U59" s="436"/>
      <c r="V59" s="437"/>
      <c r="W59" s="436"/>
      <c r="X59" s="439"/>
    </row>
  </sheetData>
  <mergeCells count="323">
    <mergeCell ref="A1:X1"/>
    <mergeCell ref="F2:G2"/>
    <mergeCell ref="H2:P2"/>
    <mergeCell ref="Q2:S2"/>
    <mergeCell ref="T2:U2"/>
    <mergeCell ref="W2:X2"/>
    <mergeCell ref="F3:G3"/>
    <mergeCell ref="H3:P3"/>
    <mergeCell ref="Q3:S3"/>
    <mergeCell ref="T3:X3"/>
    <mergeCell ref="A2:E7"/>
    <mergeCell ref="F4:G4"/>
    <mergeCell ref="H4:P4"/>
    <mergeCell ref="Q4:S4"/>
    <mergeCell ref="T4:X4"/>
    <mergeCell ref="F5:G5"/>
    <mergeCell ref="H5:K5"/>
    <mergeCell ref="O5:P5"/>
    <mergeCell ref="Q5:S5"/>
    <mergeCell ref="T5:X5"/>
    <mergeCell ref="F6:G6"/>
    <mergeCell ref="H6:K6"/>
    <mergeCell ref="O6:P6"/>
    <mergeCell ref="Q6:S6"/>
    <mergeCell ref="T6:X6"/>
    <mergeCell ref="F7:G7"/>
    <mergeCell ref="H7:P7"/>
    <mergeCell ref="Q7:S7"/>
    <mergeCell ref="T7:X7"/>
    <mergeCell ref="C8:D8"/>
    <mergeCell ref="E8:J8"/>
    <mergeCell ref="K8:M8"/>
    <mergeCell ref="N8:O8"/>
    <mergeCell ref="P8:Q8"/>
    <mergeCell ref="R8:T8"/>
    <mergeCell ref="U8:V8"/>
    <mergeCell ref="W8:X8"/>
    <mergeCell ref="C9:G9"/>
    <mergeCell ref="H9:I9"/>
    <mergeCell ref="J9:L9"/>
    <mergeCell ref="M9:O9"/>
    <mergeCell ref="P9:R9"/>
    <mergeCell ref="S9:U9"/>
    <mergeCell ref="V9:X9"/>
    <mergeCell ref="C10:G10"/>
    <mergeCell ref="H10:I10"/>
    <mergeCell ref="J10:L10"/>
    <mergeCell ref="M10:O10"/>
    <mergeCell ref="P10:R10"/>
    <mergeCell ref="S10:U10"/>
    <mergeCell ref="V10:X10"/>
    <mergeCell ref="C11:G11"/>
    <mergeCell ref="H11:I11"/>
    <mergeCell ref="J11:L11"/>
    <mergeCell ref="M11:O11"/>
    <mergeCell ref="P11:R11"/>
    <mergeCell ref="S11:U11"/>
    <mergeCell ref="V11:X11"/>
    <mergeCell ref="C12:G12"/>
    <mergeCell ref="H12:I12"/>
    <mergeCell ref="J12:L12"/>
    <mergeCell ref="M12:O12"/>
    <mergeCell ref="P12:R12"/>
    <mergeCell ref="S12:U12"/>
    <mergeCell ref="V12:X12"/>
    <mergeCell ref="C13:G13"/>
    <mergeCell ref="H13:I13"/>
    <mergeCell ref="J13:L13"/>
    <mergeCell ref="M13:O13"/>
    <mergeCell ref="P13:R13"/>
    <mergeCell ref="S13:U13"/>
    <mergeCell ref="V13:X13"/>
    <mergeCell ref="C14:G14"/>
    <mergeCell ref="H14:I14"/>
    <mergeCell ref="J14:L14"/>
    <mergeCell ref="M14:O14"/>
    <mergeCell ref="P14:R14"/>
    <mergeCell ref="S14:U14"/>
    <mergeCell ref="V14:X14"/>
    <mergeCell ref="C15:G15"/>
    <mergeCell ref="H15:I15"/>
    <mergeCell ref="J15:L15"/>
    <mergeCell ref="M15:O15"/>
    <mergeCell ref="P15:R15"/>
    <mergeCell ref="S15:U15"/>
    <mergeCell ref="V15:X15"/>
    <mergeCell ref="C16:G16"/>
    <mergeCell ref="H16:I16"/>
    <mergeCell ref="J16:L16"/>
    <mergeCell ref="M16:O16"/>
    <mergeCell ref="P16:R16"/>
    <mergeCell ref="S16:U16"/>
    <mergeCell ref="V16:X16"/>
    <mergeCell ref="C17:G17"/>
    <mergeCell ref="H17:I17"/>
    <mergeCell ref="J17:L17"/>
    <mergeCell ref="M17:O17"/>
    <mergeCell ref="P17:R17"/>
    <mergeCell ref="S17:U17"/>
    <mergeCell ref="V17:X17"/>
    <mergeCell ref="C18:G18"/>
    <mergeCell ref="H18:I18"/>
    <mergeCell ref="J18:L18"/>
    <mergeCell ref="M18:O18"/>
    <mergeCell ref="P18:R18"/>
    <mergeCell ref="S18:U18"/>
    <mergeCell ref="V18:X18"/>
    <mergeCell ref="C19:G19"/>
    <mergeCell ref="H19:I19"/>
    <mergeCell ref="J19:L19"/>
    <mergeCell ref="M19:O19"/>
    <mergeCell ref="P19:R19"/>
    <mergeCell ref="S19:U19"/>
    <mergeCell ref="V19:X19"/>
    <mergeCell ref="C20:G20"/>
    <mergeCell ref="H20:I20"/>
    <mergeCell ref="J20:L20"/>
    <mergeCell ref="M20:O20"/>
    <mergeCell ref="P20:R20"/>
    <mergeCell ref="S20:U20"/>
    <mergeCell ref="V20:X20"/>
    <mergeCell ref="C21:F21"/>
    <mergeCell ref="G21:I21"/>
    <mergeCell ref="J21:L21"/>
    <mergeCell ref="O21:Q21"/>
    <mergeCell ref="R21:X21"/>
    <mergeCell ref="C22:E22"/>
    <mergeCell ref="G22:I22"/>
    <mergeCell ref="J22:L22"/>
    <mergeCell ref="O22:Q22"/>
    <mergeCell ref="R22:T22"/>
    <mergeCell ref="V22:X22"/>
    <mergeCell ref="C23:F23"/>
    <mergeCell ref="G23:I23"/>
    <mergeCell ref="J23:L23"/>
    <mergeCell ref="O23:P23"/>
    <mergeCell ref="Q23:S23"/>
    <mergeCell ref="T23:U23"/>
    <mergeCell ref="V23:X23"/>
    <mergeCell ref="C24:F24"/>
    <mergeCell ref="G24:L24"/>
    <mergeCell ref="O24:Q24"/>
    <mergeCell ref="R24:T24"/>
    <mergeCell ref="V24:X24"/>
    <mergeCell ref="C25:E25"/>
    <mergeCell ref="G25:I25"/>
    <mergeCell ref="J25:L25"/>
    <mergeCell ref="O25:Q25"/>
    <mergeCell ref="R25:X25"/>
    <mergeCell ref="C26:E26"/>
    <mergeCell ref="G26:I26"/>
    <mergeCell ref="J26:L26"/>
    <mergeCell ref="O26:Q26"/>
    <mergeCell ref="R26:S26"/>
    <mergeCell ref="T26:U26"/>
    <mergeCell ref="W26:X26"/>
    <mergeCell ref="C27:E27"/>
    <mergeCell ref="G27:I27"/>
    <mergeCell ref="J27:L27"/>
    <mergeCell ref="O27:Q27"/>
    <mergeCell ref="R27:X27"/>
    <mergeCell ref="C28:E28"/>
    <mergeCell ref="G28:I28"/>
    <mergeCell ref="J28:L28"/>
    <mergeCell ref="O28:Q28"/>
    <mergeCell ref="R28:X28"/>
    <mergeCell ref="C29:F29"/>
    <mergeCell ref="G29:I29"/>
    <mergeCell ref="J29:L29"/>
    <mergeCell ref="O29:Q29"/>
    <mergeCell ref="R29:S29"/>
    <mergeCell ref="T29:X29"/>
    <mergeCell ref="C30:F30"/>
    <mergeCell ref="G30:I30"/>
    <mergeCell ref="J30:L30"/>
    <mergeCell ref="O30:Q30"/>
    <mergeCell ref="R30:X30"/>
    <mergeCell ref="C31:F31"/>
    <mergeCell ref="G31:I31"/>
    <mergeCell ref="J31:L31"/>
    <mergeCell ref="O31:R31"/>
    <mergeCell ref="S31:X31"/>
    <mergeCell ref="C32:E32"/>
    <mergeCell ref="F32:L32"/>
    <mergeCell ref="O32:Q32"/>
    <mergeCell ref="R32:T32"/>
    <mergeCell ref="V32:X32"/>
    <mergeCell ref="C33:E33"/>
    <mergeCell ref="F33:H33"/>
    <mergeCell ref="J33:L33"/>
    <mergeCell ref="O33:R33"/>
    <mergeCell ref="S33:X33"/>
    <mergeCell ref="C34:E34"/>
    <mergeCell ref="F34:H34"/>
    <mergeCell ref="J34:L34"/>
    <mergeCell ref="O34:P34"/>
    <mergeCell ref="Q34:S34"/>
    <mergeCell ref="T34:U34"/>
    <mergeCell ref="V34:X34"/>
    <mergeCell ref="C35:E35"/>
    <mergeCell ref="F35:L35"/>
    <mergeCell ref="O35:R35"/>
    <mergeCell ref="S35:X35"/>
    <mergeCell ref="C36:E36"/>
    <mergeCell ref="F36:L36"/>
    <mergeCell ref="O36:X36"/>
    <mergeCell ref="C37:E37"/>
    <mergeCell ref="F37:G37"/>
    <mergeCell ref="I37:L37"/>
    <mergeCell ref="O37:P37"/>
    <mergeCell ref="Q37:T37"/>
    <mergeCell ref="U37:V37"/>
    <mergeCell ref="W37:X37"/>
    <mergeCell ref="C38:E38"/>
    <mergeCell ref="F38:H38"/>
    <mergeCell ref="J38:L38"/>
    <mergeCell ref="O38:Q38"/>
    <mergeCell ref="R38:T38"/>
    <mergeCell ref="V38:X38"/>
    <mergeCell ref="C39:E39"/>
    <mergeCell ref="F39:L39"/>
    <mergeCell ref="O39:Q39"/>
    <mergeCell ref="R39:T39"/>
    <mergeCell ref="V39:X39"/>
    <mergeCell ref="C40:I40"/>
    <mergeCell ref="J40:L40"/>
    <mergeCell ref="O40:Q40"/>
    <mergeCell ref="R40:T40"/>
    <mergeCell ref="V40:X40"/>
    <mergeCell ref="C41:F41"/>
    <mergeCell ref="H41:I41"/>
    <mergeCell ref="K41:L41"/>
    <mergeCell ref="O41:X41"/>
    <mergeCell ref="C42:E42"/>
    <mergeCell ref="F42:L42"/>
    <mergeCell ref="O42:Q42"/>
    <mergeCell ref="R42:T42"/>
    <mergeCell ref="V42:X42"/>
    <mergeCell ref="C43:F43"/>
    <mergeCell ref="G43:L43"/>
    <mergeCell ref="O43:Q43"/>
    <mergeCell ref="R43:S43"/>
    <mergeCell ref="T43:X43"/>
    <mergeCell ref="C44:E44"/>
    <mergeCell ref="H44:I44"/>
    <mergeCell ref="K44:L44"/>
    <mergeCell ref="O44:Q44"/>
    <mergeCell ref="R44:S44"/>
    <mergeCell ref="T44:U44"/>
    <mergeCell ref="V44:X44"/>
    <mergeCell ref="C45:F45"/>
    <mergeCell ref="G45:L45"/>
    <mergeCell ref="O45:X45"/>
    <mergeCell ref="C46:F46"/>
    <mergeCell ref="G46:L46"/>
    <mergeCell ref="O46:Q46"/>
    <mergeCell ref="R46:S46"/>
    <mergeCell ref="T46:X46"/>
    <mergeCell ref="C47:F47"/>
    <mergeCell ref="G47:L47"/>
    <mergeCell ref="O47:Q47"/>
    <mergeCell ref="R47:X47"/>
    <mergeCell ref="C48:F48"/>
    <mergeCell ref="G48:L48"/>
    <mergeCell ref="O48:Q48"/>
    <mergeCell ref="R48:X48"/>
    <mergeCell ref="C49:L49"/>
    <mergeCell ref="O49:Q49"/>
    <mergeCell ref="R49:X49"/>
    <mergeCell ref="C50:D50"/>
    <mergeCell ref="E50:F50"/>
    <mergeCell ref="G50:L50"/>
    <mergeCell ref="O50:X50"/>
    <mergeCell ref="C51:F51"/>
    <mergeCell ref="G51:L51"/>
    <mergeCell ref="O51:X51"/>
    <mergeCell ref="C52:F52"/>
    <mergeCell ref="G52:L52"/>
    <mergeCell ref="O52:R52"/>
    <mergeCell ref="S52:X52"/>
    <mergeCell ref="C53:F53"/>
    <mergeCell ref="G53:L53"/>
    <mergeCell ref="O53:R53"/>
    <mergeCell ref="S53:X53"/>
    <mergeCell ref="U58:V58"/>
    <mergeCell ref="W58:X58"/>
    <mergeCell ref="C54:F54"/>
    <mergeCell ref="G54:L54"/>
    <mergeCell ref="O54:R54"/>
    <mergeCell ref="S54:X54"/>
    <mergeCell ref="C55:F55"/>
    <mergeCell ref="G55:L55"/>
    <mergeCell ref="O55:R55"/>
    <mergeCell ref="S55:X55"/>
    <mergeCell ref="C56:L56"/>
    <mergeCell ref="N56:O56"/>
    <mergeCell ref="P56:T56"/>
    <mergeCell ref="U56:V56"/>
    <mergeCell ref="W56:X56"/>
    <mergeCell ref="C59:L59"/>
    <mergeCell ref="N59:O59"/>
    <mergeCell ref="P59:T59"/>
    <mergeCell ref="U59:V59"/>
    <mergeCell ref="W59:X59"/>
    <mergeCell ref="B8:B20"/>
    <mergeCell ref="B21:B24"/>
    <mergeCell ref="B25:B38"/>
    <mergeCell ref="B39:B49"/>
    <mergeCell ref="B50:B59"/>
    <mergeCell ref="N21:N29"/>
    <mergeCell ref="N30:N36"/>
    <mergeCell ref="N37:N41"/>
    <mergeCell ref="N42:N45"/>
    <mergeCell ref="N46:N51"/>
    <mergeCell ref="N52:N55"/>
    <mergeCell ref="C57:L57"/>
    <mergeCell ref="N57:O57"/>
    <mergeCell ref="P57:T57"/>
    <mergeCell ref="U57:V57"/>
    <mergeCell ref="W57:X57"/>
    <mergeCell ref="C58:L58"/>
    <mergeCell ref="N58:O58"/>
    <mergeCell ref="P58:T58"/>
  </mergeCells>
  <phoneticPr fontId="107" type="noConversion"/>
  <dataValidations count="26">
    <dataValidation type="list" allowBlank="1" showInputMessage="1" showErrorMessage="1" sqref="F22 F25 G41" xr:uid="{00000000-0002-0000-0800-000000000000}">
      <formula1>"in.,mm"</formula1>
    </dataValidation>
    <dataValidation type="list" allowBlank="1" showInputMessage="1" showErrorMessage="1" sqref="H10:I10" xr:uid="{00000000-0002-0000-0800-000001000000}">
      <formula1>"m3/h,t/h,kg/h"</formula1>
    </dataValidation>
    <dataValidation type="list" allowBlank="1" showInputMessage="1" showErrorMessage="1" sqref="F26" xr:uid="{00000000-0002-0000-0800-000002000000}">
      <formula1>"MPaA,KPaA,BarA"</formula1>
    </dataValidation>
    <dataValidation type="list" allowBlank="1" showInputMessage="1" showErrorMessage="1" sqref="H13:I13 F27 R29:S29 R50:S50" xr:uid="{00000000-0002-0000-0800-000003000000}">
      <formula1>"°C,°F"</formula1>
    </dataValidation>
    <dataValidation type="list" allowBlank="1" showInputMessage="1" showErrorMessage="1" sqref="G24:L24" xr:uid="{00000000-0002-0000-0800-000004000000}">
      <formula1>"无,隔音,隔热"</formula1>
    </dataValidation>
    <dataValidation type="list" allowBlank="1" showInputMessage="1" showErrorMessage="1" sqref="R21:X21" xr:uid="{00000000-0002-0000-0800-000005000000}">
      <formula1>"气动薄膜式,气动活塞式,气动拨叉式,电液式,气-液联动"</formula1>
    </dataValidation>
    <dataValidation type="list" allowBlank="1" showInputMessage="1" showErrorMessage="1" sqref="R24:T24" xr:uid="{00000000-0002-0000-0800-000006000000}">
      <formula1>"FC,FO,FL,FLC,FLO"</formula1>
    </dataValidation>
    <dataValidation type="list" allowBlank="1" showInputMessage="1" showErrorMessage="1" sqref="R25:X25" xr:uid="{00000000-0002-0000-0800-000007000000}">
      <formula1>"气动,液动,电-液,气-液"</formula1>
    </dataValidation>
    <dataValidation type="list" allowBlank="1" showInputMessage="1" showErrorMessage="1" sqref="R26:S26" xr:uid="{00000000-0002-0000-0800-000008000000}">
      <formula1>"MPaG,KPaG,BarG"</formula1>
    </dataValidation>
    <dataValidation type="list" allowBlank="1" showInputMessage="1" showErrorMessage="1" sqref="F28" xr:uid="{00000000-0002-0000-0800-000009000000}">
      <formula1>"ASME,GB,JB,HG,SH,DIN"</formula1>
    </dataValidation>
    <dataValidation type="list" allowBlank="1" showInputMessage="1" showErrorMessage="1" sqref="V39:X39" xr:uid="{00000000-0002-0000-0800-00000A000000}">
      <formula1>"无, SPST, SPDT, DPDT"</formula1>
    </dataValidation>
    <dataValidation type="list" allowBlank="1" showInputMessage="1" showErrorMessage="1" sqref="R28:X28" xr:uid="{00000000-0002-0000-0800-00000B000000}">
      <formula1>"N/A,带,旁式,顶装旁式,顶式"</formula1>
    </dataValidation>
    <dataValidation type="list" allowBlank="1" showInputMessage="1" showErrorMessage="1" sqref="G29:L29" xr:uid="{00000000-0002-0000-0800-00000C000000}">
      <formula1>"FF,RF,RTJ,BW（对焊）,SW（承插焊）,MFM（凹凸式）"</formula1>
    </dataValidation>
    <dataValidation type="list" allowBlank="1" showInputMessage="1" showErrorMessage="1" sqref="R30:X30" xr:uid="{00000000-0002-0000-0800-00000D000000}">
      <formula1>"4 to 20 mA,4 to 20 mA+HART,FF,Profilbus,4 to 12 mA,12 to 20 mA,"</formula1>
    </dataValidation>
    <dataValidation type="list" allowBlank="1" showInputMessage="1" showErrorMessage="1" sqref="H11:I12" xr:uid="{00000000-0002-0000-0800-00000E000000}">
      <formula1>"MPaG,KPaG,BarG,MPaA,KPaA,BarA"</formula1>
    </dataValidation>
    <dataValidation type="list" allowBlank="1" showInputMessage="1" showErrorMessage="1" sqref="F36:L36" xr:uid="{00000000-0002-0000-0800-00000F000000}">
      <formula1>"标准型,散热片型,波纹管密封型,加长型"</formula1>
    </dataValidation>
    <dataValidation type="list" allowBlank="1" showInputMessage="1" showErrorMessage="1" sqref="S31:X31" xr:uid="{00000000-0002-0000-0800-000010000000}">
      <formula1>"电-气,气-气,电-气智能型"</formula1>
    </dataValidation>
    <dataValidation type="list" allowBlank="1" showInputMessage="1" showErrorMessage="1" sqref="S35:X35" xr:uid="{00000000-0002-0000-0800-000011000000}">
      <formula1>"线性,等百分比,自定义"</formula1>
    </dataValidation>
    <dataValidation type="list" allowBlank="1" showInputMessage="1" showErrorMessage="1" sqref="Q37:T37" xr:uid="{00000000-0002-0000-0800-000012000000}">
      <formula1>"Touch-type,感应式"</formula1>
    </dataValidation>
    <dataValidation type="list" allowBlank="1" showInputMessage="1" showErrorMessage="1" sqref="F38:H38" xr:uid="{00000000-0002-0000-0800-000013000000}">
      <formula1>"标准型,高温型"</formula1>
    </dataValidation>
    <dataValidation type="list" allowBlank="1" showInputMessage="1" showErrorMessage="1" sqref="J38:L38" xr:uid="{00000000-0002-0000-0800-000014000000}">
      <formula1>"聚四氟乙烯,柔性石墨"</formula1>
    </dataValidation>
    <dataValidation type="list" allowBlank="1" showInputMessage="1" showErrorMessage="1" sqref="F42" xr:uid="{00000000-0002-0000-0800-000015000000}">
      <formula1>"线性,等百分比,近似等百分比,固有特性"</formula1>
    </dataValidation>
    <dataValidation type="list" allowBlank="1" showInputMessage="1" showErrorMessage="1" sqref="G42:L42" xr:uid="{00000000-0002-0000-0800-000016000000}">
      <formula1>"线性,等百分比,改良等百分比,近似等百分比,ON-OFF,快开,,固有特性"</formula1>
    </dataValidation>
    <dataValidation type="list" allowBlank="1" showInputMessage="1" showErrorMessage="1" sqref="G43:L43" xr:uid="{00000000-0002-0000-0800-000017000000}">
      <formula1>"平衡型,不平衡型"</formula1>
    </dataValidation>
    <dataValidation type="list" allowBlank="1" showInputMessage="1" showErrorMessage="1" sqref="R43:S43 R46:S46" xr:uid="{00000000-0002-0000-0800-000018000000}">
      <formula1>"MPaG,KPaG,BarG,Kgf/cm2"</formula1>
    </dataValidation>
    <dataValidation type="list" allowBlank="1" showInputMessage="1" showErrorMessage="1" sqref="E50:F50" xr:uid="{00000000-0002-0000-0800-000019000000}">
      <formula1>"NEPSI,ATEX,FM,CSA"</formula1>
    </dataValidation>
  </dataValidations>
  <printOptions horizontalCentered="1"/>
  <pageMargins left="7.8740157480315001E-2" right="7.8740157480315001E-2" top="0.196850393700787" bottom="0.196850393700787" header="0.31496062992126" footer="0.31496062992126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Q3"/>
  <sheetViews>
    <sheetView tabSelected="1" workbookViewId="0">
      <selection activeCell="O19" sqref="O19"/>
    </sheetView>
  </sheetViews>
  <sheetFormatPr defaultColWidth="9" defaultRowHeight="14.25"/>
  <cols>
    <col min="1" max="1" width="5.25" style="38" customWidth="1"/>
    <col min="2" max="2" width="10.625" style="95" customWidth="1"/>
    <col min="3" max="3" width="18.75" style="95" customWidth="1"/>
    <col min="4" max="4" width="6.375" style="95" customWidth="1"/>
    <col min="5" max="5" width="4.5" style="95" customWidth="1"/>
    <col min="6" max="6" width="7" style="95" customWidth="1"/>
    <col min="7" max="7" width="15.125" style="95" customWidth="1"/>
    <col min="8" max="8" width="8" style="95" customWidth="1"/>
    <col min="9" max="9" width="6.625" style="96" customWidth="1"/>
    <col min="10" max="10" width="9.125" style="96" customWidth="1"/>
    <col min="11" max="11" width="12.75" style="96" customWidth="1"/>
    <col min="12" max="12" width="10.75" style="97" customWidth="1"/>
    <col min="13" max="13" width="6.375" style="97" customWidth="1"/>
    <col min="14" max="14" width="10.875" style="97" customWidth="1"/>
    <col min="15" max="15" width="6.75" style="97" customWidth="1"/>
    <col min="16" max="16" width="10.875" style="95" customWidth="1"/>
    <col min="17" max="17" width="10.625" style="95" customWidth="1"/>
    <col min="18" max="16384" width="9" style="95"/>
  </cols>
  <sheetData>
    <row r="1" spans="1:17" ht="39.75" customHeight="1">
      <c r="A1" s="539" t="s">
        <v>1666</v>
      </c>
      <c r="B1" s="540"/>
      <c r="C1" s="540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7"/>
    </row>
    <row r="2" spans="1:17" s="1" customFormat="1" ht="57">
      <c r="A2" s="7" t="s">
        <v>1142</v>
      </c>
      <c r="B2" s="7" t="s">
        <v>1143</v>
      </c>
      <c r="C2" s="7" t="s">
        <v>1144</v>
      </c>
      <c r="D2" s="7" t="s">
        <v>1667</v>
      </c>
      <c r="E2" s="7" t="s">
        <v>1668</v>
      </c>
      <c r="F2" s="7" t="s">
        <v>1171</v>
      </c>
      <c r="G2" s="7" t="s">
        <v>1445</v>
      </c>
      <c r="H2" s="7" t="s">
        <v>1669</v>
      </c>
      <c r="I2" s="7" t="s">
        <v>1670</v>
      </c>
      <c r="J2" s="7" t="s">
        <v>1671</v>
      </c>
      <c r="K2" s="7" t="s">
        <v>1672</v>
      </c>
      <c r="L2" s="102" t="s">
        <v>1271</v>
      </c>
      <c r="M2" s="102" t="s">
        <v>1238</v>
      </c>
      <c r="N2" s="102" t="s">
        <v>1893</v>
      </c>
      <c r="O2" s="102" t="s">
        <v>1674</v>
      </c>
      <c r="P2" s="102" t="s">
        <v>1675</v>
      </c>
      <c r="Q2" s="102" t="s">
        <v>1676</v>
      </c>
    </row>
    <row r="3" spans="1:17" ht="20.100000000000001" customHeight="1">
      <c r="A3" s="36">
        <v>1</v>
      </c>
      <c r="B3" s="98" t="str">
        <f>神通数据源!B11</f>
        <v>10-PV-131061</v>
      </c>
      <c r="C3" s="99" t="str">
        <f>神通数据源!C11</f>
        <v/>
      </c>
      <c r="D3" s="100" t="str">
        <f>神通数据源!CC11</f>
        <v>CL300</v>
      </c>
      <c r="E3" s="99" t="str">
        <f>神通数据源!E11</f>
        <v>2"</v>
      </c>
      <c r="F3" s="101" t="str">
        <f>神通数据源!CA11</f>
        <v>ST301C</v>
      </c>
      <c r="G3" s="101" t="str">
        <f>神通数据源!BZ11</f>
        <v>多孔式套筒导向型单座调节阀</v>
      </c>
      <c r="H3" s="101" t="str">
        <f>神通数据源!CH11</f>
        <v>WCB</v>
      </c>
      <c r="I3" s="101" t="str">
        <f>神通数据源!CV11</f>
        <v>410/热处理</v>
      </c>
      <c r="J3" s="101" t="str">
        <f>神通数据源!CN11</f>
        <v>PTFE</v>
      </c>
      <c r="K3" s="101" t="str">
        <f>神通数据源!CK11</f>
        <v>ANSI CLASS IV</v>
      </c>
      <c r="L3" s="101" t="str">
        <f>神通数据源!GX11</f>
        <v>——</v>
      </c>
      <c r="M3" s="103" t="s">
        <v>1326</v>
      </c>
      <c r="N3" s="104">
        <f>神通数据源!GN11</f>
        <v>0</v>
      </c>
      <c r="O3" s="104">
        <v>7069</v>
      </c>
      <c r="P3" s="104">
        <f>神通数据源!GU11</f>
        <v>0</v>
      </c>
      <c r="Q3" s="105">
        <f>P3/O3</f>
        <v>0</v>
      </c>
    </row>
  </sheetData>
  <mergeCells count="1">
    <mergeCell ref="A1:C1"/>
  </mergeCells>
  <phoneticPr fontId="107" type="noConversion"/>
  <pageMargins left="0.7" right="0.7" top="0.75" bottom="0.75" header="0.3" footer="0.3"/>
  <pageSetup paperSize="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Z7"/>
  <sheetViews>
    <sheetView workbookViewId="0">
      <pane xSplit="14" topLeftCell="O1" activePane="topRight" state="frozen"/>
      <selection pane="topRight" activeCell="W15" sqref="W15"/>
    </sheetView>
  </sheetViews>
  <sheetFormatPr defaultColWidth="9" defaultRowHeight="14.25"/>
  <cols>
    <col min="1" max="1" width="3.875" style="87" customWidth="1"/>
    <col min="2" max="2" width="13.5" style="87" customWidth="1"/>
    <col min="3" max="3" width="9" style="87" customWidth="1"/>
    <col min="4" max="4" width="5.625" style="87" customWidth="1"/>
    <col min="5" max="5" width="6.75" style="87" customWidth="1"/>
    <col min="6" max="6" width="6.5" style="87" customWidth="1"/>
    <col min="7" max="7" width="8" style="87" customWidth="1"/>
    <col min="8" max="8" width="6.375" style="87" customWidth="1"/>
    <col min="9" max="9" width="6" style="87" customWidth="1"/>
    <col min="10" max="10" width="7.5" style="87" customWidth="1"/>
    <col min="11" max="11" width="7.625" style="87" customWidth="1"/>
    <col min="12" max="12" width="17.875" style="87" bestFit="1" customWidth="1"/>
    <col min="13" max="13" width="7.125" style="87" customWidth="1"/>
    <col min="14" max="14" width="13.5" style="87" bestFit="1" customWidth="1"/>
    <col min="15" max="15" width="9" style="87"/>
    <col min="16" max="16" width="13.875" style="87" customWidth="1"/>
    <col min="17" max="19" width="9" style="87"/>
    <col min="20" max="20" width="10.25" style="87" customWidth="1"/>
    <col min="21" max="21" width="6.125" style="87" customWidth="1"/>
    <col min="22" max="16384" width="9" style="87"/>
  </cols>
  <sheetData>
    <row r="1" spans="1:26" s="86" customFormat="1" ht="71.25">
      <c r="E1" s="88" t="s">
        <v>1677</v>
      </c>
      <c r="I1" s="88" t="s">
        <v>1678</v>
      </c>
    </row>
    <row r="2" spans="1:26" ht="28.5">
      <c r="A2" s="89" t="s">
        <v>1142</v>
      </c>
      <c r="B2" s="89" t="s">
        <v>1143</v>
      </c>
      <c r="C2" s="89" t="s">
        <v>1679</v>
      </c>
      <c r="D2" s="89" t="s">
        <v>1431</v>
      </c>
      <c r="E2" s="89" t="s">
        <v>1680</v>
      </c>
      <c r="F2" s="89" t="s">
        <v>1181</v>
      </c>
      <c r="G2" s="89" t="s">
        <v>1681</v>
      </c>
      <c r="H2" s="89" t="s">
        <v>1682</v>
      </c>
      <c r="I2" s="89" t="s">
        <v>1683</v>
      </c>
      <c r="J2" s="89" t="s">
        <v>1671</v>
      </c>
      <c r="K2" s="89" t="s">
        <v>1478</v>
      </c>
      <c r="L2" s="89" t="s">
        <v>1684</v>
      </c>
      <c r="M2" s="89" t="s">
        <v>1685</v>
      </c>
      <c r="N2" s="89" t="s">
        <v>1171</v>
      </c>
      <c r="O2" s="89" t="s">
        <v>1686</v>
      </c>
      <c r="P2" s="89" t="s">
        <v>1687</v>
      </c>
      <c r="Q2" s="89" t="s">
        <v>1671</v>
      </c>
      <c r="R2" s="89" t="s">
        <v>1478</v>
      </c>
      <c r="S2" s="89" t="s">
        <v>1688</v>
      </c>
      <c r="T2" s="94" t="s">
        <v>1858</v>
      </c>
      <c r="U2" s="94" t="s">
        <v>1689</v>
      </c>
      <c r="V2" s="89" t="s">
        <v>1683</v>
      </c>
      <c r="W2" s="89" t="s">
        <v>1680</v>
      </c>
    </row>
    <row r="3" spans="1:26">
      <c r="A3" s="90">
        <v>1</v>
      </c>
      <c r="B3" s="90" t="str">
        <f>神通数据源!B11</f>
        <v>10-PV-131061</v>
      </c>
      <c r="C3" s="91" t="str">
        <f>神通数据源!CC11</f>
        <v>CL300</v>
      </c>
      <c r="D3" s="92" t="str">
        <f>神通数据源!E11</f>
        <v>2"</v>
      </c>
      <c r="E3" s="90" t="str">
        <f>神通数据源!CW11</f>
        <v>2"</v>
      </c>
      <c r="F3" s="90" t="str">
        <f>RIGHT(神通数据源!CK11,2)</f>
        <v>IV</v>
      </c>
      <c r="G3" s="90">
        <f>神通数据源!U11</f>
        <v>2710</v>
      </c>
      <c r="H3" s="90">
        <f>神通数据源!AA11</f>
        <v>2020</v>
      </c>
      <c r="I3" s="90" t="str">
        <f>神通数据源!CJ11</f>
        <v>流开</v>
      </c>
      <c r="J3" s="90" t="str">
        <f>神通数据源!CN11</f>
        <v>PTFE</v>
      </c>
      <c r="K3" s="90" t="str">
        <f>神通数据源!DA11</f>
        <v>R.TFE/316L</v>
      </c>
      <c r="L3" s="90" t="str">
        <f>神通数据源!DF11</f>
        <v>ST421LA</v>
      </c>
      <c r="M3" s="90">
        <f>神通数据源!EI11</f>
        <v>300</v>
      </c>
      <c r="N3" s="90" t="str">
        <f>神通数据源!CA11</f>
        <v>ST301C</v>
      </c>
      <c r="O3" s="93" t="s">
        <v>1885</v>
      </c>
      <c r="P3" s="93" t="s">
        <v>1690</v>
      </c>
      <c r="Q3" s="93" t="str">
        <f>J3</f>
        <v>PTFE</v>
      </c>
      <c r="R3" s="93" t="s">
        <v>1884</v>
      </c>
      <c r="S3" s="93">
        <v>25</v>
      </c>
      <c r="T3" s="93">
        <f>G3</f>
        <v>2710</v>
      </c>
      <c r="U3" s="93">
        <v>0</v>
      </c>
      <c r="V3" s="93" t="str">
        <f>I3</f>
        <v>流开</v>
      </c>
      <c r="W3" s="93">
        <v>100</v>
      </c>
      <c r="Y3" s="298">
        <v>7069</v>
      </c>
      <c r="Z3" s="299"/>
    </row>
    <row r="4" spans="1:26">
      <c r="A4" s="90">
        <v>2</v>
      </c>
      <c r="B4" s="90" t="e">
        <f>神通数据源!#REF!</f>
        <v>#REF!</v>
      </c>
      <c r="C4" s="91" t="e">
        <f>神通数据源!#REF!</f>
        <v>#REF!</v>
      </c>
      <c r="D4" s="92" t="e">
        <f>神通数据源!#REF!</f>
        <v>#REF!</v>
      </c>
      <c r="E4" s="90" t="e">
        <f>神通数据源!#REF!</f>
        <v>#REF!</v>
      </c>
      <c r="F4" s="90" t="e">
        <f>RIGHT(神通数据源!#REF!,2)</f>
        <v>#REF!</v>
      </c>
      <c r="G4" s="90" t="e">
        <f>神通数据源!#REF!</f>
        <v>#REF!</v>
      </c>
      <c r="H4" s="90" t="e">
        <f>神通数据源!#REF!</f>
        <v>#REF!</v>
      </c>
      <c r="I4" s="90" t="e">
        <f>神通数据源!#REF!</f>
        <v>#REF!</v>
      </c>
      <c r="J4" s="90" t="e">
        <f>神通数据源!#REF!</f>
        <v>#REF!</v>
      </c>
      <c r="K4" s="90" t="e">
        <f>神通数据源!#REF!</f>
        <v>#REF!</v>
      </c>
      <c r="L4" s="90" t="e">
        <f>神通数据源!#REF!</f>
        <v>#REF!</v>
      </c>
      <c r="M4" s="90" t="e">
        <f>神通数据源!#REF!</f>
        <v>#REF!</v>
      </c>
      <c r="N4" s="90" t="e">
        <f>神通数据源!#REF!</f>
        <v>#REF!</v>
      </c>
      <c r="O4" s="93" t="s">
        <v>1885</v>
      </c>
      <c r="P4" s="93" t="s">
        <v>1690</v>
      </c>
      <c r="Q4" s="93" t="e">
        <f t="shared" ref="Q4:Q7" si="0">J4</f>
        <v>#REF!</v>
      </c>
      <c r="R4" s="93" t="s">
        <v>1884</v>
      </c>
      <c r="S4" s="93">
        <v>17</v>
      </c>
      <c r="T4" s="93" t="e">
        <f t="shared" ref="T4:T7" si="1">G4</f>
        <v>#REF!</v>
      </c>
      <c r="U4" s="93">
        <v>0</v>
      </c>
      <c r="V4" s="93" t="e">
        <f t="shared" ref="V4:V7" si="2">I4</f>
        <v>#REF!</v>
      </c>
      <c r="W4" s="93">
        <v>80</v>
      </c>
      <c r="Y4">
        <v>5069</v>
      </c>
    </row>
    <row r="5" spans="1:26">
      <c r="A5" s="90">
        <v>3</v>
      </c>
      <c r="B5" s="90" t="e">
        <f>神通数据源!#REF!</f>
        <v>#REF!</v>
      </c>
      <c r="C5" s="91" t="e">
        <f>神通数据源!#REF!</f>
        <v>#REF!</v>
      </c>
      <c r="D5" s="92" t="e">
        <f>神通数据源!#REF!</f>
        <v>#REF!</v>
      </c>
      <c r="E5" s="90" t="e">
        <f>神通数据源!#REF!</f>
        <v>#REF!</v>
      </c>
      <c r="F5" s="90" t="e">
        <f>RIGHT(神通数据源!#REF!,2)</f>
        <v>#REF!</v>
      </c>
      <c r="G5" s="90" t="e">
        <f>神通数据源!#REF!</f>
        <v>#REF!</v>
      </c>
      <c r="H5" s="90" t="e">
        <f>神通数据源!#REF!</f>
        <v>#REF!</v>
      </c>
      <c r="I5" s="90" t="e">
        <f>神通数据源!#REF!</f>
        <v>#REF!</v>
      </c>
      <c r="J5" s="90" t="e">
        <f>神通数据源!#REF!</f>
        <v>#REF!</v>
      </c>
      <c r="K5" s="90" t="e">
        <f>神通数据源!#REF!</f>
        <v>#REF!</v>
      </c>
      <c r="L5" s="90" t="e">
        <f>神通数据源!#REF!</f>
        <v>#REF!</v>
      </c>
      <c r="M5" s="90" t="e">
        <f>神通数据源!#REF!</f>
        <v>#REF!</v>
      </c>
      <c r="N5" s="90" t="e">
        <f>神通数据源!#REF!</f>
        <v>#REF!</v>
      </c>
      <c r="O5" s="93" t="s">
        <v>1885</v>
      </c>
      <c r="P5" s="93" t="s">
        <v>1690</v>
      </c>
      <c r="Q5" s="93" t="e">
        <f t="shared" si="0"/>
        <v>#REF!</v>
      </c>
      <c r="R5" s="93" t="s">
        <v>1884</v>
      </c>
      <c r="S5" s="93">
        <v>14</v>
      </c>
      <c r="T5" s="93" t="e">
        <f t="shared" si="1"/>
        <v>#REF!</v>
      </c>
      <c r="U5" s="93">
        <v>0</v>
      </c>
      <c r="V5" s="93" t="e">
        <f t="shared" si="2"/>
        <v>#REF!</v>
      </c>
      <c r="W5" s="93">
        <v>25</v>
      </c>
      <c r="Y5">
        <v>2830</v>
      </c>
    </row>
    <row r="6" spans="1:26">
      <c r="A6" s="90">
        <v>4</v>
      </c>
      <c r="B6" s="90" t="e">
        <f>神通数据源!#REF!</f>
        <v>#REF!</v>
      </c>
      <c r="C6" s="91" t="e">
        <f>神通数据源!#REF!</f>
        <v>#REF!</v>
      </c>
      <c r="D6" s="92" t="e">
        <f>神通数据源!#REF!</f>
        <v>#REF!</v>
      </c>
      <c r="E6" s="90" t="e">
        <f>神通数据源!#REF!</f>
        <v>#REF!</v>
      </c>
      <c r="F6" s="90" t="e">
        <f>RIGHT(神通数据源!#REF!,2)</f>
        <v>#REF!</v>
      </c>
      <c r="G6" s="90" t="e">
        <f>神通数据源!#REF!</f>
        <v>#REF!</v>
      </c>
      <c r="H6" s="90" t="e">
        <f>神通数据源!#REF!</f>
        <v>#REF!</v>
      </c>
      <c r="I6" s="90" t="e">
        <f>神通数据源!#REF!</f>
        <v>#REF!</v>
      </c>
      <c r="J6" s="90" t="e">
        <f>神通数据源!#REF!</f>
        <v>#REF!</v>
      </c>
      <c r="K6" s="90" t="e">
        <f>神通数据源!#REF!</f>
        <v>#REF!</v>
      </c>
      <c r="L6" s="90" t="e">
        <f>神通数据源!#REF!</f>
        <v>#REF!</v>
      </c>
      <c r="M6" s="90" t="e">
        <f>神通数据源!#REF!</f>
        <v>#REF!</v>
      </c>
      <c r="N6" s="90" t="e">
        <f>神通数据源!#REF!</f>
        <v>#REF!</v>
      </c>
      <c r="O6" s="93" t="s">
        <v>1885</v>
      </c>
      <c r="P6" s="93" t="s">
        <v>1690</v>
      </c>
      <c r="Q6" s="93" t="e">
        <f t="shared" si="0"/>
        <v>#REF!</v>
      </c>
      <c r="R6" s="93" t="s">
        <v>1884</v>
      </c>
      <c r="S6" s="93">
        <v>17</v>
      </c>
      <c r="T6" s="93" t="e">
        <f t="shared" si="1"/>
        <v>#REF!</v>
      </c>
      <c r="U6" s="93">
        <v>0</v>
      </c>
      <c r="V6" s="93" t="e">
        <f t="shared" si="2"/>
        <v>#REF!</v>
      </c>
      <c r="W6" s="93">
        <v>50</v>
      </c>
      <c r="Y6">
        <v>2479</v>
      </c>
    </row>
    <row r="7" spans="1:26">
      <c r="A7" s="90">
        <v>5</v>
      </c>
      <c r="B7" s="90" t="e">
        <f>神通数据源!#REF!</f>
        <v>#REF!</v>
      </c>
      <c r="C7" s="91" t="e">
        <f>神通数据源!#REF!</f>
        <v>#REF!</v>
      </c>
      <c r="D7" s="92" t="e">
        <f>神通数据源!#REF!</f>
        <v>#REF!</v>
      </c>
      <c r="E7" s="90" t="e">
        <f>神通数据源!#REF!</f>
        <v>#REF!</v>
      </c>
      <c r="F7" s="90" t="e">
        <f>RIGHT(神通数据源!#REF!,2)</f>
        <v>#REF!</v>
      </c>
      <c r="G7" s="90" t="e">
        <f>神通数据源!#REF!</f>
        <v>#REF!</v>
      </c>
      <c r="H7" s="90" t="e">
        <f>神通数据源!#REF!</f>
        <v>#REF!</v>
      </c>
      <c r="I7" s="90" t="e">
        <f>神通数据源!#REF!</f>
        <v>#REF!</v>
      </c>
      <c r="J7" s="90" t="e">
        <f>神通数据源!#REF!</f>
        <v>#REF!</v>
      </c>
      <c r="K7" s="90" t="e">
        <f>神通数据源!#REF!</f>
        <v>#REF!</v>
      </c>
      <c r="L7" s="90" t="e">
        <f>神通数据源!#REF!</f>
        <v>#REF!</v>
      </c>
      <c r="M7" s="90" t="e">
        <f>神通数据源!#REF!</f>
        <v>#REF!</v>
      </c>
      <c r="N7" s="90" t="e">
        <f>神通数据源!#REF!</f>
        <v>#REF!</v>
      </c>
      <c r="O7" s="93" t="s">
        <v>1885</v>
      </c>
      <c r="P7" s="93" t="s">
        <v>1690</v>
      </c>
      <c r="Q7" s="93" t="e">
        <f t="shared" si="0"/>
        <v>#REF!</v>
      </c>
      <c r="R7" s="93" t="s">
        <v>1884</v>
      </c>
      <c r="S7" s="93">
        <v>17</v>
      </c>
      <c r="T7" s="93" t="e">
        <f t="shared" si="1"/>
        <v>#REF!</v>
      </c>
      <c r="U7" s="93">
        <v>0</v>
      </c>
      <c r="V7" s="93" t="e">
        <f t="shared" si="2"/>
        <v>#REF!</v>
      </c>
      <c r="W7" s="93">
        <v>40</v>
      </c>
      <c r="Y7">
        <v>3562</v>
      </c>
    </row>
  </sheetData>
  <autoFilter ref="A2:W2" xr:uid="{00000000-0009-0000-0000-00000A000000}"/>
  <phoneticPr fontId="107" type="noConversion"/>
  <dataValidations disablePrompts="1" count="6">
    <dataValidation type="list" allowBlank="1" showInputMessage="1" showErrorMessage="1" sqref="O3:O7" xr:uid="{00000000-0002-0000-0A00-000000000000}">
      <formula1>"单座阀,套筒阀"</formula1>
    </dataValidation>
    <dataValidation type="list" allowBlank="1" showInputMessage="1" showErrorMessage="1" sqref="S3:S7" xr:uid="{00000000-0002-0000-0A00-000001000000}">
      <formula1>"10,14,17,20,25,38,50"</formula1>
    </dataValidation>
    <dataValidation type="list" allowBlank="1" showInputMessage="1" showErrorMessage="1" sqref="P3:P7" xr:uid="{00000000-0002-0000-0A00-000002000000}">
      <formula1>"&lt;=Class600,&gt;Class600"</formula1>
    </dataValidation>
    <dataValidation type="list" allowBlank="1" showInputMessage="1" showErrorMessage="1" sqref="Q3:Q7" xr:uid="{00000000-0002-0000-0A00-000003000000}">
      <formula1>"PTFE,柔性石墨"</formula1>
    </dataValidation>
    <dataValidation type="list" allowBlank="1" showInputMessage="1" showErrorMessage="1" sqref="R3:R7" xr:uid="{00000000-0002-0000-0A00-000004000000}">
      <formula1>"NON,RTFE+316,柔性石墨"</formula1>
    </dataValidation>
    <dataValidation type="list" allowBlank="1" showInputMessage="1" showErrorMessage="1" sqref="V3:V7" xr:uid="{00000000-0002-0000-0A00-000005000000}">
      <formula1>"流开,流闭"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N67"/>
  <sheetViews>
    <sheetView view="pageBreakPreview" topLeftCell="A7" zoomScaleNormal="100" zoomScaleSheetLayoutView="100" workbookViewId="0">
      <selection activeCell="H44" sqref="H44"/>
    </sheetView>
  </sheetViews>
  <sheetFormatPr defaultColWidth="9" defaultRowHeight="14.25"/>
  <cols>
    <col min="2" max="2" width="9.875" customWidth="1"/>
    <col min="16" max="16" width="4.25" customWidth="1"/>
    <col min="17" max="17" width="3.125" customWidth="1"/>
    <col min="18" max="18" width="1.75" customWidth="1"/>
    <col min="19" max="19" width="2.375" customWidth="1"/>
    <col min="21" max="21" width="3.5" customWidth="1"/>
    <col min="22" max="23" width="9" hidden="1" customWidth="1"/>
    <col min="24" max="24" width="0.75" hidden="1" customWidth="1"/>
    <col min="25" max="30" width="9" hidden="1" customWidth="1"/>
    <col min="31" max="31" width="2.625" hidden="1" customWidth="1"/>
    <col min="32" max="39" width="9" hidden="1" customWidth="1"/>
  </cols>
  <sheetData>
    <row r="1" spans="1:40" ht="15">
      <c r="A1" s="542" t="s">
        <v>1691</v>
      </c>
      <c r="B1" s="543"/>
      <c r="C1" s="543"/>
      <c r="D1" s="57"/>
      <c r="E1" s="57"/>
      <c r="F1" s="57"/>
      <c r="G1" s="57"/>
      <c r="H1" s="57"/>
      <c r="I1" s="57"/>
      <c r="J1" s="80"/>
      <c r="K1" s="81"/>
      <c r="L1" s="82"/>
      <c r="AN1" s="85">
        <f>COUNT(神通数据源!A:A)</f>
        <v>1</v>
      </c>
    </row>
    <row r="2" spans="1:40" ht="15.75">
      <c r="A2" s="544"/>
      <c r="B2" s="545"/>
      <c r="C2" s="545"/>
      <c r="D2" s="58"/>
      <c r="E2" s="58"/>
      <c r="F2" s="58"/>
      <c r="G2" s="58"/>
      <c r="H2" s="58"/>
      <c r="I2" s="58"/>
      <c r="J2" s="574"/>
      <c r="K2" s="574"/>
      <c r="L2" s="45"/>
      <c r="T2">
        <v>25</v>
      </c>
    </row>
    <row r="3" spans="1:40" ht="15.75">
      <c r="A3" s="544"/>
      <c r="B3" s="545"/>
      <c r="C3" s="545"/>
      <c r="D3" s="548" t="s">
        <v>1692</v>
      </c>
      <c r="E3" s="548"/>
      <c r="F3" s="548"/>
      <c r="G3" s="548"/>
      <c r="H3" s="548"/>
      <c r="I3" s="548"/>
      <c r="J3" s="83"/>
      <c r="K3" s="70"/>
      <c r="L3" s="45"/>
    </row>
    <row r="4" spans="1:40" ht="15">
      <c r="A4" s="544"/>
      <c r="B4" s="545"/>
      <c r="C4" s="545"/>
      <c r="D4" s="548"/>
      <c r="E4" s="548"/>
      <c r="F4" s="548"/>
      <c r="G4" s="548"/>
      <c r="H4" s="548"/>
      <c r="I4" s="548"/>
      <c r="J4" s="84"/>
      <c r="K4" s="70"/>
      <c r="L4" s="45"/>
    </row>
    <row r="5" spans="1:40" ht="20.25">
      <c r="A5" s="544"/>
      <c r="B5" s="545"/>
      <c r="C5" s="545"/>
      <c r="D5" s="59"/>
      <c r="E5" s="575" t="s">
        <v>1693</v>
      </c>
      <c r="F5" s="575"/>
      <c r="G5" s="575"/>
      <c r="H5" s="575"/>
      <c r="I5" s="59"/>
      <c r="J5" s="59"/>
      <c r="K5" s="70"/>
      <c r="L5" s="45"/>
    </row>
    <row r="6" spans="1:40" ht="15.75">
      <c r="A6" s="60"/>
      <c r="B6" s="61"/>
      <c r="C6" s="61"/>
      <c r="D6" s="61"/>
      <c r="E6" s="61"/>
      <c r="F6" s="62"/>
      <c r="G6" s="62"/>
      <c r="H6" s="61"/>
      <c r="I6" s="61"/>
      <c r="J6" s="61"/>
      <c r="K6" s="70"/>
      <c r="L6" s="45"/>
    </row>
    <row r="7" spans="1:40" ht="15.75">
      <c r="A7" s="44"/>
      <c r="C7" s="63"/>
      <c r="D7" s="63"/>
      <c r="E7" s="63"/>
      <c r="F7" s="63"/>
      <c r="G7" s="63"/>
      <c r="H7" s="61"/>
      <c r="I7" s="61"/>
      <c r="J7" s="61"/>
      <c r="K7" s="70"/>
      <c r="L7" s="45"/>
    </row>
    <row r="8" spans="1:40" ht="15.75">
      <c r="A8" s="569" t="s">
        <v>1694</v>
      </c>
      <c r="B8" s="570"/>
      <c r="C8" s="64" t="str">
        <f>神通数据源!C1</f>
        <v>重庆赛迪热工环保工程技术有限公司</v>
      </c>
      <c r="D8" s="65"/>
      <c r="E8" s="65"/>
      <c r="F8" s="65"/>
      <c r="G8" s="65"/>
      <c r="H8" s="571" t="s">
        <v>1695</v>
      </c>
      <c r="I8" s="571"/>
      <c r="J8" s="541" t="e">
        <f>"  "&amp;IF(VLOOKUP($T$2,area,2,0)="","",VLOOKUP($T$2,area,2,0))</f>
        <v>#N/A</v>
      </c>
      <c r="K8" s="541"/>
      <c r="L8" s="572"/>
      <c r="M8" s="65"/>
    </row>
    <row r="9" spans="1:40" ht="15.75">
      <c r="A9" s="569" t="s">
        <v>1696</v>
      </c>
      <c r="B9" s="570"/>
      <c r="C9" s="546" t="str">
        <f>神通数据源!C2</f>
        <v>福建三宝加热炉项目</v>
      </c>
      <c r="D9" s="546"/>
      <c r="E9" s="546"/>
      <c r="F9" s="546"/>
      <c r="G9" s="65"/>
      <c r="H9" s="571" t="s">
        <v>1697</v>
      </c>
      <c r="I9" s="571"/>
      <c r="J9" s="541" t="e">
        <f>"  "&amp;IF(VLOOKUP($T$2,area,7,0)="","",VLOOKUP($T$2,area,7,0))</f>
        <v>#N/A</v>
      </c>
      <c r="K9" s="541"/>
      <c r="L9" s="572"/>
      <c r="M9" s="65"/>
    </row>
    <row r="10" spans="1:40" ht="15.75">
      <c r="A10" s="66"/>
      <c r="B10" s="67"/>
      <c r="C10" s="547"/>
      <c r="D10" s="547"/>
      <c r="E10" s="547"/>
      <c r="F10" s="547"/>
      <c r="G10" s="67"/>
      <c r="H10" s="67"/>
      <c r="I10" s="67"/>
      <c r="J10" s="67"/>
      <c r="K10" s="67"/>
      <c r="L10" s="45"/>
    </row>
    <row r="11" spans="1:40" ht="15.75">
      <c r="A11" s="60"/>
      <c r="B11" s="61"/>
      <c r="C11" s="61"/>
      <c r="D11" s="573" t="s">
        <v>1414</v>
      </c>
      <c r="E11" s="573"/>
      <c r="F11" s="573"/>
      <c r="G11" s="573" t="s">
        <v>1414</v>
      </c>
      <c r="H11" s="573"/>
      <c r="I11" s="573"/>
      <c r="J11" s="573"/>
      <c r="K11" s="70"/>
      <c r="L11" s="45"/>
    </row>
    <row r="12" spans="1:40" ht="15.75">
      <c r="A12" s="60"/>
      <c r="B12" s="61"/>
      <c r="C12" s="61"/>
      <c r="D12" s="541" t="s">
        <v>1698</v>
      </c>
      <c r="E12" s="541"/>
      <c r="F12" s="541"/>
      <c r="G12" s="568" t="e">
        <f>IF(VLOOKUP($T$2,area,77,0)="","",VLOOKUP($T$2,area,77,0))</f>
        <v>#N/A</v>
      </c>
      <c r="H12" s="568"/>
      <c r="I12" s="568"/>
      <c r="J12" s="568"/>
      <c r="K12" s="70"/>
      <c r="L12" s="45"/>
    </row>
    <row r="13" spans="1:40" ht="15.75">
      <c r="A13" s="60"/>
      <c r="B13" s="61"/>
      <c r="C13" s="61"/>
      <c r="D13" s="541" t="s">
        <v>1699</v>
      </c>
      <c r="E13" s="541"/>
      <c r="F13" s="541"/>
      <c r="G13" s="568" t="e">
        <f>IF(VLOOKUP($T$2,area,87,0)="","",VLOOKUP($T$2,area,87,0))</f>
        <v>#N/A</v>
      </c>
      <c r="H13" s="568"/>
      <c r="I13" s="568"/>
      <c r="J13" s="568"/>
      <c r="K13" s="70"/>
      <c r="L13" s="45"/>
    </row>
    <row r="14" spans="1:40" ht="15.75">
      <c r="A14" s="60"/>
      <c r="B14" s="61"/>
      <c r="C14" s="61"/>
      <c r="D14" s="541" t="s">
        <v>1700</v>
      </c>
      <c r="E14" s="541"/>
      <c r="F14" s="541"/>
      <c r="G14" s="568" t="e">
        <f>IF(VLOOKUP($T$2,area,95,0)="","",VLOOKUP($T$2,area,95,0))</f>
        <v>#N/A</v>
      </c>
      <c r="H14" s="568"/>
      <c r="I14" s="568"/>
      <c r="J14" s="568"/>
      <c r="K14" s="70"/>
      <c r="L14" s="45"/>
    </row>
    <row r="15" spans="1:40" ht="15.75">
      <c r="A15" s="60"/>
      <c r="B15" s="61"/>
      <c r="C15" s="61"/>
      <c r="D15" s="65"/>
      <c r="E15" s="65"/>
      <c r="F15" s="65"/>
      <c r="G15" s="69"/>
      <c r="H15" s="70"/>
      <c r="I15" s="70"/>
      <c r="J15" s="61"/>
      <c r="K15" s="70"/>
      <c r="L15" s="45"/>
    </row>
    <row r="16" spans="1:40" ht="15.75">
      <c r="A16" s="60"/>
      <c r="B16" s="61"/>
      <c r="C16" s="61"/>
      <c r="D16" s="65"/>
      <c r="E16" s="65"/>
      <c r="F16" s="65"/>
      <c r="G16" s="71"/>
      <c r="H16" s="71"/>
      <c r="I16" s="71"/>
      <c r="J16" s="61"/>
      <c r="K16" s="70"/>
      <c r="L16" s="45"/>
    </row>
    <row r="17" spans="1:12" ht="15.75">
      <c r="A17" s="60"/>
      <c r="B17" s="61"/>
      <c r="C17" s="61"/>
      <c r="D17" s="541" t="s">
        <v>1414</v>
      </c>
      <c r="E17" s="541"/>
      <c r="F17" s="541"/>
      <c r="G17" s="567"/>
      <c r="H17" s="567"/>
      <c r="I17" s="567"/>
      <c r="J17" s="61"/>
      <c r="L17" s="45"/>
    </row>
    <row r="18" spans="1:12" ht="15.75">
      <c r="A18" s="60"/>
      <c r="B18" s="61"/>
      <c r="C18" s="61"/>
      <c r="D18" s="61"/>
      <c r="E18" s="61"/>
      <c r="F18" s="61"/>
      <c r="G18" s="61"/>
      <c r="H18" s="61"/>
      <c r="I18" s="61"/>
      <c r="J18" s="61"/>
      <c r="L18" s="45"/>
    </row>
    <row r="19" spans="1:12" ht="15.75">
      <c r="A19" s="561" t="s">
        <v>1414</v>
      </c>
      <c r="B19" s="541"/>
      <c r="C19" s="541"/>
      <c r="D19" s="541" t="s">
        <v>1414</v>
      </c>
      <c r="E19" s="541"/>
      <c r="F19" s="541"/>
      <c r="G19" s="61"/>
      <c r="H19" s="541" t="s">
        <v>1414</v>
      </c>
      <c r="I19" s="541"/>
      <c r="J19" s="61" t="s">
        <v>1414</v>
      </c>
      <c r="L19" s="45"/>
    </row>
    <row r="20" spans="1:12" ht="15.75">
      <c r="A20" s="559" t="s">
        <v>1701</v>
      </c>
      <c r="B20" s="556"/>
      <c r="C20" s="556"/>
      <c r="D20" s="68" t="e">
        <f>IF(VLOOKUP($T$2,area,5,0)="","",VLOOKUP($T$2,area,5,0))</f>
        <v>#N/A</v>
      </c>
      <c r="E20" s="65"/>
      <c r="F20" s="65"/>
      <c r="G20" s="61"/>
      <c r="H20" s="556" t="s">
        <v>1702</v>
      </c>
      <c r="I20" s="556"/>
      <c r="J20" s="68" t="e">
        <f>IF(VLOOKUP($T$2,area,100,0)="","",VLOOKUP($T$2,area,100,0))</f>
        <v>#N/A</v>
      </c>
      <c r="L20" s="45"/>
    </row>
    <row r="21" spans="1:12" ht="15.75">
      <c r="A21" s="60"/>
      <c r="B21" s="61"/>
      <c r="C21" s="61"/>
      <c r="D21" s="61"/>
      <c r="E21" s="61"/>
      <c r="F21" s="61"/>
      <c r="G21" s="61"/>
      <c r="H21" s="61"/>
      <c r="I21" s="61"/>
      <c r="J21" s="61"/>
      <c r="L21" s="45"/>
    </row>
    <row r="22" spans="1:12" ht="15.75">
      <c r="A22" s="565" t="s">
        <v>1703</v>
      </c>
      <c r="B22" s="566"/>
      <c r="C22" s="566"/>
      <c r="D22" s="566" t="e">
        <f>IF(VLOOKUP($T$2,area,14,0)="","",VLOOKUP($T$2,area,14,0))</f>
        <v>#N/A</v>
      </c>
      <c r="E22" s="566"/>
      <c r="F22" s="566"/>
      <c r="G22" s="61"/>
      <c r="H22" s="541" t="s">
        <v>1704</v>
      </c>
      <c r="I22" s="541"/>
      <c r="J22" s="61" t="e">
        <f>IF(VLOOKUP($T$2,area,13,0)="","",VLOOKUP($T$2,area,13,0))</f>
        <v>#N/A</v>
      </c>
      <c r="L22" s="45"/>
    </row>
    <row r="23" spans="1:12" ht="15.75">
      <c r="A23" s="60"/>
      <c r="B23" s="61"/>
      <c r="C23" s="61"/>
      <c r="D23" s="61"/>
      <c r="E23" s="61"/>
      <c r="F23" s="61"/>
      <c r="G23" s="61"/>
      <c r="H23" s="61"/>
      <c r="I23" s="61"/>
      <c r="J23" s="61"/>
      <c r="L23" s="45"/>
    </row>
    <row r="24" spans="1:12" ht="15.75">
      <c r="A24" s="561" t="s">
        <v>1705</v>
      </c>
      <c r="B24" s="541"/>
      <c r="C24" s="541"/>
      <c r="D24" s="61"/>
      <c r="E24" s="563" t="s">
        <v>1706</v>
      </c>
      <c r="F24" s="563"/>
      <c r="G24" s="72" t="s">
        <v>1707</v>
      </c>
      <c r="H24" s="72" t="s">
        <v>1708</v>
      </c>
      <c r="I24" s="72" t="s">
        <v>1709</v>
      </c>
      <c r="J24" s="72" t="s">
        <v>1710</v>
      </c>
      <c r="K24" s="72" t="s">
        <v>1711</v>
      </c>
      <c r="L24" s="45"/>
    </row>
    <row r="25" spans="1:12" ht="15.75">
      <c r="A25" s="66"/>
      <c r="B25" s="67"/>
      <c r="C25" s="67"/>
      <c r="D25" s="67"/>
      <c r="E25" s="564"/>
      <c r="F25" s="564"/>
      <c r="G25" s="73"/>
      <c r="H25" s="67"/>
      <c r="I25" s="67"/>
      <c r="J25" s="67"/>
      <c r="K25" s="67"/>
      <c r="L25" s="45"/>
    </row>
    <row r="26" spans="1:12" ht="15.75">
      <c r="A26" s="561"/>
      <c r="B26" s="541"/>
      <c r="C26" s="541"/>
      <c r="D26" s="541"/>
      <c r="E26" s="550" t="s">
        <v>1414</v>
      </c>
      <c r="F26" s="550"/>
      <c r="G26" s="74"/>
      <c r="H26" s="74"/>
      <c r="I26" s="74" t="s">
        <v>1414</v>
      </c>
      <c r="J26" s="74" t="s">
        <v>1414</v>
      </c>
      <c r="L26" s="45"/>
    </row>
    <row r="27" spans="1:12" ht="15.75">
      <c r="A27" s="561" t="s">
        <v>1712</v>
      </c>
      <c r="B27" s="541"/>
      <c r="C27" s="541"/>
      <c r="D27" s="541"/>
      <c r="E27" s="550" t="e">
        <f>IF(VLOOKUP($T$2,area,20,0)="","",VLOOKUP($T$2,area,20,0))</f>
        <v>#N/A</v>
      </c>
      <c r="F27" s="550"/>
      <c r="G27" s="74" t="e">
        <f>IF(VLOOKUP($T$2,area,15,0)="","",VLOOKUP($T$2,area,15,0))</f>
        <v>#N/A</v>
      </c>
      <c r="H27" s="74" t="e">
        <f>IF(VLOOKUP($T$2,area,16,0)="","",VLOOKUP($T$2,area,16,0))</f>
        <v>#N/A</v>
      </c>
      <c r="I27" s="74" t="e">
        <f>IF(VLOOKUP($T$2,area,17,0)="","",VLOOKUP($T$2,area,17,0))</f>
        <v>#N/A</v>
      </c>
      <c r="J27" s="74" t="e">
        <f>IF(VLOOKUP($T$2,area,18,0)="","",VLOOKUP($T$2,area,18,0))</f>
        <v>#N/A</v>
      </c>
      <c r="K27" s="74" t="e">
        <f>IF(VLOOKUP($T$2,area,19,0)="","",VLOOKUP($T$2,area,19,0))</f>
        <v>#N/A</v>
      </c>
      <c r="L27" s="45"/>
    </row>
    <row r="28" spans="1:12" ht="15.75">
      <c r="A28" s="561" t="s">
        <v>1713</v>
      </c>
      <c r="B28" s="541"/>
      <c r="C28" s="541"/>
      <c r="D28" s="541"/>
      <c r="E28" s="550" t="e">
        <f>IF(VLOOKUP($T$2,area,26,0)="","",VLOOKUP($T$2,area,26,0))</f>
        <v>#N/A</v>
      </c>
      <c r="F28" s="550"/>
      <c r="G28" s="74" t="e">
        <f>IF(VLOOKUP($T$2,area,21,0)="","",VLOOKUP($T$2,area,21,0))</f>
        <v>#N/A</v>
      </c>
      <c r="H28" s="74" t="e">
        <f>IF(VLOOKUP($T$2,area,22,0)="","",VLOOKUP($T$2,area,22,0))</f>
        <v>#N/A</v>
      </c>
      <c r="I28" s="74" t="e">
        <f>IF(VLOOKUP($T$2,area,23,0)="","",VLOOKUP($T$2,area,23,0))</f>
        <v>#N/A</v>
      </c>
      <c r="J28" s="74" t="e">
        <f>IF(VLOOKUP($T$2,area,24,0)="","",VLOOKUP($T$2,area,24,0))</f>
        <v>#N/A</v>
      </c>
      <c r="K28" s="74" t="e">
        <f>IF(VLOOKUP($T$2,area,25,0)="","",VLOOKUP($T$2,area,25,0))</f>
        <v>#N/A</v>
      </c>
      <c r="L28" s="45"/>
    </row>
    <row r="29" spans="1:12" ht="15.75">
      <c r="A29" s="561" t="s">
        <v>1714</v>
      </c>
      <c r="B29" s="541"/>
      <c r="C29" s="541"/>
      <c r="D29" s="541"/>
      <c r="E29" s="550" t="e">
        <f>E28</f>
        <v>#N/A</v>
      </c>
      <c r="F29" s="550"/>
      <c r="G29" s="74" t="e">
        <f>IF(VLOOKUP($T$2,area,27,0)="","",VLOOKUP($T$2,area,27,0))</f>
        <v>#N/A</v>
      </c>
      <c r="H29" s="74" t="e">
        <f>IF(VLOOKUP($T$2,area,28,0)="","",VLOOKUP($T$2,area,28,0))</f>
        <v>#N/A</v>
      </c>
      <c r="I29" s="74" t="e">
        <f>IF(VLOOKUP($T$2,area,29,0)="","",VLOOKUP($T$2,area,29,0))</f>
        <v>#N/A</v>
      </c>
      <c r="J29" s="74" t="e">
        <f>IF(VLOOKUP($T$2,area,30,0)="","",VLOOKUP($T$2,area,30,0))</f>
        <v>#N/A</v>
      </c>
      <c r="K29" s="74" t="e">
        <f>IF(VLOOKUP($T$2,area,31,0)="","",VLOOKUP($T$2,area,31,0))</f>
        <v>#N/A</v>
      </c>
      <c r="L29" s="45"/>
    </row>
    <row r="30" spans="1:12" ht="15.75">
      <c r="A30" s="561" t="s">
        <v>1715</v>
      </c>
      <c r="B30" s="541"/>
      <c r="C30" s="541"/>
      <c r="D30" s="541"/>
      <c r="E30" s="550" t="e">
        <f>MID(E28,1,FIND("(",E28)-1)</f>
        <v>#N/A</v>
      </c>
      <c r="F30" s="550"/>
      <c r="G30" s="74" t="e">
        <f>IF(VLOOKUP($T$2,area,54,0)="","",VLOOKUP($T$2,area,54,0))</f>
        <v>#N/A</v>
      </c>
      <c r="H30" s="74" t="e">
        <f>IF(H27="","",$G$30)</f>
        <v>#N/A</v>
      </c>
      <c r="I30" s="74" t="e">
        <f t="shared" ref="I30:K30" si="0">IF(I27="","",$G$30)</f>
        <v>#N/A</v>
      </c>
      <c r="J30" s="74" t="e">
        <f t="shared" si="0"/>
        <v>#N/A</v>
      </c>
      <c r="K30" s="74" t="e">
        <f t="shared" si="0"/>
        <v>#N/A</v>
      </c>
      <c r="L30" s="45"/>
    </row>
    <row r="31" spans="1:12" ht="15.75">
      <c r="A31" s="561" t="s">
        <v>1716</v>
      </c>
      <c r="B31" s="541"/>
      <c r="C31" s="541"/>
      <c r="D31" s="541"/>
      <c r="E31" s="550" t="e">
        <f>IF(VLOOKUP($T$2,area,37,0)="","",VLOOKUP($T$2,area,37,0))</f>
        <v>#N/A</v>
      </c>
      <c r="F31" s="550"/>
      <c r="G31" s="74" t="e">
        <f>IF(VLOOKUP($T$2,area,32,0)="","",VLOOKUP($T$2,area,32,0))</f>
        <v>#N/A</v>
      </c>
      <c r="H31" s="74" t="e">
        <f>IF(VLOOKUP($T$2,area,33,0)="","",VLOOKUP($T$2,area,33,0))</f>
        <v>#N/A</v>
      </c>
      <c r="I31" s="74" t="e">
        <f>IF(VLOOKUP($T$2,area,34,0)="","",VLOOKUP($T$2,area,34,0))</f>
        <v>#N/A</v>
      </c>
      <c r="J31" s="74" t="e">
        <f>IF(VLOOKUP($T$2,area,35,0)="","",VLOOKUP($T$2,area,35,0))</f>
        <v>#N/A</v>
      </c>
      <c r="K31" s="74" t="e">
        <f>IF(VLOOKUP($T$2,area,36,0)="","",VLOOKUP($T$2,area,36,0))</f>
        <v>#N/A</v>
      </c>
      <c r="L31" s="45"/>
    </row>
    <row r="32" spans="1:12" ht="15.75">
      <c r="A32" s="559" t="s">
        <v>1717</v>
      </c>
      <c r="B32" s="556"/>
      <c r="C32" s="556"/>
      <c r="D32" s="556"/>
      <c r="E32" s="550" t="e">
        <f>IF(VLOOKUP($T$2,area,43,0)="","",VLOOKUP($T$2,area,43,0))</f>
        <v>#N/A</v>
      </c>
      <c r="F32" s="550"/>
      <c r="G32" s="74" t="e">
        <f>IF(VLOOKUP($T$2,area,38,0)="","",VLOOKUP($T$2,area,38,0))</f>
        <v>#N/A</v>
      </c>
      <c r="H32" s="74" t="e">
        <f>IF(VLOOKUP($T$2,area,39,0)="","",VLOOKUP($T$2,area,39,0))</f>
        <v>#N/A</v>
      </c>
      <c r="I32" s="74" t="e">
        <f>IF(VLOOKUP($T$2,area,40,0)="","",VLOOKUP($T$2,area,40,0))</f>
        <v>#N/A</v>
      </c>
      <c r="J32" s="74" t="e">
        <f>IF(VLOOKUP($T$2,area,41,0)="","",VLOOKUP($T$2,area,41,0))</f>
        <v>#N/A</v>
      </c>
      <c r="K32" s="74" t="e">
        <f>IF(VLOOKUP($T$2,area,42,0)="","",VLOOKUP($T$2,area,42,0))</f>
        <v>#N/A</v>
      </c>
      <c r="L32" s="45"/>
    </row>
    <row r="33" spans="1:12" ht="15.75">
      <c r="A33" s="561"/>
      <c r="B33" s="541"/>
      <c r="C33" s="541"/>
      <c r="D33" s="541"/>
      <c r="E33" s="550"/>
      <c r="F33" s="550"/>
      <c r="G33" s="74"/>
      <c r="H33" s="74"/>
      <c r="I33" s="74"/>
      <c r="J33" s="74"/>
      <c r="L33" s="45"/>
    </row>
    <row r="34" spans="1:12" ht="15.75">
      <c r="A34" s="66"/>
      <c r="B34" s="67"/>
      <c r="C34" s="67"/>
      <c r="D34" s="67"/>
      <c r="E34" s="552"/>
      <c r="F34" s="552"/>
      <c r="G34" s="75"/>
      <c r="H34" s="75"/>
      <c r="I34" s="75"/>
      <c r="J34" s="75"/>
      <c r="K34" s="67"/>
      <c r="L34" s="45"/>
    </row>
    <row r="35" spans="1:12" ht="15.75">
      <c r="A35" s="561" t="s">
        <v>1718</v>
      </c>
      <c r="B35" s="541"/>
      <c r="C35" s="541"/>
      <c r="D35" s="61"/>
      <c r="E35" s="550"/>
      <c r="F35" s="550"/>
      <c r="G35" s="74" t="e">
        <f>IF(VLOOKUP($T$2,area,67,0)="","",VLOOKUP($T$2,area,67,0))</f>
        <v>#N/A</v>
      </c>
      <c r="H35" s="74" t="e">
        <f>IF(VLOOKUP($T$2,area,68,0)="","",VLOOKUP($T$2,area,68,0))</f>
        <v>#N/A</v>
      </c>
      <c r="I35" s="74" t="e">
        <f>IF(VLOOKUP($T$2,area,69,0)="","",VLOOKUP($T$2,area,69,0))</f>
        <v>#N/A</v>
      </c>
      <c r="J35" s="74" t="e">
        <f>IF(VLOOKUP($T$2,area,70,0)="","",VLOOKUP($T$2,area,70,0))</f>
        <v>#N/A</v>
      </c>
      <c r="K35" s="74" t="e">
        <f>IF(VLOOKUP($T$2,area,71,0)="","",VLOOKUP($T$2,area,71,0))</f>
        <v>#N/A</v>
      </c>
      <c r="L35" s="45"/>
    </row>
    <row r="36" spans="1:12" ht="15.75">
      <c r="A36" s="561" t="s">
        <v>1719</v>
      </c>
      <c r="B36" s="541"/>
      <c r="C36" s="541"/>
      <c r="D36" s="65"/>
      <c r="E36" s="550"/>
      <c r="F36" s="550"/>
      <c r="G36" s="74" t="e">
        <f>IF(VLOOKUP($T$2,area,72,0)="","",VLOOKUP($T$2,area,72,0))</f>
        <v>#N/A</v>
      </c>
      <c r="H36" s="74" t="e">
        <f>IF(VLOOKUP($T$2,area,73,0)="","",VLOOKUP($T$2,area,73,0))</f>
        <v>#N/A</v>
      </c>
      <c r="I36" s="74" t="e">
        <f>IF(VLOOKUP($T$2,area,74,0)="","",VLOOKUP($T$2,area,74,0))</f>
        <v>#N/A</v>
      </c>
      <c r="J36" s="74" t="e">
        <f>IF(VLOOKUP($T$2,area,75,0)="","",VLOOKUP($T$2,area,75,0))</f>
        <v>#N/A</v>
      </c>
      <c r="K36" s="74" t="e">
        <f>IF(VLOOKUP($T$2,area,76,0)="","",VLOOKUP($T$2,area,76,0))</f>
        <v>#N/A</v>
      </c>
      <c r="L36" s="45"/>
    </row>
    <row r="37" spans="1:12" ht="15.75">
      <c r="A37" s="560" t="s">
        <v>1720</v>
      </c>
      <c r="B37" s="541"/>
      <c r="C37" s="541"/>
      <c r="D37" s="65"/>
      <c r="E37" s="562" t="s">
        <v>1420</v>
      </c>
      <c r="F37" s="550"/>
      <c r="G37" s="74" t="e">
        <f>IF(VLOOKUP($T$2,area,57,0)="","",VLOOKUP($T$2,area,57,0))</f>
        <v>#N/A</v>
      </c>
      <c r="H37" s="74" t="e">
        <f>IF(VLOOKUP($T$2,area,58,0)="","",VLOOKUP($T$2,area,58,0))</f>
        <v>#N/A</v>
      </c>
      <c r="I37" s="74" t="e">
        <f>IF(VLOOKUP($T$2,area,59,0)="","",VLOOKUP($T$2,area,59,0))</f>
        <v>#N/A</v>
      </c>
      <c r="J37" s="74" t="e">
        <f>IF(VLOOKUP($T$2,area,60,0)="","",VLOOKUP($T$2,area,60,0))</f>
        <v>#N/A</v>
      </c>
      <c r="K37" s="74" t="e">
        <f>IF(VLOOKUP($T$2,area,60,0)="","",VLOOKUP($T$2,area,60,0))</f>
        <v>#N/A</v>
      </c>
      <c r="L37" s="45"/>
    </row>
    <row r="38" spans="1:12" ht="15.75">
      <c r="A38" s="561"/>
      <c r="B38" s="541"/>
      <c r="C38" s="541"/>
      <c r="D38" s="61"/>
      <c r="E38" s="550"/>
      <c r="F38" s="550"/>
      <c r="G38" s="74"/>
      <c r="H38" s="74"/>
      <c r="I38" s="74"/>
      <c r="J38" s="74"/>
      <c r="L38" s="45"/>
    </row>
    <row r="39" spans="1:12" ht="15.75">
      <c r="A39" s="559" t="s">
        <v>1721</v>
      </c>
      <c r="B39" s="556"/>
      <c r="C39" s="556"/>
      <c r="D39" s="541" t="e">
        <f>D20</f>
        <v>#N/A</v>
      </c>
      <c r="E39" s="541"/>
      <c r="F39" s="541"/>
      <c r="G39" s="74"/>
      <c r="H39" s="74"/>
      <c r="I39" s="74"/>
      <c r="J39" s="74"/>
      <c r="L39" s="45"/>
    </row>
    <row r="40" spans="1:12" ht="15.75">
      <c r="A40" s="560" t="s">
        <v>1722</v>
      </c>
      <c r="B40" s="541"/>
      <c r="C40" s="541"/>
      <c r="D40" s="541" t="e">
        <f>IF(VLOOKUP($T$2,area,94,0)="","",VLOOKUP($T$2,area,94,0))</f>
        <v>#N/A</v>
      </c>
      <c r="E40" s="541"/>
      <c r="F40" s="541"/>
      <c r="G40" s="76"/>
      <c r="H40" s="74"/>
      <c r="I40" s="74"/>
      <c r="J40" s="74"/>
      <c r="L40" s="45"/>
    </row>
    <row r="41" spans="1:12" ht="15.75">
      <c r="A41" s="560" t="s">
        <v>1723</v>
      </c>
      <c r="B41" s="541"/>
      <c r="C41" s="541"/>
      <c r="D41" s="67" t="e">
        <f>IF(VLOOKUP($T$2,area,96,0)="","",VLOOKUP($T$2,area,96,0))</f>
        <v>#N/A</v>
      </c>
      <c r="E41" s="67" t="e">
        <f>IF(VLOOKUP($T$2,area,97,0)="","",VLOOKUP($T$2,area,97,0))</f>
        <v>#N/A</v>
      </c>
      <c r="F41" s="67"/>
      <c r="G41" s="67"/>
      <c r="H41" s="67"/>
      <c r="I41" s="67"/>
      <c r="J41" s="67"/>
      <c r="K41" s="67"/>
      <c r="L41" s="45"/>
    </row>
    <row r="42" spans="1:12" ht="15.75">
      <c r="A42" s="557" t="s">
        <v>1724</v>
      </c>
      <c r="B42" s="558"/>
      <c r="C42" s="558"/>
      <c r="D42" s="558"/>
      <c r="E42" s="65"/>
      <c r="F42" s="65"/>
      <c r="G42" s="65"/>
      <c r="H42" s="65"/>
      <c r="I42" s="65"/>
      <c r="J42" s="65"/>
      <c r="L42" s="45"/>
    </row>
    <row r="43" spans="1:12" ht="15.75">
      <c r="A43" s="77"/>
      <c r="B43" s="552"/>
      <c r="C43" s="552"/>
      <c r="D43" s="552"/>
      <c r="E43" s="552" t="s">
        <v>1706</v>
      </c>
      <c r="F43" s="552"/>
      <c r="G43" s="78" t="s">
        <v>1707</v>
      </c>
      <c r="H43" s="78" t="s">
        <v>1708</v>
      </c>
      <c r="I43" s="78" t="s">
        <v>1709</v>
      </c>
      <c r="J43" s="78" t="s">
        <v>1710</v>
      </c>
      <c r="K43" s="78" t="s">
        <v>1711</v>
      </c>
      <c r="L43" s="45"/>
    </row>
    <row r="44" spans="1:12" ht="15.75">
      <c r="A44" s="60" t="s">
        <v>1725</v>
      </c>
      <c r="B44" s="541" t="s">
        <v>1726</v>
      </c>
      <c r="C44" s="541"/>
      <c r="D44" s="541"/>
      <c r="E44" s="550" t="s">
        <v>1414</v>
      </c>
      <c r="F44" s="550"/>
      <c r="G44" s="74" t="e">
        <f>IF($G$27="","",IF(OR($G$12="顶部导向型单座调节阀",$G$12="小流量单座调节阀",$G$12="高压顶部导向型单座调节阀",$G$12="顶部导向型单座角阀"),0.9,IF(OR($G$12="套筒导向型单座调节阀",$G$12="套筒导向型单座角阀"),0.9,IF($G$12="多孔式套筒导向型调节阀",0.94,IF(OR($G$12="多级降压式套筒调节阀",$G$12="多级降压式套筒角阀"),1,IF($G$12="同心角行程型调节阀",0.64,IF($G$12="偏心角行程型调节阀",0.85,IF(AND($D$41=60,OR($G$12="轻载型蝶阀",$G$12="高性能蝶阀",$G$12="三偏心蝶阀")),0.81,IF(AND($D$41=90,OR($G$12="轻载型蝶阀",$G$12="高性能蝶阀",$G$12="三偏心蝶阀")),0.7,"")))))))))</f>
        <v>#N/A</v>
      </c>
      <c r="H44" s="74" t="e">
        <f>IF($H$27="","",IF(OR($G$12="顶部导向型单座调节阀",$G$12="小流量单座调节阀",$G$12="高压顶部导向型单座调节阀",$G$12="顶部导向型单座角阀"),0.9,IF(OR($G$12="套筒导向型单座调节阀",$G$12="套筒导向型单座角阀"),0.9,IF($G$12="多孔式套筒导向型调节阀",0.94,IF(OR($G$12="多级降压式套筒调节阀",$G$12="多级降压式套筒角阀"),1,IF($G$12="同心角行程型调节阀",0.64,IF($G$12="偏心角行程型调节阀",0.85,IF(AND($D$41=60,OR($G$12="轻载型蝶阀",$G$12="高性能蝶阀",$G$12="三偏心蝶阀")),0.81,IF(AND($D$41=90,OR($G$12="轻载型蝶阀",$G$12="高性能蝶阀",$G$12="三偏心蝶阀")),0.7,"")))))))))</f>
        <v>#N/A</v>
      </c>
      <c r="I44" s="74" t="e">
        <f>IF($I$27="","",IF(OR($G$12="顶部导向型单座调节阀",$G$12="小流量单座调节阀",$G$12="高压顶部导向型单座调节阀",$G$12="顶部导向型单座角阀"),0.9,IF(OR($G$12="套筒导向型单座调节阀",$G$12="套筒导向型单座角阀"),0.9,IF($G$12="多孔式套筒导向型调节阀",0.94,IF(OR($G$12="多级降压式套筒调节阀",$G$12="多级降压式套筒角阀"),1,IF($G$12="同心角行程型调节阀",0.64,IF($G$12="偏心角行程型调节阀",0.85,IF(AND($D$41=60,OR($G$12="轻载型蝶阀",$G$12="高性能蝶阀",$G$12="三偏心蝶阀")),0.81,IF(AND($D$41=90,OR($G$12="轻载型蝶阀",$G$12="高性能蝶阀",$G$12="三偏心蝶阀")),0.7,"")))))))))</f>
        <v>#N/A</v>
      </c>
      <c r="J44" s="74" t="e">
        <f>IF($J$27="","",IF(OR($G$12="顶部导向型单座调节阀",$G$12="小流量单座调节阀",$G$12="高压顶部导向型单座调节阀",$G$12="顶部导向型单座角阀"),0.9,IF(OR($G$12="套筒导向型单座调节阀",$G$12="套筒导向型单座角阀"),0.9,IF($G$12="多孔式套筒导向型调节阀",0.94,IF(OR($G$12="多级降压式套筒调节阀",$G$12="多级降压式套筒角阀"),1,IF($G$12="同心角行程型调节阀",0.64,IF($G$12="偏心角行程型调节阀",0.85,IF(AND($D$41=60,OR($G$12="轻载型蝶阀",$G$12="高性能蝶阀",$G$12="三偏心蝶阀")),0.81,IF(AND($D$41=90,OR($G$12="轻载型蝶阀",$G$12="高性能蝶阀",$G$12="三偏心蝶阀")),0.7,"")))))))))</f>
        <v>#N/A</v>
      </c>
      <c r="K44" s="74" t="e">
        <f>IF($K$27="","",IF(OR($G$12="顶部导向型单座调节阀",$G$12="小流量单座调节阀",$G$12="高压顶部导向型单座调节阀",$G$12="顶部导向型单座角阀"),0.9,IF(OR($G$12="套筒导向型单座调节阀",$G$12="套筒导向型单座角阀"),0.9,IF($G$12="多孔式套筒导向型调节阀",0.94,IF(OR($G$12="多级降压式套筒调节阀",$G$12="多级降压式套筒角阀"),1,IF($G$12="同心角行程型调节阀",0.64,IF($G$12="偏心角行程型调节阀",0.85,IF(AND($D$41=60,OR($G$12="轻载型蝶阀",$G$12="高性能蝶阀",$G$12="三偏心蝶阀")),0.81,IF(AND($D$41=90,OR($G$12="轻载型蝶阀",$G$12="高性能蝶阀",$G$12="三偏心蝶阀")),0.7,"")))))))))</f>
        <v>#N/A</v>
      </c>
      <c r="L44" s="45"/>
    </row>
    <row r="45" spans="1:12" ht="15.75">
      <c r="A45" s="60" t="s">
        <v>1727</v>
      </c>
      <c r="B45" s="541" t="s">
        <v>1728</v>
      </c>
      <c r="C45" s="541"/>
      <c r="D45" s="541"/>
      <c r="E45" s="550" t="s">
        <v>1414</v>
      </c>
      <c r="F45" s="550"/>
      <c r="G45" s="74" t="e">
        <f>IF(G27="","",IF(OR($G$12="顶部导向型单座调节阀",$G$12="小流量单座调节阀",$G$12="高压顶部导向型单座调节阀",$G$12="顶部导向型单座角阀"),0.65,IF(OR($G$12="套筒导向型单座调节阀",$G$12="套筒导向型单座角阀"),0.65,IF($G$12="多孔式套筒导向型调节阀",0.85,IF(OR($G$12="多级降压式套筒调节阀",$G$12="多级降压式套筒角阀"),1,IF($G$12="同心角行程型调节阀",0.3,IF($G$12="偏心角行程型调节阀",0.6,IF(AND($D$41=60,OR($G$12="轻载型蝶阀",$G$12="高性能蝶阀",$G$12="三偏心蝶阀")),0.56,IF(AND($D$41=90,OR($G$12="轻载型蝶阀",$G$12="高性能蝶阀",$G$12="三偏心蝶阀")),0.42,"")))))))))</f>
        <v>#N/A</v>
      </c>
      <c r="H45" s="74" t="e">
        <f t="shared" ref="H45:K45" si="1">IF(H27="","",IF(OR($G$12="顶部导向型单座调节阀",$G$12="小流量单座调节阀",$G$12="高压顶部导向型单座调节阀",$G$12="顶部导向型单座角阀"),0.65,IF(OR($G$12="套筒导向型单座调节阀",$G$12="套筒导向型单座角阀"),0.65,IF($G$12="多孔式套筒导向型调节阀",0.85,IF(OR($G$12="多级降压式套筒调节阀",$G$12="多级降压式套筒角阀"),1,IF($G$12="同心角行程型调节阀",0.3,IF($G$12="偏心角行程型调节阀",0.6,IF(AND($D$41=60,OR($G$12="轻载型蝶阀",$G$12="高性能蝶阀",$G$12="三偏心蝶阀")),0.56,IF(AND($D$41=90,OR($G$12="轻载型蝶阀",$G$12="高性能蝶阀",$G$12="三偏心蝶阀")),0.42,"")))))))))</f>
        <v>#N/A</v>
      </c>
      <c r="I45" s="74" t="e">
        <f t="shared" si="1"/>
        <v>#N/A</v>
      </c>
      <c r="J45" s="74" t="e">
        <f t="shared" si="1"/>
        <v>#N/A</v>
      </c>
      <c r="K45" s="74" t="e">
        <f t="shared" si="1"/>
        <v>#N/A</v>
      </c>
      <c r="L45" s="45"/>
    </row>
    <row r="46" spans="1:12" ht="15.75">
      <c r="A46" s="60" t="s">
        <v>1729</v>
      </c>
      <c r="B46" s="541" t="s">
        <v>1730</v>
      </c>
      <c r="C46" s="541"/>
      <c r="D46" s="541"/>
      <c r="E46" s="74" t="s">
        <v>1414</v>
      </c>
      <c r="F46" s="74"/>
      <c r="G46" s="74" t="e">
        <f>IF(G27="","",1)</f>
        <v>#N/A</v>
      </c>
      <c r="H46" s="74" t="e">
        <f>IF(H27="","",1)</f>
        <v>#N/A</v>
      </c>
      <c r="I46" s="74" t="e">
        <f t="shared" ref="I46:K46" si="2">IF(I27="","",1)</f>
        <v>#N/A</v>
      </c>
      <c r="J46" s="74" t="e">
        <f t="shared" si="2"/>
        <v>#N/A</v>
      </c>
      <c r="K46" s="74" t="e">
        <f t="shared" si="2"/>
        <v>#N/A</v>
      </c>
      <c r="L46" s="45"/>
    </row>
    <row r="47" spans="1:12" ht="15.75">
      <c r="A47" s="60" t="s">
        <v>1731</v>
      </c>
      <c r="B47" s="541" t="s">
        <v>1732</v>
      </c>
      <c r="C47" s="541"/>
      <c r="D47" s="541"/>
      <c r="E47" s="74" t="s">
        <v>1414</v>
      </c>
      <c r="F47" s="74"/>
      <c r="G47" s="74" t="e">
        <f>IF(G27="","",IF(OR($G$12="顶部导向型单座调节阀",$G$12="小流量单座调节阀",$G$12="高压顶部导向型单座调节阀",$G$12="顶部导向型单座角阀"),0.67,IF(OR($G$12="套筒导向型单座调节阀",$G$12="套筒导向型单座角阀"),0.67,IF($G$12="多孔式套筒导向型调节阀",0.68,IF(OR($G$12="多级降压式套筒调节阀",$G$12="多级降压式套筒角阀"),0.76,IF($G$12="同心角行程型调节阀",0.3,IF($G$12="偏心角行程型调节阀",0.67,IF(AND($D$41=60,OR($G$12="轻载型蝶阀",$G$12="高性能蝶阀",$G$12="三偏心蝶阀")),0.67,IF(AND($D$41=90,OR($G$12="轻载型蝶阀",$G$12="高性能蝶阀",$G$12="三偏心蝶阀")),0.67,"")))))))))</f>
        <v>#N/A</v>
      </c>
      <c r="H47" s="74" t="e">
        <f>IF(H27="","",IF(OR($G$12="顶部导向型单座调节阀",$G$12="小流量单座调节阀",$G$12="高压顶部导向型单座调节阀",$G$12="顶部导向型单座角阀"),0.67,IF(OR($G$12="套筒导向型单座调节阀",$G$12="套筒导向型单座角阀"),0.67,IF($G$12="多孔式套筒导向型调节阀",0.68,IF(OR($G$12="多级降压式套筒调节阀",$G$12="多级降压式套筒角阀"),0.76,IF($G$12="同心角行程型调节阀",0.3,IF($G$12="偏心角行程型调节阀",0.67,IF(AND($D$41=60,OR($G$12="轻载型蝶阀",$G$12="高性能蝶阀",$G$12="三偏心蝶阀")),0.67,IF(AND($D$41=90,OR($G$12="轻载型蝶阀",$G$12="高性能蝶阀",$G$12="三偏心蝶阀")),0.67,"")))))))))</f>
        <v>#N/A</v>
      </c>
      <c r="I47" s="74" t="e">
        <f t="shared" ref="I47:K47" si="3">IF(I27="","",IF(OR($G$12="顶部导向型单座调节阀",$G$12="小流量单座调节阀",$G$12="高压顶部导向型单座调节阀",$G$12="顶部导向型单座角阀"),0.67,IF(OR($G$12="套筒导向型单座调节阀",$G$12="套筒导向型单座角阀"),0.67,IF($G$12="多孔式套筒导向型调节阀",0.68,IF(OR($G$12="多级降压式套筒调节阀",$G$12="多级降压式套筒角阀"),0.76,IF($G$12="同心角行程型调节阀",0.3,IF($G$12="偏心角行程型调节阀",0.67,IF(AND($D$41=60,OR($G$12="轻载型蝶阀",$G$12="高性能蝶阀",$G$12="三偏心蝶阀")),0.67,IF(AND($D$41=90,OR($G$12="轻载型蝶阀",$G$12="高性能蝶阀",$G$12="三偏心蝶阀")),0.67,"")))))))))</f>
        <v>#N/A</v>
      </c>
      <c r="J47" s="74" t="e">
        <f t="shared" si="3"/>
        <v>#N/A</v>
      </c>
      <c r="K47" s="74" t="e">
        <f t="shared" si="3"/>
        <v>#N/A</v>
      </c>
      <c r="L47" s="45"/>
    </row>
    <row r="48" spans="1:12" ht="15.75">
      <c r="A48" s="60" t="s">
        <v>1733</v>
      </c>
      <c r="B48" s="556" t="s">
        <v>1734</v>
      </c>
      <c r="C48" s="556"/>
      <c r="D48" s="556"/>
      <c r="E48" s="74"/>
      <c r="F48" s="74"/>
      <c r="G48" s="74" t="e">
        <f>IF(G27="","",1)</f>
        <v>#N/A</v>
      </c>
      <c r="H48" s="74" t="e">
        <f>IF(H27="","",1)</f>
        <v>#N/A</v>
      </c>
      <c r="I48" s="74" t="e">
        <f t="shared" ref="I48:K48" si="4">IF(I27="","",1)</f>
        <v>#N/A</v>
      </c>
      <c r="J48" s="74" t="e">
        <f t="shared" si="4"/>
        <v>#N/A</v>
      </c>
      <c r="K48" s="74" t="e">
        <f t="shared" si="4"/>
        <v>#N/A</v>
      </c>
      <c r="L48" s="45"/>
    </row>
    <row r="49" spans="1:12" ht="15.75">
      <c r="A49" s="60" t="s">
        <v>1735</v>
      </c>
      <c r="B49" s="556" t="s">
        <v>1736</v>
      </c>
      <c r="C49" s="556"/>
      <c r="D49" s="556"/>
      <c r="E49" s="74" t="s">
        <v>1414</v>
      </c>
      <c r="F49" s="74"/>
      <c r="G49" s="74" t="e">
        <f>IF(G27="","",IF($D$22="Liquid   液体","",1.25))</f>
        <v>#N/A</v>
      </c>
      <c r="H49" s="74" t="e">
        <f t="shared" ref="H49:K49" si="5">IF(H27="","",IF($D$22="Liquid   液体","",1.25))</f>
        <v>#N/A</v>
      </c>
      <c r="I49" s="74" t="e">
        <f t="shared" si="5"/>
        <v>#N/A</v>
      </c>
      <c r="J49" s="74" t="e">
        <f t="shared" si="5"/>
        <v>#N/A</v>
      </c>
      <c r="K49" s="74" t="e">
        <f t="shared" si="5"/>
        <v>#N/A</v>
      </c>
      <c r="L49" s="45"/>
    </row>
    <row r="50" spans="1:12" ht="15.75">
      <c r="A50" s="60" t="s">
        <v>1737</v>
      </c>
      <c r="B50" s="556" t="s">
        <v>1738</v>
      </c>
      <c r="C50" s="556"/>
      <c r="D50" s="556"/>
      <c r="E50" s="550" t="s">
        <v>103</v>
      </c>
      <c r="F50" s="550"/>
      <c r="G50" s="74" t="e">
        <f>IF(G27="","",IF(VLOOKUP($T$2,area,52,0)="","",VLOOKUP($T$2,area,52,0)))</f>
        <v>#N/A</v>
      </c>
      <c r="H50" s="74" t="e">
        <f>IF(H27="","",IF(VLOOKUP($T$2,area,52,0)="","",VLOOKUP($T$2,area,52,0)))</f>
        <v>#N/A</v>
      </c>
      <c r="I50" s="74" t="e">
        <f>IF(I27="","",IF(VLOOKUP($T$2,area,52,0)="","",VLOOKUP($T$2,area,52,0)))</f>
        <v>#N/A</v>
      </c>
      <c r="J50" s="74" t="e">
        <f>IF(J27="","",IF(VLOOKUP($T$2,area,52,0)="","",VLOOKUP($T$2,area,52,0)))</f>
        <v>#N/A</v>
      </c>
      <c r="K50" s="74" t="e">
        <f>IF(K27="","",IF(VLOOKUP($T$2,area,52,0)="","",VLOOKUP($T$2,area,52,0)))</f>
        <v>#N/A</v>
      </c>
      <c r="L50" s="45"/>
    </row>
    <row r="51" spans="1:12" ht="15.75">
      <c r="A51" s="60" t="s">
        <v>1739</v>
      </c>
      <c r="B51" s="556" t="s">
        <v>1740</v>
      </c>
      <c r="C51" s="556"/>
      <c r="D51" s="556"/>
      <c r="E51" s="550" t="s">
        <v>1741</v>
      </c>
      <c r="F51" s="550"/>
      <c r="G51" s="74"/>
      <c r="H51" s="74"/>
      <c r="I51" s="74"/>
      <c r="J51" s="74"/>
      <c r="K51" s="74"/>
      <c r="L51" s="45"/>
    </row>
    <row r="52" spans="1:12">
      <c r="A52" s="44"/>
      <c r="L52" s="45"/>
    </row>
    <row r="53" spans="1:12" ht="15.75">
      <c r="A53" s="44"/>
      <c r="I53" s="74"/>
      <c r="J53" s="74"/>
      <c r="K53" s="74"/>
      <c r="L53" s="45"/>
    </row>
    <row r="54" spans="1:12" ht="15.75">
      <c r="A54" s="44"/>
      <c r="I54" s="74"/>
      <c r="J54" s="74"/>
      <c r="L54" s="45"/>
    </row>
    <row r="55" spans="1:12" ht="15.75">
      <c r="A55" s="44"/>
      <c r="I55" s="74"/>
      <c r="J55" s="74"/>
      <c r="L55" s="45"/>
    </row>
    <row r="56" spans="1:12" ht="15.75">
      <c r="A56" s="60" t="s">
        <v>1414</v>
      </c>
      <c r="B56" s="541"/>
      <c r="C56" s="541"/>
      <c r="D56" s="541"/>
      <c r="E56" s="550" t="s">
        <v>1414</v>
      </c>
      <c r="F56" s="550"/>
      <c r="G56" s="74"/>
      <c r="H56" s="74"/>
      <c r="I56" s="74"/>
      <c r="J56" s="74"/>
      <c r="L56" s="45"/>
    </row>
    <row r="57" spans="1:12" ht="15.75">
      <c r="A57" s="60" t="s">
        <v>1414</v>
      </c>
      <c r="B57" s="541" t="s">
        <v>1414</v>
      </c>
      <c r="C57" s="541"/>
      <c r="D57" s="541"/>
      <c r="E57" s="550" t="s">
        <v>1414</v>
      </c>
      <c r="F57" s="550"/>
      <c r="G57" s="74"/>
      <c r="H57" s="74"/>
      <c r="I57" s="74"/>
      <c r="J57" s="74"/>
      <c r="K57" s="78"/>
      <c r="L57" s="45"/>
    </row>
    <row r="58" spans="1:12" ht="15.75">
      <c r="A58" s="553" t="s">
        <v>1742</v>
      </c>
      <c r="B58" s="554"/>
      <c r="C58" s="554"/>
      <c r="D58" s="554"/>
      <c r="E58" s="555" t="s">
        <v>1414</v>
      </c>
      <c r="F58" s="555"/>
      <c r="G58" s="79"/>
      <c r="H58" s="79"/>
      <c r="I58" s="79"/>
      <c r="J58" s="79"/>
      <c r="L58" s="45"/>
    </row>
    <row r="59" spans="1:12" ht="15.75">
      <c r="A59" s="60" t="s">
        <v>1414</v>
      </c>
      <c r="B59" s="541" t="s">
        <v>1414</v>
      </c>
      <c r="C59" s="541"/>
      <c r="D59" s="541"/>
      <c r="E59" s="550" t="s">
        <v>1414</v>
      </c>
      <c r="F59" s="550"/>
      <c r="G59" s="74"/>
      <c r="H59" s="74"/>
      <c r="I59" s="74"/>
      <c r="J59" s="74"/>
      <c r="L59" s="45"/>
    </row>
    <row r="60" spans="1:12" ht="15.75">
      <c r="A60" s="77" t="s">
        <v>1414</v>
      </c>
      <c r="B60" s="551" t="s">
        <v>1414</v>
      </c>
      <c r="C60" s="551"/>
      <c r="D60" s="551"/>
      <c r="E60" s="552" t="s">
        <v>1414</v>
      </c>
      <c r="F60" s="552"/>
      <c r="G60" s="75"/>
      <c r="H60" s="75"/>
      <c r="I60" s="75"/>
      <c r="J60" s="75"/>
      <c r="K60" s="55"/>
      <c r="L60" s="56"/>
    </row>
    <row r="61" spans="1:12" ht="15.75">
      <c r="A61" s="541"/>
      <c r="B61" s="541"/>
      <c r="C61" s="541"/>
      <c r="D61" s="541"/>
      <c r="E61" s="541"/>
      <c r="F61" s="541"/>
      <c r="G61" s="541"/>
      <c r="H61" s="541"/>
      <c r="I61" s="541"/>
      <c r="J61" s="541"/>
    </row>
    <row r="62" spans="1:12" ht="15.75">
      <c r="A62" s="549" t="s">
        <v>1414</v>
      </c>
      <c r="B62" s="549"/>
      <c r="C62" s="549"/>
      <c r="D62" s="549"/>
      <c r="E62" s="549"/>
      <c r="F62" s="549"/>
      <c r="G62" s="549"/>
      <c r="H62" s="549"/>
      <c r="I62" s="549"/>
      <c r="J62" s="549"/>
    </row>
    <row r="63" spans="1:12" ht="15.75">
      <c r="A63" s="541" t="s">
        <v>1414</v>
      </c>
      <c r="B63" s="541"/>
      <c r="C63" s="541"/>
      <c r="D63" s="541"/>
      <c r="E63" s="541"/>
      <c r="F63" s="541"/>
      <c r="G63" s="541"/>
      <c r="H63" s="541"/>
      <c r="I63" s="541"/>
      <c r="J63" s="541"/>
    </row>
    <row r="64" spans="1:12" ht="15.75">
      <c r="A64" s="541"/>
      <c r="B64" s="541"/>
      <c r="C64" s="541"/>
      <c r="D64" s="541"/>
      <c r="E64" s="541"/>
      <c r="F64" s="541"/>
      <c r="G64" s="541"/>
      <c r="H64" s="541"/>
      <c r="I64" s="541"/>
      <c r="J64" s="541"/>
    </row>
    <row r="65" spans="1:10" ht="15.75">
      <c r="A65" s="541"/>
      <c r="B65" s="541"/>
      <c r="C65" s="541"/>
      <c r="D65" s="541"/>
      <c r="E65" s="541"/>
      <c r="F65" s="541"/>
      <c r="G65" s="541"/>
      <c r="H65" s="541"/>
      <c r="I65" s="541"/>
      <c r="J65" s="541"/>
    </row>
    <row r="66" spans="1:10" ht="15.75">
      <c r="A66" s="541"/>
      <c r="B66" s="541"/>
      <c r="C66" s="541"/>
      <c r="D66" s="541"/>
      <c r="E66" s="541"/>
      <c r="F66" s="541"/>
      <c r="G66" s="541"/>
      <c r="H66" s="541"/>
      <c r="I66" s="541"/>
      <c r="J66" s="541"/>
    </row>
    <row r="67" spans="1:10" ht="15.75">
      <c r="A67" s="541"/>
      <c r="B67" s="541"/>
      <c r="C67" s="541"/>
      <c r="D67" s="541"/>
      <c r="E67" s="541"/>
      <c r="F67" s="541"/>
      <c r="G67" s="541"/>
      <c r="H67" s="541"/>
      <c r="I67" s="541"/>
      <c r="J67" s="541"/>
    </row>
  </sheetData>
  <mergeCells count="94">
    <mergeCell ref="J2:K2"/>
    <mergeCell ref="E5:H5"/>
    <mergeCell ref="A8:B8"/>
    <mergeCell ref="H8:I8"/>
    <mergeCell ref="J8:L8"/>
    <mergeCell ref="A9:B9"/>
    <mergeCell ref="H9:I9"/>
    <mergeCell ref="J9:L9"/>
    <mergeCell ref="D11:F11"/>
    <mergeCell ref="G11:J11"/>
    <mergeCell ref="D12:F12"/>
    <mergeCell ref="G12:J12"/>
    <mergeCell ref="D13:F13"/>
    <mergeCell ref="G13:J13"/>
    <mergeCell ref="D14:F14"/>
    <mergeCell ref="G14:J14"/>
    <mergeCell ref="D17:F17"/>
    <mergeCell ref="G17:I17"/>
    <mergeCell ref="A19:C19"/>
    <mergeCell ref="D19:F19"/>
    <mergeCell ref="H19:I19"/>
    <mergeCell ref="A20:C20"/>
    <mergeCell ref="H20:I20"/>
    <mergeCell ref="A22:C22"/>
    <mergeCell ref="D22:F22"/>
    <mergeCell ref="H22:I22"/>
    <mergeCell ref="A24:C24"/>
    <mergeCell ref="E24:F24"/>
    <mergeCell ref="E25:F25"/>
    <mergeCell ref="A26:D26"/>
    <mergeCell ref="E26:F26"/>
    <mergeCell ref="A27:D27"/>
    <mergeCell ref="E27:F27"/>
    <mergeCell ref="A28:D28"/>
    <mergeCell ref="E28:F28"/>
    <mergeCell ref="A29:D29"/>
    <mergeCell ref="E29:F29"/>
    <mergeCell ref="A30:D30"/>
    <mergeCell ref="E30:F30"/>
    <mergeCell ref="A31:D31"/>
    <mergeCell ref="E31:F31"/>
    <mergeCell ref="A32:D32"/>
    <mergeCell ref="E32:F32"/>
    <mergeCell ref="A33:D33"/>
    <mergeCell ref="E33:F33"/>
    <mergeCell ref="E34:F34"/>
    <mergeCell ref="A35:C35"/>
    <mergeCell ref="E35:F35"/>
    <mergeCell ref="A36:C36"/>
    <mergeCell ref="E36:F36"/>
    <mergeCell ref="A37:C37"/>
    <mergeCell ref="E37:F37"/>
    <mergeCell ref="A38:C38"/>
    <mergeCell ref="E38:F38"/>
    <mergeCell ref="A39:C39"/>
    <mergeCell ref="D39:F39"/>
    <mergeCell ref="A40:C40"/>
    <mergeCell ref="D40:F40"/>
    <mergeCell ref="A41:C41"/>
    <mergeCell ref="A42:D42"/>
    <mergeCell ref="B43:D43"/>
    <mergeCell ref="E43:F43"/>
    <mergeCell ref="B44:D44"/>
    <mergeCell ref="E44:F44"/>
    <mergeCell ref="B45:D45"/>
    <mergeCell ref="E45:F45"/>
    <mergeCell ref="B46:D46"/>
    <mergeCell ref="B47:D47"/>
    <mergeCell ref="B48:D48"/>
    <mergeCell ref="B57:D57"/>
    <mergeCell ref="E57:F57"/>
    <mergeCell ref="A58:D58"/>
    <mergeCell ref="E58:F58"/>
    <mergeCell ref="B49:D49"/>
    <mergeCell ref="B50:D50"/>
    <mergeCell ref="E50:F50"/>
    <mergeCell ref="B51:D51"/>
    <mergeCell ref="E51:F51"/>
    <mergeCell ref="A67:J67"/>
    <mergeCell ref="A1:C5"/>
    <mergeCell ref="C9:F10"/>
    <mergeCell ref="D3:I4"/>
    <mergeCell ref="A62:J62"/>
    <mergeCell ref="A63:J63"/>
    <mergeCell ref="A64:J64"/>
    <mergeCell ref="A65:J65"/>
    <mergeCell ref="A66:J66"/>
    <mergeCell ref="B59:D59"/>
    <mergeCell ref="E59:F59"/>
    <mergeCell ref="B60:D60"/>
    <mergeCell ref="E60:F60"/>
    <mergeCell ref="A61:J61"/>
    <mergeCell ref="B56:D56"/>
    <mergeCell ref="E56:F56"/>
  </mergeCells>
  <phoneticPr fontId="107" type="noConversion"/>
  <pageMargins left="0.7" right="0.7" top="0.75" bottom="0.7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0" r:id="rId4" name="Drop Down 2">
              <controlPr locked="0" defaultSize="0" autoPict="0">
                <anchor moveWithCells="1">
                  <from>
                    <xdr:col>13</xdr:col>
                    <xdr:colOff>342900</xdr:colOff>
                    <xdr:row>2</xdr:row>
                    <xdr:rowOff>161925</xdr:rowOff>
                  </from>
                  <to>
                    <xdr:col>14</xdr:col>
                    <xdr:colOff>371475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Button 3">
              <controlPr defaultSize="0" print="0" autoPict="0" macro="[0]!打印全部">
                <anchor moveWithCells="1" sizeWithCells="1">
                  <from>
                    <xdr:col>13</xdr:col>
                    <xdr:colOff>295275</xdr:colOff>
                    <xdr:row>6</xdr:row>
                    <xdr:rowOff>114300</xdr:rowOff>
                  </from>
                  <to>
                    <xdr:col>15</xdr:col>
                    <xdr:colOff>371475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Button 4">
              <controlPr defaultSize="0" print="0" autoPict="0" macro="[0]!打印当前页">
                <anchor moveWithCells="1" sizeWithCells="1">
                  <from>
                    <xdr:col>13</xdr:col>
                    <xdr:colOff>295275</xdr:colOff>
                    <xdr:row>8</xdr:row>
                    <xdr:rowOff>47625</xdr:rowOff>
                  </from>
                  <to>
                    <xdr:col>15</xdr:col>
                    <xdr:colOff>371475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N46"/>
  <sheetViews>
    <sheetView topLeftCell="A7" workbookViewId="0">
      <selection activeCell="C16" sqref="C16"/>
    </sheetView>
  </sheetViews>
  <sheetFormatPr defaultColWidth="9" defaultRowHeight="14.25"/>
  <cols>
    <col min="1" max="1" width="12.625" customWidth="1"/>
    <col min="8" max="8" width="15.5" customWidth="1"/>
  </cols>
  <sheetData>
    <row r="1" spans="1:40" ht="25.5" customHeight="1">
      <c r="A1" s="43" t="s">
        <v>1285</v>
      </c>
      <c r="B1" s="577" t="str">
        <f>神通数据源!C1</f>
        <v>重庆赛迪热工环保工程技术有限公司</v>
      </c>
      <c r="C1" s="577"/>
      <c r="D1" s="577"/>
      <c r="E1" s="577"/>
      <c r="F1" s="577"/>
      <c r="G1" s="577"/>
      <c r="H1" s="577"/>
      <c r="AN1">
        <f>COUNT(神通数据源!A:A)</f>
        <v>1</v>
      </c>
    </row>
    <row r="2" spans="1:40" ht="25.5" customHeight="1">
      <c r="A2" s="43" t="s">
        <v>1286</v>
      </c>
      <c r="B2" s="577" t="str">
        <f>神通数据源!C2</f>
        <v>福建三宝加热炉项目</v>
      </c>
      <c r="C2" s="577"/>
      <c r="D2" s="577"/>
      <c r="E2" s="577"/>
      <c r="F2" s="577"/>
      <c r="G2" s="577"/>
      <c r="H2" s="577"/>
      <c r="T2">
        <v>8</v>
      </c>
    </row>
    <row r="3" spans="1:40" ht="25.5" customHeight="1">
      <c r="A3" s="43" t="s">
        <v>1743</v>
      </c>
      <c r="B3" s="578" t="e">
        <f>IF(IF(VLOOKUP($T$2,area,7,0)="","",VLOOKUP($T$2,area,7,0))="","",IF(VLOOKUP($T$2,area,7,0)="","",VLOOKUP($T$2,area,7,0)))</f>
        <v>#N/A</v>
      </c>
      <c r="C3" s="579"/>
      <c r="D3" s="580"/>
      <c r="E3" s="34" t="s">
        <v>1143</v>
      </c>
      <c r="F3" s="581" t="e">
        <f>IF(VLOOKUP($T$2,area,2,0)="","",VLOOKUP($T$2,area,2,0))</f>
        <v>#N/A</v>
      </c>
      <c r="G3" s="582"/>
      <c r="H3" s="583"/>
    </row>
    <row r="4" spans="1:40" ht="25.5" customHeight="1">
      <c r="A4" s="584" t="e">
        <f>IF(VLOOKUP($T$2,area,14,0)="","",VLOOKUP($T$2,area,14,0))&amp;"流速计算书"</f>
        <v>#N/A</v>
      </c>
      <c r="B4" s="585"/>
      <c r="C4" s="585"/>
      <c r="D4" s="585"/>
      <c r="E4" s="585"/>
      <c r="F4" s="585"/>
      <c r="G4" s="585"/>
      <c r="H4" s="586"/>
    </row>
    <row r="5" spans="1:40">
      <c r="A5" s="44"/>
      <c r="H5" s="45"/>
    </row>
    <row r="6" spans="1:40">
      <c r="A6" s="576" t="s">
        <v>1744</v>
      </c>
      <c r="B6" s="46" t="e">
        <f>A4</f>
        <v>#N/A</v>
      </c>
      <c r="C6" s="46"/>
      <c r="H6" s="45"/>
    </row>
    <row r="7" spans="1:40">
      <c r="A7" s="576"/>
      <c r="H7" s="45"/>
    </row>
    <row r="8" spans="1:40">
      <c r="A8" s="44"/>
      <c r="H8" s="45"/>
    </row>
    <row r="9" spans="1:40">
      <c r="A9" s="44"/>
      <c r="H9" s="45"/>
    </row>
    <row r="10" spans="1:40">
      <c r="A10" s="44"/>
      <c r="H10" s="45"/>
    </row>
    <row r="11" spans="1:40">
      <c r="A11" s="44"/>
      <c r="H11" s="45"/>
    </row>
    <row r="12" spans="1:40">
      <c r="A12" s="47" t="s">
        <v>1745</v>
      </c>
      <c r="H12" s="45"/>
    </row>
    <row r="13" spans="1:40">
      <c r="A13" s="48" t="s">
        <v>1746</v>
      </c>
      <c r="B13" s="49" t="s">
        <v>1747</v>
      </c>
      <c r="C13" s="50" t="e">
        <f>IF(VLOOKUP($T$2,area,15,0)="","",VLOOKUP($T$2,area,15,0))</f>
        <v>#N/A</v>
      </c>
      <c r="D13" t="e">
        <f>IF(VLOOKUP($T$2,area,20,0)="","",VLOOKUP($T$2,area,20,0))</f>
        <v>#N/A</v>
      </c>
      <c r="H13" s="45"/>
    </row>
    <row r="14" spans="1:40">
      <c r="A14" s="48"/>
      <c r="B14" s="49" t="s">
        <v>1157</v>
      </c>
      <c r="C14" s="50" t="e">
        <f>IF(VLOOKUP($T$2,area,38,0)="","",VLOOKUP($T$2,area,38,0))</f>
        <v>#N/A</v>
      </c>
      <c r="D14" t="e">
        <f>IF(VLOOKUP($T$2,area,43,0)="","",VLOOKUP($T$2,area,43,0))</f>
        <v>#N/A</v>
      </c>
      <c r="H14" s="45"/>
    </row>
    <row r="15" spans="1:40">
      <c r="A15" s="48"/>
      <c r="B15" s="49" t="s">
        <v>1748</v>
      </c>
      <c r="C15" s="50" t="e">
        <f>IF(C13="","",IF(VLOOKUP($T$2,area,5,0)="","",VLOOKUP($T$2,area,5,0)))</f>
        <v>#N/A</v>
      </c>
      <c r="D15" s="51"/>
      <c r="H15" s="45"/>
    </row>
    <row r="16" spans="1:40">
      <c r="A16" s="48"/>
      <c r="B16" s="52" t="s">
        <v>1749</v>
      </c>
      <c r="C16" s="50" t="e">
        <f>IF(VLOOKUP($T$2,area,62,0)="","",VLOOKUP($T$2,area,62,0))</f>
        <v>#N/A</v>
      </c>
      <c r="D16" s="51" t="e">
        <f>IF($A$4="Liquid   液体流速计算书","m/s","Mach")</f>
        <v>#N/A</v>
      </c>
      <c r="H16" s="45"/>
    </row>
    <row r="17" spans="1:8">
      <c r="A17" s="48"/>
      <c r="C17" s="53"/>
      <c r="H17" s="45"/>
    </row>
    <row r="18" spans="1:8">
      <c r="A18" s="48" t="s">
        <v>1750</v>
      </c>
      <c r="B18" s="49" t="s">
        <v>1747</v>
      </c>
      <c r="C18" s="50" t="e">
        <f>IF(VLOOKUP($T$2,area,16,0)="","",VLOOKUP($T$2,area,16,0))</f>
        <v>#N/A</v>
      </c>
      <c r="D18" t="e">
        <f>IF(VLOOKUP($T$2,area,20,0)="","",VLOOKUP($T$2,area,20,0))</f>
        <v>#N/A</v>
      </c>
      <c r="H18" s="45"/>
    </row>
    <row r="19" spans="1:8">
      <c r="A19" s="48"/>
      <c r="B19" s="49" t="s">
        <v>1157</v>
      </c>
      <c r="C19" s="50" t="e">
        <f>IF(VLOOKUP($T$2,area,39,0)="","",VLOOKUP($T$2,area,39,0))</f>
        <v>#N/A</v>
      </c>
      <c r="D19" t="e">
        <f>IF(VLOOKUP($T$2,area,43,0)="","",VLOOKUP($T$2,area,43,0))</f>
        <v>#N/A</v>
      </c>
      <c r="H19" s="45"/>
    </row>
    <row r="20" spans="1:8">
      <c r="A20" s="48"/>
      <c r="B20" s="49" t="s">
        <v>1748</v>
      </c>
      <c r="C20" s="50" t="e">
        <f>IF(C18="","",IF(VLOOKUP($T$2,area,5,0)="","",VLOOKUP($T$2,area,5,0)))</f>
        <v>#N/A</v>
      </c>
      <c r="D20" s="51"/>
      <c r="H20" s="45"/>
    </row>
    <row r="21" spans="1:8">
      <c r="A21" s="48"/>
      <c r="B21" s="52" t="s">
        <v>1749</v>
      </c>
      <c r="C21" s="50" t="e">
        <f>IF(VLOOKUP($T$2,area,63,0)="","",VLOOKUP($T$2,area,63,0))</f>
        <v>#N/A</v>
      </c>
      <c r="D21" s="51" t="e">
        <f>IF($A$4="Liquid   液体流速计算书","m/s","Mach")</f>
        <v>#N/A</v>
      </c>
      <c r="H21" s="45"/>
    </row>
    <row r="22" spans="1:8">
      <c r="A22" s="44"/>
      <c r="C22" s="53"/>
      <c r="H22" s="45"/>
    </row>
    <row r="23" spans="1:8">
      <c r="A23" s="48" t="s">
        <v>1751</v>
      </c>
      <c r="B23" s="49" t="s">
        <v>1747</v>
      </c>
      <c r="C23" s="50" t="e">
        <f>IF(VLOOKUP($T$2,area,17,0)="","",VLOOKUP($T$2,area,17,0))</f>
        <v>#N/A</v>
      </c>
      <c r="D23" t="e">
        <f>IF(VLOOKUP($T$2,area,20,0)="","",VLOOKUP($T$2,area,20,0))</f>
        <v>#N/A</v>
      </c>
      <c r="H23" s="45"/>
    </row>
    <row r="24" spans="1:8">
      <c r="A24" s="48"/>
      <c r="B24" s="49" t="s">
        <v>1157</v>
      </c>
      <c r="C24" s="50" t="e">
        <f>IF(VLOOKUP($T$2,area,40,0)="","",VLOOKUP($T$2,area,40,0))</f>
        <v>#N/A</v>
      </c>
      <c r="D24" t="e">
        <f>IF(VLOOKUP($T$2,area,43,0)="","",VLOOKUP($T$2,area,43,0))</f>
        <v>#N/A</v>
      </c>
      <c r="H24" s="45"/>
    </row>
    <row r="25" spans="1:8">
      <c r="A25" s="48"/>
      <c r="B25" s="49" t="s">
        <v>1748</v>
      </c>
      <c r="C25" s="50" t="e">
        <f>IF(C23="","",IF(VLOOKUP($T$2,area,5,0)="","",VLOOKUP($T$2,area,5,0)))</f>
        <v>#N/A</v>
      </c>
      <c r="D25" s="51"/>
      <c r="H25" s="45"/>
    </row>
    <row r="26" spans="1:8">
      <c r="A26" s="48"/>
      <c r="B26" s="52" t="s">
        <v>1749</v>
      </c>
      <c r="C26" s="50" t="e">
        <f>IF(VLOOKUP($T$2,area,64,0)="","",VLOOKUP($T$2,area,64,0))</f>
        <v>#N/A</v>
      </c>
      <c r="D26" s="51" t="e">
        <f>IF($A$4="Liquid   液体流速计算书","m/s","Mach")</f>
        <v>#N/A</v>
      </c>
      <c r="H26" s="45"/>
    </row>
    <row r="27" spans="1:8">
      <c r="A27" s="44"/>
      <c r="C27" s="53"/>
      <c r="H27" s="45"/>
    </row>
    <row r="28" spans="1:8">
      <c r="A28" s="48" t="s">
        <v>1752</v>
      </c>
      <c r="B28" s="49" t="s">
        <v>1747</v>
      </c>
      <c r="C28" s="50" t="e">
        <f>IF(VLOOKUP($T$2,area,18,0)="","",VLOOKUP($T$2,area,18,0))</f>
        <v>#N/A</v>
      </c>
      <c r="D28" t="e">
        <f>IF(VLOOKUP($T$2,area,20,0)="","",VLOOKUP($T$2,area,20,0))</f>
        <v>#N/A</v>
      </c>
      <c r="H28" s="45"/>
    </row>
    <row r="29" spans="1:8">
      <c r="A29" s="48"/>
      <c r="B29" s="49" t="s">
        <v>1157</v>
      </c>
      <c r="C29" s="50" t="e">
        <f>IF(VLOOKUP($T$2,area,41,0)="","",VLOOKUP($T$2,area,41,0))</f>
        <v>#N/A</v>
      </c>
      <c r="D29" t="e">
        <f>IF(VLOOKUP($T$2,area,43,0)="","",VLOOKUP($T$2,area,43,0))</f>
        <v>#N/A</v>
      </c>
      <c r="H29" s="45"/>
    </row>
    <row r="30" spans="1:8">
      <c r="A30" s="48"/>
      <c r="B30" s="49" t="s">
        <v>1748</v>
      </c>
      <c r="C30" s="50" t="e">
        <f>IF(C28="","",IF(VLOOKUP($T$2,area,5,0)="","",VLOOKUP($T$2,area,5,0)))</f>
        <v>#N/A</v>
      </c>
      <c r="D30" s="51"/>
      <c r="H30" s="45"/>
    </row>
    <row r="31" spans="1:8">
      <c r="A31" s="48"/>
      <c r="B31" s="52" t="s">
        <v>1749</v>
      </c>
      <c r="C31" s="50" t="e">
        <f>IF(VLOOKUP($T$2,area,65,0)="","",VLOOKUP($T$2,area,65,0))</f>
        <v>#N/A</v>
      </c>
      <c r="D31" s="51" t="e">
        <f>IF($A$4="Liquid   液体流速计算书","m/s","Mach")</f>
        <v>#N/A</v>
      </c>
      <c r="H31" s="45"/>
    </row>
    <row r="32" spans="1:8">
      <c r="A32" s="44"/>
      <c r="C32" s="53"/>
      <c r="H32" s="45"/>
    </row>
    <row r="33" spans="1:8">
      <c r="A33" s="48" t="s">
        <v>1753</v>
      </c>
      <c r="B33" s="49" t="s">
        <v>1747</v>
      </c>
      <c r="C33" s="50" t="e">
        <f>IF(VLOOKUP($T$2,area,19,0)="","",VLOOKUP($T$2,area,19,0))</f>
        <v>#N/A</v>
      </c>
      <c r="D33" t="e">
        <f>IF(VLOOKUP($T$2,area,20,0)="","",VLOOKUP($T$2,area,20,0))</f>
        <v>#N/A</v>
      </c>
      <c r="H33" s="45"/>
    </row>
    <row r="34" spans="1:8">
      <c r="A34" s="48"/>
      <c r="B34" s="49" t="s">
        <v>1157</v>
      </c>
      <c r="C34" s="50" t="e">
        <f>IF(VLOOKUP($T$2,area,42,0)="","",VLOOKUP($T$2,area,42,0))</f>
        <v>#N/A</v>
      </c>
      <c r="D34" t="e">
        <f>IF(VLOOKUP($T$2,area,43,0)="","",VLOOKUP($T$2,area,43,0))</f>
        <v>#N/A</v>
      </c>
      <c r="H34" s="45"/>
    </row>
    <row r="35" spans="1:8">
      <c r="A35" s="48"/>
      <c r="B35" s="49" t="s">
        <v>1748</v>
      </c>
      <c r="C35" s="50" t="e">
        <f>IF(C33="","",IF(VLOOKUP($T$2,area,5,0)="","",VLOOKUP($T$2,area,5,0)))</f>
        <v>#N/A</v>
      </c>
      <c r="D35" s="51"/>
      <c r="H35" s="45"/>
    </row>
    <row r="36" spans="1:8">
      <c r="A36" s="48"/>
      <c r="B36" s="52" t="s">
        <v>1749</v>
      </c>
      <c r="C36" s="50" t="e">
        <f>IF(VLOOKUP($T$2,area,66,0)="","",VLOOKUP($T$2,area,66,0))</f>
        <v>#N/A</v>
      </c>
      <c r="D36" s="51" t="e">
        <f>IF($A$4="Liquid   液体流速计算书","m/s","Mach")</f>
        <v>#N/A</v>
      </c>
      <c r="H36" s="45"/>
    </row>
    <row r="37" spans="1:8">
      <c r="A37" s="44"/>
      <c r="H37" s="45"/>
    </row>
    <row r="38" spans="1:8">
      <c r="A38" s="44"/>
      <c r="H38" s="45"/>
    </row>
    <row r="39" spans="1:8">
      <c r="A39" s="44"/>
      <c r="H39" s="45"/>
    </row>
    <row r="40" spans="1:8">
      <c r="A40" s="44"/>
      <c r="H40" s="45"/>
    </row>
    <row r="41" spans="1:8">
      <c r="A41" s="44"/>
      <c r="H41" s="45"/>
    </row>
    <row r="42" spans="1:8">
      <c r="A42" s="44"/>
      <c r="H42" s="45"/>
    </row>
    <row r="43" spans="1:8">
      <c r="A43" s="44"/>
      <c r="H43" s="45"/>
    </row>
    <row r="44" spans="1:8">
      <c r="A44" s="44"/>
      <c r="H44" s="45"/>
    </row>
    <row r="45" spans="1:8">
      <c r="A45" s="44"/>
      <c r="H45" s="45"/>
    </row>
    <row r="46" spans="1:8">
      <c r="A46" s="54"/>
      <c r="B46" s="55"/>
      <c r="C46" s="55"/>
      <c r="D46" s="55"/>
      <c r="E46" s="55"/>
      <c r="F46" s="55"/>
      <c r="G46" s="55"/>
      <c r="H46" s="56"/>
    </row>
  </sheetData>
  <mergeCells count="6">
    <mergeCell ref="A6:A7"/>
    <mergeCell ref="B1:H1"/>
    <mergeCell ref="B2:H2"/>
    <mergeCell ref="B3:D3"/>
    <mergeCell ref="F3:H3"/>
    <mergeCell ref="A4:H4"/>
  </mergeCells>
  <phoneticPr fontId="10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4" r:id="rId4" name="Drop Down 2">
              <controlPr locked="0" defaultSize="0" autoPict="0">
                <anchor moveWithCells="1">
                  <from>
                    <xdr:col>9</xdr:col>
                    <xdr:colOff>390525</xdr:colOff>
                    <xdr:row>0</xdr:row>
                    <xdr:rowOff>304800</xdr:rowOff>
                  </from>
                  <to>
                    <xdr:col>10</xdr:col>
                    <xdr:colOff>419100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Button 3">
              <controlPr defaultSize="0" print="0" autoPict="0" macro="[0]!Autoaddpic">
                <anchor moveWithCells="1" sizeWithCells="1">
                  <from>
                    <xdr:col>9</xdr:col>
                    <xdr:colOff>314325</xdr:colOff>
                    <xdr:row>2</xdr:row>
                    <xdr:rowOff>314325</xdr:rowOff>
                  </from>
                  <to>
                    <xdr:col>10</xdr:col>
                    <xdr:colOff>552450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Y17"/>
  <sheetViews>
    <sheetView workbookViewId="0">
      <selection activeCell="K13" sqref="K13"/>
    </sheetView>
  </sheetViews>
  <sheetFormatPr defaultColWidth="9" defaultRowHeight="14.25"/>
  <cols>
    <col min="1" max="3" width="9" style="3"/>
    <col min="4" max="4" width="22.75" style="3" customWidth="1"/>
    <col min="5" max="5" width="9.5" style="3" customWidth="1"/>
    <col min="6" max="6" width="15" style="3" customWidth="1"/>
    <col min="7" max="7" width="11.625" style="3" customWidth="1"/>
    <col min="8" max="8" width="9.5" style="3" customWidth="1"/>
    <col min="9" max="9" width="13.875" style="3" customWidth="1"/>
    <col min="10" max="11" width="12.75" style="3" customWidth="1"/>
    <col min="12" max="14" width="11.625" style="3" customWidth="1"/>
    <col min="15" max="18" width="9" style="3"/>
    <col min="19" max="19" width="11.625" style="3" customWidth="1"/>
    <col min="20" max="16384" width="9" style="3"/>
  </cols>
  <sheetData>
    <row r="1" spans="1:25" ht="48.75" customHeight="1">
      <c r="A1" s="587" t="s">
        <v>1754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9"/>
    </row>
    <row r="2" spans="1:25">
      <c r="A2" s="4" t="s">
        <v>1755</v>
      </c>
      <c r="B2" s="5"/>
      <c r="C2" s="5"/>
      <c r="D2" s="6"/>
      <c r="Y2" s="30"/>
    </row>
    <row r="3" spans="1:25" s="1" customFormat="1" ht="42.75">
      <c r="A3" s="7" t="s">
        <v>1142</v>
      </c>
      <c r="B3" s="7" t="s">
        <v>1668</v>
      </c>
      <c r="C3" s="7" t="s">
        <v>1680</v>
      </c>
      <c r="D3" s="7" t="s">
        <v>1756</v>
      </c>
      <c r="E3" s="7" t="s">
        <v>1757</v>
      </c>
      <c r="F3" s="7" t="s">
        <v>1143</v>
      </c>
      <c r="G3" s="7" t="s">
        <v>1758</v>
      </c>
      <c r="H3" s="7" t="s">
        <v>1759</v>
      </c>
      <c r="I3" s="8" t="s">
        <v>1760</v>
      </c>
      <c r="J3" s="8" t="s">
        <v>1761</v>
      </c>
      <c r="K3" s="8" t="s">
        <v>1762</v>
      </c>
      <c r="L3" s="7" t="s">
        <v>1763</v>
      </c>
      <c r="M3" s="7" t="s">
        <v>1764</v>
      </c>
      <c r="N3" s="7" t="s">
        <v>1765</v>
      </c>
      <c r="O3" s="7" t="s">
        <v>1766</v>
      </c>
      <c r="P3" s="7" t="s">
        <v>1767</v>
      </c>
      <c r="Q3" s="7" t="s">
        <v>1469</v>
      </c>
      <c r="R3" s="7" t="s">
        <v>1768</v>
      </c>
      <c r="S3" s="7" t="s">
        <v>1671</v>
      </c>
      <c r="T3" s="8" t="s">
        <v>1488</v>
      </c>
      <c r="U3" s="7" t="s">
        <v>1149</v>
      </c>
      <c r="V3" s="8" t="s">
        <v>1769</v>
      </c>
      <c r="W3" s="8" t="s">
        <v>1770</v>
      </c>
      <c r="X3" s="8" t="s">
        <v>1771</v>
      </c>
      <c r="Y3" s="8" t="s">
        <v>1377</v>
      </c>
    </row>
    <row r="4" spans="1:25">
      <c r="A4" s="29">
        <f>神通数据源!A11</f>
        <v>1</v>
      </c>
      <c r="B4" s="35" t="str">
        <f>神通数据源!E11</f>
        <v>2"</v>
      </c>
      <c r="C4" s="29" t="str">
        <f>神通数据源!CW11</f>
        <v>2"</v>
      </c>
      <c r="D4" s="29" t="str">
        <f>神通数据源!BZ11</f>
        <v>多孔式套筒导向型单座调节阀</v>
      </c>
      <c r="E4" s="29" t="str">
        <f>神通数据源!CA11</f>
        <v>ST301C</v>
      </c>
      <c r="F4" s="36" t="str">
        <f>神通数据源!B11</f>
        <v>10-PV-131061</v>
      </c>
      <c r="G4" s="29" t="str">
        <f>神通数据源!CL11</f>
        <v>标准型</v>
      </c>
      <c r="H4" s="35">
        <f>神通数据源!BD11</f>
        <v>100</v>
      </c>
      <c r="I4" s="29"/>
      <c r="J4" s="35">
        <f>神通数据源!BB11</f>
        <v>3620</v>
      </c>
      <c r="K4" s="29"/>
      <c r="L4" s="35" t="str">
        <f>神通数据源!CB11</f>
        <v>ANSI B16.5</v>
      </c>
      <c r="M4" s="39" t="str">
        <f>神通数据源!CC11</f>
        <v>CL300</v>
      </c>
      <c r="N4" s="29" t="str">
        <f>神通数据源!CF11</f>
        <v>RF</v>
      </c>
      <c r="O4" s="29" t="str">
        <f>神通数据源!CH11</f>
        <v>WCB</v>
      </c>
      <c r="P4" s="29" t="str">
        <f>神通数据源!CV11</f>
        <v>410/热处理</v>
      </c>
      <c r="Q4" s="29" t="str">
        <f>神通数据源!CX11</f>
        <v>410/热处理</v>
      </c>
      <c r="R4" s="29">
        <f>神通数据源!DB11</f>
        <v>316</v>
      </c>
      <c r="S4" s="29" t="str">
        <f>神通数据源!CN11</f>
        <v>PTFE</v>
      </c>
      <c r="T4" s="29"/>
      <c r="U4" s="41">
        <f>神通数据源!H11</f>
        <v>1</v>
      </c>
      <c r="V4" s="29"/>
      <c r="W4" s="29"/>
      <c r="X4" s="29"/>
      <c r="Y4" s="29"/>
    </row>
    <row r="5" spans="1:25">
      <c r="A5" s="29" t="e">
        <f>神通数据源!#REF!</f>
        <v>#REF!</v>
      </c>
      <c r="B5" s="35" t="e">
        <f>神通数据源!#REF!</f>
        <v>#REF!</v>
      </c>
      <c r="C5" s="29" t="e">
        <f>神通数据源!#REF!</f>
        <v>#REF!</v>
      </c>
      <c r="D5" s="29" t="e">
        <f>神通数据源!#REF!</f>
        <v>#REF!</v>
      </c>
      <c r="E5" s="29" t="e">
        <f>神通数据源!#REF!</f>
        <v>#REF!</v>
      </c>
      <c r="F5" s="36" t="e">
        <f>神通数据源!#REF!</f>
        <v>#REF!</v>
      </c>
      <c r="G5" s="29" t="e">
        <f>神通数据源!#REF!</f>
        <v>#REF!</v>
      </c>
      <c r="H5" s="35" t="e">
        <f>神通数据源!#REF!</f>
        <v>#REF!</v>
      </c>
      <c r="I5" s="29"/>
      <c r="J5" s="35" t="e">
        <f>神通数据源!#REF!</f>
        <v>#REF!</v>
      </c>
      <c r="K5" s="29"/>
      <c r="L5" s="35" t="e">
        <f>神通数据源!#REF!</f>
        <v>#REF!</v>
      </c>
      <c r="M5" s="39" t="e">
        <f>神通数据源!#REF!</f>
        <v>#REF!</v>
      </c>
      <c r="N5" s="29" t="e">
        <f>神通数据源!#REF!</f>
        <v>#REF!</v>
      </c>
      <c r="O5" s="29" t="e">
        <f>神通数据源!#REF!</f>
        <v>#REF!</v>
      </c>
      <c r="P5" s="29" t="e">
        <f>神通数据源!#REF!</f>
        <v>#REF!</v>
      </c>
      <c r="Q5" s="29" t="e">
        <f>神通数据源!#REF!</f>
        <v>#REF!</v>
      </c>
      <c r="R5" s="29" t="e">
        <f>神通数据源!#REF!</f>
        <v>#REF!</v>
      </c>
      <c r="S5" s="29" t="e">
        <f>神通数据源!#REF!</f>
        <v>#REF!</v>
      </c>
      <c r="T5" s="29"/>
      <c r="U5" s="41" t="e">
        <f>神通数据源!#REF!</f>
        <v>#REF!</v>
      </c>
      <c r="V5" s="29"/>
      <c r="W5" s="29"/>
      <c r="X5" s="29"/>
      <c r="Y5" s="29"/>
    </row>
    <row r="6" spans="1:25">
      <c r="A6" s="29" t="e">
        <f>神通数据源!#REF!</f>
        <v>#REF!</v>
      </c>
      <c r="B6" s="35" t="e">
        <f>神通数据源!#REF!</f>
        <v>#REF!</v>
      </c>
      <c r="C6" s="29" t="e">
        <f>神通数据源!#REF!</f>
        <v>#REF!</v>
      </c>
      <c r="D6" s="29" t="e">
        <f>神通数据源!#REF!</f>
        <v>#REF!</v>
      </c>
      <c r="E6" s="29" t="e">
        <f>神通数据源!#REF!</f>
        <v>#REF!</v>
      </c>
      <c r="F6" s="36" t="e">
        <f>神通数据源!#REF!</f>
        <v>#REF!</v>
      </c>
      <c r="G6" s="29" t="e">
        <f>神通数据源!#REF!</f>
        <v>#REF!</v>
      </c>
      <c r="H6" s="35" t="e">
        <f>神通数据源!#REF!</f>
        <v>#REF!</v>
      </c>
      <c r="I6" s="29"/>
      <c r="J6" s="35" t="e">
        <f>神通数据源!#REF!</f>
        <v>#REF!</v>
      </c>
      <c r="K6" s="29"/>
      <c r="L6" s="35" t="e">
        <f>神通数据源!#REF!</f>
        <v>#REF!</v>
      </c>
      <c r="M6" s="39" t="e">
        <f>神通数据源!#REF!</f>
        <v>#REF!</v>
      </c>
      <c r="N6" s="29" t="e">
        <f>神通数据源!#REF!</f>
        <v>#REF!</v>
      </c>
      <c r="O6" s="29" t="e">
        <f>神通数据源!#REF!</f>
        <v>#REF!</v>
      </c>
      <c r="P6" s="29" t="e">
        <f>神通数据源!#REF!</f>
        <v>#REF!</v>
      </c>
      <c r="Q6" s="29" t="e">
        <f>神通数据源!#REF!</f>
        <v>#REF!</v>
      </c>
      <c r="R6" s="29" t="e">
        <f>神通数据源!#REF!</f>
        <v>#REF!</v>
      </c>
      <c r="S6" s="29" t="e">
        <f>神通数据源!#REF!</f>
        <v>#REF!</v>
      </c>
      <c r="T6" s="29"/>
      <c r="U6" s="41" t="e">
        <f>神通数据源!#REF!</f>
        <v>#REF!</v>
      </c>
      <c r="V6" s="29"/>
      <c r="W6" s="29"/>
      <c r="X6" s="29"/>
      <c r="Y6" s="29"/>
    </row>
    <row r="7" spans="1:25">
      <c r="A7" s="16"/>
      <c r="B7" s="37"/>
      <c r="F7" s="38"/>
      <c r="H7" s="37"/>
      <c r="J7" s="37"/>
      <c r="L7" s="37"/>
      <c r="M7" s="40"/>
      <c r="U7" s="42"/>
      <c r="Y7" s="30"/>
    </row>
    <row r="8" spans="1:25">
      <c r="A8" s="16"/>
      <c r="B8" s="37"/>
      <c r="F8" s="38"/>
      <c r="H8" s="37"/>
      <c r="J8" s="37"/>
      <c r="L8" s="37"/>
      <c r="M8" s="40"/>
      <c r="U8" s="42"/>
      <c r="Y8" s="30"/>
    </row>
    <row r="9" spans="1:25">
      <c r="A9" s="16"/>
      <c r="Y9" s="30"/>
    </row>
    <row r="10" spans="1:25">
      <c r="A10" s="16"/>
      <c r="Y10" s="30"/>
    </row>
    <row r="11" spans="1:25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32"/>
    </row>
    <row r="12" spans="1:25">
      <c r="A12" s="19" t="s">
        <v>1773</v>
      </c>
      <c r="B12" s="20" t="s">
        <v>1774</v>
      </c>
      <c r="Y12" s="30"/>
    </row>
    <row r="13" spans="1:25">
      <c r="A13" s="21" t="s">
        <v>1775</v>
      </c>
      <c r="B13" s="22" t="s">
        <v>1776</v>
      </c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33"/>
    </row>
    <row r="14" spans="1:25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6"/>
    </row>
    <row r="15" spans="1:25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32"/>
    </row>
    <row r="16" spans="1:25">
      <c r="A16" s="28" t="s">
        <v>1780</v>
      </c>
      <c r="B16" s="590"/>
      <c r="C16" s="590"/>
      <c r="Y16" s="30"/>
    </row>
    <row r="17" spans="1:25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33"/>
    </row>
  </sheetData>
  <mergeCells count="3">
    <mergeCell ref="A1:Y1"/>
    <mergeCell ref="B16:C16"/>
    <mergeCell ref="B17:C17"/>
  </mergeCells>
  <phoneticPr fontId="10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P17"/>
  <sheetViews>
    <sheetView workbookViewId="0">
      <selection activeCell="D8" sqref="D8"/>
    </sheetView>
  </sheetViews>
  <sheetFormatPr defaultColWidth="9" defaultRowHeight="14.25"/>
  <cols>
    <col min="1" max="1" width="9" style="3"/>
    <col min="2" max="2" width="23" style="3" customWidth="1"/>
    <col min="3" max="3" width="14.875" style="3" customWidth="1"/>
    <col min="4" max="4" width="22.75" style="3" customWidth="1"/>
    <col min="5" max="5" width="9.5" style="3" customWidth="1"/>
    <col min="6" max="6" width="8" style="3" customWidth="1"/>
    <col min="7" max="7" width="11.625" style="3" customWidth="1"/>
    <col min="8" max="8" width="9.5" style="3" customWidth="1"/>
    <col min="9" max="9" width="13.875" style="3" customWidth="1"/>
    <col min="10" max="10" width="12.75" style="3" customWidth="1"/>
    <col min="11" max="16384" width="9" style="3"/>
  </cols>
  <sheetData>
    <row r="1" spans="1:16" ht="48.75" customHeight="1">
      <c r="A1" s="587" t="s">
        <v>1782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9"/>
    </row>
    <row r="2" spans="1:16">
      <c r="A2" s="4" t="s">
        <v>1755</v>
      </c>
      <c r="B2" s="5"/>
      <c r="C2" s="5"/>
      <c r="D2" s="6"/>
      <c r="P2" s="30"/>
    </row>
    <row r="3" spans="1:16" s="1" customFormat="1" ht="28.5">
      <c r="A3" s="7" t="s">
        <v>1142</v>
      </c>
      <c r="B3" s="7" t="s">
        <v>1756</v>
      </c>
      <c r="C3" s="7" t="s">
        <v>1143</v>
      </c>
      <c r="D3" s="8" t="s">
        <v>1684</v>
      </c>
      <c r="E3" s="7" t="s">
        <v>1783</v>
      </c>
      <c r="F3" s="7" t="s">
        <v>1784</v>
      </c>
      <c r="G3" s="8" t="s">
        <v>1785</v>
      </c>
      <c r="H3" s="7" t="s">
        <v>1786</v>
      </c>
      <c r="I3" s="7" t="s">
        <v>1787</v>
      </c>
      <c r="J3" s="7" t="s">
        <v>1788</v>
      </c>
      <c r="K3" s="8" t="s">
        <v>1488</v>
      </c>
      <c r="L3" s="7" t="s">
        <v>1149</v>
      </c>
      <c r="M3" s="8" t="s">
        <v>1769</v>
      </c>
      <c r="N3" s="8" t="s">
        <v>1770</v>
      </c>
      <c r="O3" s="8" t="s">
        <v>1771</v>
      </c>
      <c r="P3" s="8" t="s">
        <v>1377</v>
      </c>
    </row>
    <row r="4" spans="1:16" s="2" customFormat="1">
      <c r="A4" s="9">
        <f>神通数据源!A11</f>
        <v>1</v>
      </c>
      <c r="B4" s="9" t="str">
        <f>神通数据源!BZ11</f>
        <v>多孔式套筒导向型单座调节阀</v>
      </c>
      <c r="C4" s="10" t="str">
        <f>神通数据源!B11</f>
        <v>10-PV-131061</v>
      </c>
      <c r="D4" s="9"/>
      <c r="E4" s="9">
        <f>神通数据源!CS11</f>
        <v>30</v>
      </c>
      <c r="F4" s="9" t="str">
        <f>神通数据源!CT11</f>
        <v>mm</v>
      </c>
      <c r="G4" s="9"/>
      <c r="H4" s="11" t="str">
        <f>神通数据源!DL11</f>
        <v>FC</v>
      </c>
      <c r="I4" s="9" t="str">
        <f>神通数据源!DT11</f>
        <v>N/A</v>
      </c>
      <c r="J4" s="11" t="str">
        <f>神通数据源!EI11&amp;神通数据源!EJ11</f>
        <v>300KPaG</v>
      </c>
      <c r="K4" s="9"/>
      <c r="L4" s="12">
        <f>神通数据源!H11</f>
        <v>1</v>
      </c>
      <c r="M4" s="9"/>
      <c r="N4" s="9"/>
      <c r="O4" s="9"/>
      <c r="P4" s="9"/>
    </row>
    <row r="5" spans="1:16" s="2" customFormat="1">
      <c r="A5" s="9" t="e">
        <f>神通数据源!#REF!</f>
        <v>#REF!</v>
      </c>
      <c r="B5" s="9" t="e">
        <f>神通数据源!#REF!</f>
        <v>#REF!</v>
      </c>
      <c r="C5" s="10" t="e">
        <f>神通数据源!#REF!</f>
        <v>#REF!</v>
      </c>
      <c r="D5" s="9"/>
      <c r="E5" s="9" t="e">
        <f>神通数据源!#REF!</f>
        <v>#REF!</v>
      </c>
      <c r="F5" s="9" t="e">
        <f>神通数据源!#REF!</f>
        <v>#REF!</v>
      </c>
      <c r="G5" s="9"/>
      <c r="H5" s="11" t="e">
        <f>神通数据源!#REF!</f>
        <v>#REF!</v>
      </c>
      <c r="I5" s="9" t="e">
        <f>神通数据源!#REF!</f>
        <v>#REF!</v>
      </c>
      <c r="J5" s="11" t="e">
        <f>神通数据源!#REF!&amp;神通数据源!#REF!</f>
        <v>#REF!</v>
      </c>
      <c r="K5" s="9"/>
      <c r="L5" s="12" t="e">
        <f>神通数据源!#REF!</f>
        <v>#REF!</v>
      </c>
      <c r="M5" s="9"/>
      <c r="N5" s="9"/>
      <c r="O5" s="9"/>
      <c r="P5" s="9"/>
    </row>
    <row r="6" spans="1:16" s="2" customFormat="1">
      <c r="A6" s="9" t="e">
        <f>神通数据源!#REF!</f>
        <v>#REF!</v>
      </c>
      <c r="B6" s="9" t="e">
        <f>神通数据源!#REF!</f>
        <v>#REF!</v>
      </c>
      <c r="C6" s="10" t="e">
        <f>神通数据源!#REF!</f>
        <v>#REF!</v>
      </c>
      <c r="D6" s="9"/>
      <c r="E6" s="9" t="e">
        <f>神通数据源!#REF!</f>
        <v>#REF!</v>
      </c>
      <c r="F6" s="9" t="e">
        <f>神通数据源!#REF!</f>
        <v>#REF!</v>
      </c>
      <c r="G6" s="9"/>
      <c r="H6" s="11" t="e">
        <f>神通数据源!#REF!</f>
        <v>#REF!</v>
      </c>
      <c r="I6" s="9" t="e">
        <f>神通数据源!#REF!</f>
        <v>#REF!</v>
      </c>
      <c r="J6" s="11" t="e">
        <f>神通数据源!#REF!&amp;神通数据源!#REF!</f>
        <v>#REF!</v>
      </c>
      <c r="K6" s="9"/>
      <c r="L6" s="12" t="e">
        <f>神通数据源!#REF!</f>
        <v>#REF!</v>
      </c>
      <c r="M6" s="9"/>
      <c r="N6" s="9"/>
      <c r="O6" s="9"/>
      <c r="P6" s="9"/>
    </row>
    <row r="7" spans="1:16" s="2" customFormat="1">
      <c r="A7" s="13"/>
      <c r="C7" s="10" t="e">
        <f>神通数据源!#REF!</f>
        <v>#REF!</v>
      </c>
      <c r="H7" s="14"/>
      <c r="J7" s="14"/>
      <c r="L7" s="15"/>
      <c r="P7" s="31"/>
    </row>
    <row r="8" spans="1:16" s="2" customFormat="1">
      <c r="A8" s="13"/>
      <c r="C8" s="10" t="e">
        <f>神通数据源!#REF!</f>
        <v>#REF!</v>
      </c>
      <c r="H8" s="14"/>
      <c r="J8" s="14"/>
      <c r="L8" s="15"/>
      <c r="P8" s="31"/>
    </row>
    <row r="9" spans="1:16">
      <c r="A9" s="16"/>
      <c r="P9" s="30"/>
    </row>
    <row r="10" spans="1:16">
      <c r="A10" s="16"/>
      <c r="P10" s="30"/>
    </row>
    <row r="11" spans="1:16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32"/>
    </row>
    <row r="12" spans="1:16">
      <c r="A12" s="19" t="s">
        <v>1773</v>
      </c>
      <c r="B12" s="20" t="s">
        <v>1789</v>
      </c>
      <c r="P12" s="30"/>
    </row>
    <row r="13" spans="1:16">
      <c r="A13" s="21" t="s">
        <v>1775</v>
      </c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3"/>
    </row>
    <row r="14" spans="1:16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6"/>
    </row>
    <row r="15" spans="1:16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32"/>
    </row>
    <row r="16" spans="1:16">
      <c r="A16" s="28" t="s">
        <v>1780</v>
      </c>
      <c r="B16" s="590"/>
      <c r="C16" s="590"/>
      <c r="P16" s="30"/>
    </row>
    <row r="17" spans="1:16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33"/>
    </row>
  </sheetData>
  <mergeCells count="3">
    <mergeCell ref="A1:P1"/>
    <mergeCell ref="B16:C16"/>
    <mergeCell ref="B17:C17"/>
  </mergeCells>
  <phoneticPr fontId="107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AJ16"/>
  <sheetViews>
    <sheetView workbookViewId="0">
      <selection activeCell="G22" sqref="G22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5.5" style="3" bestFit="1" customWidth="1"/>
    <col min="6" max="6" width="5.125" style="3" customWidth="1"/>
    <col min="7" max="7" width="9.5" style="3" customWidth="1"/>
    <col min="8" max="8" width="9.75" style="3" customWidth="1"/>
    <col min="9" max="9" width="12.25" style="3" customWidth="1"/>
    <col min="10" max="10" width="7.125" style="3" customWidth="1"/>
    <col min="11" max="12" width="7.375" style="3" customWidth="1"/>
    <col min="13" max="13" width="6.75" style="3" customWidth="1"/>
    <col min="14" max="14" width="7.5" style="3" customWidth="1"/>
    <col min="15" max="15" width="8.625" style="3" customWidth="1"/>
    <col min="16" max="16" width="6.125" style="3" customWidth="1"/>
    <col min="17" max="17" width="7.5" style="3" customWidth="1"/>
    <col min="18" max="18" width="6.375" style="3" customWidth="1"/>
    <col min="19" max="19" width="5.875" style="3" customWidth="1"/>
    <col min="20" max="20" width="7.5" style="3" customWidth="1"/>
    <col min="21" max="21" width="6.375" style="3" customWidth="1"/>
    <col min="22" max="22" width="6" style="3" customWidth="1"/>
    <col min="23" max="23" width="5.875" style="3" customWidth="1"/>
    <col min="24" max="24" width="7.125" style="3" customWidth="1"/>
    <col min="25" max="25" width="5.875" style="3" customWidth="1"/>
    <col min="26" max="26" width="6" style="3" customWidth="1"/>
    <col min="27" max="27" width="6.375" style="3" customWidth="1"/>
    <col min="28" max="28" width="7.5" style="3" customWidth="1"/>
    <col min="29" max="29" width="6.125" style="3" customWidth="1"/>
    <col min="30" max="32" width="9" style="3"/>
    <col min="33" max="33" width="0" style="3" hidden="1" customWidth="1"/>
    <col min="34" max="16384" width="9" style="3"/>
  </cols>
  <sheetData>
    <row r="1" spans="1:36" ht="48.75" customHeight="1">
      <c r="A1" s="587" t="s">
        <v>1790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8"/>
      <c r="S1" s="588"/>
      <c r="T1" s="588"/>
      <c r="U1" s="588"/>
      <c r="V1" s="588"/>
      <c r="W1" s="588"/>
      <c r="X1" s="588"/>
      <c r="Y1" s="588"/>
      <c r="Z1" s="588"/>
      <c r="AA1" s="588"/>
      <c r="AB1" s="588"/>
      <c r="AC1" s="588"/>
      <c r="AD1" s="588"/>
      <c r="AE1" s="588"/>
      <c r="AF1" s="588"/>
      <c r="AG1" s="588"/>
      <c r="AH1" s="588"/>
      <c r="AI1" s="588"/>
      <c r="AJ1" s="589"/>
    </row>
    <row r="2" spans="1:36">
      <c r="A2" s="4" t="s">
        <v>1755</v>
      </c>
      <c r="B2" s="5"/>
      <c r="C2" s="5"/>
      <c r="D2" s="6"/>
      <c r="AJ2" s="30"/>
    </row>
    <row r="3" spans="1:36" s="1" customFormat="1" ht="28.5">
      <c r="A3" s="7" t="s">
        <v>1142</v>
      </c>
      <c r="B3" s="7" t="s">
        <v>1756</v>
      </c>
      <c r="C3" s="7" t="s">
        <v>1143</v>
      </c>
      <c r="D3" s="8" t="s">
        <v>1684</v>
      </c>
      <c r="E3" s="7" t="s">
        <v>1889</v>
      </c>
      <c r="F3" s="7" t="s">
        <v>1784</v>
      </c>
      <c r="G3" s="8" t="s">
        <v>1785</v>
      </c>
      <c r="H3" s="7" t="s">
        <v>1791</v>
      </c>
      <c r="I3" s="8" t="s">
        <v>1264</v>
      </c>
      <c r="J3" s="7" t="s">
        <v>1266</v>
      </c>
      <c r="K3" s="7" t="s">
        <v>1267</v>
      </c>
      <c r="L3" s="7" t="s">
        <v>1888</v>
      </c>
      <c r="M3" s="7" t="s">
        <v>1211</v>
      </c>
      <c r="N3" s="7" t="s">
        <v>1792</v>
      </c>
      <c r="O3" s="7" t="s">
        <v>1271</v>
      </c>
      <c r="P3" s="7" t="s">
        <v>1238</v>
      </c>
      <c r="Q3" s="7" t="s">
        <v>1793</v>
      </c>
      <c r="R3" s="7" t="s">
        <v>1273</v>
      </c>
      <c r="S3" s="7" t="s">
        <v>1274</v>
      </c>
      <c r="T3" s="7" t="s">
        <v>1275</v>
      </c>
      <c r="U3" s="7" t="s">
        <v>1794</v>
      </c>
      <c r="V3" s="7" t="s">
        <v>1795</v>
      </c>
      <c r="W3" s="7" t="s">
        <v>1278</v>
      </c>
      <c r="X3" s="7" t="s">
        <v>1279</v>
      </c>
      <c r="Y3" s="7" t="s">
        <v>1280</v>
      </c>
      <c r="Z3" s="7" t="s">
        <v>1281</v>
      </c>
      <c r="AA3" s="7" t="s">
        <v>1282</v>
      </c>
      <c r="AB3" s="7" t="s">
        <v>1283</v>
      </c>
      <c r="AC3" s="7" t="s">
        <v>1786</v>
      </c>
      <c r="AD3" s="8" t="s">
        <v>1488</v>
      </c>
      <c r="AE3" s="7" t="s">
        <v>1149</v>
      </c>
      <c r="AF3" s="8" t="s">
        <v>1769</v>
      </c>
      <c r="AG3" s="8" t="s">
        <v>1770</v>
      </c>
      <c r="AH3" s="8" t="s">
        <v>1796</v>
      </c>
      <c r="AI3" s="8" t="s">
        <v>1771</v>
      </c>
      <c r="AJ3" s="8" t="s">
        <v>1377</v>
      </c>
    </row>
    <row r="4" spans="1:36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301"/>
      <c r="E4" s="9">
        <f>神通数据源!CS11</f>
        <v>30</v>
      </c>
      <c r="F4" s="9" t="str">
        <f>神通数据源!CT11</f>
        <v>mm</v>
      </c>
      <c r="G4" s="11" t="s">
        <v>1886</v>
      </c>
      <c r="H4" s="11" t="str">
        <f>IF(神通数据源!GP11="","",神通数据源!GP11)</f>
        <v>220V/50Hz</v>
      </c>
      <c r="I4" s="302" t="str">
        <f>IF(神通数据源!GQ11="","",神通数据源!GQ11)</f>
        <v/>
      </c>
      <c r="J4" s="11" t="str">
        <f>IF(神通数据源!GS11="","",神通数据源!GS11)</f>
        <v>1/2NPT</v>
      </c>
      <c r="K4" s="11" t="str">
        <f>IF(神通数据源!GT11="","",神通数据源!GT11)</f>
        <v>1/2NPT</v>
      </c>
      <c r="L4" s="11">
        <v>7069</v>
      </c>
      <c r="M4" s="11" t="str">
        <f>IF(神通数据源!GV11="","",神通数据源!GV11)</f>
        <v>N</v>
      </c>
      <c r="N4" s="11" t="s">
        <v>1887</v>
      </c>
      <c r="O4" s="34" t="str">
        <f>IF(神通数据源!GX11="","",神通数据源!GX11)</f>
        <v>——</v>
      </c>
      <c r="P4" s="11" t="str">
        <f>IF(神通数据源!GY11="","",神通数据源!GY11)</f>
        <v>IP65</v>
      </c>
      <c r="Q4" s="11" t="str">
        <f>IF(神通数据源!GZ11="","",神通数据源!GZ11)</f>
        <v>4~20mA</v>
      </c>
      <c r="R4" s="11" t="str">
        <f>IF(神通数据源!HA11="","",神通数据源!HA11)</f>
        <v>带</v>
      </c>
      <c r="S4" s="11" t="str">
        <f>IF(神通数据源!HB11="","",神通数据源!HB11)</f>
        <v>带</v>
      </c>
      <c r="T4" s="11" t="str">
        <f>IF(神通数据源!HC11="","",神通数据源!HC11)</f>
        <v>4~20mA</v>
      </c>
      <c r="U4" s="11" t="str">
        <f>IF(神通数据源!HD11="","",神通数据源!HD11)</f>
        <v>带</v>
      </c>
      <c r="V4" s="11" t="str">
        <f>IF(神通数据源!HE11="","",神通数据源!HE11)</f>
        <v>带</v>
      </c>
      <c r="W4" s="11" t="str">
        <f>IF(神通数据源!HF11="","",神通数据源!HF11)</f>
        <v>带</v>
      </c>
      <c r="X4" s="11" t="str">
        <f>IF(神通数据源!HG11="","",神通数据源!HG11)</f>
        <v>带</v>
      </c>
      <c r="Y4" s="11" t="str">
        <f>IF(神通数据源!HH11="","",神通数据源!HH11)</f>
        <v>带</v>
      </c>
      <c r="Z4" s="11" t="str">
        <f>IF(神通数据源!HI11="","",神通数据源!HI11)</f>
        <v>带</v>
      </c>
      <c r="AA4" s="11" t="str">
        <f>IF(神通数据源!HJ11="","",神通数据源!HJ11)</f>
        <v>带</v>
      </c>
      <c r="AB4" s="11" t="str">
        <f>IF(神通数据源!HK11="","",神通数据源!HK11)</f>
        <v>带</v>
      </c>
      <c r="AC4" s="11" t="str">
        <f>IF(神通数据源!HM11="","",神通数据源!HM11)</f>
        <v>FL</v>
      </c>
      <c r="AD4" s="11"/>
      <c r="AE4" s="12">
        <f>神通数据源!H11</f>
        <v>1</v>
      </c>
      <c r="AF4" s="9"/>
      <c r="AG4" s="9"/>
      <c r="AH4" s="9"/>
      <c r="AI4" s="9"/>
      <c r="AJ4" s="9"/>
    </row>
    <row r="5" spans="1:36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301"/>
      <c r="E5" s="9" t="e">
        <f>神通数据源!#REF!</f>
        <v>#REF!</v>
      </c>
      <c r="F5" s="9" t="e">
        <f>神通数据源!#REF!</f>
        <v>#REF!</v>
      </c>
      <c r="G5" s="11" t="s">
        <v>1886</v>
      </c>
      <c r="H5" s="11" t="e">
        <f>IF(神通数据源!#REF!="","",神通数据源!#REF!)</f>
        <v>#REF!</v>
      </c>
      <c r="I5" s="302" t="e">
        <f>IF(神通数据源!#REF!="","",神通数据源!#REF!)</f>
        <v>#REF!</v>
      </c>
      <c r="J5" s="11" t="e">
        <f>IF(神通数据源!#REF!="","",神通数据源!#REF!)</f>
        <v>#REF!</v>
      </c>
      <c r="K5" s="11" t="e">
        <f>IF(神通数据源!#REF!="","",神通数据源!#REF!)</f>
        <v>#REF!</v>
      </c>
      <c r="L5" s="11">
        <v>5069</v>
      </c>
      <c r="M5" s="11" t="e">
        <f>IF(神通数据源!#REF!="","",神通数据源!#REF!)</f>
        <v>#REF!</v>
      </c>
      <c r="N5" s="11" t="s">
        <v>1887</v>
      </c>
      <c r="O5" s="34" t="e">
        <f>IF(神通数据源!#REF!="","",神通数据源!#REF!)</f>
        <v>#REF!</v>
      </c>
      <c r="P5" s="11" t="e">
        <f>IF(神通数据源!#REF!="","",神通数据源!#REF!)</f>
        <v>#REF!</v>
      </c>
      <c r="Q5" s="11" t="e">
        <f>IF(神通数据源!#REF!="","",神通数据源!#REF!)</f>
        <v>#REF!</v>
      </c>
      <c r="R5" s="11" t="e">
        <f>IF(神通数据源!#REF!="","",神通数据源!#REF!)</f>
        <v>#REF!</v>
      </c>
      <c r="S5" s="11" t="e">
        <f>IF(神通数据源!#REF!="","",神通数据源!#REF!)</f>
        <v>#REF!</v>
      </c>
      <c r="T5" s="11" t="e">
        <f>IF(神通数据源!#REF!="","",神通数据源!#REF!)</f>
        <v>#REF!</v>
      </c>
      <c r="U5" s="11" t="e">
        <f>IF(神通数据源!#REF!="","",神通数据源!#REF!)</f>
        <v>#REF!</v>
      </c>
      <c r="V5" s="11" t="e">
        <f>IF(神通数据源!#REF!="","",神通数据源!#REF!)</f>
        <v>#REF!</v>
      </c>
      <c r="W5" s="11" t="e">
        <f>IF(神通数据源!#REF!="","",神通数据源!#REF!)</f>
        <v>#REF!</v>
      </c>
      <c r="X5" s="11" t="e">
        <f>IF(神通数据源!#REF!="","",神通数据源!#REF!)</f>
        <v>#REF!</v>
      </c>
      <c r="Y5" s="11" t="e">
        <f>IF(神通数据源!#REF!="","",神通数据源!#REF!)</f>
        <v>#REF!</v>
      </c>
      <c r="Z5" s="11" t="e">
        <f>IF(神通数据源!#REF!="","",神通数据源!#REF!)</f>
        <v>#REF!</v>
      </c>
      <c r="AA5" s="11" t="e">
        <f>IF(神通数据源!#REF!="","",神通数据源!#REF!)</f>
        <v>#REF!</v>
      </c>
      <c r="AB5" s="11" t="e">
        <f>IF(神通数据源!#REF!="","",神通数据源!#REF!)</f>
        <v>#REF!</v>
      </c>
      <c r="AC5" s="11" t="e">
        <f>IF(神通数据源!#REF!="","",神通数据源!#REF!)</f>
        <v>#REF!</v>
      </c>
      <c r="AD5" s="11"/>
      <c r="AE5" s="12" t="e">
        <f>神通数据源!#REF!</f>
        <v>#REF!</v>
      </c>
      <c r="AF5" s="9"/>
      <c r="AG5" s="9"/>
      <c r="AH5" s="9"/>
      <c r="AI5" s="9"/>
      <c r="AJ5" s="9"/>
    </row>
    <row r="6" spans="1:36">
      <c r="A6" s="16"/>
      <c r="AJ6" s="30"/>
    </row>
    <row r="7" spans="1:36">
      <c r="A7" s="16"/>
      <c r="AJ7" s="30"/>
    </row>
    <row r="8" spans="1:36">
      <c r="A8" s="17" t="s">
        <v>1772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32"/>
    </row>
    <row r="9" spans="1:36">
      <c r="A9" s="19" t="s">
        <v>1773</v>
      </c>
      <c r="B9" s="20" t="s">
        <v>1895</v>
      </c>
      <c r="AJ9" s="30"/>
    </row>
    <row r="10" spans="1:36">
      <c r="A10" s="19" t="s">
        <v>1775</v>
      </c>
      <c r="B10" s="20" t="s">
        <v>1896</v>
      </c>
      <c r="AJ10" s="30"/>
    </row>
    <row r="11" spans="1:36">
      <c r="A11" s="19" t="s">
        <v>1890</v>
      </c>
      <c r="B11" s="20" t="s">
        <v>1894</v>
      </c>
      <c r="AJ11" s="30"/>
    </row>
    <row r="12" spans="1:36">
      <c r="A12" s="19" t="s">
        <v>1891</v>
      </c>
      <c r="B12" s="22" t="s">
        <v>1892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33"/>
    </row>
    <row r="13" spans="1:36">
      <c r="A13" s="24" t="s">
        <v>1777</v>
      </c>
      <c r="B13" s="25" t="s">
        <v>1778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6"/>
    </row>
    <row r="14" spans="1:36">
      <c r="A14" s="27" t="s">
        <v>1779</v>
      </c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32"/>
    </row>
    <row r="15" spans="1:36">
      <c r="A15" s="28" t="s">
        <v>1780</v>
      </c>
      <c r="B15" s="590"/>
      <c r="C15" s="590"/>
      <c r="AJ15" s="30"/>
    </row>
    <row r="16" spans="1:36">
      <c r="A16" s="28" t="s">
        <v>1781</v>
      </c>
      <c r="B16" s="590"/>
      <c r="C16" s="590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33"/>
    </row>
  </sheetData>
  <mergeCells count="3">
    <mergeCell ref="A1:AJ1"/>
    <mergeCell ref="B15:C15"/>
    <mergeCell ref="B16:C16"/>
  </mergeCells>
  <phoneticPr fontId="107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R17"/>
  <sheetViews>
    <sheetView workbookViewId="0">
      <selection activeCell="K9" sqref="K9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6.875" style="3" customWidth="1"/>
    <col min="6" max="6" width="5.125" style="3" customWidth="1"/>
    <col min="7" max="7" width="9.5" style="3" customWidth="1"/>
    <col min="8" max="8" width="16.125" style="3" customWidth="1"/>
    <col min="9" max="9" width="13.875" style="3" customWidth="1"/>
    <col min="10" max="10" width="7.125" style="3" customWidth="1"/>
    <col min="11" max="11" width="11.625" style="3" customWidth="1"/>
    <col min="12" max="12" width="12.75" style="3" customWidth="1"/>
    <col min="13" max="13" width="6.75" style="3" customWidth="1"/>
    <col min="14" max="14" width="6.125" style="3" customWidth="1"/>
    <col min="15" max="16384" width="9" style="3"/>
  </cols>
  <sheetData>
    <row r="1" spans="1:18" ht="48.75" customHeight="1">
      <c r="A1" s="587" t="s">
        <v>1797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8"/>
      <c r="R1" s="589"/>
    </row>
    <row r="2" spans="1:18">
      <c r="A2" s="4" t="s">
        <v>1755</v>
      </c>
      <c r="B2" s="5"/>
      <c r="C2" s="5"/>
      <c r="D2" s="6"/>
      <c r="R2" s="30"/>
    </row>
    <row r="3" spans="1:18" s="1" customFormat="1" ht="28.5">
      <c r="A3" s="7" t="s">
        <v>1142</v>
      </c>
      <c r="B3" s="7" t="s">
        <v>1756</v>
      </c>
      <c r="C3" s="7" t="s">
        <v>1143</v>
      </c>
      <c r="D3" s="8" t="s">
        <v>1673</v>
      </c>
      <c r="E3" s="7" t="s">
        <v>1783</v>
      </c>
      <c r="F3" s="7" t="s">
        <v>1784</v>
      </c>
      <c r="G3" s="8" t="s">
        <v>1785</v>
      </c>
      <c r="H3" s="7" t="s">
        <v>1216</v>
      </c>
      <c r="I3" s="7" t="s">
        <v>1217</v>
      </c>
      <c r="J3" s="7" t="s">
        <v>1267</v>
      </c>
      <c r="K3" s="7" t="s">
        <v>1230</v>
      </c>
      <c r="L3" s="7" t="s">
        <v>1271</v>
      </c>
      <c r="M3" s="7" t="s">
        <v>1221</v>
      </c>
      <c r="N3" s="7" t="s">
        <v>1786</v>
      </c>
      <c r="O3" s="8" t="s">
        <v>1488</v>
      </c>
      <c r="P3" s="7" t="s">
        <v>1149</v>
      </c>
      <c r="Q3" s="8" t="s">
        <v>1771</v>
      </c>
      <c r="R3" s="8" t="s">
        <v>1377</v>
      </c>
    </row>
    <row r="4" spans="1:18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9"/>
      <c r="E4" s="9">
        <f>神通数据源!CS11</f>
        <v>30</v>
      </c>
      <c r="F4" s="9" t="str">
        <f>神通数据源!CT11</f>
        <v>mm</v>
      </c>
      <c r="G4" s="9"/>
      <c r="H4" s="11" t="str">
        <f>神通数据源!DX11</f>
        <v>FF现场总线</v>
      </c>
      <c r="I4" s="11" t="str">
        <f>神通数据源!DY11</f>
        <v>——</v>
      </c>
      <c r="J4" s="11" t="str">
        <f>神通数据源!DZ11</f>
        <v>NPT1/2"</v>
      </c>
      <c r="K4" s="11" t="str">
        <f>神通数据源!EA11</f>
        <v>NPT1/4"-ø8</v>
      </c>
      <c r="L4" s="11" t="str">
        <f>神通数据源!EB11</f>
        <v>Exd II CT6</v>
      </c>
      <c r="M4" s="11" t="str">
        <f>神通数据源!EC11</f>
        <v>带</v>
      </c>
      <c r="N4" s="11" t="str">
        <f>神通数据源!DL11</f>
        <v>FC</v>
      </c>
      <c r="O4" s="11"/>
      <c r="P4" s="12">
        <f>神通数据源!H11</f>
        <v>1</v>
      </c>
      <c r="Q4" s="9"/>
      <c r="R4" s="9"/>
    </row>
    <row r="5" spans="1:18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9"/>
      <c r="E5" s="9" t="e">
        <f>神通数据源!#REF!</f>
        <v>#REF!</v>
      </c>
      <c r="F5" s="9" t="e">
        <f>神通数据源!#REF!</f>
        <v>#REF!</v>
      </c>
      <c r="G5" s="9"/>
      <c r="H5" s="11" t="e">
        <f>神通数据源!#REF!</f>
        <v>#REF!</v>
      </c>
      <c r="I5" s="11" t="e">
        <f>神通数据源!#REF!</f>
        <v>#REF!</v>
      </c>
      <c r="J5" s="11" t="e">
        <f>神通数据源!#REF!</f>
        <v>#REF!</v>
      </c>
      <c r="K5" s="11" t="e">
        <f>神通数据源!#REF!</f>
        <v>#REF!</v>
      </c>
      <c r="L5" s="11" t="e">
        <f>神通数据源!#REF!</f>
        <v>#REF!</v>
      </c>
      <c r="M5" s="11" t="e">
        <f>神通数据源!#REF!</f>
        <v>#REF!</v>
      </c>
      <c r="N5" s="11" t="e">
        <f>神通数据源!#REF!</f>
        <v>#REF!</v>
      </c>
      <c r="O5" s="9"/>
      <c r="P5" s="12" t="e">
        <f>神通数据源!#REF!</f>
        <v>#REF!</v>
      </c>
      <c r="Q5" s="9"/>
      <c r="R5" s="9"/>
    </row>
    <row r="6" spans="1:18" s="2" customFormat="1">
      <c r="A6" s="9" t="e">
        <f>神通数据源!#REF!</f>
        <v>#REF!</v>
      </c>
      <c r="B6" s="10" t="e">
        <f>神通数据源!#REF!</f>
        <v>#REF!</v>
      </c>
      <c r="C6" s="10" t="e">
        <f>神通数据源!#REF!</f>
        <v>#REF!</v>
      </c>
      <c r="D6" s="9"/>
      <c r="E6" s="9" t="e">
        <f>神通数据源!#REF!</f>
        <v>#REF!</v>
      </c>
      <c r="F6" s="9" t="e">
        <f>神通数据源!#REF!</f>
        <v>#REF!</v>
      </c>
      <c r="G6" s="9"/>
      <c r="H6" s="11" t="e">
        <f>神通数据源!#REF!</f>
        <v>#REF!</v>
      </c>
      <c r="I6" s="11" t="e">
        <f>神通数据源!#REF!</f>
        <v>#REF!</v>
      </c>
      <c r="J6" s="11" t="e">
        <f>神通数据源!#REF!</f>
        <v>#REF!</v>
      </c>
      <c r="K6" s="11" t="e">
        <f>神通数据源!#REF!</f>
        <v>#REF!</v>
      </c>
      <c r="L6" s="11" t="e">
        <f>神通数据源!#REF!</f>
        <v>#REF!</v>
      </c>
      <c r="M6" s="11" t="e">
        <f>神通数据源!#REF!</f>
        <v>#REF!</v>
      </c>
      <c r="N6" s="11" t="e">
        <f>神通数据源!#REF!</f>
        <v>#REF!</v>
      </c>
      <c r="O6" s="9"/>
      <c r="P6" s="12" t="e">
        <f>神通数据源!#REF!</f>
        <v>#REF!</v>
      </c>
      <c r="Q6" s="9"/>
      <c r="R6" s="9"/>
    </row>
    <row r="7" spans="1:18" s="2" customFormat="1">
      <c r="A7" s="13"/>
      <c r="C7" s="1"/>
      <c r="H7" s="14"/>
      <c r="I7" s="14"/>
      <c r="J7" s="14"/>
      <c r="K7" s="14"/>
      <c r="L7" s="14"/>
      <c r="M7" s="14"/>
      <c r="N7" s="14"/>
      <c r="P7" s="15"/>
      <c r="R7" s="31"/>
    </row>
    <row r="8" spans="1:18" s="2" customFormat="1">
      <c r="A8" s="13"/>
      <c r="C8" s="1"/>
      <c r="H8" s="14"/>
      <c r="I8" s="14"/>
      <c r="J8" s="14"/>
      <c r="K8" s="14"/>
      <c r="L8" s="14"/>
      <c r="M8" s="14"/>
      <c r="N8" s="14"/>
      <c r="P8" s="15"/>
      <c r="R8" s="31"/>
    </row>
    <row r="9" spans="1:18">
      <c r="A9" s="16"/>
      <c r="R9" s="30"/>
    </row>
    <row r="10" spans="1:18">
      <c r="A10" s="16"/>
      <c r="R10" s="30"/>
    </row>
    <row r="11" spans="1:18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32"/>
    </row>
    <row r="12" spans="1:18">
      <c r="A12" s="19" t="s">
        <v>1773</v>
      </c>
      <c r="B12" s="20" t="s">
        <v>1798</v>
      </c>
      <c r="R12" s="30"/>
    </row>
    <row r="13" spans="1:18">
      <c r="A13" s="21" t="s">
        <v>1775</v>
      </c>
      <c r="B13" s="22" t="s">
        <v>1799</v>
      </c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33"/>
    </row>
    <row r="14" spans="1:18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6"/>
    </row>
    <row r="15" spans="1:18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32"/>
    </row>
    <row r="16" spans="1:18">
      <c r="A16" s="28" t="s">
        <v>1780</v>
      </c>
      <c r="B16" s="590"/>
      <c r="C16" s="590"/>
      <c r="R16" s="30"/>
    </row>
    <row r="17" spans="1:18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33"/>
    </row>
  </sheetData>
  <mergeCells count="3">
    <mergeCell ref="A1:R1"/>
    <mergeCell ref="B16:C16"/>
    <mergeCell ref="B17:C17"/>
  </mergeCells>
  <phoneticPr fontId="107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N17"/>
  <sheetViews>
    <sheetView workbookViewId="0">
      <selection activeCell="H10" sqref="H10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9.5" style="3" customWidth="1"/>
    <col min="6" max="6" width="16.125" style="3" customWidth="1"/>
    <col min="7" max="7" width="13.875" style="3" customWidth="1"/>
    <col min="8" max="8" width="7.125" style="3" customWidth="1"/>
    <col min="9" max="9" width="9.375" style="3" customWidth="1"/>
    <col min="10" max="10" width="12.75" style="3" customWidth="1"/>
    <col min="11" max="16384" width="9" style="3"/>
  </cols>
  <sheetData>
    <row r="1" spans="1:14" ht="48.75" customHeight="1">
      <c r="A1" s="587" t="s">
        <v>1800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9"/>
    </row>
    <row r="2" spans="1:14">
      <c r="A2" s="4" t="s">
        <v>1755</v>
      </c>
      <c r="B2" s="5"/>
      <c r="C2" s="5"/>
      <c r="D2" s="6"/>
      <c r="N2" s="30"/>
    </row>
    <row r="3" spans="1:14" s="1" customFormat="1">
      <c r="A3" s="7" t="s">
        <v>1142</v>
      </c>
      <c r="B3" s="7" t="s">
        <v>1756</v>
      </c>
      <c r="C3" s="7" t="s">
        <v>1143</v>
      </c>
      <c r="D3" s="8" t="s">
        <v>1226</v>
      </c>
      <c r="E3" s="8" t="s">
        <v>1785</v>
      </c>
      <c r="F3" s="7" t="s">
        <v>1227</v>
      </c>
      <c r="G3" s="7" t="s">
        <v>1228</v>
      </c>
      <c r="H3" s="7" t="s">
        <v>1229</v>
      </c>
      <c r="I3" s="7" t="s">
        <v>1221</v>
      </c>
      <c r="J3" s="7" t="s">
        <v>1230</v>
      </c>
      <c r="K3" s="8" t="s">
        <v>1488</v>
      </c>
      <c r="L3" s="7" t="s">
        <v>1149</v>
      </c>
      <c r="M3" s="8" t="s">
        <v>1771</v>
      </c>
      <c r="N3" s="8" t="s">
        <v>1377</v>
      </c>
    </row>
    <row r="4" spans="1:14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9"/>
      <c r="E4" s="9"/>
      <c r="F4" s="11">
        <f>神通数据源!EI11</f>
        <v>300</v>
      </c>
      <c r="G4" s="11" t="str">
        <f>神通数据源!EJ11</f>
        <v>KPaG</v>
      </c>
      <c r="H4" s="11" t="str">
        <f>神通数据源!EK11</f>
        <v>带</v>
      </c>
      <c r="I4" s="11" t="str">
        <f>神通数据源!EL11</f>
        <v>带</v>
      </c>
      <c r="J4" s="11" t="str">
        <f>神通数据源!EM11</f>
        <v>卡套接头NPT1/4"-ø8</v>
      </c>
      <c r="K4" s="11"/>
      <c r="L4" s="12">
        <f>神通数据源!H11</f>
        <v>1</v>
      </c>
      <c r="M4" s="9"/>
      <c r="N4" s="9"/>
    </row>
    <row r="5" spans="1:14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9"/>
      <c r="E5" s="9"/>
      <c r="F5" s="11" t="e">
        <f>神通数据源!#REF!</f>
        <v>#REF!</v>
      </c>
      <c r="G5" s="11" t="e">
        <f>神通数据源!#REF!</f>
        <v>#REF!</v>
      </c>
      <c r="H5" s="11" t="e">
        <f>神通数据源!#REF!</f>
        <v>#REF!</v>
      </c>
      <c r="I5" s="11" t="e">
        <f>神通数据源!#REF!</f>
        <v>#REF!</v>
      </c>
      <c r="J5" s="11" t="e">
        <f>神通数据源!#REF!</f>
        <v>#REF!</v>
      </c>
      <c r="K5" s="9"/>
      <c r="L5" s="12" t="e">
        <f>神通数据源!#REF!</f>
        <v>#REF!</v>
      </c>
      <c r="M5" s="9"/>
      <c r="N5" s="9"/>
    </row>
    <row r="6" spans="1:14" s="2" customFormat="1">
      <c r="A6" s="9" t="e">
        <f>神通数据源!#REF!</f>
        <v>#REF!</v>
      </c>
      <c r="B6" s="10" t="e">
        <f>神通数据源!#REF!</f>
        <v>#REF!</v>
      </c>
      <c r="C6" s="10" t="e">
        <f>神通数据源!#REF!</f>
        <v>#REF!</v>
      </c>
      <c r="D6" s="9"/>
      <c r="E6" s="9"/>
      <c r="F6" s="11" t="e">
        <f>神通数据源!#REF!</f>
        <v>#REF!</v>
      </c>
      <c r="G6" s="11" t="e">
        <f>神通数据源!#REF!</f>
        <v>#REF!</v>
      </c>
      <c r="H6" s="11" t="e">
        <f>神通数据源!#REF!</f>
        <v>#REF!</v>
      </c>
      <c r="I6" s="11" t="e">
        <f>神通数据源!#REF!</f>
        <v>#REF!</v>
      </c>
      <c r="J6" s="11" t="e">
        <f>神通数据源!#REF!</f>
        <v>#REF!</v>
      </c>
      <c r="K6" s="9"/>
      <c r="L6" s="12" t="e">
        <f>神通数据源!#REF!</f>
        <v>#REF!</v>
      </c>
      <c r="M6" s="9"/>
      <c r="N6" s="9"/>
    </row>
    <row r="7" spans="1:14" s="2" customFormat="1">
      <c r="A7" s="13"/>
      <c r="C7" s="1"/>
      <c r="F7" s="14"/>
      <c r="G7" s="14"/>
      <c r="H7" s="14"/>
      <c r="I7" s="14"/>
      <c r="J7" s="14"/>
      <c r="L7" s="15"/>
      <c r="N7" s="31"/>
    </row>
    <row r="8" spans="1:14" s="2" customFormat="1">
      <c r="A8" s="13"/>
      <c r="C8" s="1"/>
      <c r="F8" s="14"/>
      <c r="G8" s="14"/>
      <c r="H8" s="14"/>
      <c r="I8" s="14"/>
      <c r="J8" s="14"/>
      <c r="L8" s="15"/>
      <c r="N8" s="31"/>
    </row>
    <row r="9" spans="1:14">
      <c r="A9" s="16"/>
      <c r="N9" s="30"/>
    </row>
    <row r="10" spans="1:14">
      <c r="A10" s="16"/>
      <c r="N10" s="30"/>
    </row>
    <row r="11" spans="1:14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32"/>
    </row>
    <row r="12" spans="1:14">
      <c r="A12" s="19" t="s">
        <v>1773</v>
      </c>
      <c r="B12" s="20" t="s">
        <v>1798</v>
      </c>
      <c r="N12" s="30"/>
    </row>
    <row r="13" spans="1:14">
      <c r="A13" s="21" t="s">
        <v>1775</v>
      </c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33"/>
    </row>
    <row r="14" spans="1:14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6"/>
    </row>
    <row r="15" spans="1:14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32"/>
    </row>
    <row r="16" spans="1:14">
      <c r="A16" s="28" t="s">
        <v>1780</v>
      </c>
      <c r="B16" s="590"/>
      <c r="C16" s="590"/>
      <c r="N16" s="30"/>
    </row>
    <row r="17" spans="1:14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33"/>
    </row>
  </sheetData>
  <mergeCells count="3">
    <mergeCell ref="A1:N1"/>
    <mergeCell ref="B16:C16"/>
    <mergeCell ref="B17:C17"/>
  </mergeCells>
  <phoneticPr fontId="107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Q17"/>
  <sheetViews>
    <sheetView workbookViewId="0">
      <selection activeCell="A6" sqref="A6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9.5" style="3" customWidth="1"/>
    <col min="6" max="6" width="16.125" style="3" customWidth="1"/>
    <col min="7" max="7" width="13.875" style="3" customWidth="1"/>
    <col min="8" max="8" width="5.5" style="3" customWidth="1"/>
    <col min="9" max="9" width="9.375" style="3" customWidth="1"/>
    <col min="10" max="13" width="12.75" style="3" customWidth="1"/>
    <col min="14" max="16384" width="9" style="3"/>
  </cols>
  <sheetData>
    <row r="1" spans="1:17" ht="48.75" customHeight="1">
      <c r="A1" s="587" t="s">
        <v>1801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  <c r="Q1" s="589"/>
    </row>
    <row r="2" spans="1:17">
      <c r="A2" s="4" t="s">
        <v>1755</v>
      </c>
      <c r="B2" s="5"/>
      <c r="C2" s="5"/>
      <c r="D2" s="6"/>
      <c r="Q2" s="30"/>
    </row>
    <row r="3" spans="1:17" s="1" customFormat="1" ht="28.5">
      <c r="A3" s="7" t="s">
        <v>1142</v>
      </c>
      <c r="B3" s="7" t="s">
        <v>1756</v>
      </c>
      <c r="C3" s="7" t="s">
        <v>1143</v>
      </c>
      <c r="D3" s="8" t="s">
        <v>1802</v>
      </c>
      <c r="E3" s="8" t="s">
        <v>1785</v>
      </c>
      <c r="F3" s="7" t="s">
        <v>1234</v>
      </c>
      <c r="G3" s="7" t="s">
        <v>1235</v>
      </c>
      <c r="H3" s="7" t="s">
        <v>1267</v>
      </c>
      <c r="I3" s="7" t="s">
        <v>1230</v>
      </c>
      <c r="J3" s="7" t="s">
        <v>1669</v>
      </c>
      <c r="K3" s="7" t="s">
        <v>1237</v>
      </c>
      <c r="L3" s="7" t="s">
        <v>1238</v>
      </c>
      <c r="M3" s="7" t="s">
        <v>1271</v>
      </c>
      <c r="N3" s="8" t="s">
        <v>1488</v>
      </c>
      <c r="O3" s="7" t="s">
        <v>1149</v>
      </c>
      <c r="P3" s="8" t="s">
        <v>1771</v>
      </c>
      <c r="Q3" s="8" t="s">
        <v>1377</v>
      </c>
    </row>
    <row r="4" spans="1:17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9"/>
      <c r="E4" s="9"/>
      <c r="F4" s="11" t="str">
        <f>IF(神通数据源!ER11="","",神通数据源!ER11)</f>
        <v/>
      </c>
      <c r="G4" s="11" t="str">
        <f>IF(神通数据源!ES11="","",神通数据源!ES11)</f>
        <v/>
      </c>
      <c r="H4" s="11" t="str">
        <f>IF(神通数据源!ET11="","",神通数据源!ET11)</f>
        <v>——</v>
      </c>
      <c r="I4" s="11" t="str">
        <f>IF(神通数据源!EU11="","",神通数据源!EU11)</f>
        <v>——</v>
      </c>
      <c r="J4" s="11" t="str">
        <f>IF(神通数据源!EV11="","",神通数据源!EV11)</f>
        <v/>
      </c>
      <c r="K4" s="11" t="str">
        <f>IF(神通数据源!EW11="","",神通数据源!EW11)</f>
        <v/>
      </c>
      <c r="L4" s="11" t="str">
        <f>IF(神通数据源!EX11="","",神通数据源!EX11)</f>
        <v>——</v>
      </c>
      <c r="M4" s="11" t="str">
        <f>IF(神通数据源!EY11="","",神通数据源!EY11)</f>
        <v>——</v>
      </c>
      <c r="N4" s="11"/>
      <c r="O4" s="12" t="str">
        <f>IF(神通数据源!EP11="","",神通数据源!EP11)</f>
        <v/>
      </c>
      <c r="P4" s="9"/>
      <c r="Q4" s="9"/>
    </row>
    <row r="5" spans="1:17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9"/>
      <c r="E5" s="9"/>
      <c r="F5" s="11" t="e">
        <f>IF(神通数据源!#REF!="","",神通数据源!#REF!)</f>
        <v>#REF!</v>
      </c>
      <c r="G5" s="11" t="e">
        <f>IF(神通数据源!#REF!="","",神通数据源!#REF!)</f>
        <v>#REF!</v>
      </c>
      <c r="H5" s="11" t="e">
        <f>IF(神通数据源!#REF!="","",神通数据源!#REF!)</f>
        <v>#REF!</v>
      </c>
      <c r="I5" s="11" t="e">
        <f>IF(神通数据源!#REF!="","",神通数据源!#REF!)</f>
        <v>#REF!</v>
      </c>
      <c r="J5" s="11" t="e">
        <f>IF(神通数据源!#REF!="","",神通数据源!#REF!)</f>
        <v>#REF!</v>
      </c>
      <c r="K5" s="11" t="e">
        <f>IF(神通数据源!#REF!="","",神通数据源!#REF!)</f>
        <v>#REF!</v>
      </c>
      <c r="L5" s="11" t="e">
        <f>IF(神通数据源!#REF!="","",神通数据源!#REF!)</f>
        <v>#REF!</v>
      </c>
      <c r="M5" s="11" t="e">
        <f>IF(神通数据源!#REF!="","",神通数据源!#REF!)</f>
        <v>#REF!</v>
      </c>
      <c r="N5" s="11"/>
      <c r="O5" s="12" t="e">
        <f>IF(神通数据源!#REF!="","",神通数据源!#REF!)</f>
        <v>#REF!</v>
      </c>
      <c r="P5" s="9"/>
      <c r="Q5" s="9"/>
    </row>
    <row r="6" spans="1:17" s="2" customFormat="1">
      <c r="A6" s="9" t="e">
        <f>神通数据源!#REF!</f>
        <v>#REF!</v>
      </c>
      <c r="B6" s="10" t="e">
        <f>神通数据源!#REF!</f>
        <v>#REF!</v>
      </c>
      <c r="C6" s="10" t="e">
        <f>神通数据源!#REF!</f>
        <v>#REF!</v>
      </c>
      <c r="D6" s="9"/>
      <c r="E6" s="9"/>
      <c r="F6" s="11" t="e">
        <f>IF(神通数据源!#REF!="","",神通数据源!#REF!)</f>
        <v>#REF!</v>
      </c>
      <c r="G6" s="11" t="e">
        <f>IF(神通数据源!#REF!="","",神通数据源!#REF!)</f>
        <v>#REF!</v>
      </c>
      <c r="H6" s="11" t="e">
        <f>IF(神通数据源!#REF!="","",神通数据源!#REF!)</f>
        <v>#REF!</v>
      </c>
      <c r="I6" s="11" t="e">
        <f>IF(神通数据源!#REF!="","",神通数据源!#REF!)</f>
        <v>#REF!</v>
      </c>
      <c r="J6" s="11" t="e">
        <f>IF(神通数据源!#REF!="","",神通数据源!#REF!)</f>
        <v>#REF!</v>
      </c>
      <c r="K6" s="11" t="e">
        <f>IF(神通数据源!#REF!="","",神通数据源!#REF!)</f>
        <v>#REF!</v>
      </c>
      <c r="L6" s="11" t="e">
        <f>IF(神通数据源!#REF!="","",神通数据源!#REF!)</f>
        <v>#REF!</v>
      </c>
      <c r="M6" s="11" t="e">
        <f>IF(神通数据源!#REF!="","",神通数据源!#REF!)</f>
        <v>#REF!</v>
      </c>
      <c r="N6" s="11"/>
      <c r="O6" s="12" t="e">
        <f>IF(神通数据源!#REF!="","",神通数据源!#REF!)</f>
        <v>#REF!</v>
      </c>
      <c r="P6" s="9"/>
      <c r="Q6" s="9"/>
    </row>
    <row r="7" spans="1:17" s="2" customFormat="1">
      <c r="A7" s="13"/>
      <c r="C7" s="1"/>
      <c r="F7" s="14"/>
      <c r="G7" s="14"/>
      <c r="H7" s="14"/>
      <c r="I7" s="14"/>
      <c r="J7" s="14"/>
      <c r="K7" s="14"/>
      <c r="L7" s="14"/>
      <c r="M7" s="14"/>
      <c r="O7" s="15"/>
      <c r="Q7" s="31"/>
    </row>
    <row r="8" spans="1:17" s="2" customFormat="1">
      <c r="A8" s="13"/>
      <c r="C8" s="1"/>
      <c r="F8" s="14"/>
      <c r="G8" s="14"/>
      <c r="H8" s="14"/>
      <c r="I8" s="14"/>
      <c r="J8" s="14"/>
      <c r="K8" s="14"/>
      <c r="L8" s="14"/>
      <c r="M8" s="14"/>
      <c r="O8" s="15"/>
      <c r="Q8" s="31"/>
    </row>
    <row r="9" spans="1:17">
      <c r="A9" s="16"/>
      <c r="Q9" s="30"/>
    </row>
    <row r="10" spans="1:17">
      <c r="A10" s="16"/>
      <c r="Q10" s="30"/>
    </row>
    <row r="11" spans="1:17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32"/>
    </row>
    <row r="12" spans="1:17">
      <c r="A12" s="19" t="s">
        <v>1773</v>
      </c>
      <c r="B12" s="20" t="s">
        <v>1798</v>
      </c>
      <c r="Q12" s="30"/>
    </row>
    <row r="13" spans="1:17">
      <c r="A13" s="21" t="s">
        <v>1775</v>
      </c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33"/>
    </row>
    <row r="14" spans="1:17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6"/>
    </row>
    <row r="15" spans="1:17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32"/>
    </row>
    <row r="16" spans="1:17">
      <c r="A16" s="28" t="s">
        <v>1780</v>
      </c>
      <c r="B16" s="590"/>
      <c r="C16" s="590"/>
      <c r="Q16" s="30"/>
    </row>
    <row r="17" spans="1:17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33"/>
    </row>
  </sheetData>
  <mergeCells count="3">
    <mergeCell ref="A1:Q1"/>
    <mergeCell ref="B16:C16"/>
    <mergeCell ref="B17:C17"/>
  </mergeCells>
  <phoneticPr fontId="107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P17"/>
  <sheetViews>
    <sheetView workbookViewId="0">
      <selection activeCell="G12" sqref="G12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9.5" style="3" customWidth="1"/>
    <col min="6" max="6" width="16.125" style="3" customWidth="1"/>
    <col min="7" max="7" width="13.875" style="3" customWidth="1"/>
    <col min="8" max="8" width="9.375" style="3" customWidth="1"/>
    <col min="9" max="12" width="12.75" style="3" customWidth="1"/>
    <col min="13" max="16384" width="9" style="3"/>
  </cols>
  <sheetData>
    <row r="1" spans="1:16" ht="48.75" customHeight="1">
      <c r="A1" s="587" t="s">
        <v>1803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9"/>
    </row>
    <row r="2" spans="1:16">
      <c r="A2" s="4" t="s">
        <v>1755</v>
      </c>
      <c r="B2" s="5"/>
      <c r="C2" s="5"/>
      <c r="D2" s="6"/>
      <c r="P2" s="30"/>
    </row>
    <row r="3" spans="1:16" s="1" customFormat="1">
      <c r="A3" s="7" t="s">
        <v>1142</v>
      </c>
      <c r="B3" s="7" t="s">
        <v>1756</v>
      </c>
      <c r="C3" s="7" t="s">
        <v>1143</v>
      </c>
      <c r="D3" s="8" t="s">
        <v>1804</v>
      </c>
      <c r="E3" s="8" t="s">
        <v>1785</v>
      </c>
      <c r="F3" s="7" t="s">
        <v>1241</v>
      </c>
      <c r="G3" s="7" t="s">
        <v>1242</v>
      </c>
      <c r="H3" s="7" t="s">
        <v>1267</v>
      </c>
      <c r="I3" s="7" t="s">
        <v>1805</v>
      </c>
      <c r="J3" s="7" t="s">
        <v>1244</v>
      </c>
      <c r="K3" s="8" t="s">
        <v>1238</v>
      </c>
      <c r="L3" s="7" t="s">
        <v>1271</v>
      </c>
      <c r="M3" s="8" t="s">
        <v>1488</v>
      </c>
      <c r="N3" s="7" t="s">
        <v>1149</v>
      </c>
      <c r="O3" s="8" t="s">
        <v>1771</v>
      </c>
      <c r="P3" s="8" t="s">
        <v>1377</v>
      </c>
    </row>
    <row r="4" spans="1:16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9"/>
      <c r="E4" s="9"/>
      <c r="F4" s="11" t="str">
        <f>IF(神通数据源!FB11="","",神通数据源!FB11)</f>
        <v>NON</v>
      </c>
      <c r="G4" s="11" t="str">
        <f>IF(神通数据源!FD11="","",神通数据源!FD11)</f>
        <v/>
      </c>
      <c r="H4" s="11" t="str">
        <f>IF(神通数据源!FH11="","",神通数据源!FH11)</f>
        <v>——</v>
      </c>
      <c r="I4" s="11" t="str">
        <f>IF(神通数据源!FE11="","",神通数据源!FE11)</f>
        <v/>
      </c>
      <c r="J4" s="11" t="str">
        <f>IF(神通数据源!FF11="","",神通数据源!FF11)</f>
        <v/>
      </c>
      <c r="K4" s="11"/>
      <c r="L4" s="11" t="str">
        <f>IF(神通数据源!FG11="","",神通数据源!FG11)</f>
        <v>——</v>
      </c>
      <c r="M4" s="11"/>
      <c r="N4" s="12" t="str">
        <f>IF(神通数据源!FC11="","",神通数据源!FC11)</f>
        <v/>
      </c>
      <c r="O4" s="9"/>
      <c r="P4" s="9"/>
    </row>
    <row r="5" spans="1:16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9"/>
      <c r="E5" s="9"/>
      <c r="F5" s="11" t="e">
        <f>IF(神通数据源!#REF!="","",神通数据源!#REF!)</f>
        <v>#REF!</v>
      </c>
      <c r="G5" s="11" t="e">
        <f>IF(神通数据源!#REF!="","",神通数据源!#REF!)</f>
        <v>#REF!</v>
      </c>
      <c r="H5" s="11" t="e">
        <f>IF(神通数据源!#REF!="","",神通数据源!#REF!)</f>
        <v>#REF!</v>
      </c>
      <c r="I5" s="11" t="e">
        <f>IF(神通数据源!#REF!="","",神通数据源!#REF!)</f>
        <v>#REF!</v>
      </c>
      <c r="J5" s="11" t="e">
        <f>IF(神通数据源!#REF!="","",神通数据源!#REF!)</f>
        <v>#REF!</v>
      </c>
      <c r="K5" s="11"/>
      <c r="L5" s="11" t="e">
        <f>IF(神通数据源!#REF!="","",神通数据源!#REF!)</f>
        <v>#REF!</v>
      </c>
      <c r="M5" s="11"/>
      <c r="N5" s="12" t="e">
        <f>IF(神通数据源!#REF!="","",神通数据源!#REF!)</f>
        <v>#REF!</v>
      </c>
      <c r="O5" s="9"/>
      <c r="P5" s="9"/>
    </row>
    <row r="6" spans="1:16" s="2" customFormat="1">
      <c r="A6" s="9" t="e">
        <f>神通数据源!#REF!</f>
        <v>#REF!</v>
      </c>
      <c r="B6" s="10" t="e">
        <f>神通数据源!#REF!</f>
        <v>#REF!</v>
      </c>
      <c r="C6" s="10" t="e">
        <f>神通数据源!#REF!</f>
        <v>#REF!</v>
      </c>
      <c r="D6" s="9"/>
      <c r="E6" s="9"/>
      <c r="F6" s="11" t="e">
        <f>IF(神通数据源!#REF!="","",神通数据源!#REF!)</f>
        <v>#REF!</v>
      </c>
      <c r="G6" s="11" t="e">
        <f>IF(神通数据源!#REF!="","",神通数据源!#REF!)</f>
        <v>#REF!</v>
      </c>
      <c r="H6" s="11" t="e">
        <f>IF(神通数据源!#REF!="","",神通数据源!#REF!)</f>
        <v>#REF!</v>
      </c>
      <c r="I6" s="11" t="e">
        <f>IF(神通数据源!#REF!="","",神通数据源!#REF!)</f>
        <v>#REF!</v>
      </c>
      <c r="J6" s="11" t="e">
        <f>IF(神通数据源!#REF!="","",神通数据源!#REF!)</f>
        <v>#REF!</v>
      </c>
      <c r="K6" s="11"/>
      <c r="L6" s="11" t="e">
        <f>IF(神通数据源!#REF!="","",神通数据源!#REF!)</f>
        <v>#REF!</v>
      </c>
      <c r="M6" s="11"/>
      <c r="N6" s="12" t="e">
        <f>IF(神通数据源!#REF!="","",神通数据源!#REF!)</f>
        <v>#REF!</v>
      </c>
      <c r="O6" s="9"/>
      <c r="P6" s="9"/>
    </row>
    <row r="7" spans="1:16" s="2" customFormat="1">
      <c r="A7" s="13"/>
      <c r="C7" s="1"/>
      <c r="F7" s="14"/>
      <c r="G7" s="14"/>
      <c r="H7" s="14"/>
      <c r="I7" s="14"/>
      <c r="J7" s="14"/>
      <c r="K7" s="14"/>
      <c r="L7" s="14"/>
      <c r="N7" s="15"/>
      <c r="P7" s="31"/>
    </row>
    <row r="8" spans="1:16" s="2" customFormat="1">
      <c r="A8" s="13"/>
      <c r="C8" s="1"/>
      <c r="F8" s="14"/>
      <c r="G8" s="14"/>
      <c r="H8" s="14"/>
      <c r="I8" s="14"/>
      <c r="J8" s="14"/>
      <c r="K8" s="14"/>
      <c r="L8" s="14"/>
      <c r="N8" s="15"/>
      <c r="P8" s="31"/>
    </row>
    <row r="9" spans="1:16">
      <c r="A9" s="16"/>
      <c r="P9" s="30"/>
    </row>
    <row r="10" spans="1:16">
      <c r="A10" s="16"/>
      <c r="P10" s="30"/>
    </row>
    <row r="11" spans="1:16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32"/>
    </row>
    <row r="12" spans="1:16">
      <c r="A12" s="19" t="s">
        <v>1773</v>
      </c>
      <c r="B12" s="20" t="s">
        <v>1798</v>
      </c>
      <c r="P12" s="30"/>
    </row>
    <row r="13" spans="1:16">
      <c r="A13" s="21" t="s">
        <v>1775</v>
      </c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3"/>
    </row>
    <row r="14" spans="1:16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6"/>
    </row>
    <row r="15" spans="1:16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32"/>
    </row>
    <row r="16" spans="1:16">
      <c r="A16" s="28" t="s">
        <v>1780</v>
      </c>
      <c r="B16" s="590"/>
      <c r="C16" s="590"/>
      <c r="P16" s="30"/>
    </row>
    <row r="17" spans="1:16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33"/>
    </row>
  </sheetData>
  <mergeCells count="3">
    <mergeCell ref="A1:P1"/>
    <mergeCell ref="B16:C16"/>
    <mergeCell ref="B17:C17"/>
  </mergeCells>
  <phoneticPr fontId="107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J17"/>
  <sheetViews>
    <sheetView workbookViewId="0">
      <selection activeCell="I10" sqref="I10"/>
    </sheetView>
  </sheetViews>
  <sheetFormatPr defaultColWidth="9" defaultRowHeight="14.25"/>
  <cols>
    <col min="1" max="1" width="9" style="3"/>
    <col min="2" max="2" width="14.625" style="3" customWidth="1"/>
    <col min="3" max="3" width="14.875" style="3" customWidth="1"/>
    <col min="4" max="4" width="15.75" style="3" customWidth="1"/>
    <col min="5" max="5" width="9.5" style="3" customWidth="1"/>
    <col min="6" max="6" width="12.75" style="3" customWidth="1"/>
    <col min="7" max="16384" width="9" style="3"/>
  </cols>
  <sheetData>
    <row r="1" spans="1:10" ht="48.75" customHeight="1">
      <c r="A1" s="587" t="s">
        <v>1806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>
      <c r="A2" s="4" t="s">
        <v>1755</v>
      </c>
      <c r="B2" s="5"/>
      <c r="C2" s="5"/>
      <c r="D2" s="6"/>
      <c r="J2" s="30"/>
    </row>
    <row r="3" spans="1:10" s="1" customFormat="1">
      <c r="A3" s="7" t="s">
        <v>1142</v>
      </c>
      <c r="B3" s="7" t="s">
        <v>1756</v>
      </c>
      <c r="C3" s="7" t="s">
        <v>1143</v>
      </c>
      <c r="D3" s="8" t="s">
        <v>1807</v>
      </c>
      <c r="E3" s="8" t="s">
        <v>1785</v>
      </c>
      <c r="F3" s="8" t="s">
        <v>1238</v>
      </c>
      <c r="G3" s="8" t="s">
        <v>1488</v>
      </c>
      <c r="H3" s="7" t="s">
        <v>1149</v>
      </c>
      <c r="I3" s="8" t="s">
        <v>1771</v>
      </c>
      <c r="J3" s="8" t="s">
        <v>1377</v>
      </c>
    </row>
    <row r="4" spans="1:10" s="2" customFormat="1" ht="28.5">
      <c r="A4" s="9">
        <f>神通数据源!A11</f>
        <v>1</v>
      </c>
      <c r="B4" s="10" t="str">
        <f>神通数据源!BZ11</f>
        <v>多孔式套筒导向型单座调节阀</v>
      </c>
      <c r="C4" s="10" t="str">
        <f>神通数据源!B11</f>
        <v>10-PV-131061</v>
      </c>
      <c r="D4" s="9"/>
      <c r="E4" s="9"/>
      <c r="F4" s="11"/>
      <c r="G4" s="11"/>
      <c r="H4" s="12"/>
      <c r="I4" s="9"/>
      <c r="J4" s="9"/>
    </row>
    <row r="5" spans="1:10" s="2" customFormat="1">
      <c r="A5" s="9" t="e">
        <f>神通数据源!#REF!</f>
        <v>#REF!</v>
      </c>
      <c r="B5" s="10" t="e">
        <f>神通数据源!#REF!</f>
        <v>#REF!</v>
      </c>
      <c r="C5" s="10" t="e">
        <f>神通数据源!#REF!</f>
        <v>#REF!</v>
      </c>
      <c r="D5" s="9"/>
      <c r="E5" s="9"/>
      <c r="F5" s="11"/>
      <c r="G5" s="11"/>
      <c r="H5" s="12"/>
      <c r="I5" s="9"/>
      <c r="J5" s="9"/>
    </row>
    <row r="6" spans="1:10" s="2" customFormat="1">
      <c r="A6" s="9" t="e">
        <f>神通数据源!#REF!</f>
        <v>#REF!</v>
      </c>
      <c r="B6" s="10" t="e">
        <f>神通数据源!#REF!</f>
        <v>#REF!</v>
      </c>
      <c r="C6" s="10" t="e">
        <f>神通数据源!#REF!</f>
        <v>#REF!</v>
      </c>
      <c r="D6" s="9"/>
      <c r="E6" s="9"/>
      <c r="F6" s="11"/>
      <c r="G6" s="11"/>
      <c r="H6" s="12"/>
      <c r="I6" s="9"/>
      <c r="J6" s="9"/>
    </row>
    <row r="7" spans="1:10" s="2" customFormat="1">
      <c r="A7" s="13"/>
      <c r="C7" s="1"/>
      <c r="F7" s="14"/>
      <c r="H7" s="15"/>
      <c r="J7" s="31"/>
    </row>
    <row r="8" spans="1:10" s="2" customFormat="1">
      <c r="A8" s="13"/>
      <c r="C8" s="1"/>
      <c r="F8" s="14"/>
      <c r="H8" s="15"/>
      <c r="J8" s="31"/>
    </row>
    <row r="9" spans="1:10">
      <c r="A9" s="16"/>
      <c r="J9" s="30"/>
    </row>
    <row r="10" spans="1:10">
      <c r="A10" s="16"/>
      <c r="J10" s="30"/>
    </row>
    <row r="11" spans="1:10">
      <c r="A11" s="17" t="s">
        <v>1772</v>
      </c>
      <c r="B11" s="18"/>
      <c r="C11" s="18"/>
      <c r="D11" s="18"/>
      <c r="E11" s="18"/>
      <c r="F11" s="18"/>
      <c r="G11" s="18"/>
      <c r="H11" s="18"/>
      <c r="I11" s="18"/>
      <c r="J11" s="32"/>
    </row>
    <row r="12" spans="1:10">
      <c r="A12" s="19" t="s">
        <v>1773</v>
      </c>
      <c r="B12" s="20" t="s">
        <v>1798</v>
      </c>
      <c r="J12" s="30"/>
    </row>
    <row r="13" spans="1:10">
      <c r="A13" s="21" t="s">
        <v>1775</v>
      </c>
      <c r="B13" s="22"/>
      <c r="C13" s="23"/>
      <c r="D13" s="23"/>
      <c r="E13" s="23"/>
      <c r="F13" s="23"/>
      <c r="G13" s="23"/>
      <c r="H13" s="23"/>
      <c r="I13" s="23"/>
      <c r="J13" s="33"/>
    </row>
    <row r="14" spans="1:10">
      <c r="A14" s="24" t="s">
        <v>1777</v>
      </c>
      <c r="B14" s="25" t="s">
        <v>1778</v>
      </c>
      <c r="C14" s="26"/>
      <c r="D14" s="26"/>
      <c r="E14" s="26"/>
      <c r="F14" s="26"/>
      <c r="G14" s="26"/>
      <c r="H14" s="26"/>
      <c r="I14" s="26"/>
      <c r="J14" s="6"/>
    </row>
    <row r="15" spans="1:10">
      <c r="A15" s="27" t="s">
        <v>1779</v>
      </c>
      <c r="B15" s="18"/>
      <c r="C15" s="18"/>
      <c r="D15" s="18"/>
      <c r="E15" s="18"/>
      <c r="F15" s="18"/>
      <c r="G15" s="18"/>
      <c r="H15" s="18"/>
      <c r="I15" s="18"/>
      <c r="J15" s="32"/>
    </row>
    <row r="16" spans="1:10">
      <c r="A16" s="28" t="s">
        <v>1780</v>
      </c>
      <c r="B16" s="590"/>
      <c r="C16" s="590"/>
      <c r="J16" s="30"/>
    </row>
    <row r="17" spans="1:10">
      <c r="A17" s="28" t="s">
        <v>1781</v>
      </c>
      <c r="B17" s="590"/>
      <c r="C17" s="590"/>
      <c r="D17" s="23"/>
      <c r="E17" s="23"/>
      <c r="F17" s="23"/>
      <c r="G17" s="23"/>
      <c r="H17" s="23"/>
      <c r="I17" s="23"/>
      <c r="J17" s="33"/>
    </row>
  </sheetData>
  <mergeCells count="3">
    <mergeCell ref="A1:J1"/>
    <mergeCell ref="B16:C16"/>
    <mergeCell ref="B17:C17"/>
  </mergeCells>
  <phoneticPr fontId="107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19</vt:i4>
      </vt:variant>
    </vt:vector>
  </HeadingPairs>
  <TitlesOfParts>
    <vt:vector size="38" baseType="lpstr">
      <vt:lpstr>Data</vt:lpstr>
      <vt:lpstr>Cv计算原始数据</vt:lpstr>
      <vt:lpstr>神通数据源</vt:lpstr>
      <vt:lpstr>价格</vt:lpstr>
      <vt:lpstr>神通气动控制阀规格数据表</vt:lpstr>
      <vt:lpstr>神通电动控制阀规格数据表</vt:lpstr>
      <vt:lpstr>神通控制阀规格数据表 英文版</vt:lpstr>
      <vt:lpstr>一览表</vt:lpstr>
      <vt:lpstr>推力计算数据提取</vt:lpstr>
      <vt:lpstr>CV计算书</vt:lpstr>
      <vt:lpstr>流速计算书</vt:lpstr>
      <vt:lpstr>阀本体询价</vt:lpstr>
      <vt:lpstr>气动执行机构询价</vt:lpstr>
      <vt:lpstr>电动执行机构询价</vt:lpstr>
      <vt:lpstr>定位器询价</vt:lpstr>
      <vt:lpstr>过滤减压阀询价 </vt:lpstr>
      <vt:lpstr>电磁阀询价</vt:lpstr>
      <vt:lpstr>限位开关询价 </vt:lpstr>
      <vt:lpstr>其他附件询价</vt:lpstr>
      <vt:lpstr>Data!_FilterDatabase</vt:lpstr>
      <vt:lpstr>价格!_FilterDatabase</vt:lpstr>
      <vt:lpstr>area</vt:lpstr>
      <vt:lpstr>CV计算书!Print_Area</vt:lpstr>
      <vt:lpstr>价格!Print_Area</vt:lpstr>
      <vt:lpstr>神通电动控制阀规格数据表!Print_Area</vt:lpstr>
      <vt:lpstr>神通气动控制阀规格数据表!Print_Area</vt:lpstr>
      <vt:lpstr>单作用拨叉式气缸型</vt:lpstr>
      <vt:lpstr>单作用齿轮齿条式气缸型</vt:lpstr>
      <vt:lpstr>单作用活塞式气缸型</vt:lpstr>
      <vt:lpstr>弹簧薄膜型</vt:lpstr>
      <vt:lpstr>电动调节型</vt:lpstr>
      <vt:lpstr>电动开关型</vt:lpstr>
      <vt:lpstr>阀门名称</vt:lpstr>
      <vt:lpstr>过滤器型号</vt:lpstr>
      <vt:lpstr>双作用拨叉式气缸型</vt:lpstr>
      <vt:lpstr>双作用齿轮齿条式气缸型</vt:lpstr>
      <vt:lpstr>双作用活塞式气缸型</vt:lpstr>
      <vt:lpstr>有效面积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Zya Miao</dc:creator>
  <cp:lastModifiedBy>rong zhao</cp:lastModifiedBy>
  <cp:lastPrinted>2019-04-18T02:05:06Z</cp:lastPrinted>
  <dcterms:created xsi:type="dcterms:W3CDTF">2001-04-23T01:49:00Z</dcterms:created>
  <dcterms:modified xsi:type="dcterms:W3CDTF">2023-03-12T10:53:41Z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