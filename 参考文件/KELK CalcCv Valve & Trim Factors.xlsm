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ustomProperty1.bin" ContentType="application/vnd.openxmlformats-officedocument.spreadsheetml.customProperty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ustomProperty2.bin" ContentType="application/vnd.openxmlformats-officedocument.spreadsheetml.customProperty"/>
  <Override PartName="/xl/drawings/drawing2.xml" ContentType="application/vnd.openxmlformats-officedocument.drawing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ustomProperty3.bin" ContentType="application/vnd.openxmlformats-officedocument.spreadsheetml.customProperty"/>
  <Override PartName="/xl/drawings/drawing3.xml" ContentType="application/vnd.openxmlformats-officedocument.drawing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ustomProperty4.bin" ContentType="application/vnd.openxmlformats-officedocument.spreadsheetml.customProperty"/>
  <Override PartName="/xl/drawings/drawing4.xml" ContentType="application/vnd.openxmlformats-officedocument.drawing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ustomProperty5.bin" ContentType="application/vnd.openxmlformats-officedocument.spreadsheetml.customProperty"/>
  <Override PartName="/xl/drawings/drawing5.xml" ContentType="application/vnd.openxmlformats-officedocument.drawing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ustomProperty6.bin" ContentType="application/vnd.openxmlformats-officedocument.spreadsheetml.customProperty"/>
  <Override PartName="/xl/drawings/drawing6.xml" ContentType="application/vnd.openxmlformats-officedocument.drawing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ustomProperty7.bin" ContentType="application/vnd.openxmlformats-officedocument.spreadsheetml.customProperty"/>
  <Override PartName="/xl/drawings/drawing7.xml" ContentType="application/vnd.openxmlformats-officedocument.drawing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ustomProperty8.bin" ContentType="application/vnd.openxmlformats-officedocument.spreadsheetml.customProperty"/>
  <Override PartName="/xl/drawings/drawing8.xml" ContentType="application/vnd.openxmlformats-officedocument.drawing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ustomProperty9.bin" ContentType="application/vnd.openxmlformats-officedocument.spreadsheetml.customProperty"/>
  <Override PartName="/xl/drawings/drawing9.xml" ContentType="application/vnd.openxmlformats-officedocument.drawing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ustomProperty10.bin" ContentType="application/vnd.openxmlformats-officedocument.spreadsheetml.customProperty"/>
  <Override PartName="/xl/drawings/drawing10.xml" ContentType="application/vnd.openxmlformats-officedocument.drawing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ustomProperty11.bin" ContentType="application/vnd.openxmlformats-officedocument.spreadsheetml.customProperty"/>
  <Override PartName="/xl/customProperty12.bin" ContentType="application/vnd.openxmlformats-officedocument.spreadsheetml.customProperty"/>
  <Override PartName="/xl/customProperty13.bin" ContentType="application/vnd.openxmlformats-officedocument.spreadsheetml.customProperty"/>
  <Override PartName="/xl/customProperty14.bin" ContentType="application/vnd.openxmlformats-officedocument.spreadsheetml.customProperty"/>
  <Override PartName="/xl/customProperty15.bin" ContentType="application/vnd.openxmlformats-officedocument.spreadsheetml.customProperty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30326" codeName="{26A90621-87C4-6C01-FD6A-EE6E7C140903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KELK办公\信息化工作\207 自研系统\KELKCalCv\参考文件\"/>
    </mc:Choice>
  </mc:AlternateContent>
  <xr:revisionPtr revIDLastSave="0" documentId="13_ncr:1_{AC89D827-453E-4FAA-AC73-20C2FC63D7C9}" xr6:coauthVersionLast="47" xr6:coauthVersionMax="47" xr10:uidLastSave="{00000000-0000-0000-0000-000000000000}"/>
  <bookViews>
    <workbookView xWindow="-110" yWindow="-110" windowWidth="25820" windowHeight="15500" tabRatio="933" firstSheet="2" activeTab="7" xr2:uid="{00000000-000D-0000-FFFF-FFFF00000000}"/>
  </bookViews>
  <sheets>
    <sheet name="GC120" sheetId="1" r:id="rId1"/>
    <sheet name="GC210" sheetId="8" r:id="rId2"/>
    <sheet name="GV120" sheetId="22" r:id="rId3"/>
    <sheet name="GV110" sheetId="11" r:id="rId4"/>
    <sheet name="GV410" sheetId="12" r:id="rId5"/>
    <sheet name="BC110" sheetId="17" r:id="rId6"/>
    <sheet name="BE120" sheetId="16" r:id="rId7"/>
    <sheet name="BT120" sheetId="19" r:id="rId8"/>
    <sheet name="BT110" sheetId="20" r:id="rId9"/>
    <sheet name="BT210" sheetId="21" r:id="rId10"/>
    <sheet name="Eq% Data" sheetId="2" r:id="rId11"/>
    <sheet name="FL Data" sheetId="3" r:id="rId12"/>
    <sheet name="Kc Data" sheetId="5" r:id="rId13"/>
    <sheet name="Fd Data" sheetId="6" r:id="rId14"/>
    <sheet name="Pipe Data" sheetId="7" r:id="rId15"/>
  </sheets>
  <functionGroups builtInGroupCount="19"/>
  <definedNames>
    <definedName name="FdData">'Fd Data'!$A$6:$H$45</definedName>
    <definedName name="FLData">'FL Data'!$A$6:$H$40</definedName>
    <definedName name="KcData">'Kc Data'!$A$6:$H$37</definedName>
    <definedName name="Plug1500">'GC120'!$C$83:$C$95</definedName>
    <definedName name="Plug2500">'GC120'!$C$96:$C$103</definedName>
    <definedName name="StkData">'Eq% Data'!$A$6:$H$205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49" i="19" l="1"/>
  <c r="G48" i="19"/>
  <c r="G47" i="19"/>
  <c r="F41" i="19"/>
  <c r="G53" i="20"/>
  <c r="G52" i="20"/>
  <c r="G51" i="20"/>
  <c r="G54" i="20"/>
  <c r="G68" i="22"/>
  <c r="H62" i="22"/>
  <c r="G48" i="21"/>
  <c r="G49" i="21"/>
  <c r="G47" i="21"/>
  <c r="E47" i="7"/>
  <c r="C47" i="7"/>
  <c r="E46" i="7"/>
  <c r="C46" i="7"/>
  <c r="E45" i="7"/>
  <c r="C45" i="7"/>
  <c r="E44" i="7"/>
  <c r="C44" i="7"/>
  <c r="E43" i="7"/>
  <c r="C43" i="7"/>
  <c r="E42" i="7"/>
  <c r="C42" i="7"/>
  <c r="E41" i="7"/>
  <c r="C41" i="7"/>
  <c r="E40" i="7"/>
  <c r="C40" i="7"/>
  <c r="E39" i="7"/>
  <c r="C39" i="7"/>
  <c r="E38" i="7"/>
  <c r="C38" i="7"/>
  <c r="E37" i="7"/>
  <c r="C37" i="7"/>
  <c r="E36" i="7"/>
  <c r="C36" i="7"/>
  <c r="E35" i="7"/>
  <c r="C35" i="7"/>
  <c r="E34" i="7"/>
  <c r="C34" i="7"/>
  <c r="E33" i="7"/>
  <c r="C33" i="7"/>
  <c r="E32" i="7"/>
  <c r="C32" i="7"/>
  <c r="E31" i="7"/>
  <c r="C31" i="7"/>
  <c r="E30" i="7"/>
  <c r="C30" i="7"/>
  <c r="E29" i="7"/>
  <c r="C29" i="7"/>
  <c r="E28" i="7"/>
  <c r="C28" i="7"/>
  <c r="E27" i="7"/>
  <c r="C27" i="7"/>
  <c r="E26" i="7"/>
  <c r="C26" i="7"/>
  <c r="E25" i="7"/>
  <c r="C25" i="7"/>
  <c r="E24" i="7"/>
  <c r="C24" i="7"/>
  <c r="E23" i="7"/>
  <c r="C23" i="7"/>
  <c r="E22" i="7"/>
  <c r="C22" i="7"/>
  <c r="E21" i="7"/>
  <c r="C21" i="7"/>
  <c r="E20" i="7"/>
  <c r="C20" i="7"/>
  <c r="E19" i="7"/>
  <c r="C19" i="7"/>
  <c r="E18" i="7"/>
  <c r="C18" i="7"/>
  <c r="E17" i="7"/>
  <c r="C17" i="7"/>
  <c r="E16" i="7"/>
  <c r="C16" i="7"/>
  <c r="E15" i="7"/>
  <c r="C15" i="7"/>
  <c r="E14" i="7"/>
  <c r="C14" i="7"/>
  <c r="E13" i="7"/>
  <c r="C13" i="7"/>
  <c r="E12" i="7"/>
  <c r="C12" i="7"/>
  <c r="E11" i="7"/>
  <c r="C11" i="7"/>
  <c r="E10" i="7"/>
  <c r="C10" i="7"/>
  <c r="E9" i="7"/>
  <c r="C9" i="7"/>
  <c r="E8" i="7"/>
  <c r="C8" i="7"/>
  <c r="E7" i="7"/>
  <c r="C7" i="7"/>
  <c r="E6" i="7"/>
  <c r="G50" i="21" l="1"/>
  <c r="K49" i="21"/>
  <c r="K48" i="21"/>
  <c r="K47" i="21"/>
  <c r="H45" i="21"/>
  <c r="H44" i="21"/>
  <c r="L44" i="21" s="1"/>
  <c r="G44" i="21"/>
  <c r="D42" i="21"/>
  <c r="H49" i="21" l="1"/>
  <c r="I49" i="21"/>
  <c r="L48" i="21"/>
  <c r="L49" i="21"/>
  <c r="M48" i="21"/>
  <c r="M47" i="21"/>
  <c r="H47" i="21"/>
  <c r="I47" i="21"/>
  <c r="H48" i="21"/>
  <c r="M49" i="21"/>
  <c r="L47" i="21"/>
  <c r="I48" i="21"/>
  <c r="J44" i="21"/>
  <c r="M44" i="21"/>
  <c r="N44" i="21"/>
  <c r="I44" i="21"/>
  <c r="K44" i="21"/>
  <c r="J47" i="21"/>
  <c r="N47" i="21"/>
  <c r="J48" i="21"/>
  <c r="N48" i="21"/>
  <c r="J49" i="21"/>
  <c r="N49" i="21"/>
  <c r="G62" i="21" s="1"/>
  <c r="M53" i="20"/>
  <c r="M52" i="20"/>
  <c r="M51" i="20"/>
  <c r="H49" i="20"/>
  <c r="H48" i="20"/>
  <c r="N48" i="20" s="1"/>
  <c r="E46" i="20"/>
  <c r="G50" i="19"/>
  <c r="G78" i="21" l="1"/>
  <c r="G44" i="20"/>
  <c r="G71" i="21"/>
  <c r="J51" i="20"/>
  <c r="N51" i="20"/>
  <c r="F77" i="21"/>
  <c r="J52" i="20"/>
  <c r="D78" i="21"/>
  <c r="D69" i="21"/>
  <c r="N52" i="20"/>
  <c r="C78" i="21"/>
  <c r="G67" i="21"/>
  <c r="J53" i="20"/>
  <c r="N53" i="20"/>
  <c r="G75" i="21"/>
  <c r="G74" i="21"/>
  <c r="D75" i="21"/>
  <c r="D66" i="21"/>
  <c r="D64" i="21"/>
  <c r="G63" i="21"/>
  <c r="G64" i="21"/>
  <c r="F70" i="21"/>
  <c r="G77" i="21"/>
  <c r="G68" i="21"/>
  <c r="D70" i="21"/>
  <c r="E70" i="21" s="1"/>
  <c r="D68" i="21"/>
  <c r="D77" i="21"/>
  <c r="E77" i="21" s="1"/>
  <c r="F62" i="21"/>
  <c r="F78" i="21"/>
  <c r="D60" i="21"/>
  <c r="D74" i="21"/>
  <c r="F74" i="21"/>
  <c r="F66" i="21"/>
  <c r="D61" i="21"/>
  <c r="C59" i="21"/>
  <c r="C63" i="21"/>
  <c r="C67" i="21"/>
  <c r="C71" i="21"/>
  <c r="C76" i="21"/>
  <c r="C62" i="21"/>
  <c r="C66" i="21"/>
  <c r="C70" i="21"/>
  <c r="C75" i="21"/>
  <c r="C72" i="21"/>
  <c r="C60" i="21"/>
  <c r="C64" i="21"/>
  <c r="C68" i="21"/>
  <c r="C73" i="21"/>
  <c r="C77" i="21"/>
  <c r="C61" i="21"/>
  <c r="C65" i="21"/>
  <c r="C69" i="21"/>
  <c r="C74" i="21"/>
  <c r="K51" i="20"/>
  <c r="H51" i="20"/>
  <c r="L51" i="20"/>
  <c r="H52" i="20"/>
  <c r="L52" i="20"/>
  <c r="H53" i="20"/>
  <c r="L53" i="20"/>
  <c r="G60" i="21"/>
  <c r="G65" i="21"/>
  <c r="G69" i="21"/>
  <c r="G72" i="21"/>
  <c r="G76" i="21"/>
  <c r="F60" i="21"/>
  <c r="E60" i="21" s="1"/>
  <c r="F64" i="21"/>
  <c r="F68" i="21"/>
  <c r="F72" i="21"/>
  <c r="F76" i="21"/>
  <c r="D65" i="21"/>
  <c r="D71" i="21"/>
  <c r="D62" i="21"/>
  <c r="E62" i="21" s="1"/>
  <c r="D72" i="21"/>
  <c r="E72" i="21" s="1"/>
  <c r="D76" i="21"/>
  <c r="G59" i="21"/>
  <c r="K52" i="20"/>
  <c r="K53" i="20"/>
  <c r="F59" i="21"/>
  <c r="F63" i="21"/>
  <c r="F67" i="21"/>
  <c r="F71" i="21"/>
  <c r="F75" i="21"/>
  <c r="I51" i="20"/>
  <c r="I52" i="20"/>
  <c r="I53" i="20"/>
  <c r="G61" i="21"/>
  <c r="G66" i="21"/>
  <c r="G70" i="21"/>
  <c r="G73" i="21"/>
  <c r="F61" i="21"/>
  <c r="F65" i="21"/>
  <c r="F69" i="21"/>
  <c r="F73" i="21"/>
  <c r="D67" i="21"/>
  <c r="D59" i="21"/>
  <c r="D63" i="21"/>
  <c r="D73" i="21"/>
  <c r="I48" i="20"/>
  <c r="K48" i="20"/>
  <c r="M48" i="20"/>
  <c r="J48" i="20"/>
  <c r="L48" i="20"/>
  <c r="N49" i="19"/>
  <c r="M48" i="19"/>
  <c r="M47" i="19"/>
  <c r="H45" i="19"/>
  <c r="H44" i="19"/>
  <c r="N44" i="19" s="1"/>
  <c r="D42" i="19"/>
  <c r="D70" i="20" l="1"/>
  <c r="C63" i="20"/>
  <c r="F82" i="20"/>
  <c r="E64" i="21"/>
  <c r="E65" i="21"/>
  <c r="K49" i="19"/>
  <c r="J49" i="19" s="1"/>
  <c r="D79" i="20"/>
  <c r="E79" i="20" s="1"/>
  <c r="F73" i="20"/>
  <c r="E66" i="21"/>
  <c r="F71" i="20"/>
  <c r="E78" i="21"/>
  <c r="K44" i="19"/>
  <c r="G66" i="20"/>
  <c r="E75" i="21"/>
  <c r="D77" i="20"/>
  <c r="E77" i="20" s="1"/>
  <c r="D82" i="20"/>
  <c r="E82" i="20" s="1"/>
  <c r="D81" i="20"/>
  <c r="E81" i="20" s="1"/>
  <c r="G68" i="20"/>
  <c r="F69" i="20"/>
  <c r="G71" i="20"/>
  <c r="G80" i="20"/>
  <c r="D68" i="20"/>
  <c r="E68" i="20" s="1"/>
  <c r="F67" i="20"/>
  <c r="G78" i="20"/>
  <c r="D66" i="20"/>
  <c r="E66" i="20" s="1"/>
  <c r="F63" i="20"/>
  <c r="E69" i="21"/>
  <c r="G70" i="20"/>
  <c r="J47" i="19"/>
  <c r="G76" i="20"/>
  <c r="D64" i="20"/>
  <c r="E64" i="20" s="1"/>
  <c r="D75" i="20"/>
  <c r="E75" i="20" s="1"/>
  <c r="G64" i="20"/>
  <c r="E68" i="21"/>
  <c r="G74" i="20"/>
  <c r="F79" i="20"/>
  <c r="J48" i="19"/>
  <c r="D73" i="20"/>
  <c r="E73" i="20" s="1"/>
  <c r="F77" i="20"/>
  <c r="C64" i="20"/>
  <c r="N47" i="19"/>
  <c r="F81" i="20"/>
  <c r="N48" i="19"/>
  <c r="G72" i="20"/>
  <c r="F75" i="20"/>
  <c r="F65" i="20"/>
  <c r="D71" i="20"/>
  <c r="E71" i="20" s="1"/>
  <c r="E74" i="21"/>
  <c r="E61" i="21"/>
  <c r="C81" i="20"/>
  <c r="C79" i="20"/>
  <c r="C77" i="20"/>
  <c r="C75" i="20"/>
  <c r="C73" i="20"/>
  <c r="C71" i="20"/>
  <c r="C69" i="20"/>
  <c r="C65" i="20"/>
  <c r="E63" i="21"/>
  <c r="I44" i="19"/>
  <c r="M44" i="19"/>
  <c r="H47" i="19"/>
  <c r="L47" i="19"/>
  <c r="H48" i="19"/>
  <c r="L48" i="19"/>
  <c r="H49" i="19"/>
  <c r="M49" i="19"/>
  <c r="D80" i="20"/>
  <c r="E80" i="20" s="1"/>
  <c r="D78" i="20"/>
  <c r="E78" i="20" s="1"/>
  <c r="D76" i="20"/>
  <c r="E76" i="20" s="1"/>
  <c r="D74" i="20"/>
  <c r="E74" i="20" s="1"/>
  <c r="D72" i="20"/>
  <c r="E72" i="20" s="1"/>
  <c r="G69" i="20"/>
  <c r="G67" i="20"/>
  <c r="G65" i="20"/>
  <c r="G63" i="20"/>
  <c r="F80" i="20"/>
  <c r="F78" i="20"/>
  <c r="F76" i="20"/>
  <c r="F74" i="20"/>
  <c r="F72" i="20"/>
  <c r="F70" i="20"/>
  <c r="F68" i="20"/>
  <c r="F66" i="20"/>
  <c r="F64" i="20"/>
  <c r="G82" i="20"/>
  <c r="E59" i="21"/>
  <c r="L44" i="19"/>
  <c r="K47" i="19"/>
  <c r="K48" i="19"/>
  <c r="L49" i="19"/>
  <c r="C67" i="20"/>
  <c r="J44" i="19"/>
  <c r="C60" i="19" s="1"/>
  <c r="I47" i="19"/>
  <c r="I48" i="19"/>
  <c r="I49" i="19"/>
  <c r="G81" i="20"/>
  <c r="G79" i="20"/>
  <c r="G77" i="20"/>
  <c r="G75" i="20"/>
  <c r="G73" i="20"/>
  <c r="D69" i="20"/>
  <c r="E69" i="20" s="1"/>
  <c r="D67" i="20"/>
  <c r="E67" i="20" s="1"/>
  <c r="D65" i="20"/>
  <c r="E65" i="20" s="1"/>
  <c r="D63" i="20"/>
  <c r="E63" i="20" s="1"/>
  <c r="C80" i="20"/>
  <c r="C78" i="20"/>
  <c r="C76" i="20"/>
  <c r="C74" i="20"/>
  <c r="C72" i="20"/>
  <c r="C70" i="20"/>
  <c r="C68" i="20"/>
  <c r="C66" i="20"/>
  <c r="E73" i="21"/>
  <c r="E71" i="21"/>
  <c r="E76" i="21"/>
  <c r="E67" i="21"/>
  <c r="C82" i="20"/>
  <c r="E70" i="20"/>
  <c r="N35" i="16"/>
  <c r="M35" i="16"/>
  <c r="L35" i="16"/>
  <c r="K35" i="16"/>
  <c r="J35" i="16"/>
  <c r="I35" i="16"/>
  <c r="H35" i="16"/>
  <c r="N34" i="16"/>
  <c r="M34" i="16"/>
  <c r="L34" i="16"/>
  <c r="K34" i="16"/>
  <c r="J34" i="16"/>
  <c r="I34" i="16"/>
  <c r="H34" i="16"/>
  <c r="N33" i="16"/>
  <c r="M33" i="16"/>
  <c r="L33" i="16"/>
  <c r="K33" i="16"/>
  <c r="J33" i="16"/>
  <c r="I33" i="16"/>
  <c r="H33" i="16"/>
  <c r="H31" i="16"/>
  <c r="N31" i="16" s="1"/>
  <c r="G23" i="16"/>
  <c r="C23" i="16"/>
  <c r="G22" i="16"/>
  <c r="C22" i="16"/>
  <c r="G21" i="16"/>
  <c r="C21" i="16"/>
  <c r="G20" i="16"/>
  <c r="C20" i="16"/>
  <c r="G19" i="16"/>
  <c r="C19" i="16"/>
  <c r="G18" i="16"/>
  <c r="C18" i="16"/>
  <c r="G17" i="16"/>
  <c r="C17" i="16"/>
  <c r="G16" i="16"/>
  <c r="C16" i="16"/>
  <c r="G15" i="16"/>
  <c r="C15" i="16"/>
  <c r="G14" i="16"/>
  <c r="C14" i="16"/>
  <c r="G13" i="16"/>
  <c r="C13" i="16"/>
  <c r="N32" i="17"/>
  <c r="M32" i="17"/>
  <c r="L32" i="17"/>
  <c r="K32" i="17"/>
  <c r="J32" i="17"/>
  <c r="I32" i="17"/>
  <c r="H32" i="17"/>
  <c r="N31" i="17"/>
  <c r="M31" i="17"/>
  <c r="L31" i="17"/>
  <c r="K31" i="17"/>
  <c r="J31" i="17"/>
  <c r="I31" i="17"/>
  <c r="H31" i="17"/>
  <c r="N30" i="17"/>
  <c r="M30" i="17"/>
  <c r="L30" i="17"/>
  <c r="K30" i="17"/>
  <c r="J30" i="17"/>
  <c r="I30" i="17"/>
  <c r="H30" i="17"/>
  <c r="G28" i="17"/>
  <c r="M28" i="17" s="1"/>
  <c r="D75" i="19" l="1"/>
  <c r="D67" i="19"/>
  <c r="D71" i="19"/>
  <c r="D63" i="19"/>
  <c r="C68" i="19"/>
  <c r="C67" i="19"/>
  <c r="C59" i="19"/>
  <c r="D59" i="19"/>
  <c r="G64" i="19"/>
  <c r="F78" i="19"/>
  <c r="D78" i="19"/>
  <c r="G66" i="19"/>
  <c r="G74" i="19"/>
  <c r="F77" i="19"/>
  <c r="G70" i="19"/>
  <c r="G78" i="19"/>
  <c r="G77" i="19"/>
  <c r="C75" i="19"/>
  <c r="G60" i="19"/>
  <c r="G62" i="19"/>
  <c r="C76" i="19"/>
  <c r="C74" i="19"/>
  <c r="C62" i="19"/>
  <c r="C63" i="19"/>
  <c r="D77" i="19"/>
  <c r="E77" i="19" s="1"/>
  <c r="C65" i="19"/>
  <c r="C66" i="19"/>
  <c r="F59" i="19"/>
  <c r="F66" i="19"/>
  <c r="C70" i="19"/>
  <c r="C77" i="19"/>
  <c r="F70" i="19"/>
  <c r="C71" i="19"/>
  <c r="F74" i="19"/>
  <c r="C72" i="19"/>
  <c r="G59" i="19"/>
  <c r="G63" i="19"/>
  <c r="G67" i="19"/>
  <c r="G71" i="19"/>
  <c r="G75" i="19"/>
  <c r="F63" i="19"/>
  <c r="E63" i="19" s="1"/>
  <c r="F60" i="19"/>
  <c r="F67" i="19"/>
  <c r="E67" i="19" s="1"/>
  <c r="F71" i="19"/>
  <c r="E71" i="19" s="1"/>
  <c r="F75" i="19"/>
  <c r="D60" i="19"/>
  <c r="D64" i="19"/>
  <c r="D68" i="19"/>
  <c r="D72" i="19"/>
  <c r="D76" i="19"/>
  <c r="G68" i="19"/>
  <c r="G72" i="19"/>
  <c r="G76" i="19"/>
  <c r="F64" i="19"/>
  <c r="F61" i="19"/>
  <c r="F68" i="19"/>
  <c r="F72" i="19"/>
  <c r="F76" i="19"/>
  <c r="D61" i="19"/>
  <c r="D65" i="19"/>
  <c r="D69" i="19"/>
  <c r="D73" i="19"/>
  <c r="G61" i="19"/>
  <c r="G65" i="19"/>
  <c r="G69" i="19"/>
  <c r="G73" i="19"/>
  <c r="F65" i="19"/>
  <c r="F62" i="19"/>
  <c r="F69" i="19"/>
  <c r="F73" i="19"/>
  <c r="C61" i="19"/>
  <c r="C64" i="19"/>
  <c r="C69" i="19"/>
  <c r="C73" i="19"/>
  <c r="D62" i="19"/>
  <c r="D66" i="19"/>
  <c r="E66" i="19" s="1"/>
  <c r="D70" i="19"/>
  <c r="E70" i="19" s="1"/>
  <c r="D74" i="19"/>
  <c r="E74" i="19" s="1"/>
  <c r="D60" i="17"/>
  <c r="E60" i="17" s="1"/>
  <c r="G60" i="17"/>
  <c r="D63" i="16"/>
  <c r="E63" i="16" s="1"/>
  <c r="G63" i="16"/>
  <c r="F60" i="17"/>
  <c r="F63" i="16"/>
  <c r="K31" i="16"/>
  <c r="I31" i="16"/>
  <c r="M31" i="16"/>
  <c r="J31" i="16"/>
  <c r="L31" i="16"/>
  <c r="J28" i="17"/>
  <c r="C49" i="17" s="1"/>
  <c r="L28" i="17"/>
  <c r="N28" i="17"/>
  <c r="I28" i="17"/>
  <c r="K28" i="17"/>
  <c r="C78" i="19"/>
  <c r="E78" i="19"/>
  <c r="F42" i="17"/>
  <c r="F43" i="17"/>
  <c r="F44" i="17"/>
  <c r="F45" i="17"/>
  <c r="F46" i="17"/>
  <c r="F47" i="17"/>
  <c r="F48" i="17"/>
  <c r="F49" i="17"/>
  <c r="F50" i="17"/>
  <c r="F51" i="17"/>
  <c r="F52" i="17"/>
  <c r="F53" i="17"/>
  <c r="F54" i="17"/>
  <c r="F55" i="17"/>
  <c r="F56" i="17"/>
  <c r="F57" i="17"/>
  <c r="F58" i="17"/>
  <c r="F59" i="17"/>
  <c r="D45" i="16"/>
  <c r="G45" i="16"/>
  <c r="D46" i="16"/>
  <c r="G46" i="16"/>
  <c r="D47" i="16"/>
  <c r="G47" i="16"/>
  <c r="D48" i="16"/>
  <c r="G48" i="16"/>
  <c r="D49" i="16"/>
  <c r="G49" i="16"/>
  <c r="D50" i="16"/>
  <c r="G50" i="16"/>
  <c r="D51" i="16"/>
  <c r="G51" i="16"/>
  <c r="D52" i="16"/>
  <c r="G52" i="16"/>
  <c r="D53" i="16"/>
  <c r="G53" i="16"/>
  <c r="D54" i="16"/>
  <c r="G54" i="16"/>
  <c r="D55" i="16"/>
  <c r="G55" i="16"/>
  <c r="D56" i="16"/>
  <c r="G56" i="16"/>
  <c r="D57" i="16"/>
  <c r="G57" i="16"/>
  <c r="D58" i="16"/>
  <c r="G58" i="16"/>
  <c r="D59" i="16"/>
  <c r="G59" i="16"/>
  <c r="D60" i="16"/>
  <c r="G60" i="16"/>
  <c r="D61" i="16"/>
  <c r="G61" i="16"/>
  <c r="D62" i="16"/>
  <c r="G62" i="16"/>
  <c r="D42" i="17"/>
  <c r="G42" i="17"/>
  <c r="D43" i="17"/>
  <c r="G43" i="17"/>
  <c r="D44" i="17"/>
  <c r="G44" i="17"/>
  <c r="D45" i="17"/>
  <c r="G45" i="17"/>
  <c r="D46" i="17"/>
  <c r="G46" i="17"/>
  <c r="D47" i="17"/>
  <c r="G47" i="17"/>
  <c r="D48" i="17"/>
  <c r="G48" i="17"/>
  <c r="D49" i="17"/>
  <c r="G49" i="17"/>
  <c r="D50" i="17"/>
  <c r="G50" i="17"/>
  <c r="D51" i="17"/>
  <c r="G51" i="17"/>
  <c r="D52" i="17"/>
  <c r="G52" i="17"/>
  <c r="D53" i="17"/>
  <c r="G53" i="17"/>
  <c r="D54" i="17"/>
  <c r="G54" i="17"/>
  <c r="D55" i="17"/>
  <c r="G55" i="17"/>
  <c r="D56" i="17"/>
  <c r="G56" i="17"/>
  <c r="D57" i="17"/>
  <c r="G57" i="17"/>
  <c r="D58" i="17"/>
  <c r="G58" i="17"/>
  <c r="D59" i="17"/>
  <c r="G59" i="17"/>
  <c r="G61" i="17"/>
  <c r="F61" i="17" s="1"/>
  <c r="F45" i="16"/>
  <c r="F46" i="16"/>
  <c r="F47" i="16"/>
  <c r="F48" i="16"/>
  <c r="F49" i="16"/>
  <c r="F50" i="16"/>
  <c r="E50" i="16" s="1"/>
  <c r="F51" i="16"/>
  <c r="F52" i="16"/>
  <c r="F53" i="16"/>
  <c r="F54" i="16"/>
  <c r="F55" i="16"/>
  <c r="F56" i="16"/>
  <c r="F57" i="16"/>
  <c r="F58" i="16"/>
  <c r="F59" i="16"/>
  <c r="E59" i="16" s="1"/>
  <c r="F60" i="16"/>
  <c r="F61" i="16"/>
  <c r="F62" i="16"/>
  <c r="E62" i="16" s="1"/>
  <c r="G64" i="16"/>
  <c r="F64" i="16" s="1"/>
  <c r="C65" i="12"/>
  <c r="C64" i="12"/>
  <c r="C63" i="12"/>
  <c r="C62" i="12"/>
  <c r="C61" i="12"/>
  <c r="C60" i="12"/>
  <c r="C59" i="12"/>
  <c r="C58" i="12"/>
  <c r="C57" i="12"/>
  <c r="C56" i="12"/>
  <c r="C55" i="12"/>
  <c r="C54" i="12"/>
  <c r="C53" i="12"/>
  <c r="C52" i="12"/>
  <c r="C51" i="12"/>
  <c r="C50" i="12"/>
  <c r="C49" i="12"/>
  <c r="C48" i="12"/>
  <c r="C47" i="12"/>
  <c r="C46" i="12"/>
  <c r="G37" i="12"/>
  <c r="H36" i="12"/>
  <c r="N35" i="12"/>
  <c r="M35" i="12"/>
  <c r="L35" i="12"/>
  <c r="K35" i="12"/>
  <c r="J35" i="12"/>
  <c r="I35" i="12" s="1"/>
  <c r="H35" i="12"/>
  <c r="G35" i="12"/>
  <c r="G34" i="12"/>
  <c r="M34" i="12" s="1"/>
  <c r="G33" i="12"/>
  <c r="M33" i="12" s="1"/>
  <c r="H31" i="12"/>
  <c r="D29" i="12"/>
  <c r="H21" i="12"/>
  <c r="H20" i="12"/>
  <c r="H19" i="12"/>
  <c r="H18" i="12"/>
  <c r="H17" i="12"/>
  <c r="H16" i="12"/>
  <c r="H15" i="12"/>
  <c r="H14" i="12"/>
  <c r="H13" i="12"/>
  <c r="C55" i="11"/>
  <c r="C54" i="11"/>
  <c r="C53" i="11"/>
  <c r="C52" i="11"/>
  <c r="C51" i="11"/>
  <c r="C50" i="11"/>
  <c r="C49" i="11"/>
  <c r="C48" i="11"/>
  <c r="C47" i="11"/>
  <c r="C46" i="11"/>
  <c r="C45" i="11"/>
  <c r="C44" i="11"/>
  <c r="C43" i="11"/>
  <c r="C42" i="11"/>
  <c r="C41" i="11"/>
  <c r="C40" i="11"/>
  <c r="C39" i="11"/>
  <c r="C38" i="11"/>
  <c r="C37" i="11"/>
  <c r="C36" i="11"/>
  <c r="G27" i="11"/>
  <c r="H26" i="11"/>
  <c r="N25" i="11"/>
  <c r="M25" i="11"/>
  <c r="L25" i="11"/>
  <c r="K25" i="11"/>
  <c r="J25" i="11" s="1"/>
  <c r="I25" i="11"/>
  <c r="H25" i="11"/>
  <c r="G25" i="11"/>
  <c r="G24" i="11"/>
  <c r="M24" i="11" s="1"/>
  <c r="G23" i="11"/>
  <c r="M23" i="11" s="1"/>
  <c r="D21" i="11"/>
  <c r="H15" i="11"/>
  <c r="H14" i="11"/>
  <c r="H13" i="11"/>
  <c r="E75" i="19" l="1"/>
  <c r="E72" i="19"/>
  <c r="E68" i="19"/>
  <c r="E76" i="19"/>
  <c r="E59" i="19"/>
  <c r="E57" i="16"/>
  <c r="E56" i="16"/>
  <c r="E51" i="16"/>
  <c r="C45" i="17"/>
  <c r="E73" i="19"/>
  <c r="C43" i="17"/>
  <c r="E55" i="16"/>
  <c r="E65" i="19"/>
  <c r="E53" i="16"/>
  <c r="E54" i="16"/>
  <c r="E49" i="16"/>
  <c r="E61" i="16"/>
  <c r="E60" i="16"/>
  <c r="C57" i="17"/>
  <c r="E48" i="16"/>
  <c r="C55" i="17"/>
  <c r="E45" i="16"/>
  <c r="C51" i="17"/>
  <c r="E47" i="16"/>
  <c r="C46" i="17"/>
  <c r="C56" i="17"/>
  <c r="C50" i="17"/>
  <c r="C44" i="17"/>
  <c r="E69" i="19"/>
  <c r="E58" i="16"/>
  <c r="E46" i="16"/>
  <c r="C54" i="17"/>
  <c r="C48" i="17"/>
  <c r="C42" i="17"/>
  <c r="E64" i="19"/>
  <c r="C59" i="17"/>
  <c r="C53" i="17"/>
  <c r="C47" i="17"/>
  <c r="C58" i="17"/>
  <c r="C52" i="17"/>
  <c r="E52" i="16"/>
  <c r="J23" i="11"/>
  <c r="N23" i="11"/>
  <c r="J24" i="11"/>
  <c r="N24" i="11"/>
  <c r="J33" i="12"/>
  <c r="N33" i="12"/>
  <c r="J34" i="12"/>
  <c r="N34" i="12"/>
  <c r="E62" i="19"/>
  <c r="K23" i="11"/>
  <c r="D48" i="11" s="1"/>
  <c r="K24" i="11"/>
  <c r="F51" i="11" s="1"/>
  <c r="K33" i="12"/>
  <c r="D63" i="12" s="1"/>
  <c r="E63" i="12" s="1"/>
  <c r="K34" i="12"/>
  <c r="E61" i="19"/>
  <c r="E60" i="19"/>
  <c r="H23" i="11"/>
  <c r="L23" i="11"/>
  <c r="H24" i="11"/>
  <c r="L24" i="11"/>
  <c r="H33" i="12"/>
  <c r="L33" i="12"/>
  <c r="H34" i="12"/>
  <c r="L34" i="12"/>
  <c r="C60" i="17"/>
  <c r="I23" i="11"/>
  <c r="I24" i="11"/>
  <c r="F38" i="11" s="1"/>
  <c r="I33" i="12"/>
  <c r="D53" i="12" s="1"/>
  <c r="I34" i="12"/>
  <c r="C63" i="16"/>
  <c r="C61" i="16"/>
  <c r="C59" i="16"/>
  <c r="C57" i="16"/>
  <c r="C55" i="16"/>
  <c r="C53" i="16"/>
  <c r="C51" i="16"/>
  <c r="C49" i="16"/>
  <c r="C47" i="16"/>
  <c r="C64" i="16"/>
  <c r="C62" i="16"/>
  <c r="C60" i="16"/>
  <c r="C58" i="16"/>
  <c r="C56" i="16"/>
  <c r="C54" i="16"/>
  <c r="C52" i="16"/>
  <c r="C50" i="16"/>
  <c r="C48" i="16"/>
  <c r="C46" i="16"/>
  <c r="C45" i="16"/>
  <c r="F50" i="11"/>
  <c r="F36" i="11"/>
  <c r="F49" i="11"/>
  <c r="E59" i="17"/>
  <c r="E58" i="17"/>
  <c r="E57" i="17"/>
  <c r="E56" i="17"/>
  <c r="E55" i="17"/>
  <c r="E54" i="17"/>
  <c r="E53" i="17"/>
  <c r="E52" i="17"/>
  <c r="E51" i="17"/>
  <c r="E50" i="17"/>
  <c r="E49" i="17"/>
  <c r="E48" i="17"/>
  <c r="E47" i="17"/>
  <c r="E46" i="17"/>
  <c r="E45" i="17"/>
  <c r="E44" i="17"/>
  <c r="E43" i="17"/>
  <c r="E42" i="17"/>
  <c r="D52" i="12" l="1"/>
  <c r="E52" i="12" s="1"/>
  <c r="D47" i="12"/>
  <c r="D47" i="11"/>
  <c r="D53" i="11"/>
  <c r="G53" i="11" s="1"/>
  <c r="D49" i="12"/>
  <c r="D46" i="12"/>
  <c r="E46" i="12" s="1"/>
  <c r="D52" i="11"/>
  <c r="D51" i="11"/>
  <c r="G51" i="11" s="1"/>
  <c r="D49" i="11"/>
  <c r="G49" i="11" s="1"/>
  <c r="D50" i="11"/>
  <c r="G50" i="11" s="1"/>
  <c r="E53" i="12"/>
  <c r="G53" i="12"/>
  <c r="E49" i="12"/>
  <c r="G49" i="12"/>
  <c r="E47" i="12"/>
  <c r="G47" i="12"/>
  <c r="D60" i="12"/>
  <c r="D37" i="11"/>
  <c r="D59" i="12"/>
  <c r="D64" i="12"/>
  <c r="E64" i="12" s="1"/>
  <c r="D58" i="12"/>
  <c r="E58" i="12" s="1"/>
  <c r="D55" i="11"/>
  <c r="D45" i="11"/>
  <c r="G45" i="11" s="1"/>
  <c r="D46" i="11"/>
  <c r="G46" i="11" s="1"/>
  <c r="D44" i="11"/>
  <c r="G44" i="11" s="1"/>
  <c r="D38" i="11"/>
  <c r="G38" i="11" s="1"/>
  <c r="D42" i="11"/>
  <c r="G42" i="11" s="1"/>
  <c r="D62" i="12"/>
  <c r="D40" i="11"/>
  <c r="D36" i="11"/>
  <c r="D61" i="12"/>
  <c r="D57" i="12"/>
  <c r="E57" i="12" s="1"/>
  <c r="D56" i="12"/>
  <c r="D55" i="12"/>
  <c r="D54" i="12"/>
  <c r="D43" i="11"/>
  <c r="D41" i="11"/>
  <c r="G41" i="11" s="1"/>
  <c r="D39" i="11"/>
  <c r="G39" i="11" s="1"/>
  <c r="F42" i="11"/>
  <c r="F47" i="12"/>
  <c r="D51" i="12"/>
  <c r="E51" i="12" s="1"/>
  <c r="D50" i="12"/>
  <c r="D48" i="12"/>
  <c r="F53" i="11"/>
  <c r="F39" i="11"/>
  <c r="F58" i="12"/>
  <c r="F52" i="12"/>
  <c r="F46" i="12"/>
  <c r="F40" i="11"/>
  <c r="F63" i="12"/>
  <c r="F57" i="12"/>
  <c r="F51" i="12"/>
  <c r="F64" i="12"/>
  <c r="F55" i="11"/>
  <c r="G64" i="12"/>
  <c r="G52" i="12"/>
  <c r="F62" i="12"/>
  <c r="F56" i="12"/>
  <c r="F50" i="12"/>
  <c r="F37" i="11"/>
  <c r="F52" i="11"/>
  <c r="F47" i="11"/>
  <c r="F48" i="11"/>
  <c r="G63" i="12"/>
  <c r="F61" i="12"/>
  <c r="F55" i="12"/>
  <c r="F49" i="12"/>
  <c r="F46" i="11"/>
  <c r="F43" i="11"/>
  <c r="F60" i="12"/>
  <c r="F54" i="12"/>
  <c r="F48" i="12"/>
  <c r="F45" i="11"/>
  <c r="F44" i="11"/>
  <c r="G46" i="12"/>
  <c r="F41" i="11"/>
  <c r="F59" i="12"/>
  <c r="F53" i="12"/>
  <c r="E53" i="11"/>
  <c r="G52" i="11"/>
  <c r="E52" i="11"/>
  <c r="G48" i="11"/>
  <c r="E48" i="11"/>
  <c r="G40" i="11"/>
  <c r="E40" i="11"/>
  <c r="G47" i="11"/>
  <c r="E47" i="11"/>
  <c r="G36" i="11"/>
  <c r="E36" i="11"/>
  <c r="G43" i="11"/>
  <c r="E43" i="11"/>
  <c r="G37" i="11"/>
  <c r="E37" i="11"/>
  <c r="G76" i="22"/>
  <c r="H75" i="22"/>
  <c r="M74" i="22"/>
  <c r="K74" i="22"/>
  <c r="J74" i="22" s="1"/>
  <c r="H74" i="22"/>
  <c r="G74" i="22"/>
  <c r="I74" i="22" s="1"/>
  <c r="G73" i="22"/>
  <c r="K73" i="22" s="1"/>
  <c r="G72" i="22"/>
  <c r="K72" i="22" s="1"/>
  <c r="H70" i="22"/>
  <c r="N68" i="22"/>
  <c r="D66" i="22"/>
  <c r="K48" i="22"/>
  <c r="K46" i="22"/>
  <c r="K45" i="22"/>
  <c r="K44" i="22"/>
  <c r="K43" i="22"/>
  <c r="K42" i="22"/>
  <c r="K41" i="22"/>
  <c r="K40" i="22"/>
  <c r="K39" i="22"/>
  <c r="K38" i="22"/>
  <c r="K37" i="22"/>
  <c r="K36" i="22"/>
  <c r="K35" i="22"/>
  <c r="K34" i="22"/>
  <c r="K33" i="22"/>
  <c r="K32" i="22"/>
  <c r="K31" i="22"/>
  <c r="K30" i="22"/>
  <c r="K29" i="22"/>
  <c r="K28" i="22"/>
  <c r="K27" i="22"/>
  <c r="K26" i="22"/>
  <c r="K25" i="22"/>
  <c r="K24" i="22"/>
  <c r="K23" i="22"/>
  <c r="K22" i="22"/>
  <c r="K21" i="22"/>
  <c r="K20" i="22"/>
  <c r="K19" i="22"/>
  <c r="K18" i="22"/>
  <c r="K17" i="22"/>
  <c r="K16" i="22"/>
  <c r="K15" i="22"/>
  <c r="K14" i="22"/>
  <c r="K13" i="22"/>
  <c r="E46" i="11" l="1"/>
  <c r="E50" i="11"/>
  <c r="E44" i="11"/>
  <c r="E38" i="11"/>
  <c r="E51" i="11"/>
  <c r="E49" i="11"/>
  <c r="L72" i="22"/>
  <c r="E61" i="12"/>
  <c r="G61" i="12"/>
  <c r="E39" i="11"/>
  <c r="G51" i="12"/>
  <c r="E59" i="12"/>
  <c r="G59" i="12"/>
  <c r="E41" i="11"/>
  <c r="E42" i="11"/>
  <c r="G57" i="12"/>
  <c r="E48" i="12"/>
  <c r="G48" i="12"/>
  <c r="E45" i="11"/>
  <c r="E62" i="12"/>
  <c r="G62" i="12"/>
  <c r="E60" i="12"/>
  <c r="G60" i="12"/>
  <c r="G55" i="11"/>
  <c r="E55" i="11"/>
  <c r="G58" i="12"/>
  <c r="E50" i="12"/>
  <c r="G50" i="12"/>
  <c r="E54" i="12"/>
  <c r="G54" i="12"/>
  <c r="E55" i="12"/>
  <c r="G55" i="12"/>
  <c r="E56" i="12"/>
  <c r="G56" i="12"/>
  <c r="L74" i="22"/>
  <c r="N74" i="22"/>
  <c r="H73" i="22"/>
  <c r="N72" i="22"/>
  <c r="L73" i="22"/>
  <c r="H68" i="22"/>
  <c r="I68" i="22"/>
  <c r="M68" i="22"/>
  <c r="K68" i="22"/>
  <c r="J68" i="22" s="1"/>
  <c r="L68" i="22"/>
  <c r="J72" i="22"/>
  <c r="J73" i="22"/>
  <c r="N73" i="22"/>
  <c r="F97" i="22" s="1"/>
  <c r="H72" i="22"/>
  <c r="I72" i="22"/>
  <c r="M72" i="22"/>
  <c r="I73" i="22"/>
  <c r="M73" i="22"/>
  <c r="C139" i="8"/>
  <c r="C138" i="8"/>
  <c r="C137" i="8"/>
  <c r="C136" i="8"/>
  <c r="C135" i="8"/>
  <c r="C134" i="8"/>
  <c r="C133" i="8"/>
  <c r="C132" i="8"/>
  <c r="C131" i="8"/>
  <c r="C130" i="8"/>
  <c r="C129" i="8"/>
  <c r="C128" i="8"/>
  <c r="C127" i="8"/>
  <c r="C126" i="8"/>
  <c r="C125" i="8"/>
  <c r="C124" i="8"/>
  <c r="C123" i="8"/>
  <c r="C122" i="8"/>
  <c r="D90" i="22" l="1"/>
  <c r="E90" i="22" s="1"/>
  <c r="C86" i="22"/>
  <c r="D96" i="22"/>
  <c r="E96" i="22" s="1"/>
  <c r="F87" i="22"/>
  <c r="F93" i="22"/>
  <c r="F91" i="22"/>
  <c r="F85" i="22"/>
  <c r="F100" i="22"/>
  <c r="D85" i="22"/>
  <c r="E85" i="22" s="1"/>
  <c r="C85" i="22"/>
  <c r="C95" i="22"/>
  <c r="C103" i="22"/>
  <c r="C87" i="22"/>
  <c r="C97" i="22"/>
  <c r="C100" i="22"/>
  <c r="C99" i="22"/>
  <c r="C91" i="22"/>
  <c r="C93" i="22"/>
  <c r="C101" i="22"/>
  <c r="C89" i="22"/>
  <c r="C102" i="22"/>
  <c r="C94" i="22"/>
  <c r="C92" i="22"/>
  <c r="C90" i="22"/>
  <c r="C98" i="22"/>
  <c r="C84" i="22"/>
  <c r="C96" i="22"/>
  <c r="C88" i="22"/>
  <c r="F96" i="22"/>
  <c r="F90" i="22"/>
  <c r="F99" i="22"/>
  <c r="F95" i="22"/>
  <c r="F89" i="22"/>
  <c r="F101" i="22"/>
  <c r="D95" i="22"/>
  <c r="E95" i="22" s="1"/>
  <c r="D89" i="22"/>
  <c r="E89" i="22" s="1"/>
  <c r="F102" i="22"/>
  <c r="F94" i="22"/>
  <c r="F88" i="22"/>
  <c r="D100" i="22"/>
  <c r="E100" i="22" s="1"/>
  <c r="D94" i="22"/>
  <c r="E94" i="22" s="1"/>
  <c r="D88" i="22"/>
  <c r="E88" i="22" s="1"/>
  <c r="D101" i="22"/>
  <c r="E101" i="22" s="1"/>
  <c r="D93" i="22"/>
  <c r="E93" i="22" s="1"/>
  <c r="D87" i="22"/>
  <c r="E87" i="22" s="1"/>
  <c r="F84" i="22"/>
  <c r="D99" i="22"/>
  <c r="G99" i="22" s="1"/>
  <c r="F98" i="22"/>
  <c r="F92" i="22"/>
  <c r="F86" i="22"/>
  <c r="D84" i="22"/>
  <c r="E84" i="22" s="1"/>
  <c r="D102" i="22"/>
  <c r="D98" i="22"/>
  <c r="E98" i="22" s="1"/>
  <c r="D92" i="22"/>
  <c r="E92" i="22" s="1"/>
  <c r="D86" i="22"/>
  <c r="E86" i="22" s="1"/>
  <c r="D97" i="22"/>
  <c r="E97" i="22" s="1"/>
  <c r="D91" i="22"/>
  <c r="E91" i="22" s="1"/>
  <c r="E102" i="22"/>
  <c r="G102" i="22"/>
  <c r="G85" i="22"/>
  <c r="G97" i="22"/>
  <c r="G91" i="22"/>
  <c r="G89" i="22"/>
  <c r="G96" i="22"/>
  <c r="G92" i="22"/>
  <c r="G90" i="22"/>
  <c r="G88" i="22"/>
  <c r="C121" i="8"/>
  <c r="C120" i="8"/>
  <c r="J110" i="8"/>
  <c r="I110" i="8"/>
  <c r="H110" i="8"/>
  <c r="N108" i="8"/>
  <c r="M108" i="8"/>
  <c r="L108" i="8"/>
  <c r="K108" i="8"/>
  <c r="J108" i="8"/>
  <c r="I108" i="8"/>
  <c r="H108" i="8"/>
  <c r="N107" i="8"/>
  <c r="M107" i="8"/>
  <c r="L107" i="8"/>
  <c r="K107" i="8"/>
  <c r="J107" i="8"/>
  <c r="I107" i="8"/>
  <c r="H107" i="8"/>
  <c r="P94" i="8"/>
  <c r="P93" i="8"/>
  <c r="Q91" i="8"/>
  <c r="Q89" i="8"/>
  <c r="G75" i="8"/>
  <c r="G74" i="8"/>
  <c r="G73" i="8"/>
  <c r="G72" i="8"/>
  <c r="G71" i="8"/>
  <c r="G70" i="8"/>
  <c r="G69" i="8"/>
  <c r="G68" i="8"/>
  <c r="G67" i="8"/>
  <c r="G66" i="8"/>
  <c r="G65" i="8"/>
  <c r="G64" i="8"/>
  <c r="G63" i="8"/>
  <c r="G62" i="8"/>
  <c r="G60" i="8"/>
  <c r="G59" i="8"/>
  <c r="G58" i="8"/>
  <c r="G57" i="8"/>
  <c r="G56" i="8"/>
  <c r="G55" i="8"/>
  <c r="G54" i="8"/>
  <c r="G53" i="8"/>
  <c r="G52" i="8"/>
  <c r="G51" i="8"/>
  <c r="G50" i="8"/>
  <c r="G49" i="8"/>
  <c r="G48" i="8"/>
  <c r="G47" i="8"/>
  <c r="G46" i="8"/>
  <c r="G45" i="8"/>
  <c r="G44" i="8"/>
  <c r="G43" i="8"/>
  <c r="G41" i="8"/>
  <c r="G40" i="8"/>
  <c r="G39" i="8"/>
  <c r="G38" i="8"/>
  <c r="G37" i="8"/>
  <c r="G36" i="8"/>
  <c r="G35" i="8"/>
  <c r="G34" i="8"/>
  <c r="G33" i="8"/>
  <c r="G32" i="8"/>
  <c r="G31" i="8"/>
  <c r="G30" i="8"/>
  <c r="G29" i="8"/>
  <c r="G28" i="8"/>
  <c r="G13" i="8"/>
  <c r="G95" i="22" l="1"/>
  <c r="G100" i="22"/>
  <c r="E99" i="22"/>
  <c r="G93" i="22"/>
  <c r="G98" i="22"/>
  <c r="G101" i="22"/>
  <c r="G86" i="22"/>
  <c r="G87" i="22"/>
  <c r="G94" i="22"/>
  <c r="G84" i="22"/>
  <c r="G139" i="8"/>
  <c r="G137" i="8"/>
  <c r="G135" i="8"/>
  <c r="G133" i="8"/>
  <c r="G131" i="8"/>
  <c r="G129" i="8"/>
  <c r="G127" i="8"/>
  <c r="G125" i="8"/>
  <c r="G123" i="8"/>
  <c r="G121" i="8"/>
  <c r="G138" i="8"/>
  <c r="G136" i="8"/>
  <c r="G134" i="8"/>
  <c r="G132" i="8"/>
  <c r="G130" i="8"/>
  <c r="G128" i="8"/>
  <c r="G126" i="8"/>
  <c r="G124" i="8"/>
  <c r="G122" i="8"/>
  <c r="G120" i="8"/>
  <c r="D139" i="8"/>
  <c r="D137" i="8"/>
  <c r="D136" i="8"/>
  <c r="D135" i="8"/>
  <c r="D134" i="8"/>
  <c r="D133" i="8"/>
  <c r="D132" i="8"/>
  <c r="D131" i="8"/>
  <c r="D130" i="8"/>
  <c r="D129" i="8"/>
  <c r="D128" i="8"/>
  <c r="D127" i="8"/>
  <c r="D126" i="8"/>
  <c r="D125" i="8"/>
  <c r="D124" i="8"/>
  <c r="D123" i="8"/>
  <c r="D122" i="8"/>
  <c r="D120" i="8"/>
  <c r="D121" i="8"/>
  <c r="F136" i="8"/>
  <c r="F134" i="8"/>
  <c r="F132" i="8"/>
  <c r="F130" i="8"/>
  <c r="F128" i="8"/>
  <c r="F125" i="8"/>
  <c r="F123" i="8"/>
  <c r="F139" i="8"/>
  <c r="F138" i="8"/>
  <c r="D138" i="8" s="1"/>
  <c r="F137" i="8"/>
  <c r="F135" i="8"/>
  <c r="F133" i="8"/>
  <c r="F131" i="8"/>
  <c r="F129" i="8"/>
  <c r="F127" i="8"/>
  <c r="F126" i="8"/>
  <c r="F124" i="8"/>
  <c r="F122" i="8"/>
  <c r="F121" i="8"/>
  <c r="F120" i="8"/>
  <c r="G117" i="1" l="1"/>
  <c r="M117" i="1" s="1"/>
  <c r="N116" i="1"/>
  <c r="M116" i="1"/>
  <c r="L116" i="1"/>
  <c r="K116" i="1"/>
  <c r="J116" i="1"/>
  <c r="I116" i="1"/>
  <c r="H116" i="1"/>
  <c r="N115" i="1"/>
  <c r="M115" i="1"/>
  <c r="L115" i="1"/>
  <c r="K115" i="1"/>
  <c r="J115" i="1"/>
  <c r="I115" i="1"/>
  <c r="H115" i="1"/>
  <c r="G111" i="1"/>
  <c r="M111" i="1" s="1"/>
  <c r="J117" i="1" l="1"/>
  <c r="N117" i="1"/>
  <c r="H117" i="1"/>
  <c r="L117" i="1"/>
  <c r="I117" i="1"/>
  <c r="K117" i="1"/>
  <c r="G143" i="1" s="1"/>
  <c r="J111" i="1"/>
  <c r="N111" i="1"/>
  <c r="H111" i="1"/>
  <c r="L111" i="1"/>
  <c r="F146" i="1"/>
  <c r="F145" i="1"/>
  <c r="F144" i="1"/>
  <c r="F143" i="1"/>
  <c r="F142" i="1"/>
  <c r="F141" i="1"/>
  <c r="F140" i="1"/>
  <c r="F139" i="1"/>
  <c r="F138" i="1"/>
  <c r="F137" i="1"/>
  <c r="F136" i="1"/>
  <c r="F135" i="1"/>
  <c r="F134" i="1"/>
  <c r="F133" i="1"/>
  <c r="F132" i="1"/>
  <c r="F131" i="1"/>
  <c r="F130" i="1"/>
  <c r="F129" i="1"/>
  <c r="F127" i="1"/>
  <c r="G130" i="1"/>
  <c r="I111" i="1"/>
  <c r="K111" i="1"/>
  <c r="D146" i="1"/>
  <c r="D145" i="1"/>
  <c r="D144" i="1"/>
  <c r="D143" i="1"/>
  <c r="D142" i="1"/>
  <c r="D141" i="1"/>
  <c r="D140" i="1"/>
  <c r="D139" i="1"/>
  <c r="D138" i="1"/>
  <c r="D137" i="1"/>
  <c r="D136" i="1"/>
  <c r="D135" i="1"/>
  <c r="D134" i="1"/>
  <c r="D133" i="1"/>
  <c r="D132" i="1"/>
  <c r="D131" i="1"/>
  <c r="D130" i="1"/>
  <c r="D129" i="1"/>
  <c r="D128" i="1"/>
  <c r="D127" i="1"/>
  <c r="E127" i="1" s="1"/>
  <c r="G137" i="1" l="1"/>
  <c r="G145" i="1"/>
  <c r="G127" i="1"/>
  <c r="G141" i="1"/>
  <c r="G128" i="1"/>
  <c r="F128" i="1" s="1"/>
  <c r="G132" i="1"/>
  <c r="G135" i="1"/>
  <c r="G139" i="1"/>
  <c r="G146" i="1"/>
  <c r="G129" i="1"/>
  <c r="G131" i="1"/>
  <c r="G133" i="1"/>
  <c r="G134" i="1"/>
  <c r="G136" i="1"/>
  <c r="G138" i="1"/>
  <c r="G140" i="1"/>
  <c r="G142" i="1"/>
  <c r="G144" i="1"/>
  <c r="C146" i="1"/>
  <c r="E128" i="1"/>
  <c r="E130" i="1"/>
  <c r="E132" i="1"/>
  <c r="E134" i="1"/>
  <c r="E136" i="1"/>
  <c r="E138" i="1"/>
  <c r="E140" i="1"/>
  <c r="E142" i="1"/>
  <c r="E144" i="1"/>
  <c r="E146" i="1"/>
  <c r="C129" i="1"/>
  <c r="C131" i="1"/>
  <c r="C133" i="1"/>
  <c r="C135" i="1"/>
  <c r="C137" i="1"/>
  <c r="C139" i="1"/>
  <c r="C141" i="1"/>
  <c r="C143" i="1"/>
  <c r="C145" i="1"/>
  <c r="C128" i="1"/>
  <c r="E129" i="1"/>
  <c r="E131" i="1"/>
  <c r="E133" i="1"/>
  <c r="E135" i="1"/>
  <c r="E137" i="1"/>
  <c r="E139" i="1"/>
  <c r="E141" i="1"/>
  <c r="E143" i="1"/>
  <c r="E145" i="1"/>
  <c r="C127" i="1"/>
  <c r="C130" i="1"/>
  <c r="C132" i="1"/>
  <c r="C134" i="1"/>
  <c r="C136" i="1"/>
  <c r="C138" i="1"/>
  <c r="C140" i="1"/>
  <c r="C142" i="1"/>
  <c r="C144" i="1"/>
  <c r="D103" i="22"/>
  <c r="E103" i="22" s="1"/>
  <c r="F103" i="22"/>
  <c r="D64" i="16"/>
  <c r="E64" i="16" s="1"/>
  <c r="D65" i="12"/>
  <c r="E65" i="12" s="1"/>
  <c r="G65" i="12"/>
  <c r="F65" i="12"/>
  <c r="D54" i="11"/>
  <c r="E54" i="11" s="1"/>
  <c r="F54" i="11"/>
  <c r="D61" i="17"/>
  <c r="E61" i="17" s="1"/>
  <c r="C61" i="17"/>
  <c r="G103" i="22" l="1"/>
  <c r="G54" i="11"/>
</calcChain>
</file>

<file path=xl/sharedStrings.xml><?xml version="1.0" encoding="utf-8"?>
<sst xmlns="http://schemas.openxmlformats.org/spreadsheetml/2006/main" count="1175" uniqueCount="248">
  <si>
    <t>Trim Options:</t>
  </si>
  <si>
    <t>5/8</t>
  </si>
  <si>
    <t>1 1/2</t>
  </si>
  <si>
    <t>4</t>
  </si>
  <si>
    <t>3</t>
  </si>
  <si>
    <t>6</t>
  </si>
  <si>
    <t>8</t>
  </si>
  <si>
    <t>10</t>
  </si>
  <si>
    <t>12</t>
  </si>
  <si>
    <t>14</t>
  </si>
  <si>
    <t>16</t>
  </si>
  <si>
    <t>18</t>
  </si>
  <si>
    <t>Nominal Valve Size</t>
  </si>
  <si>
    <t>Stroke</t>
  </si>
  <si>
    <t>=%</t>
  </si>
  <si>
    <t>Linear</t>
  </si>
  <si>
    <t>in.</t>
  </si>
  <si>
    <t>mm</t>
  </si>
  <si>
    <t>Cv</t>
  </si>
  <si>
    <t>EQ%, Linear</t>
  </si>
  <si>
    <t>FTC, FTO</t>
  </si>
  <si>
    <t>Liquid Pressure Recovery Factor</t>
  </si>
  <si>
    <t>Relative Capacity Factor</t>
  </si>
  <si>
    <t>Cd</t>
  </si>
  <si>
    <t>Terminal Pressure Drop Ratio</t>
  </si>
  <si>
    <t>xT</t>
  </si>
  <si>
    <t>Valve Style Modifier</t>
  </si>
  <si>
    <t>Fs</t>
  </si>
  <si>
    <t>Laminar Sizing Factor</t>
  </si>
  <si>
    <t>Calc'd</t>
  </si>
  <si>
    <t>Min</t>
  </si>
  <si>
    <t>Max</t>
  </si>
  <si>
    <t>FL</t>
  </si>
  <si>
    <t>Cavitation Index</t>
  </si>
  <si>
    <t>Kc</t>
  </si>
  <si>
    <t>phi</t>
  </si>
  <si>
    <t>xT = 0.84*FL^2</t>
  </si>
  <si>
    <t>Initial guess</t>
  </si>
  <si>
    <t xml:space="preserve">Cd = Cvreq'd/d^2, where d = Selected valve size in inches </t>
  </si>
  <si>
    <t>1 1/4</t>
  </si>
  <si>
    <t>2 1/2</t>
  </si>
  <si>
    <t>5</t>
  </si>
  <si>
    <t>7</t>
  </si>
  <si>
    <t>%Stk</t>
  </si>
  <si>
    <t>P4</t>
  </si>
  <si>
    <t>P3</t>
  </si>
  <si>
    <t>P2</t>
  </si>
  <si>
    <t>P1</t>
  </si>
  <si>
    <t>P0</t>
  </si>
  <si>
    <t>1</t>
  </si>
  <si>
    <t>2</t>
  </si>
  <si>
    <t>ID</t>
  </si>
  <si>
    <t>Plug Size</t>
  </si>
  <si>
    <t>A5</t>
  </si>
  <si>
    <t>A4</t>
  </si>
  <si>
    <t>A3</t>
  </si>
  <si>
    <t>A2</t>
  </si>
  <si>
    <t>A1</t>
  </si>
  <si>
    <t>A0</t>
  </si>
  <si>
    <t>-</t>
  </si>
  <si>
    <t>Cv/Cvrated</t>
  </si>
  <si>
    <t>900# /1500#</t>
  </si>
  <si>
    <r>
      <rPr>
        <b/>
        <u/>
        <sz val="10"/>
        <rFont val="Arial"/>
        <family val="2"/>
      </rPr>
      <t>&lt;</t>
    </r>
    <r>
      <rPr>
        <b/>
        <sz val="10"/>
        <rFont val="Arial"/>
        <family val="2"/>
      </rPr>
      <t xml:space="preserve"> 600#</t>
    </r>
  </si>
  <si>
    <t>900# / 1500#</t>
  </si>
  <si>
    <t>2500#</t>
  </si>
  <si>
    <t>ASME Pressure Rating</t>
  </si>
  <si>
    <t>Table 1  Rated Capacities</t>
  </si>
  <si>
    <t>Choices for Cv versus Travel Graph</t>
  </si>
  <si>
    <t>xTi</t>
  </si>
  <si>
    <t>Nominal Trim Size</t>
  </si>
  <si>
    <t>Eq% Index</t>
  </si>
  <si>
    <t>Equal Percentage Stroke - Curve Fit Constants Data</t>
  </si>
  <si>
    <t>Table Index</t>
  </si>
  <si>
    <t>Pressure Recovery, FL Curve Fit Data</t>
  </si>
  <si>
    <t>Polynomial Curve Fit Constants</t>
  </si>
  <si>
    <t>Maximum Value</t>
  </si>
  <si>
    <t>Minimum Value</t>
  </si>
  <si>
    <t>Cavitation Factor, Kc Curve Fit Data</t>
  </si>
  <si>
    <t>Valve Style Modifier, Fd Curve Fit Data</t>
  </si>
  <si>
    <t>Table 2  % Stroke Characteristics Index</t>
  </si>
  <si>
    <t>%Stk Index</t>
  </si>
  <si>
    <t>Flow Directions</t>
  </si>
  <si>
    <t>Trim Characteristics</t>
  </si>
  <si>
    <t>KFd</t>
  </si>
  <si>
    <t>KFb</t>
  </si>
  <si>
    <t>KFo</t>
  </si>
  <si>
    <t>Fd = (pi()/(4*20.8))^.5*Kfd*((KFo*phi)^-2 - KFb^-2)^0.25</t>
  </si>
  <si>
    <t>Fd</t>
  </si>
  <si>
    <t>Ln Eqn</t>
  </si>
  <si>
    <t>NTS</t>
  </si>
  <si>
    <t>Fstk</t>
  </si>
  <si>
    <t>%Stk = Ln(Cv/Cvrated)/Ln(Fstk)+1, for Pressure Rating 600#</t>
  </si>
  <si>
    <t xml:space="preserve">  Trim Type</t>
  </si>
  <si>
    <t xml:space="preserve">  Pressure Rating</t>
  </si>
  <si>
    <t>Choices for Graphs</t>
  </si>
  <si>
    <t>Stroke Curve</t>
  </si>
  <si>
    <t xml:space="preserve">  Plug Size</t>
  </si>
  <si>
    <t>Eqn</t>
  </si>
  <si>
    <t>Table 2  Valve Style Modifier Constants</t>
  </si>
  <si>
    <t>Index</t>
  </si>
  <si>
    <t>A</t>
  </si>
  <si>
    <t>B</t>
  </si>
  <si>
    <t>D</t>
  </si>
  <si>
    <t>T</t>
  </si>
  <si>
    <t>Pipe Data</t>
  </si>
  <si>
    <t>1A</t>
  </si>
  <si>
    <t>1/64</t>
  </si>
  <si>
    <t>1/32</t>
  </si>
  <si>
    <t>1/16</t>
  </si>
  <si>
    <t>1/8</t>
  </si>
  <si>
    <t>3/16</t>
  </si>
  <si>
    <t>1/4</t>
  </si>
  <si>
    <t>5/16</t>
  </si>
  <si>
    <t>3/8</t>
  </si>
  <si>
    <t>1/2</t>
  </si>
  <si>
    <t>3/4</t>
  </si>
  <si>
    <t>20</t>
  </si>
  <si>
    <t>Cn</t>
  </si>
  <si>
    <t>C</t>
  </si>
  <si>
    <t>22</t>
  </si>
  <si>
    <t>24</t>
  </si>
  <si>
    <t>26</t>
  </si>
  <si>
    <t>28</t>
  </si>
  <si>
    <t>30</t>
  </si>
  <si>
    <t>32</t>
  </si>
  <si>
    <t>34</t>
  </si>
  <si>
    <t>36</t>
  </si>
  <si>
    <t>40</t>
  </si>
  <si>
    <t>42</t>
  </si>
  <si>
    <t>44</t>
  </si>
  <si>
    <t>48</t>
  </si>
  <si>
    <t>52</t>
  </si>
  <si>
    <t>54</t>
  </si>
  <si>
    <t>60</t>
  </si>
  <si>
    <t>Metal, Soft</t>
  </si>
  <si>
    <t>Seat Type</t>
  </si>
  <si>
    <t>Metal Seat</t>
  </si>
  <si>
    <t>Soft Seat</t>
  </si>
  <si>
    <t>Bore type</t>
  </si>
  <si>
    <t>300#</t>
  </si>
  <si>
    <t>Rated Cv</t>
  </si>
  <si>
    <t>150#</t>
  </si>
  <si>
    <t>Opening</t>
  </si>
  <si>
    <t>Back Seat</t>
  </si>
  <si>
    <t>15 Deg Sealed</t>
  </si>
  <si>
    <t>Error handling</t>
  </si>
  <si>
    <t xml:space="preserve">  Rated Cv</t>
  </si>
  <si>
    <t xml:space="preserve">  Flow Dir.</t>
  </si>
  <si>
    <t xml:space="preserve">  Trim Characteristics</t>
  </si>
  <si>
    <t>to 600#</t>
  </si>
  <si>
    <t>On/Off
Q-port</t>
  </si>
  <si>
    <t>Large Cv
P-port</t>
  </si>
  <si>
    <t>Standard
P-port</t>
  </si>
  <si>
    <t>Maximum</t>
  </si>
  <si>
    <t>Minimum</t>
  </si>
  <si>
    <t>Rated Capacity</t>
  </si>
  <si>
    <t>Minimum Capacity</t>
  </si>
  <si>
    <t>Trim Type</t>
  </si>
  <si>
    <t>Table 2  Trim Size Capacities</t>
  </si>
  <si>
    <t>Table 1  Body and Trim Size Combinations</t>
  </si>
  <si>
    <t>Standard, Large-Cv</t>
  </si>
  <si>
    <t>FTO</t>
  </si>
  <si>
    <t>may not be present in this valve</t>
  </si>
  <si>
    <t>Stk Factor</t>
  </si>
  <si>
    <t>A6</t>
  </si>
  <si>
    <t>%Stk = Ln(Cv/Cvrated)/Ln(Fstk) + 1, for Pressure Rating 600#</t>
  </si>
  <si>
    <t>Cvmin</t>
  </si>
  <si>
    <t>Cvrated</t>
  </si>
  <si>
    <t>%Stk, 50</t>
  </si>
  <si>
    <t>%Stk, prop</t>
  </si>
  <si>
    <t>&lt;--- should be %Stk = Ln(Cv/Cvrated)/Ln(Cvrated/(0.9*Cvmin)) + 1</t>
  </si>
  <si>
    <t>%Stk = Ln(Cv/Cvrated)/Ln(Fstk) + 1</t>
  </si>
  <si>
    <t>up to 600#</t>
  </si>
  <si>
    <t>Flow Direction</t>
  </si>
  <si>
    <t>Pressure Ratings</t>
  </si>
  <si>
    <t>Brochure</t>
  </si>
  <si>
    <t xml:space="preserve">  Flow Direction</t>
  </si>
  <si>
    <t>in. (mm)</t>
  </si>
  <si>
    <t>1 (25)</t>
  </si>
  <si>
    <t>1 1/2 (40)</t>
  </si>
  <si>
    <t>2 (50)</t>
  </si>
  <si>
    <t>3 (75)</t>
  </si>
  <si>
    <t>4 (100)</t>
  </si>
  <si>
    <t>6 (150)</t>
  </si>
  <si>
    <t>8 (200)</t>
  </si>
  <si>
    <t>10 (250)</t>
  </si>
  <si>
    <t>12 (300)</t>
  </si>
  <si>
    <t>14 (350)</t>
  </si>
  <si>
    <t>16 (400)</t>
  </si>
  <si>
    <t>18 (450)</t>
  </si>
  <si>
    <t>1/2 (15)</t>
  </si>
  <si>
    <t>3/4 (20)</t>
  </si>
  <si>
    <t>2 1/2 (65)</t>
  </si>
  <si>
    <t>5 (125)</t>
  </si>
  <si>
    <t>up to 300#</t>
  </si>
  <si>
    <t>3 (80)</t>
  </si>
  <si>
    <t xml:space="preserve">  Nominal Valve Size</t>
  </si>
  <si>
    <t>Table 1  Body and Trim Capacities</t>
  </si>
  <si>
    <t>Full</t>
  </si>
  <si>
    <t>40% Red</t>
  </si>
  <si>
    <t>60% Red</t>
  </si>
  <si>
    <t>20 (500)</t>
  </si>
  <si>
    <t>24 (600)</t>
  </si>
  <si>
    <t>Rated Capacity
(DHC Cage)</t>
  </si>
  <si>
    <t>Rated Capacity
(Ported Cage)</t>
  </si>
  <si>
    <t>60 deg, 90 deg</t>
  </si>
  <si>
    <t>150#, 300#</t>
  </si>
  <si>
    <t>60 Deg</t>
  </si>
  <si>
    <t>90 Deg</t>
  </si>
  <si>
    <t xml:space="preserve">  Opening</t>
  </si>
  <si>
    <t>Stroke Equation</t>
  </si>
  <si>
    <t>22 (550)</t>
  </si>
  <si>
    <t>26 (650)</t>
  </si>
  <si>
    <t>28 (700)</t>
  </si>
  <si>
    <t>30 (750)</t>
  </si>
  <si>
    <t>32 (800)</t>
  </si>
  <si>
    <t>34 (850)</t>
  </si>
  <si>
    <t>36 (900)</t>
  </si>
  <si>
    <t>40 (1000)</t>
  </si>
  <si>
    <t>44 (1100)</t>
  </si>
  <si>
    <t>48 (1200)</t>
  </si>
  <si>
    <t>52 (1300)</t>
  </si>
  <si>
    <t>54 (1350)</t>
  </si>
  <si>
    <t>60 (1500)</t>
  </si>
  <si>
    <t>Open</t>
  </si>
  <si>
    <t>15 Deg</t>
  </si>
  <si>
    <t>Back</t>
  </si>
  <si>
    <t>Damper</t>
  </si>
  <si>
    <t>60 Deg, 90 Deg / 45 Deg, 75 Deg / 60 Deg, 90 Deg</t>
  </si>
  <si>
    <t>Damper, 15 Deg Sealed, Back Seat</t>
  </si>
  <si>
    <t>up to 150#</t>
  </si>
  <si>
    <t>Pressure Rating</t>
  </si>
  <si>
    <t>75 Deg</t>
  </si>
  <si>
    <t>45 Deg</t>
  </si>
  <si>
    <t>60 Deg, 90 Deg</t>
  </si>
  <si>
    <t>Large Cv</t>
  </si>
  <si>
    <r>
      <t xml:space="preserve">GV120, </t>
    </r>
    <r>
      <rPr>
        <b/>
        <sz val="12"/>
        <color theme="1"/>
        <rFont val="微软雅黑"/>
        <family val="2"/>
        <charset val="134"/>
      </rPr>
      <t>顶部导向型单座调节阀</t>
    </r>
    <phoneticPr fontId="23"/>
  </si>
  <si>
    <r>
      <t xml:space="preserve">GC120, </t>
    </r>
    <r>
      <rPr>
        <b/>
        <sz val="12"/>
        <color theme="1"/>
        <rFont val="微软雅黑"/>
        <family val="2"/>
        <charset val="134"/>
      </rPr>
      <t>套筒导向型单座调节阀</t>
    </r>
    <phoneticPr fontId="23"/>
  </si>
  <si>
    <r>
      <t xml:space="preserve">GC210, </t>
    </r>
    <r>
      <rPr>
        <b/>
        <sz val="12"/>
        <color theme="1"/>
        <rFont val="微软雅黑"/>
        <family val="2"/>
        <charset val="134"/>
      </rPr>
      <t>多孔式套筒控速调节阀</t>
    </r>
    <phoneticPr fontId="23"/>
  </si>
  <si>
    <r>
      <t xml:space="preserve">GV110, </t>
    </r>
    <r>
      <rPr>
        <b/>
        <sz val="12"/>
        <color theme="1"/>
        <rFont val="微软雅黑"/>
        <family val="2"/>
        <charset val="134"/>
      </rPr>
      <t>小流量顶部导向型单座调节阀</t>
    </r>
    <phoneticPr fontId="23"/>
  </si>
  <si>
    <r>
      <t xml:space="preserve">GV410, </t>
    </r>
    <r>
      <rPr>
        <b/>
        <sz val="12"/>
        <color theme="1"/>
        <rFont val="微软雅黑"/>
        <family val="2"/>
        <charset val="134"/>
      </rPr>
      <t>衬氟塑波纹管密封调节阀</t>
    </r>
    <phoneticPr fontId="23"/>
  </si>
  <si>
    <t>Calc'd</t>
    <phoneticPr fontId="23"/>
  </si>
  <si>
    <r>
      <t>BC110, V</t>
    </r>
    <r>
      <rPr>
        <b/>
        <sz val="12"/>
        <color theme="1"/>
        <rFont val="微软雅黑"/>
        <family val="2"/>
        <charset val="134"/>
      </rPr>
      <t>型调节球阀（对夹式）</t>
    </r>
    <phoneticPr fontId="23"/>
  </si>
  <si>
    <r>
      <t xml:space="preserve">BE120, </t>
    </r>
    <r>
      <rPr>
        <b/>
        <sz val="12"/>
        <color theme="1"/>
        <rFont val="微软雅黑"/>
        <family val="2"/>
        <charset val="134"/>
      </rPr>
      <t>偏心调节球阀（法兰式）</t>
    </r>
    <phoneticPr fontId="23"/>
  </si>
  <si>
    <r>
      <t xml:space="preserve">BT120, </t>
    </r>
    <r>
      <rPr>
        <b/>
        <sz val="12"/>
        <color theme="1"/>
        <rFont val="微软雅黑"/>
        <family val="2"/>
        <charset val="134"/>
      </rPr>
      <t>中等负载型蝶阀</t>
    </r>
    <phoneticPr fontId="23"/>
  </si>
  <si>
    <r>
      <t>BT110,</t>
    </r>
    <r>
      <rPr>
        <b/>
        <sz val="12"/>
        <color theme="1"/>
        <rFont val="微软雅黑"/>
        <family val="2"/>
        <charset val="134"/>
      </rPr>
      <t>低负载轻型蝶阀</t>
    </r>
    <phoneticPr fontId="23"/>
  </si>
  <si>
    <r>
      <t xml:space="preserve">BT210, </t>
    </r>
    <r>
      <rPr>
        <b/>
        <sz val="12"/>
        <color theme="1"/>
        <rFont val="微软雅黑"/>
        <family val="2"/>
        <charset val="134"/>
      </rPr>
      <t>高性能双偏心蝶阀（对夹式）</t>
    </r>
    <phoneticPr fontId="23"/>
  </si>
  <si>
    <t>60Deg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</si>
</sst>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76" formatCode="0.0"/>
    <numFmt numFmtId="177" formatCode="0.000"/>
    <numFmt numFmtId="178" formatCode="0.0%"/>
    <numFmt numFmtId="179" formatCode="0.00000E+00"/>
    <numFmt numFmtId="180" formatCode="0.0000"/>
    <numFmt numFmtId="181" formatCode="0.0000000"/>
  </numFmts>
  <fonts count="25">
    <font>
      <sz val="12"/>
      <color theme="1"/>
      <name val="Arial"/>
      <family val="2"/>
    </font>
    <font>
      <sz val="12"/>
      <color theme="1"/>
      <name val="Arial"/>
      <family val="2"/>
    </font>
    <font>
      <b/>
      <sz val="10"/>
      <name val="Arial"/>
      <family val="2"/>
    </font>
    <font>
      <b/>
      <u/>
      <sz val="10"/>
      <name val="Arial"/>
      <family val="2"/>
    </font>
    <font>
      <b/>
      <sz val="10"/>
      <color rgb="FFFF0000"/>
      <name val="Arial"/>
      <family val="2"/>
    </font>
    <font>
      <sz val="10"/>
      <color theme="1"/>
      <name val="Arial"/>
      <family val="2"/>
    </font>
    <font>
      <sz val="10"/>
      <color indexed="8"/>
      <name val="Arial"/>
      <family val="2"/>
    </font>
    <font>
      <sz val="11"/>
      <color indexed="8"/>
      <name val="Calibri"/>
      <family val="2"/>
    </font>
    <font>
      <b/>
      <sz val="12"/>
      <color theme="1"/>
      <name val="Arial"/>
      <family val="2"/>
    </font>
    <font>
      <b/>
      <sz val="10"/>
      <color theme="1"/>
      <name val="Arial"/>
      <family val="2"/>
    </font>
    <font>
      <sz val="11"/>
      <name val="ＭＳ Ｐゴシック"/>
      <family val="2"/>
    </font>
    <font>
      <i/>
      <sz val="10"/>
      <color theme="1"/>
      <name val="Arial"/>
      <family val="2"/>
    </font>
    <font>
      <sz val="10"/>
      <color theme="0" tint="-0.249977111117893"/>
      <name val="Arial"/>
      <family val="2"/>
    </font>
    <font>
      <sz val="10"/>
      <color indexed="8"/>
      <name val="Arial"/>
      <family val="2"/>
    </font>
    <font>
      <sz val="9"/>
      <color theme="1"/>
      <name val="Arial"/>
      <family val="2"/>
    </font>
    <font>
      <b/>
      <sz val="11"/>
      <color theme="1"/>
      <name val="Arial"/>
      <family val="2"/>
    </font>
    <font>
      <b/>
      <sz val="9"/>
      <color theme="1"/>
      <name val="Arial"/>
      <family val="2"/>
    </font>
    <font>
      <b/>
      <sz val="10"/>
      <color theme="0" tint="-0.249977111117893"/>
      <name val="Arial"/>
      <family val="2"/>
    </font>
    <font>
      <sz val="10"/>
      <color rgb="FFFF0000"/>
      <name val="Arial"/>
      <family val="2"/>
    </font>
    <font>
      <sz val="10"/>
      <color theme="2"/>
      <name val="Arial"/>
      <family val="2"/>
    </font>
    <font>
      <b/>
      <sz val="10"/>
      <color indexed="8"/>
      <name val="Arial"/>
      <family val="2"/>
    </font>
    <font>
      <b/>
      <i/>
      <sz val="10"/>
      <color rgb="FFFF0000"/>
      <name val="Arial"/>
      <family val="2"/>
    </font>
    <font>
      <b/>
      <sz val="10"/>
      <color theme="1"/>
      <name val="Arial Narrow"/>
      <family val="2"/>
    </font>
    <font>
      <sz val="6"/>
      <name val="HGGothicE"/>
      <family val="3"/>
      <charset val="128"/>
    </font>
    <font>
      <b/>
      <sz val="12"/>
      <color theme="1"/>
      <name val="微软雅黑"/>
      <family val="2"/>
      <charset val="134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</fills>
  <borders count="63">
    <border>
      <left/>
      <right/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/>
      <diagonal/>
    </border>
  </borders>
  <cellStyleXfs count="5">
    <xf numFmtId="0" fontId="0" fillId="0" borderId="0"/>
    <xf numFmtId="9" fontId="1" fillId="0" borderId="0" applyFont="0" applyFill="0" applyBorder="0" applyAlignment="0" applyProtection="0"/>
    <xf numFmtId="0" fontId="6" fillId="0" borderId="0"/>
    <xf numFmtId="0" fontId="10" fillId="0" borderId="0"/>
    <xf numFmtId="0" fontId="13" fillId="0" borderId="0"/>
  </cellStyleXfs>
  <cellXfs count="475">
    <xf numFmtId="0" fontId="0" fillId="0" borderId="0" xfId="0"/>
    <xf numFmtId="0" fontId="2" fillId="0" borderId="2" xfId="0" applyFont="1" applyBorder="1" applyAlignment="1">
      <alignment horizontal="center" vertical="center"/>
    </xf>
    <xf numFmtId="0" fontId="2" fillId="0" borderId="6" xfId="0" applyFont="1" applyBorder="1" applyAlignment="1">
      <alignment horizontal="center" vertical="center"/>
    </xf>
    <xf numFmtId="0" fontId="2" fillId="0" borderId="10" xfId="0" applyFont="1" applyBorder="1" applyAlignment="1">
      <alignment horizontal="center" vertical="center"/>
    </xf>
    <xf numFmtId="49" fontId="2" fillId="0" borderId="21" xfId="0" applyNumberFormat="1" applyFont="1" applyBorder="1" applyAlignment="1">
      <alignment horizontal="center" vertical="center" wrapText="1"/>
    </xf>
    <xf numFmtId="49" fontId="2" fillId="0" borderId="23" xfId="0" applyNumberFormat="1" applyFont="1" applyBorder="1" applyAlignment="1">
      <alignment horizontal="center" vertical="center" wrapText="1"/>
    </xf>
    <xf numFmtId="0" fontId="2" fillId="0" borderId="24" xfId="0" applyFont="1" applyBorder="1" applyAlignment="1">
      <alignment horizontal="center" vertical="center" wrapText="1"/>
    </xf>
    <xf numFmtId="1" fontId="2" fillId="0" borderId="3" xfId="0" applyNumberFormat="1" applyFont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1" fontId="2" fillId="0" borderId="7" xfId="0" applyNumberFormat="1" applyFont="1" applyBorder="1" applyAlignment="1">
      <alignment horizontal="center" vertical="center"/>
    </xf>
    <xf numFmtId="0" fontId="2" fillId="2" borderId="7" xfId="0" applyFont="1" applyFill="1" applyBorder="1" applyAlignment="1">
      <alignment horizontal="center" vertical="center"/>
    </xf>
    <xf numFmtId="0" fontId="2" fillId="0" borderId="7" xfId="0" applyFont="1" applyBorder="1" applyAlignment="1">
      <alignment horizontal="center" vertical="center"/>
    </xf>
    <xf numFmtId="0" fontId="2" fillId="0" borderId="5" xfId="0" applyFont="1" applyBorder="1" applyAlignment="1">
      <alignment horizontal="center" vertical="center"/>
    </xf>
    <xf numFmtId="0" fontId="2" fillId="0" borderId="11" xfId="0" applyFont="1" applyBorder="1" applyAlignment="1">
      <alignment horizontal="center" vertical="center"/>
    </xf>
    <xf numFmtId="0" fontId="2" fillId="0" borderId="9" xfId="0" applyFont="1" applyBorder="1" applyAlignment="1">
      <alignment horizontal="center" vertical="center"/>
    </xf>
    <xf numFmtId="0" fontId="5" fillId="0" borderId="0" xfId="0" applyFont="1"/>
    <xf numFmtId="0" fontId="5" fillId="0" borderId="0" xfId="0" applyFont="1" applyAlignment="1">
      <alignment horizontal="center"/>
    </xf>
    <xf numFmtId="177" fontId="5" fillId="0" borderId="0" xfId="0" applyNumberFormat="1" applyFont="1" applyAlignment="1">
      <alignment horizontal="center"/>
    </xf>
    <xf numFmtId="0" fontId="2" fillId="0" borderId="31" xfId="0" applyFont="1" applyBorder="1" applyAlignment="1">
      <alignment horizontal="center" vertical="center"/>
    </xf>
    <xf numFmtId="0" fontId="2" fillId="0" borderId="32" xfId="0" applyFont="1" applyBorder="1" applyAlignment="1">
      <alignment horizontal="center" vertical="center"/>
    </xf>
    <xf numFmtId="0" fontId="4" fillId="0" borderId="29" xfId="0" applyFont="1" applyBorder="1" applyAlignment="1">
      <alignment horizontal="center" vertical="center"/>
    </xf>
    <xf numFmtId="0" fontId="2" fillId="0" borderId="23" xfId="0" applyFont="1" applyBorder="1" applyAlignment="1">
      <alignment horizontal="center" vertical="center"/>
    </xf>
    <xf numFmtId="0" fontId="2" fillId="0" borderId="24" xfId="0" applyFont="1" applyBorder="1" applyAlignment="1">
      <alignment horizontal="center" vertical="center"/>
    </xf>
    <xf numFmtId="0" fontId="2" fillId="0" borderId="21" xfId="0" applyFont="1" applyBorder="1" applyAlignment="1">
      <alignment horizontal="center" vertical="center"/>
    </xf>
    <xf numFmtId="0" fontId="2" fillId="0" borderId="3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7" fillId="0" borderId="0" xfId="2" applyFont="1" applyAlignment="1">
      <alignment horizontal="right" wrapText="1"/>
    </xf>
    <xf numFmtId="49" fontId="2" fillId="0" borderId="34" xfId="0" applyNumberFormat="1" applyFont="1" applyBorder="1" applyAlignment="1">
      <alignment horizontal="center" vertical="center"/>
    </xf>
    <xf numFmtId="0" fontId="9" fillId="0" borderId="0" xfId="0" applyFont="1" applyAlignment="1">
      <alignment horizontal="center"/>
    </xf>
    <xf numFmtId="178" fontId="9" fillId="0" borderId="0" xfId="1" applyNumberFormat="1" applyFont="1" applyAlignment="1">
      <alignment horizontal="center"/>
    </xf>
    <xf numFmtId="0" fontId="8" fillId="0" borderId="0" xfId="0" applyFont="1"/>
    <xf numFmtId="0" fontId="2" fillId="0" borderId="6" xfId="3" applyFont="1" applyBorder="1" applyAlignment="1">
      <alignment horizontal="center" vertical="center"/>
    </xf>
    <xf numFmtId="178" fontId="5" fillId="0" borderId="0" xfId="1" applyNumberFormat="1" applyFont="1" applyAlignment="1">
      <alignment horizontal="center"/>
    </xf>
    <xf numFmtId="0" fontId="9" fillId="0" borderId="0" xfId="0" applyFont="1"/>
    <xf numFmtId="0" fontId="9" fillId="0" borderId="0" xfId="0" applyFont="1" applyAlignment="1">
      <alignment horizontal="left"/>
    </xf>
    <xf numFmtId="9" fontId="9" fillId="0" borderId="0" xfId="1" applyFont="1" applyAlignment="1">
      <alignment horizontal="center"/>
    </xf>
    <xf numFmtId="0" fontId="11" fillId="0" borderId="0" xfId="0" applyFont="1"/>
    <xf numFmtId="0" fontId="11" fillId="0" borderId="0" xfId="0" applyFont="1" applyAlignment="1">
      <alignment horizontal="left"/>
    </xf>
    <xf numFmtId="49" fontId="2" fillId="0" borderId="33" xfId="0" applyNumberFormat="1" applyFont="1" applyBorder="1" applyAlignment="1">
      <alignment horizontal="center" vertical="center" wrapText="1"/>
    </xf>
    <xf numFmtId="0" fontId="2" fillId="0" borderId="16" xfId="0" applyFont="1" applyBorder="1" applyAlignment="1">
      <alignment horizontal="center" vertical="center"/>
    </xf>
    <xf numFmtId="0" fontId="2" fillId="0" borderId="27" xfId="0" applyFont="1" applyBorder="1" applyAlignment="1">
      <alignment horizontal="center" vertical="center"/>
    </xf>
    <xf numFmtId="0" fontId="2" fillId="0" borderId="33" xfId="0" applyFont="1" applyBorder="1" applyAlignment="1">
      <alignment horizontal="center" vertical="center"/>
    </xf>
    <xf numFmtId="0" fontId="2" fillId="0" borderId="26" xfId="0" applyFont="1" applyBorder="1" applyAlignment="1">
      <alignment horizontal="center" vertical="center"/>
    </xf>
    <xf numFmtId="0" fontId="5" fillId="0" borderId="37" xfId="0" applyFont="1" applyBorder="1" applyAlignment="1">
      <alignment horizontal="center"/>
    </xf>
    <xf numFmtId="0" fontId="5" fillId="0" borderId="38" xfId="0" applyFont="1" applyBorder="1" applyAlignment="1">
      <alignment horizontal="center"/>
    </xf>
    <xf numFmtId="0" fontId="5" fillId="0" borderId="39" xfId="0" applyFont="1" applyBorder="1" applyAlignment="1">
      <alignment horizontal="center"/>
    </xf>
    <xf numFmtId="0" fontId="5" fillId="0" borderId="36" xfId="0" applyFont="1" applyBorder="1" applyAlignment="1">
      <alignment horizontal="center"/>
    </xf>
    <xf numFmtId="0" fontId="9" fillId="0" borderId="12" xfId="0" applyFont="1" applyBorder="1" applyAlignment="1">
      <alignment horizontal="center"/>
    </xf>
    <xf numFmtId="0" fontId="9" fillId="0" borderId="10" xfId="0" applyFont="1" applyBorder="1" applyAlignment="1">
      <alignment horizontal="center"/>
    </xf>
    <xf numFmtId="0" fontId="9" fillId="0" borderId="11" xfId="0" applyFont="1" applyBorder="1" applyAlignment="1">
      <alignment horizontal="center"/>
    </xf>
    <xf numFmtId="0" fontId="5" fillId="0" borderId="6" xfId="0" applyFont="1" applyBorder="1"/>
    <xf numFmtId="0" fontId="5" fillId="0" borderId="5" xfId="0" applyFont="1" applyBorder="1"/>
    <xf numFmtId="0" fontId="5" fillId="0" borderId="7" xfId="0" applyFont="1" applyBorder="1"/>
    <xf numFmtId="0" fontId="5" fillId="0" borderId="27" xfId="0" applyFont="1" applyBorder="1" applyAlignment="1">
      <alignment horizontal="center"/>
    </xf>
    <xf numFmtId="0" fontId="5" fillId="0" borderId="27" xfId="0" applyFont="1" applyBorder="1"/>
    <xf numFmtId="0" fontId="5" fillId="0" borderId="28" xfId="0" applyFont="1" applyBorder="1"/>
    <xf numFmtId="0" fontId="5" fillId="0" borderId="9" xfId="0" applyFont="1" applyBorder="1"/>
    <xf numFmtId="0" fontId="5" fillId="0" borderId="10" xfId="0" applyFont="1" applyBorder="1"/>
    <xf numFmtId="0" fontId="5" fillId="0" borderId="11" xfId="0" applyFont="1" applyBorder="1"/>
    <xf numFmtId="0" fontId="9" fillId="0" borderId="6" xfId="0" applyFont="1" applyBorder="1" applyAlignment="1">
      <alignment horizontal="center"/>
    </xf>
    <xf numFmtId="0" fontId="9" fillId="0" borderId="29" xfId="0" applyFont="1" applyBorder="1" applyAlignment="1">
      <alignment horizontal="center"/>
    </xf>
    <xf numFmtId="0" fontId="9" fillId="0" borderId="31" xfId="0" applyFont="1" applyBorder="1" applyAlignment="1">
      <alignment horizontal="center"/>
    </xf>
    <xf numFmtId="0" fontId="9" fillId="0" borderId="32" xfId="0" applyFont="1" applyBorder="1" applyAlignment="1">
      <alignment horizontal="center"/>
    </xf>
    <xf numFmtId="0" fontId="9" fillId="0" borderId="16" xfId="0" applyFont="1" applyBorder="1" applyAlignment="1">
      <alignment horizontal="center"/>
    </xf>
    <xf numFmtId="0" fontId="9" fillId="0" borderId="27" xfId="0" applyFont="1" applyBorder="1" applyAlignment="1">
      <alignment horizontal="center"/>
    </xf>
    <xf numFmtId="0" fontId="12" fillId="0" borderId="0" xfId="0" applyFont="1" applyAlignment="1">
      <alignment horizontal="center"/>
    </xf>
    <xf numFmtId="0" fontId="9" fillId="0" borderId="31" xfId="0" applyFont="1" applyBorder="1" applyAlignment="1">
      <alignment horizontal="center" vertical="center"/>
    </xf>
    <xf numFmtId="176" fontId="4" fillId="0" borderId="3" xfId="0" applyNumberFormat="1" applyFont="1" applyBorder="1" applyAlignment="1">
      <alignment horizontal="center" vertical="center"/>
    </xf>
    <xf numFmtId="1" fontId="4" fillId="0" borderId="3" xfId="0" applyNumberFormat="1" applyFont="1" applyBorder="1" applyAlignment="1">
      <alignment horizontal="center" vertical="center"/>
    </xf>
    <xf numFmtId="176" fontId="4" fillId="0" borderId="32" xfId="0" applyNumberFormat="1" applyFont="1" applyBorder="1" applyAlignment="1">
      <alignment horizontal="center" vertical="center"/>
    </xf>
    <xf numFmtId="2" fontId="2" fillId="0" borderId="3" xfId="0" applyNumberFormat="1" applyFont="1" applyBorder="1" applyAlignment="1">
      <alignment horizontal="center" vertical="center"/>
    </xf>
    <xf numFmtId="176" fontId="2" fillId="0" borderId="7" xfId="0" applyNumberFormat="1" applyFont="1" applyBorder="1" applyAlignment="1">
      <alignment horizontal="center" vertical="center"/>
    </xf>
    <xf numFmtId="176" fontId="4" fillId="0" borderId="7" xfId="0" applyNumberFormat="1" applyFont="1" applyBorder="1" applyAlignment="1">
      <alignment horizontal="center" vertical="center"/>
    </xf>
    <xf numFmtId="2" fontId="2" fillId="0" borderId="32" xfId="0" applyNumberFormat="1" applyFont="1" applyBorder="1" applyAlignment="1">
      <alignment horizontal="center" vertical="center"/>
    </xf>
    <xf numFmtId="176" fontId="4" fillId="0" borderId="1" xfId="0" applyNumberFormat="1" applyFont="1" applyBorder="1" applyAlignment="1">
      <alignment horizontal="center" vertical="center"/>
    </xf>
    <xf numFmtId="1" fontId="4" fillId="0" borderId="7" xfId="0" applyNumberFormat="1" applyFont="1" applyBorder="1" applyAlignment="1">
      <alignment horizontal="center" vertical="center"/>
    </xf>
    <xf numFmtId="1" fontId="4" fillId="0" borderId="1" xfId="0" applyNumberFormat="1" applyFont="1" applyBorder="1" applyAlignment="1">
      <alignment horizontal="center" vertical="center"/>
    </xf>
    <xf numFmtId="0" fontId="4" fillId="0" borderId="7" xfId="0" applyFont="1" applyBorder="1" applyAlignment="1">
      <alignment horizontal="center" vertical="center"/>
    </xf>
    <xf numFmtId="0" fontId="4" fillId="0" borderId="24" xfId="0" applyFont="1" applyBorder="1" applyAlignment="1">
      <alignment horizontal="center" vertical="center"/>
    </xf>
    <xf numFmtId="176" fontId="2" fillId="0" borderId="29" xfId="0" applyNumberFormat="1" applyFont="1" applyBorder="1" applyAlignment="1">
      <alignment horizontal="center" vertical="center"/>
    </xf>
    <xf numFmtId="176" fontId="2" fillId="0" borderId="32" xfId="0" applyNumberFormat="1" applyFont="1" applyBorder="1" applyAlignment="1">
      <alignment horizontal="center" vertical="center"/>
    </xf>
    <xf numFmtId="1" fontId="4" fillId="0" borderId="47" xfId="0" applyNumberFormat="1" applyFont="1" applyBorder="1" applyAlignment="1">
      <alignment horizontal="center" vertical="center"/>
    </xf>
    <xf numFmtId="0" fontId="4" fillId="0" borderId="5" xfId="0" applyFont="1" applyBorder="1" applyAlignment="1">
      <alignment horizontal="center" vertical="center"/>
    </xf>
    <xf numFmtId="0" fontId="5" fillId="0" borderId="28" xfId="0" applyFont="1" applyBorder="1" applyAlignment="1">
      <alignment horizontal="center"/>
    </xf>
    <xf numFmtId="0" fontId="9" fillId="0" borderId="28" xfId="0" applyFont="1" applyBorder="1" applyAlignment="1">
      <alignment horizontal="center"/>
    </xf>
    <xf numFmtId="0" fontId="9" fillId="0" borderId="5" xfId="0" applyFont="1" applyBorder="1" applyAlignment="1">
      <alignment horizontal="center"/>
    </xf>
    <xf numFmtId="0" fontId="9" fillId="0" borderId="7" xfId="0" applyFont="1" applyBorder="1" applyAlignment="1">
      <alignment horizontal="center"/>
    </xf>
    <xf numFmtId="0" fontId="9" fillId="0" borderId="9" xfId="0" applyFont="1" applyBorder="1" applyAlignment="1">
      <alignment horizontal="center"/>
    </xf>
    <xf numFmtId="0" fontId="8" fillId="0" borderId="0" xfId="0" applyFont="1" applyAlignment="1">
      <alignment horizontal="center"/>
    </xf>
    <xf numFmtId="0" fontId="0" fillId="0" borderId="0" xfId="0" applyAlignment="1">
      <alignment horizontal="center"/>
    </xf>
    <xf numFmtId="49" fontId="9" fillId="0" borderId="6" xfId="0" applyNumberFormat="1" applyFont="1" applyBorder="1" applyAlignment="1">
      <alignment horizontal="center"/>
    </xf>
    <xf numFmtId="0" fontId="2" fillId="0" borderId="0" xfId="0" applyFont="1" applyAlignment="1">
      <alignment horizontal="center"/>
    </xf>
    <xf numFmtId="0" fontId="9" fillId="0" borderId="21" xfId="0" applyFont="1" applyBorder="1" applyAlignment="1">
      <alignment horizontal="center"/>
    </xf>
    <xf numFmtId="0" fontId="9" fillId="0" borderId="23" xfId="0" applyFont="1" applyBorder="1" applyAlignment="1">
      <alignment horizontal="center"/>
    </xf>
    <xf numFmtId="0" fontId="9" fillId="0" borderId="24" xfId="0" applyFont="1" applyBorder="1" applyAlignment="1">
      <alignment horizontal="center"/>
    </xf>
    <xf numFmtId="0" fontId="9" fillId="0" borderId="2" xfId="0" applyFont="1" applyBorder="1" applyAlignment="1">
      <alignment horizontal="center"/>
    </xf>
    <xf numFmtId="0" fontId="9" fillId="0" borderId="3" xfId="0" applyFont="1" applyBorder="1" applyAlignment="1">
      <alignment horizontal="center"/>
    </xf>
    <xf numFmtId="0" fontId="9" fillId="0" borderId="23" xfId="0" applyFont="1" applyBorder="1" applyAlignment="1">
      <alignment horizontal="center" vertical="center"/>
    </xf>
    <xf numFmtId="0" fontId="9" fillId="0" borderId="48" xfId="0" applyFont="1" applyBorder="1" applyAlignment="1">
      <alignment horizontal="center"/>
    </xf>
    <xf numFmtId="0" fontId="9" fillId="0" borderId="49" xfId="0" applyFont="1" applyBorder="1" applyAlignment="1">
      <alignment horizontal="center"/>
    </xf>
    <xf numFmtId="0" fontId="9" fillId="0" borderId="29" xfId="0" applyFont="1" applyBorder="1" applyAlignment="1">
      <alignment horizontal="center" vertical="center"/>
    </xf>
    <xf numFmtId="0" fontId="9" fillId="0" borderId="21" xfId="0" applyFont="1" applyBorder="1" applyAlignment="1">
      <alignment horizontal="center" vertical="center"/>
    </xf>
    <xf numFmtId="0" fontId="9" fillId="0" borderId="1" xfId="0" applyFont="1" applyBorder="1" applyAlignment="1">
      <alignment horizontal="center"/>
    </xf>
    <xf numFmtId="49" fontId="5" fillId="0" borderId="0" xfId="0" applyNumberFormat="1" applyFont="1" applyAlignment="1">
      <alignment horizontal="center"/>
    </xf>
    <xf numFmtId="0" fontId="9" fillId="0" borderId="32" xfId="0" applyFont="1" applyBorder="1" applyAlignment="1">
      <alignment horizontal="center" vertical="center"/>
    </xf>
    <xf numFmtId="0" fontId="9" fillId="0" borderId="6" xfId="0" applyFont="1" applyBorder="1" applyAlignment="1">
      <alignment horizontal="center" vertical="center"/>
    </xf>
    <xf numFmtId="0" fontId="9" fillId="0" borderId="7" xfId="0" applyFont="1" applyBorder="1" applyAlignment="1">
      <alignment horizontal="center" vertical="center"/>
    </xf>
    <xf numFmtId="0" fontId="8" fillId="0" borderId="0" xfId="0" applyFont="1" applyAlignment="1">
      <alignment horizontal="left"/>
    </xf>
    <xf numFmtId="0" fontId="9" fillId="0" borderId="5" xfId="0" applyFont="1" applyBorder="1" applyAlignment="1">
      <alignment horizontal="center" vertical="center"/>
    </xf>
    <xf numFmtId="0" fontId="9" fillId="0" borderId="5" xfId="0" applyFont="1" applyBorder="1"/>
    <xf numFmtId="0" fontId="9" fillId="0" borderId="6" xfId="0" applyFont="1" applyBorder="1"/>
    <xf numFmtId="0" fontId="9" fillId="0" borderId="7" xfId="0" applyFont="1" applyBorder="1"/>
    <xf numFmtId="0" fontId="5" fillId="0" borderId="0" xfId="0" applyFont="1" applyAlignment="1">
      <alignment horizontal="center" vertical="center"/>
    </xf>
    <xf numFmtId="9" fontId="5" fillId="0" borderId="0" xfId="1" applyFont="1" applyAlignment="1">
      <alignment horizontal="center"/>
    </xf>
    <xf numFmtId="180" fontId="5" fillId="0" borderId="0" xfId="0" applyNumberFormat="1" applyFont="1" applyAlignment="1">
      <alignment horizontal="center"/>
    </xf>
    <xf numFmtId="0" fontId="5" fillId="0" borderId="2" xfId="0" applyFont="1" applyBorder="1" applyAlignment="1">
      <alignment horizontal="center"/>
    </xf>
    <xf numFmtId="0" fontId="11" fillId="0" borderId="0" xfId="0" applyFont="1" applyAlignment="1">
      <alignment horizontal="center"/>
    </xf>
    <xf numFmtId="0" fontId="5" fillId="0" borderId="50" xfId="0" applyFont="1" applyBorder="1" applyAlignment="1">
      <alignment horizontal="center"/>
    </xf>
    <xf numFmtId="3" fontId="5" fillId="0" borderId="0" xfId="0" applyNumberFormat="1" applyFont="1"/>
    <xf numFmtId="0" fontId="5" fillId="0" borderId="51" xfId="0" applyFont="1" applyBorder="1" applyAlignment="1">
      <alignment horizontal="center"/>
    </xf>
    <xf numFmtId="0" fontId="5" fillId="0" borderId="19" xfId="0" applyFont="1" applyBorder="1" applyAlignment="1">
      <alignment horizontal="center"/>
    </xf>
    <xf numFmtId="0" fontId="5" fillId="0" borderId="4" xfId="0" applyFont="1" applyBorder="1" applyAlignment="1">
      <alignment horizontal="center"/>
    </xf>
    <xf numFmtId="0" fontId="16" fillId="0" borderId="6" xfId="0" applyFont="1" applyBorder="1" applyAlignment="1">
      <alignment horizontal="center"/>
    </xf>
    <xf numFmtId="0" fontId="14" fillId="0" borderId="0" xfId="0" applyFont="1"/>
    <xf numFmtId="0" fontId="17" fillId="0" borderId="0" xfId="0" applyFont="1" applyAlignment="1">
      <alignment horizontal="center"/>
    </xf>
    <xf numFmtId="0" fontId="12" fillId="0" borderId="0" xfId="0" applyFont="1" applyAlignment="1">
      <alignment horizontal="left"/>
    </xf>
    <xf numFmtId="0" fontId="9" fillId="3" borderId="24" xfId="0" applyFont="1" applyFill="1" applyBorder="1" applyAlignment="1">
      <alignment horizontal="center"/>
    </xf>
    <xf numFmtId="0" fontId="9" fillId="3" borderId="7" xfId="0" applyFont="1" applyFill="1" applyBorder="1" applyAlignment="1">
      <alignment horizontal="center"/>
    </xf>
    <xf numFmtId="0" fontId="9" fillId="3" borderId="8" xfId="0" applyFont="1" applyFill="1" applyBorder="1" applyAlignment="1">
      <alignment horizontal="center"/>
    </xf>
    <xf numFmtId="0" fontId="9" fillId="3" borderId="3" xfId="0" applyFont="1" applyFill="1" applyBorder="1" applyAlignment="1">
      <alignment horizontal="center"/>
    </xf>
    <xf numFmtId="0" fontId="9" fillId="3" borderId="32" xfId="0" applyFont="1" applyFill="1" applyBorder="1" applyAlignment="1">
      <alignment horizontal="center"/>
    </xf>
    <xf numFmtId="0" fontId="9" fillId="3" borderId="30" xfId="0" applyFont="1" applyFill="1" applyBorder="1" applyAlignment="1">
      <alignment horizontal="center"/>
    </xf>
    <xf numFmtId="0" fontId="9" fillId="0" borderId="38" xfId="0" applyFont="1" applyBorder="1" applyAlignment="1">
      <alignment horizontal="center"/>
    </xf>
    <xf numFmtId="0" fontId="9" fillId="0" borderId="45" xfId="0" applyFont="1" applyBorder="1" applyAlignment="1">
      <alignment horizontal="center"/>
    </xf>
    <xf numFmtId="0" fontId="9" fillId="0" borderId="37" xfId="0" applyFont="1" applyBorder="1" applyAlignment="1">
      <alignment horizontal="center"/>
    </xf>
    <xf numFmtId="49" fontId="2" fillId="0" borderId="11" xfId="0" applyNumberFormat="1" applyFont="1" applyBorder="1" applyAlignment="1">
      <alignment horizontal="center" vertical="center" wrapText="1"/>
    </xf>
    <xf numFmtId="49" fontId="2" fillId="0" borderId="7" xfId="0" applyNumberFormat="1" applyFont="1" applyBorder="1" applyAlignment="1">
      <alignment horizontal="center" vertical="center" wrapText="1"/>
    </xf>
    <xf numFmtId="0" fontId="9" fillId="0" borderId="36" xfId="0" applyFont="1" applyBorder="1" applyAlignment="1">
      <alignment horizontal="center"/>
    </xf>
    <xf numFmtId="49" fontId="2" fillId="0" borderId="24" xfId="0" applyNumberFormat="1" applyFont="1" applyBorder="1" applyAlignment="1">
      <alignment horizontal="center" vertical="center" wrapText="1"/>
    </xf>
    <xf numFmtId="49" fontId="9" fillId="0" borderId="0" xfId="0" applyNumberFormat="1" applyFont="1" applyAlignment="1">
      <alignment horizontal="center"/>
    </xf>
    <xf numFmtId="0" fontId="9" fillId="3" borderId="0" xfId="0" applyFont="1" applyFill="1"/>
    <xf numFmtId="0" fontId="5" fillId="3" borderId="0" xfId="0" applyFont="1" applyFill="1"/>
    <xf numFmtId="0" fontId="9" fillId="3" borderId="0" xfId="0" applyFont="1" applyFill="1" applyAlignment="1">
      <alignment horizontal="center"/>
    </xf>
    <xf numFmtId="0" fontId="11" fillId="3" borderId="0" xfId="0" applyFont="1" applyFill="1"/>
    <xf numFmtId="0" fontId="5" fillId="3" borderId="0" xfId="0" applyFont="1" applyFill="1" applyAlignment="1">
      <alignment horizontal="center"/>
    </xf>
    <xf numFmtId="0" fontId="19" fillId="0" borderId="0" xfId="0" applyFont="1" applyAlignment="1">
      <alignment horizontal="center"/>
    </xf>
    <xf numFmtId="49" fontId="2" fillId="0" borderId="5" xfId="0" applyNumberFormat="1" applyFont="1" applyBorder="1" applyAlignment="1">
      <alignment horizontal="center" vertical="center"/>
    </xf>
    <xf numFmtId="49" fontId="2" fillId="0" borderId="21" xfId="0" applyNumberFormat="1" applyFont="1" applyBorder="1" applyAlignment="1">
      <alignment horizontal="center" vertical="center"/>
    </xf>
    <xf numFmtId="0" fontId="9" fillId="0" borderId="50" xfId="0" applyFont="1" applyBorder="1" applyAlignment="1">
      <alignment horizontal="center"/>
    </xf>
    <xf numFmtId="0" fontId="9" fillId="0" borderId="8" xfId="0" applyFont="1" applyBorder="1" applyAlignment="1">
      <alignment horizontal="center"/>
    </xf>
    <xf numFmtId="177" fontId="14" fillId="0" borderId="0" xfId="0" applyNumberFormat="1" applyFont="1" applyAlignment="1">
      <alignment horizontal="center"/>
    </xf>
    <xf numFmtId="181" fontId="5" fillId="0" borderId="0" xfId="0" applyNumberFormat="1" applyFont="1" applyAlignment="1">
      <alignment horizontal="center"/>
    </xf>
    <xf numFmtId="49" fontId="2" fillId="0" borderId="1" xfId="0" applyNumberFormat="1" applyFont="1" applyBorder="1" applyAlignment="1">
      <alignment horizontal="center" vertical="center"/>
    </xf>
    <xf numFmtId="0" fontId="5" fillId="0" borderId="0" xfId="0" applyFont="1" applyAlignment="1">
      <alignment horizontal="left"/>
    </xf>
    <xf numFmtId="0" fontId="20" fillId="0" borderId="29" xfId="2" applyFont="1" applyBorder="1" applyAlignment="1">
      <alignment horizontal="center" wrapText="1"/>
    </xf>
    <xf numFmtId="0" fontId="20" fillId="0" borderId="31" xfId="2" applyFont="1" applyBorder="1" applyAlignment="1">
      <alignment horizontal="center" wrapText="1"/>
    </xf>
    <xf numFmtId="0" fontId="20" fillId="0" borderId="5" xfId="2" applyFont="1" applyBorder="1" applyAlignment="1">
      <alignment horizontal="center" wrapText="1"/>
    </xf>
    <xf numFmtId="0" fontId="20" fillId="0" borderId="6" xfId="2" applyFont="1" applyBorder="1" applyAlignment="1">
      <alignment horizontal="center" wrapText="1"/>
    </xf>
    <xf numFmtId="179" fontId="2" fillId="0" borderId="6" xfId="3" applyNumberFormat="1" applyFont="1" applyBorder="1" applyAlignment="1">
      <alignment horizontal="center" vertical="center"/>
    </xf>
    <xf numFmtId="11" fontId="9" fillId="0" borderId="6" xfId="0" applyNumberFormat="1" applyFont="1" applyBorder="1" applyAlignment="1">
      <alignment horizontal="center"/>
    </xf>
    <xf numFmtId="11" fontId="9" fillId="0" borderId="10" xfId="0" applyNumberFormat="1" applyFont="1" applyBorder="1" applyAlignment="1">
      <alignment horizontal="center"/>
    </xf>
    <xf numFmtId="0" fontId="5" fillId="0" borderId="16" xfId="0" applyFont="1" applyBorder="1" applyAlignment="1">
      <alignment horizontal="center"/>
    </xf>
    <xf numFmtId="0" fontId="5" fillId="0" borderId="33" xfId="0" applyFont="1" applyBorder="1" applyAlignment="1">
      <alignment horizontal="center"/>
    </xf>
    <xf numFmtId="0" fontId="2" fillId="0" borderId="31" xfId="3" applyFont="1" applyBorder="1" applyAlignment="1">
      <alignment horizontal="center" vertical="center"/>
    </xf>
    <xf numFmtId="0" fontId="2" fillId="0" borderId="23" xfId="3" applyFont="1" applyBorder="1" applyAlignment="1">
      <alignment horizontal="center" vertical="center"/>
    </xf>
    <xf numFmtId="0" fontId="5" fillId="0" borderId="26" xfId="0" applyFont="1" applyBorder="1" applyAlignment="1">
      <alignment horizontal="center"/>
    </xf>
    <xf numFmtId="179" fontId="2" fillId="0" borderId="31" xfId="3" applyNumberFormat="1" applyFont="1" applyBorder="1" applyAlignment="1">
      <alignment horizontal="center" vertical="center"/>
    </xf>
    <xf numFmtId="179" fontId="2" fillId="0" borderId="23" xfId="3" applyNumberFormat="1" applyFont="1" applyBorder="1" applyAlignment="1">
      <alignment horizontal="center" vertical="center"/>
    </xf>
    <xf numFmtId="1" fontId="2" fillId="0" borderId="50" xfId="0" applyNumberFormat="1" applyFont="1" applyBorder="1" applyAlignment="1">
      <alignment horizontal="center" vertical="center"/>
    </xf>
    <xf numFmtId="0" fontId="2" fillId="0" borderId="50" xfId="0" applyFont="1" applyBorder="1" applyAlignment="1">
      <alignment horizontal="center" vertical="center"/>
    </xf>
    <xf numFmtId="0" fontId="2" fillId="0" borderId="51" xfId="0" applyFont="1" applyBorder="1" applyAlignment="1">
      <alignment horizontal="center" vertical="center"/>
    </xf>
    <xf numFmtId="0" fontId="2" fillId="0" borderId="48" xfId="0" applyFont="1" applyBorder="1" applyAlignment="1">
      <alignment horizontal="center" vertical="center"/>
    </xf>
    <xf numFmtId="0" fontId="2" fillId="2" borderId="50" xfId="0" applyFont="1" applyFill="1" applyBorder="1" applyAlignment="1">
      <alignment horizontal="center" vertical="center"/>
    </xf>
    <xf numFmtId="0" fontId="2" fillId="0" borderId="49" xfId="0" applyFont="1" applyBorder="1" applyAlignment="1">
      <alignment horizontal="center" vertical="center"/>
    </xf>
    <xf numFmtId="0" fontId="2" fillId="0" borderId="19" xfId="0" applyFont="1" applyBorder="1" applyAlignment="1">
      <alignment horizontal="center" vertical="center"/>
    </xf>
    <xf numFmtId="49" fontId="2" fillId="0" borderId="13" xfId="0" applyNumberFormat="1" applyFont="1" applyBorder="1" applyAlignment="1">
      <alignment horizontal="center" vertical="center"/>
    </xf>
    <xf numFmtId="49" fontId="2" fillId="0" borderId="26" xfId="0" applyNumberFormat="1" applyFont="1" applyBorder="1" applyAlignment="1">
      <alignment horizontal="center" vertical="center"/>
    </xf>
    <xf numFmtId="0" fontId="9" fillId="0" borderId="48" xfId="0" applyFont="1" applyBorder="1" applyAlignment="1">
      <alignment horizontal="center" vertical="center"/>
    </xf>
    <xf numFmtId="0" fontId="9" fillId="0" borderId="49" xfId="0" applyFont="1" applyBorder="1" applyAlignment="1">
      <alignment horizontal="center" vertical="center"/>
    </xf>
    <xf numFmtId="0" fontId="4" fillId="0" borderId="37" xfId="0" applyFont="1" applyBorder="1" applyAlignment="1">
      <alignment horizontal="center"/>
    </xf>
    <xf numFmtId="2" fontId="4" fillId="0" borderId="37" xfId="0" applyNumberFormat="1" applyFont="1" applyBorder="1" applyAlignment="1">
      <alignment horizontal="center"/>
    </xf>
    <xf numFmtId="176" fontId="4" fillId="0" borderId="37" xfId="0" applyNumberFormat="1" applyFont="1" applyBorder="1" applyAlignment="1">
      <alignment horizontal="center"/>
    </xf>
    <xf numFmtId="0" fontId="4" fillId="0" borderId="38" xfId="0" applyFont="1" applyBorder="1" applyAlignment="1">
      <alignment horizontal="center"/>
    </xf>
    <xf numFmtId="0" fontId="4" fillId="0" borderId="6" xfId="0" applyFont="1" applyBorder="1" applyAlignment="1">
      <alignment horizontal="center"/>
    </xf>
    <xf numFmtId="0" fontId="4" fillId="0" borderId="50" xfId="0" applyFont="1" applyBorder="1" applyAlignment="1">
      <alignment horizontal="center"/>
    </xf>
    <xf numFmtId="0" fontId="4" fillId="0" borderId="5" xfId="0" applyFont="1" applyBorder="1" applyAlignment="1">
      <alignment horizontal="center"/>
    </xf>
    <xf numFmtId="0" fontId="4" fillId="0" borderId="36" xfId="0" applyFont="1" applyBorder="1" applyAlignment="1">
      <alignment horizontal="center"/>
    </xf>
    <xf numFmtId="0" fontId="2" fillId="0" borderId="29" xfId="0" applyFont="1" applyBorder="1" applyAlignment="1">
      <alignment horizontal="center" vertical="center"/>
    </xf>
    <xf numFmtId="0" fontId="21" fillId="0" borderId="0" xfId="0" applyFont="1"/>
    <xf numFmtId="2" fontId="4" fillId="0" borderId="1" xfId="0" applyNumberFormat="1" applyFont="1" applyBorder="1" applyAlignment="1">
      <alignment horizontal="center" vertical="center"/>
    </xf>
    <xf numFmtId="176" fontId="2" fillId="0" borderId="5" xfId="0" applyNumberFormat="1" applyFont="1" applyBorder="1" applyAlignment="1">
      <alignment horizontal="center" vertical="center"/>
    </xf>
    <xf numFmtId="176" fontId="2" fillId="0" borderId="1" xfId="0" applyNumberFormat="1" applyFont="1" applyBorder="1" applyAlignment="1">
      <alignment horizontal="center" vertical="center"/>
    </xf>
    <xf numFmtId="1" fontId="2" fillId="0" borderId="1" xfId="0" applyNumberFormat="1" applyFont="1" applyBorder="1" applyAlignment="1">
      <alignment horizontal="center" vertical="center"/>
    </xf>
    <xf numFmtId="1" fontId="4" fillId="0" borderId="44" xfId="0" applyNumberFormat="1" applyFont="1" applyBorder="1" applyAlignment="1">
      <alignment horizontal="center" vertical="center"/>
    </xf>
    <xf numFmtId="2" fontId="4" fillId="0" borderId="29" xfId="0" applyNumberFormat="1" applyFont="1" applyBorder="1" applyAlignment="1">
      <alignment horizontal="center" vertical="center"/>
    </xf>
    <xf numFmtId="0" fontId="9" fillId="0" borderId="36" xfId="0" applyFont="1" applyBorder="1" applyAlignment="1">
      <alignment horizontal="center" wrapText="1"/>
    </xf>
    <xf numFmtId="49" fontId="2" fillId="0" borderId="22" xfId="0" applyNumberFormat="1" applyFont="1" applyBorder="1" applyAlignment="1">
      <alignment horizontal="center" vertical="center" wrapText="1"/>
    </xf>
    <xf numFmtId="49" fontId="2" fillId="0" borderId="8" xfId="0" applyNumberFormat="1" applyFont="1" applyBorder="1" applyAlignment="1">
      <alignment horizontal="center" vertical="center" wrapText="1"/>
    </xf>
    <xf numFmtId="49" fontId="2" fillId="0" borderId="12" xfId="0" applyNumberFormat="1" applyFont="1" applyBorder="1" applyAlignment="1">
      <alignment horizontal="center" vertical="center" wrapText="1"/>
    </xf>
    <xf numFmtId="0" fontId="9" fillId="0" borderId="30" xfId="0" applyFont="1" applyBorder="1" applyAlignment="1">
      <alignment horizontal="center"/>
    </xf>
    <xf numFmtId="0" fontId="9" fillId="0" borderId="22" xfId="0" applyFont="1" applyBorder="1" applyAlignment="1">
      <alignment horizontal="center"/>
    </xf>
    <xf numFmtId="49" fontId="2" fillId="0" borderId="36" xfId="0" applyNumberFormat="1" applyFont="1" applyBorder="1" applyAlignment="1">
      <alignment horizontal="center" vertical="center" wrapText="1"/>
    </xf>
    <xf numFmtId="49" fontId="2" fillId="0" borderId="38" xfId="0" applyNumberFormat="1" applyFont="1" applyBorder="1" applyAlignment="1">
      <alignment horizontal="center" vertical="center" wrapText="1"/>
    </xf>
    <xf numFmtId="49" fontId="9" fillId="0" borderId="37" xfId="0" quotePrefix="1" applyNumberFormat="1" applyFont="1" applyBorder="1" applyAlignment="1">
      <alignment horizontal="center" vertical="center"/>
    </xf>
    <xf numFmtId="49" fontId="9" fillId="0" borderId="38" xfId="0" applyNumberFormat="1" applyFont="1" applyBorder="1" applyAlignment="1">
      <alignment horizontal="center" vertical="center"/>
    </xf>
    <xf numFmtId="0" fontId="9" fillId="0" borderId="17" xfId="0" applyFont="1" applyBorder="1" applyAlignment="1">
      <alignment horizontal="center"/>
    </xf>
    <xf numFmtId="0" fontId="9" fillId="0" borderId="20" xfId="0" applyFont="1" applyBorder="1" applyAlignment="1">
      <alignment horizontal="center"/>
    </xf>
    <xf numFmtId="0" fontId="9" fillId="0" borderId="58" xfId="0" applyFont="1" applyBorder="1" applyAlignment="1">
      <alignment horizontal="center"/>
    </xf>
    <xf numFmtId="0" fontId="5" fillId="0" borderId="8" xfId="0" applyFont="1" applyBorder="1" applyAlignment="1">
      <alignment horizontal="center"/>
    </xf>
    <xf numFmtId="0" fontId="5" fillId="0" borderId="22" xfId="0" applyFont="1" applyBorder="1" applyAlignment="1">
      <alignment horizontal="center"/>
    </xf>
    <xf numFmtId="0" fontId="9" fillId="0" borderId="4" xfId="0" applyFont="1" applyBorder="1" applyAlignment="1">
      <alignment horizontal="center"/>
    </xf>
    <xf numFmtId="49" fontId="2" fillId="0" borderId="37" xfId="0" applyNumberFormat="1" applyFont="1" applyBorder="1" applyAlignment="1">
      <alignment horizontal="center" vertical="center" wrapText="1"/>
    </xf>
    <xf numFmtId="49" fontId="2" fillId="0" borderId="45" xfId="0" applyNumberFormat="1" applyFont="1" applyBorder="1" applyAlignment="1">
      <alignment horizontal="center" vertical="center" wrapText="1"/>
    </xf>
    <xf numFmtId="49" fontId="9" fillId="0" borderId="36" xfId="0" quotePrefix="1" applyNumberFormat="1" applyFont="1" applyBorder="1" applyAlignment="1">
      <alignment horizontal="center" vertical="center"/>
    </xf>
    <xf numFmtId="49" fontId="9" fillId="0" borderId="37" xfId="0" applyNumberFormat="1" applyFont="1" applyBorder="1" applyAlignment="1">
      <alignment horizontal="center"/>
    </xf>
    <xf numFmtId="49" fontId="2" fillId="3" borderId="4" xfId="0" applyNumberFormat="1" applyFont="1" applyFill="1" applyBorder="1" applyAlignment="1">
      <alignment horizontal="center" vertical="center"/>
    </xf>
    <xf numFmtId="49" fontId="2" fillId="3" borderId="8" xfId="0" applyNumberFormat="1" applyFont="1" applyFill="1" applyBorder="1" applyAlignment="1">
      <alignment horizontal="center" vertical="center"/>
    </xf>
    <xf numFmtId="49" fontId="2" fillId="3" borderId="12" xfId="0" applyNumberFormat="1" applyFont="1" applyFill="1" applyBorder="1" applyAlignment="1">
      <alignment horizontal="center" vertical="center"/>
    </xf>
    <xf numFmtId="49" fontId="2" fillId="3" borderId="30" xfId="0" applyNumberFormat="1" applyFont="1" applyFill="1" applyBorder="1" applyAlignment="1">
      <alignment horizontal="center" vertical="center"/>
    </xf>
    <xf numFmtId="49" fontId="2" fillId="3" borderId="22" xfId="0" applyNumberFormat="1" applyFont="1" applyFill="1" applyBorder="1" applyAlignment="1">
      <alignment horizontal="center" vertical="center"/>
    </xf>
    <xf numFmtId="0" fontId="2" fillId="3" borderId="8" xfId="0" applyFont="1" applyFill="1" applyBorder="1" applyAlignment="1">
      <alignment horizontal="center" vertical="center"/>
    </xf>
    <xf numFmtId="49" fontId="2" fillId="3" borderId="29" xfId="0" applyNumberFormat="1" applyFont="1" applyFill="1" applyBorder="1" applyAlignment="1">
      <alignment horizontal="center" vertical="center"/>
    </xf>
    <xf numFmtId="49" fontId="2" fillId="3" borderId="5" xfId="0" applyNumberFormat="1" applyFont="1" applyFill="1" applyBorder="1" applyAlignment="1">
      <alignment horizontal="center" vertical="center"/>
    </xf>
    <xf numFmtId="49" fontId="2" fillId="3" borderId="21" xfId="0" applyNumberFormat="1" applyFont="1" applyFill="1" applyBorder="1" applyAlignment="1">
      <alignment horizontal="center" vertical="center"/>
    </xf>
    <xf numFmtId="49" fontId="2" fillId="3" borderId="1" xfId="0" applyNumberFormat="1" applyFont="1" applyFill="1" applyBorder="1" applyAlignment="1">
      <alignment horizontal="center" vertical="center"/>
    </xf>
    <xf numFmtId="49" fontId="2" fillId="3" borderId="9" xfId="0" applyNumberFormat="1" applyFont="1" applyFill="1" applyBorder="1" applyAlignment="1">
      <alignment horizontal="center" vertical="center"/>
    </xf>
    <xf numFmtId="0" fontId="2" fillId="3" borderId="5" xfId="0" applyFont="1" applyFill="1" applyBorder="1" applyAlignment="1">
      <alignment horizontal="center" vertical="center"/>
    </xf>
    <xf numFmtId="0" fontId="9" fillId="0" borderId="39" xfId="0" applyFont="1" applyBorder="1" applyAlignment="1">
      <alignment horizontal="center"/>
    </xf>
    <xf numFmtId="49" fontId="2" fillId="0" borderId="19" xfId="0" applyNumberFormat="1" applyFont="1" applyBorder="1" applyAlignment="1">
      <alignment horizontal="center" vertical="center" wrapText="1"/>
    </xf>
    <xf numFmtId="0" fontId="5" fillId="0" borderId="6" xfId="0" applyFont="1" applyBorder="1" applyAlignment="1">
      <alignment horizontal="center"/>
    </xf>
    <xf numFmtId="0" fontId="5" fillId="0" borderId="12" xfId="0" applyFont="1" applyBorder="1" applyAlignment="1">
      <alignment horizontal="center"/>
    </xf>
    <xf numFmtId="0" fontId="9" fillId="0" borderId="8" xfId="0" applyFont="1" applyBorder="1" applyAlignment="1">
      <alignment horizontal="center" vertical="center"/>
    </xf>
    <xf numFmtId="0" fontId="20" fillId="0" borderId="38" xfId="4" applyFont="1" applyBorder="1" applyAlignment="1">
      <alignment horizontal="center" vertical="center"/>
    </xf>
    <xf numFmtId="0" fontId="20" fillId="0" borderId="24" xfId="4" applyFont="1" applyBorder="1" applyAlignment="1">
      <alignment horizontal="center" vertical="center"/>
    </xf>
    <xf numFmtId="0" fontId="5" fillId="0" borderId="23" xfId="0" applyFont="1" applyBorder="1" applyAlignment="1">
      <alignment horizontal="center"/>
    </xf>
    <xf numFmtId="0" fontId="9" fillId="0" borderId="22" xfId="0" applyFont="1" applyBorder="1" applyAlignment="1">
      <alignment horizontal="center" vertical="center"/>
    </xf>
    <xf numFmtId="0" fontId="9" fillId="0" borderId="4" xfId="0" applyFont="1" applyBorder="1" applyAlignment="1">
      <alignment horizontal="center" vertical="center"/>
    </xf>
    <xf numFmtId="0" fontId="5" fillId="0" borderId="30" xfId="0" applyFont="1" applyBorder="1" applyAlignment="1">
      <alignment horizontal="center"/>
    </xf>
    <xf numFmtId="0" fontId="9" fillId="0" borderId="59" xfId="0" applyFont="1" applyBorder="1" applyAlignment="1">
      <alignment horizontal="center"/>
    </xf>
    <xf numFmtId="0" fontId="9" fillId="3" borderId="37" xfId="0" applyFont="1" applyFill="1" applyBorder="1" applyAlignment="1">
      <alignment horizontal="center"/>
    </xf>
    <xf numFmtId="0" fontId="9" fillId="3" borderId="38" xfId="0" applyFont="1" applyFill="1" applyBorder="1" applyAlignment="1">
      <alignment horizontal="center"/>
    </xf>
    <xf numFmtId="0" fontId="9" fillId="0" borderId="12" xfId="0" applyFont="1" applyBorder="1" applyAlignment="1">
      <alignment horizontal="center" vertical="center"/>
    </xf>
    <xf numFmtId="0" fontId="9" fillId="3" borderId="39" xfId="0" applyFont="1" applyFill="1" applyBorder="1" applyAlignment="1">
      <alignment horizontal="center"/>
    </xf>
    <xf numFmtId="49" fontId="2" fillId="0" borderId="60" xfId="0" applyNumberFormat="1" applyFont="1" applyBorder="1" applyAlignment="1">
      <alignment horizontal="center" vertical="center" wrapText="1"/>
    </xf>
    <xf numFmtId="0" fontId="2" fillId="0" borderId="6" xfId="0" applyFont="1" applyBorder="1" applyAlignment="1">
      <alignment horizontal="center" vertical="center" wrapText="1"/>
    </xf>
    <xf numFmtId="0" fontId="2" fillId="2" borderId="6" xfId="0" applyFont="1" applyFill="1" applyBorder="1" applyAlignment="1">
      <alignment horizontal="center" vertical="center" wrapText="1"/>
    </xf>
    <xf numFmtId="0" fontId="2" fillId="0" borderId="7" xfId="0" applyFont="1" applyBorder="1" applyAlignment="1">
      <alignment horizontal="center" vertical="center" wrapText="1"/>
    </xf>
    <xf numFmtId="0" fontId="5" fillId="3" borderId="4" xfId="0" applyFont="1" applyFill="1" applyBorder="1" applyAlignment="1">
      <alignment horizontal="center"/>
    </xf>
    <xf numFmtId="0" fontId="5" fillId="3" borderId="8" xfId="0" applyFont="1" applyFill="1" applyBorder="1" applyAlignment="1">
      <alignment horizontal="center"/>
    </xf>
    <xf numFmtId="0" fontId="5" fillId="3" borderId="21" xfId="0" applyFont="1" applyFill="1" applyBorder="1" applyAlignment="1">
      <alignment horizontal="center"/>
    </xf>
    <xf numFmtId="49" fontId="2" fillId="0" borderId="50" xfId="0" applyNumberFormat="1" applyFont="1" applyBorder="1" applyAlignment="1">
      <alignment horizontal="center" vertical="center" wrapText="1"/>
    </xf>
    <xf numFmtId="49" fontId="2" fillId="0" borderId="51" xfId="0" applyNumberFormat="1" applyFont="1" applyBorder="1" applyAlignment="1">
      <alignment horizontal="center" vertical="center" wrapText="1"/>
    </xf>
    <xf numFmtId="49" fontId="2" fillId="3" borderId="48" xfId="0" applyNumberFormat="1" applyFont="1" applyFill="1" applyBorder="1" applyAlignment="1">
      <alignment horizontal="center" vertical="center" wrapText="1"/>
    </xf>
    <xf numFmtId="49" fontId="2" fillId="3" borderId="50" xfId="0" applyNumberFormat="1" applyFont="1" applyFill="1" applyBorder="1" applyAlignment="1">
      <alignment horizontal="center" vertical="center" wrapText="1"/>
    </xf>
    <xf numFmtId="49" fontId="2" fillId="3" borderId="57" xfId="0" applyNumberFormat="1" applyFont="1" applyFill="1" applyBorder="1" applyAlignment="1">
      <alignment horizontal="center" vertical="center" wrapText="1"/>
    </xf>
    <xf numFmtId="0" fontId="9" fillId="3" borderId="61" xfId="0" applyFont="1" applyFill="1" applyBorder="1" applyAlignment="1">
      <alignment horizontal="center"/>
    </xf>
    <xf numFmtId="0" fontId="9" fillId="3" borderId="25" xfId="0" applyFont="1" applyFill="1" applyBorder="1" applyAlignment="1">
      <alignment horizontal="center"/>
    </xf>
    <xf numFmtId="0" fontId="9" fillId="3" borderId="6" xfId="0" applyFont="1" applyFill="1" applyBorder="1" applyAlignment="1">
      <alignment horizontal="center"/>
    </xf>
    <xf numFmtId="0" fontId="9" fillId="0" borderId="47" xfId="0" applyFont="1" applyBorder="1" applyAlignment="1">
      <alignment horizontal="center"/>
    </xf>
    <xf numFmtId="0" fontId="2" fillId="0" borderId="31" xfId="0" applyFont="1" applyBorder="1" applyAlignment="1">
      <alignment horizontal="center" vertical="center" wrapText="1"/>
    </xf>
    <xf numFmtId="0" fontId="2" fillId="0" borderId="32" xfId="0" applyFont="1" applyBorder="1" applyAlignment="1">
      <alignment horizontal="center" vertical="center" wrapText="1"/>
    </xf>
    <xf numFmtId="1" fontId="9" fillId="0" borderId="7" xfId="0" applyNumberFormat="1" applyFont="1" applyBorder="1" applyAlignment="1">
      <alignment horizontal="center"/>
    </xf>
    <xf numFmtId="1" fontId="2" fillId="0" borderId="7" xfId="0" applyNumberFormat="1" applyFont="1" applyBorder="1" applyAlignment="1">
      <alignment horizontal="center" vertical="center" wrapText="1"/>
    </xf>
    <xf numFmtId="0" fontId="2" fillId="0" borderId="23" xfId="0" applyFont="1" applyBorder="1" applyAlignment="1">
      <alignment horizontal="center" vertical="center" wrapText="1"/>
    </xf>
    <xf numFmtId="0" fontId="15" fillId="0" borderId="0" xfId="0" applyFont="1"/>
    <xf numFmtId="49" fontId="9" fillId="0" borderId="39" xfId="0" applyNumberFormat="1" applyFont="1" applyBorder="1" applyAlignment="1">
      <alignment horizontal="center"/>
    </xf>
    <xf numFmtId="49" fontId="9" fillId="0" borderId="37" xfId="0" applyNumberFormat="1" applyFont="1" applyBorder="1" applyAlignment="1">
      <alignment horizontal="center" vertical="center"/>
    </xf>
    <xf numFmtId="0" fontId="2" fillId="0" borderId="37" xfId="0" applyFont="1" applyBorder="1" applyAlignment="1">
      <alignment horizontal="center"/>
    </xf>
    <xf numFmtId="0" fontId="2" fillId="0" borderId="6" xfId="0" applyFont="1" applyBorder="1" applyAlignment="1">
      <alignment horizontal="center"/>
    </xf>
    <xf numFmtId="49" fontId="2" fillId="0" borderId="27" xfId="0" applyNumberFormat="1" applyFont="1" applyBorder="1" applyAlignment="1">
      <alignment horizontal="center" vertical="center"/>
    </xf>
    <xf numFmtId="49" fontId="2" fillId="3" borderId="23" xfId="0" applyNumberFormat="1" applyFont="1" applyFill="1" applyBorder="1" applyAlignment="1">
      <alignment horizontal="center" vertical="center" wrapText="1"/>
    </xf>
    <xf numFmtId="0" fontId="2" fillId="0" borderId="8" xfId="0" quotePrefix="1" applyFont="1" applyBorder="1" applyAlignment="1">
      <alignment horizontal="center" vertical="center" wrapText="1"/>
    </xf>
    <xf numFmtId="0" fontId="2" fillId="0" borderId="22" xfId="0" applyFont="1" applyBorder="1" applyAlignment="1">
      <alignment horizontal="center" vertical="center" wrapText="1"/>
    </xf>
    <xf numFmtId="1" fontId="2" fillId="0" borderId="19" xfId="0" applyNumberFormat="1" applyFont="1" applyBorder="1" applyAlignment="1">
      <alignment horizontal="center" vertical="center"/>
    </xf>
    <xf numFmtId="49" fontId="2" fillId="3" borderId="6" xfId="0" applyNumberFormat="1" applyFont="1" applyFill="1" applyBorder="1" applyAlignment="1">
      <alignment vertical="center" wrapText="1"/>
    </xf>
    <xf numFmtId="0" fontId="5" fillId="0" borderId="5" xfId="0" applyFont="1" applyBorder="1" applyAlignment="1">
      <alignment horizontal="center"/>
    </xf>
    <xf numFmtId="0" fontId="5" fillId="0" borderId="21" xfId="0" applyFont="1" applyBorder="1" applyAlignment="1">
      <alignment horizontal="center"/>
    </xf>
    <xf numFmtId="49" fontId="2" fillId="0" borderId="8" xfId="0" applyNumberFormat="1" applyFont="1" applyBorder="1" applyAlignment="1">
      <alignment vertical="center" wrapText="1"/>
    </xf>
    <xf numFmtId="0" fontId="2" fillId="0" borderId="7" xfId="0" applyFont="1" applyBorder="1" applyAlignment="1">
      <alignment horizontal="center"/>
    </xf>
    <xf numFmtId="0" fontId="12" fillId="0" borderId="0" xfId="0" applyFont="1"/>
    <xf numFmtId="49" fontId="2" fillId="0" borderId="26" xfId="0" applyNumberFormat="1" applyFont="1" applyBorder="1" applyAlignment="1">
      <alignment horizontal="center"/>
    </xf>
    <xf numFmtId="49" fontId="2" fillId="0" borderId="27" xfId="0" applyNumberFormat="1" applyFont="1" applyBorder="1" applyAlignment="1">
      <alignment horizontal="center"/>
    </xf>
    <xf numFmtId="0" fontId="2" fillId="0" borderId="27" xfId="0" applyFont="1" applyBorder="1" applyAlignment="1">
      <alignment horizontal="center"/>
    </xf>
    <xf numFmtId="0" fontId="5" fillId="0" borderId="1" xfId="0" applyFont="1" applyBorder="1" applyAlignment="1">
      <alignment horizontal="center"/>
    </xf>
    <xf numFmtId="0" fontId="2" fillId="0" borderId="33" xfId="0" applyFont="1" applyBorder="1" applyAlignment="1">
      <alignment horizontal="center"/>
    </xf>
    <xf numFmtId="0" fontId="17" fillId="0" borderId="0" xfId="0" applyFont="1"/>
    <xf numFmtId="0" fontId="9" fillId="0" borderId="19" xfId="0" applyFont="1" applyBorder="1" applyAlignment="1">
      <alignment horizontal="center"/>
    </xf>
    <xf numFmtId="49" fontId="2" fillId="0" borderId="7" xfId="0" applyNumberFormat="1" applyFont="1" applyBorder="1" applyAlignment="1">
      <alignment vertical="center" wrapText="1"/>
    </xf>
    <xf numFmtId="0" fontId="2" fillId="0" borderId="5" xfId="0" applyFont="1" applyBorder="1" applyAlignment="1">
      <alignment horizontal="center"/>
    </xf>
    <xf numFmtId="0" fontId="2" fillId="0" borderId="1" xfId="0" applyFont="1" applyBorder="1" applyAlignment="1">
      <alignment horizontal="center"/>
    </xf>
    <xf numFmtId="0" fontId="2" fillId="0" borderId="39" xfId="0" applyFont="1" applyBorder="1" applyAlignment="1">
      <alignment horizontal="center"/>
    </xf>
    <xf numFmtId="0" fontId="2" fillId="0" borderId="38" xfId="0" applyFont="1" applyBorder="1" applyAlignment="1">
      <alignment horizontal="center"/>
    </xf>
    <xf numFmtId="0" fontId="2" fillId="0" borderId="36" xfId="0" applyFont="1" applyBorder="1" applyAlignment="1">
      <alignment horizontal="center"/>
    </xf>
    <xf numFmtId="0" fontId="17" fillId="0" borderId="0" xfId="0" applyFont="1" applyAlignment="1">
      <alignment vertical="center"/>
    </xf>
    <xf numFmtId="0" fontId="12" fillId="0" borderId="0" xfId="0" applyFont="1" applyAlignment="1">
      <alignment horizontal="center" vertical="center"/>
    </xf>
    <xf numFmtId="0" fontId="12" fillId="0" borderId="0" xfId="0" applyFont="1" applyAlignment="1">
      <alignment vertical="center"/>
    </xf>
    <xf numFmtId="0" fontId="17" fillId="0" borderId="0" xfId="0" applyFont="1" applyAlignment="1">
      <alignment horizontal="center" vertical="center"/>
    </xf>
    <xf numFmtId="0" fontId="9" fillId="0" borderId="50" xfId="0" applyFont="1" applyBorder="1" applyAlignment="1">
      <alignment horizontal="center" vertical="center"/>
    </xf>
    <xf numFmtId="0" fontId="22" fillId="0" borderId="6" xfId="0" applyFont="1" applyBorder="1" applyAlignment="1">
      <alignment horizontal="center"/>
    </xf>
    <xf numFmtId="0" fontId="16" fillId="0" borderId="23" xfId="0" applyFont="1" applyBorder="1" applyAlignment="1">
      <alignment horizontal="center"/>
    </xf>
    <xf numFmtId="0" fontId="16" fillId="0" borderId="2" xfId="0" applyFont="1" applyBorder="1" applyAlignment="1">
      <alignment horizontal="center"/>
    </xf>
    <xf numFmtId="0" fontId="2" fillId="0" borderId="29" xfId="0" applyFont="1" applyBorder="1" applyAlignment="1">
      <alignment horizontal="center"/>
    </xf>
    <xf numFmtId="0" fontId="16" fillId="0" borderId="31" xfId="0" applyFont="1" applyBorder="1" applyAlignment="1">
      <alignment horizontal="center"/>
    </xf>
    <xf numFmtId="178" fontId="14" fillId="0" borderId="0" xfId="1" applyNumberFormat="1" applyFont="1" applyAlignment="1">
      <alignment horizontal="center"/>
    </xf>
    <xf numFmtId="0" fontId="2" fillId="0" borderId="0" xfId="0" applyFont="1" applyAlignment="1">
      <alignment horizontal="center" vertical="center"/>
    </xf>
    <xf numFmtId="0" fontId="20" fillId="0" borderId="48" xfId="2" applyFont="1" applyBorder="1" applyAlignment="1">
      <alignment horizontal="center" wrapText="1"/>
    </xf>
    <xf numFmtId="0" fontId="20" fillId="0" borderId="50" xfId="2" applyFont="1" applyBorder="1" applyAlignment="1">
      <alignment horizontal="center" wrapText="1"/>
    </xf>
    <xf numFmtId="0" fontId="9" fillId="0" borderId="51" xfId="0" applyFont="1" applyBorder="1" applyAlignment="1">
      <alignment horizontal="center"/>
    </xf>
    <xf numFmtId="0" fontId="2" fillId="0" borderId="48" xfId="3" applyFont="1" applyBorder="1" applyAlignment="1">
      <alignment horizontal="center" vertical="center"/>
    </xf>
    <xf numFmtId="0" fontId="2" fillId="0" borderId="50" xfId="3" applyFont="1" applyBorder="1" applyAlignment="1">
      <alignment horizontal="center" vertical="center"/>
    </xf>
    <xf numFmtId="0" fontId="2" fillId="0" borderId="49" xfId="3" applyFont="1" applyBorder="1" applyAlignment="1">
      <alignment horizontal="center" vertical="center"/>
    </xf>
    <xf numFmtId="49" fontId="9" fillId="0" borderId="6" xfId="0" applyNumberFormat="1" applyFont="1" applyBorder="1" applyAlignment="1">
      <alignment horizontal="center" vertical="center"/>
    </xf>
    <xf numFmtId="0" fontId="9" fillId="0" borderId="62" xfId="0" applyFont="1" applyBorder="1" applyAlignment="1">
      <alignment horizontal="center"/>
    </xf>
    <xf numFmtId="0" fontId="20" fillId="0" borderId="21" xfId="2" applyFont="1" applyBorder="1" applyAlignment="1">
      <alignment horizontal="center" wrapText="1"/>
    </xf>
    <xf numFmtId="0" fontId="20" fillId="0" borderId="23" xfId="2" applyFont="1" applyBorder="1" applyAlignment="1">
      <alignment horizontal="center" wrapText="1"/>
    </xf>
    <xf numFmtId="0" fontId="20" fillId="0" borderId="49" xfId="2" applyFont="1" applyBorder="1" applyAlignment="1">
      <alignment horizontal="center" wrapText="1"/>
    </xf>
    <xf numFmtId="0" fontId="2" fillId="0" borderId="2" xfId="3" applyFont="1" applyBorder="1" applyAlignment="1">
      <alignment horizontal="center" vertical="center"/>
    </xf>
    <xf numFmtId="0" fontId="2" fillId="0" borderId="19" xfId="3" applyFont="1" applyBorder="1" applyAlignment="1">
      <alignment horizontal="center" vertical="center"/>
    </xf>
    <xf numFmtId="49" fontId="9" fillId="0" borderId="31" xfId="0" applyNumberFormat="1" applyFont="1" applyBorder="1" applyAlignment="1">
      <alignment horizontal="center"/>
    </xf>
    <xf numFmtId="0" fontId="2" fillId="0" borderId="10" xfId="3" applyFont="1" applyBorder="1" applyAlignment="1">
      <alignment horizontal="center" vertical="center"/>
    </xf>
    <xf numFmtId="0" fontId="2" fillId="0" borderId="51" xfId="3" applyFont="1" applyBorder="1" applyAlignment="1">
      <alignment horizontal="center" vertical="center"/>
    </xf>
    <xf numFmtId="0" fontId="2" fillId="0" borderId="2" xfId="0" applyFont="1" applyBorder="1" applyAlignment="1">
      <alignment horizontal="center"/>
    </xf>
    <xf numFmtId="0" fontId="2" fillId="0" borderId="31" xfId="0" applyFont="1" applyBorder="1" applyAlignment="1">
      <alignment horizontal="center"/>
    </xf>
    <xf numFmtId="0" fontId="2" fillId="0" borderId="23" xfId="0" applyFont="1" applyBorder="1" applyAlignment="1">
      <alignment horizontal="center"/>
    </xf>
    <xf numFmtId="0" fontId="2" fillId="0" borderId="10" xfId="0" applyFont="1" applyBorder="1" applyAlignment="1">
      <alignment horizontal="center"/>
    </xf>
    <xf numFmtId="179" fontId="2" fillId="0" borderId="2" xfId="3" applyNumberFormat="1" applyFont="1" applyBorder="1" applyAlignment="1">
      <alignment horizontal="center" vertical="center"/>
    </xf>
    <xf numFmtId="179" fontId="2" fillId="0" borderId="10" xfId="3" applyNumberFormat="1" applyFont="1" applyBorder="1" applyAlignment="1">
      <alignment horizontal="center" vertical="center"/>
    </xf>
    <xf numFmtId="0" fontId="9" fillId="0" borderId="9" xfId="0" applyFont="1" applyBorder="1" applyAlignment="1">
      <alignment horizontal="center" vertical="center"/>
    </xf>
    <xf numFmtId="0" fontId="9" fillId="0" borderId="1" xfId="0" applyFont="1" applyBorder="1" applyAlignment="1">
      <alignment horizontal="center" vertical="center"/>
    </xf>
    <xf numFmtId="0" fontId="2" fillId="0" borderId="3" xfId="3" applyFont="1" applyBorder="1" applyAlignment="1">
      <alignment horizontal="center" vertical="center"/>
    </xf>
    <xf numFmtId="0" fontId="2" fillId="0" borderId="7" xfId="3" applyFont="1" applyBorder="1" applyAlignment="1">
      <alignment horizontal="center" vertical="center"/>
    </xf>
    <xf numFmtId="0" fontId="2" fillId="0" borderId="11" xfId="3" applyFont="1" applyBorder="1" applyAlignment="1">
      <alignment horizontal="center" vertical="center"/>
    </xf>
    <xf numFmtId="0" fontId="9" fillId="0" borderId="30" xfId="0" applyFont="1" applyBorder="1" applyAlignment="1">
      <alignment horizontal="center" vertical="center" wrapText="1"/>
    </xf>
    <xf numFmtId="0" fontId="9" fillId="0" borderId="8" xfId="0" applyFont="1" applyBorder="1" applyAlignment="1">
      <alignment horizontal="center" vertical="center" wrapText="1"/>
    </xf>
    <xf numFmtId="0" fontId="9" fillId="0" borderId="31" xfId="0" applyFont="1" applyBorder="1" applyAlignment="1">
      <alignment horizontal="center" vertical="center"/>
    </xf>
    <xf numFmtId="0" fontId="9" fillId="0" borderId="32" xfId="0" applyFont="1" applyBorder="1" applyAlignment="1">
      <alignment horizontal="center" vertical="center"/>
    </xf>
    <xf numFmtId="49" fontId="2" fillId="0" borderId="36" xfId="0" applyNumberFormat="1" applyFont="1" applyBorder="1" applyAlignment="1">
      <alignment horizontal="center" vertical="center" wrapText="1"/>
    </xf>
    <xf numFmtId="49" fontId="2" fillId="0" borderId="37" xfId="0" applyNumberFormat="1" applyFont="1" applyBorder="1" applyAlignment="1">
      <alignment horizontal="center" vertical="center" wrapText="1"/>
    </xf>
    <xf numFmtId="0" fontId="9" fillId="0" borderId="52" xfId="0" applyFont="1" applyBorder="1" applyAlignment="1">
      <alignment horizontal="center" vertical="center"/>
    </xf>
    <xf numFmtId="0" fontId="9" fillId="0" borderId="54" xfId="0" applyFont="1" applyBorder="1" applyAlignment="1">
      <alignment horizontal="center" vertical="center"/>
    </xf>
    <xf numFmtId="0" fontId="9" fillId="0" borderId="53" xfId="0" applyFont="1" applyBorder="1" applyAlignment="1">
      <alignment horizontal="center" vertical="center"/>
    </xf>
    <xf numFmtId="0" fontId="2" fillId="0" borderId="36" xfId="0" applyFont="1" applyBorder="1" applyAlignment="1">
      <alignment horizontal="center" vertical="center" wrapText="1"/>
    </xf>
    <xf numFmtId="0" fontId="2" fillId="0" borderId="37" xfId="0" applyFont="1" applyBorder="1" applyAlignment="1">
      <alignment horizontal="center" vertical="center" wrapText="1"/>
    </xf>
    <xf numFmtId="0" fontId="2" fillId="0" borderId="38" xfId="0" applyFont="1" applyBorder="1" applyAlignment="1">
      <alignment horizontal="center" vertical="center" wrapText="1"/>
    </xf>
    <xf numFmtId="49" fontId="2" fillId="0" borderId="5" xfId="0" applyNumberFormat="1" applyFont="1" applyBorder="1" applyAlignment="1">
      <alignment horizontal="center" vertical="center"/>
    </xf>
    <xf numFmtId="49" fontId="2" fillId="0" borderId="9" xfId="0" applyNumberFormat="1" applyFont="1" applyBorder="1" applyAlignment="1">
      <alignment horizontal="center" vertical="center"/>
    </xf>
    <xf numFmtId="49" fontId="2" fillId="0" borderId="21" xfId="0" applyNumberFormat="1" applyFont="1" applyBorder="1" applyAlignment="1">
      <alignment horizontal="center" vertical="center"/>
    </xf>
    <xf numFmtId="49" fontId="2" fillId="0" borderId="16" xfId="0" applyNumberFormat="1" applyFont="1" applyBorder="1" applyAlignment="1">
      <alignment horizontal="center" vertical="center" wrapText="1"/>
    </xf>
    <xf numFmtId="49" fontId="2" fillId="0" borderId="27" xfId="0" applyNumberFormat="1" applyFont="1" applyBorder="1" applyAlignment="1">
      <alignment horizontal="center" vertical="center" wrapText="1"/>
    </xf>
    <xf numFmtId="0" fontId="2" fillId="0" borderId="26" xfId="0" applyFont="1" applyBorder="1" applyAlignment="1">
      <alignment horizontal="center" vertical="center"/>
    </xf>
    <xf numFmtId="0" fontId="2" fillId="0" borderId="27" xfId="0" applyFont="1" applyBorder="1" applyAlignment="1">
      <alignment horizontal="center" vertical="center"/>
    </xf>
    <xf numFmtId="0" fontId="2" fillId="0" borderId="28" xfId="0" applyFont="1" applyBorder="1" applyAlignment="1">
      <alignment horizontal="center" vertical="center"/>
    </xf>
    <xf numFmtId="49" fontId="2" fillId="0" borderId="1" xfId="0" applyNumberFormat="1" applyFont="1" applyBorder="1" applyAlignment="1">
      <alignment horizontal="center" vertical="center"/>
    </xf>
    <xf numFmtId="0" fontId="9" fillId="0" borderId="16" xfId="0" applyFont="1" applyBorder="1" applyAlignment="1">
      <alignment horizontal="center" vertical="center"/>
    </xf>
    <xf numFmtId="0" fontId="9" fillId="0" borderId="27" xfId="0" applyFont="1" applyBorder="1" applyAlignment="1">
      <alignment horizontal="center" vertical="center"/>
    </xf>
    <xf numFmtId="0" fontId="9" fillId="0" borderId="33" xfId="0" applyFont="1" applyBorder="1" applyAlignment="1">
      <alignment horizontal="center" vertical="center"/>
    </xf>
    <xf numFmtId="0" fontId="9" fillId="0" borderId="26" xfId="0" applyFont="1" applyBorder="1" applyAlignment="1">
      <alignment horizontal="center" vertical="center"/>
    </xf>
    <xf numFmtId="0" fontId="9" fillId="0" borderId="36" xfId="0" applyFont="1" applyBorder="1" applyAlignment="1">
      <alignment horizontal="center" vertical="center"/>
    </xf>
    <xf numFmtId="0" fontId="9" fillId="0" borderId="37" xfId="0" applyFont="1" applyBorder="1" applyAlignment="1">
      <alignment horizontal="center" vertical="center"/>
    </xf>
    <xf numFmtId="0" fontId="9" fillId="0" borderId="38" xfId="0" applyFont="1" applyBorder="1" applyAlignment="1">
      <alignment horizontal="center" vertical="center"/>
    </xf>
    <xf numFmtId="0" fontId="2" fillId="0" borderId="33" xfId="0" applyFont="1" applyBorder="1" applyAlignment="1">
      <alignment horizontal="center" vertical="center"/>
    </xf>
    <xf numFmtId="0" fontId="2" fillId="0" borderId="16" xfId="0" applyFont="1" applyBorder="1" applyAlignment="1">
      <alignment horizontal="center" vertical="center"/>
    </xf>
    <xf numFmtId="0" fontId="2" fillId="0" borderId="5" xfId="0" applyFont="1" applyBorder="1" applyAlignment="1">
      <alignment horizontal="center" vertical="center"/>
    </xf>
    <xf numFmtId="0" fontId="2" fillId="0" borderId="16" xfId="0" applyFont="1" applyBorder="1" applyAlignment="1">
      <alignment horizontal="center" vertical="center" wrapText="1"/>
    </xf>
    <xf numFmtId="0" fontId="2" fillId="0" borderId="27" xfId="0" applyFont="1" applyBorder="1" applyAlignment="1">
      <alignment horizontal="center" vertical="center" wrapText="1"/>
    </xf>
    <xf numFmtId="0" fontId="2" fillId="0" borderId="33" xfId="0" applyFont="1" applyBorder="1" applyAlignment="1">
      <alignment horizontal="center" vertical="center" wrapText="1"/>
    </xf>
    <xf numFmtId="0" fontId="2" fillId="0" borderId="30" xfId="0" applyFont="1" applyBorder="1" applyAlignment="1">
      <alignment horizontal="center" vertical="center" wrapText="1"/>
    </xf>
    <xf numFmtId="0" fontId="2" fillId="0" borderId="32" xfId="0" applyFont="1" applyBorder="1" applyAlignment="1">
      <alignment horizontal="center" vertical="center" wrapText="1"/>
    </xf>
    <xf numFmtId="0" fontId="2" fillId="0" borderId="8" xfId="0" applyFont="1" applyBorder="1" applyAlignment="1">
      <alignment horizontal="center" vertical="center" wrapText="1"/>
    </xf>
    <xf numFmtId="0" fontId="2" fillId="0" borderId="7" xfId="0" applyFont="1" applyBorder="1" applyAlignment="1">
      <alignment horizontal="center" vertical="center" wrapText="1"/>
    </xf>
    <xf numFmtId="49" fontId="2" fillId="0" borderId="29" xfId="0" applyNumberFormat="1" applyFont="1" applyBorder="1" applyAlignment="1">
      <alignment horizontal="center" vertical="center" wrapText="1"/>
    </xf>
    <xf numFmtId="49" fontId="2" fillId="0" borderId="5" xfId="0" applyNumberFormat="1" applyFont="1" applyBorder="1" applyAlignment="1">
      <alignment horizontal="center" vertical="center" wrapText="1"/>
    </xf>
    <xf numFmtId="49" fontId="2" fillId="3" borderId="31" xfId="0" applyNumberFormat="1" applyFont="1" applyFill="1" applyBorder="1" applyAlignment="1">
      <alignment horizontal="center" vertical="center" wrapText="1"/>
    </xf>
    <xf numFmtId="49" fontId="2" fillId="3" borderId="6" xfId="0" applyNumberFormat="1" applyFont="1" applyFill="1" applyBorder="1" applyAlignment="1">
      <alignment horizontal="center" vertical="center" wrapText="1"/>
    </xf>
    <xf numFmtId="49" fontId="2" fillId="0" borderId="31" xfId="0" applyNumberFormat="1" applyFont="1" applyBorder="1" applyAlignment="1">
      <alignment horizontal="center" vertical="center" wrapText="1"/>
    </xf>
    <xf numFmtId="49" fontId="2" fillId="0" borderId="6" xfId="0" applyNumberFormat="1" applyFont="1" applyBorder="1" applyAlignment="1">
      <alignment horizontal="center" vertical="center" wrapText="1"/>
    </xf>
    <xf numFmtId="49" fontId="2" fillId="0" borderId="27" xfId="0" applyNumberFormat="1" applyFont="1" applyBorder="1" applyAlignment="1">
      <alignment horizontal="center" vertical="center"/>
    </xf>
    <xf numFmtId="49" fontId="2" fillId="0" borderId="28" xfId="0" applyNumberFormat="1" applyFont="1" applyBorder="1" applyAlignment="1">
      <alignment horizontal="center" vertical="center"/>
    </xf>
    <xf numFmtId="49" fontId="2" fillId="0" borderId="33" xfId="0" applyNumberFormat="1" applyFont="1" applyBorder="1" applyAlignment="1">
      <alignment horizontal="center" vertical="center"/>
    </xf>
    <xf numFmtId="49" fontId="2" fillId="0" borderId="26" xfId="0" applyNumberFormat="1" applyFont="1" applyBorder="1" applyAlignment="1">
      <alignment horizontal="center" vertical="center"/>
    </xf>
    <xf numFmtId="0" fontId="5" fillId="0" borderId="52" xfId="0" applyFont="1" applyBorder="1" applyAlignment="1">
      <alignment horizontal="center"/>
    </xf>
    <xf numFmtId="0" fontId="5" fillId="0" borderId="54" xfId="0" applyFont="1" applyBorder="1" applyAlignment="1">
      <alignment horizontal="center"/>
    </xf>
    <xf numFmtId="0" fontId="5" fillId="0" borderId="53" xfId="0" applyFont="1" applyBorder="1" applyAlignment="1">
      <alignment horizontal="center"/>
    </xf>
    <xf numFmtId="49" fontId="2" fillId="0" borderId="17" xfId="0" applyNumberFormat="1" applyFont="1" applyBorder="1" applyAlignment="1">
      <alignment horizontal="center" vertical="center" wrapText="1"/>
    </xf>
    <xf numFmtId="49" fontId="2" fillId="0" borderId="20" xfId="0" applyNumberFormat="1" applyFont="1" applyBorder="1" applyAlignment="1">
      <alignment horizontal="center" vertical="center" wrapText="1"/>
    </xf>
    <xf numFmtId="0" fontId="9" fillId="0" borderId="18" xfId="0" applyFont="1" applyBorder="1" applyAlignment="1">
      <alignment horizontal="center" vertical="center" wrapText="1"/>
    </xf>
    <xf numFmtId="0" fontId="9" fillId="0" borderId="16" xfId="0" applyFont="1" applyBorder="1" applyAlignment="1">
      <alignment horizontal="center" vertical="center" wrapText="1"/>
    </xf>
    <xf numFmtId="0" fontId="9" fillId="0" borderId="34" xfId="0" applyFont="1" applyBorder="1" applyAlignment="1">
      <alignment horizontal="center" vertical="center"/>
    </xf>
    <xf numFmtId="0" fontId="9" fillId="0" borderId="1" xfId="0" applyFont="1" applyBorder="1" applyAlignment="1">
      <alignment horizontal="center" vertical="center"/>
    </xf>
    <xf numFmtId="49" fontId="2" fillId="0" borderId="32" xfId="0" applyNumberFormat="1" applyFont="1" applyBorder="1" applyAlignment="1">
      <alignment horizontal="center" vertical="center" wrapText="1"/>
    </xf>
    <xf numFmtId="49" fontId="2" fillId="0" borderId="7" xfId="0" applyNumberFormat="1" applyFont="1" applyBorder="1" applyAlignment="1">
      <alignment horizontal="center" vertical="center" wrapText="1"/>
    </xf>
    <xf numFmtId="0" fontId="9" fillId="0" borderId="52" xfId="0" applyFont="1" applyBorder="1" applyAlignment="1">
      <alignment horizontal="center" vertical="center" wrapText="1"/>
    </xf>
    <xf numFmtId="0" fontId="9" fillId="0" borderId="54" xfId="0" applyFont="1" applyBorder="1" applyAlignment="1">
      <alignment horizontal="center" vertical="center" wrapText="1"/>
    </xf>
    <xf numFmtId="49" fontId="2" fillId="0" borderId="24" xfId="0" applyNumberFormat="1" applyFont="1" applyBorder="1" applyAlignment="1">
      <alignment horizontal="center" vertical="center" wrapText="1"/>
    </xf>
    <xf numFmtId="0" fontId="11" fillId="0" borderId="0" xfId="0" applyFont="1" applyAlignment="1">
      <alignment horizontal="left"/>
    </xf>
    <xf numFmtId="0" fontId="11" fillId="0" borderId="0" xfId="0" quotePrefix="1" applyFont="1" applyAlignment="1">
      <alignment horizontal="left"/>
    </xf>
    <xf numFmtId="0" fontId="9" fillId="0" borderId="29" xfId="0" applyFont="1" applyBorder="1" applyAlignment="1">
      <alignment horizontal="center" vertical="center"/>
    </xf>
    <xf numFmtId="0" fontId="9" fillId="0" borderId="5" xfId="0" applyFont="1" applyBorder="1" applyAlignment="1">
      <alignment horizontal="center" vertical="center"/>
    </xf>
    <xf numFmtId="0" fontId="9" fillId="0" borderId="9" xfId="0" applyFont="1" applyBorder="1" applyAlignment="1">
      <alignment horizontal="center" vertical="center"/>
    </xf>
    <xf numFmtId="0" fontId="2" fillId="0" borderId="31" xfId="0" applyFont="1" applyBorder="1" applyAlignment="1">
      <alignment horizontal="center" vertical="center" wrapText="1"/>
    </xf>
    <xf numFmtId="0" fontId="2" fillId="0" borderId="6" xfId="0" applyFont="1" applyBorder="1" applyAlignment="1">
      <alignment horizontal="center" vertical="center" wrapText="1"/>
    </xf>
    <xf numFmtId="0" fontId="2" fillId="0" borderId="10" xfId="0" applyFont="1" applyBorder="1" applyAlignment="1">
      <alignment horizontal="center" vertical="center" wrapText="1"/>
    </xf>
    <xf numFmtId="49" fontId="2" fillId="0" borderId="30" xfId="0" applyNumberFormat="1" applyFont="1" applyBorder="1" applyAlignment="1">
      <alignment horizontal="center" vertical="center" wrapText="1"/>
    </xf>
    <xf numFmtId="0" fontId="9" fillId="3" borderId="52" xfId="0" applyFont="1" applyFill="1" applyBorder="1" applyAlignment="1">
      <alignment horizontal="center" vertical="center" wrapText="1"/>
    </xf>
    <xf numFmtId="0" fontId="9" fillId="3" borderId="54" xfId="0" applyFont="1" applyFill="1" applyBorder="1" applyAlignment="1">
      <alignment horizontal="center" vertical="center" wrapText="1"/>
    </xf>
    <xf numFmtId="0" fontId="9" fillId="3" borderId="53" xfId="0" applyFont="1" applyFill="1" applyBorder="1" applyAlignment="1">
      <alignment horizontal="center" vertical="center" wrapText="1"/>
    </xf>
    <xf numFmtId="0" fontId="9" fillId="0" borderId="34" xfId="0" applyFont="1" applyBorder="1" applyAlignment="1">
      <alignment horizontal="center" vertical="center" wrapText="1"/>
    </xf>
    <xf numFmtId="0" fontId="9" fillId="0" borderId="44" xfId="0" applyFont="1" applyBorder="1" applyAlignment="1">
      <alignment horizontal="center" vertical="center" wrapText="1"/>
    </xf>
    <xf numFmtId="0" fontId="9" fillId="0" borderId="47" xfId="0" applyFont="1" applyBorder="1" applyAlignment="1">
      <alignment horizontal="center" vertical="center" wrapText="1"/>
    </xf>
    <xf numFmtId="0" fontId="9" fillId="0" borderId="56" xfId="0" applyFont="1" applyBorder="1" applyAlignment="1">
      <alignment horizontal="center" vertical="center"/>
    </xf>
    <xf numFmtId="0" fontId="9" fillId="0" borderId="35" xfId="0" applyFont="1" applyBorder="1" applyAlignment="1">
      <alignment horizontal="center" vertical="center"/>
    </xf>
    <xf numFmtId="0" fontId="9" fillId="0" borderId="46" xfId="0" applyFont="1" applyBorder="1" applyAlignment="1">
      <alignment horizontal="center" vertical="center"/>
    </xf>
    <xf numFmtId="0" fontId="9" fillId="3" borderId="34" xfId="0" applyFont="1" applyFill="1" applyBorder="1" applyAlignment="1">
      <alignment horizontal="center" vertical="center" wrapText="1"/>
    </xf>
    <xf numFmtId="0" fontId="9" fillId="3" borderId="44" xfId="0" applyFont="1" applyFill="1" applyBorder="1" applyAlignment="1">
      <alignment horizontal="center" vertical="center" wrapText="1"/>
    </xf>
    <xf numFmtId="0" fontId="9" fillId="3" borderId="47" xfId="0" applyFont="1" applyFill="1" applyBorder="1" applyAlignment="1">
      <alignment horizontal="center" vertical="center" wrapText="1"/>
    </xf>
    <xf numFmtId="0" fontId="9" fillId="3" borderId="56" xfId="0" applyFont="1" applyFill="1" applyBorder="1" applyAlignment="1">
      <alignment horizontal="center" vertical="center"/>
    </xf>
    <xf numFmtId="0" fontId="9" fillId="3" borderId="35" xfId="0" applyFont="1" applyFill="1" applyBorder="1" applyAlignment="1">
      <alignment horizontal="center" vertical="center"/>
    </xf>
    <xf numFmtId="0" fontId="9" fillId="3" borderId="46" xfId="0" applyFont="1" applyFill="1" applyBorder="1" applyAlignment="1">
      <alignment horizontal="center" vertical="center"/>
    </xf>
    <xf numFmtId="0" fontId="9" fillId="0" borderId="29" xfId="0" applyFont="1" applyBorder="1" applyAlignment="1">
      <alignment horizontal="center" vertical="center" wrapText="1"/>
    </xf>
    <xf numFmtId="0" fontId="9" fillId="0" borderId="5" xfId="0" applyFont="1" applyBorder="1" applyAlignment="1">
      <alignment horizontal="center" vertical="center" wrapText="1"/>
    </xf>
    <xf numFmtId="0" fontId="9" fillId="0" borderId="21" xfId="0" applyFont="1" applyBorder="1" applyAlignment="1">
      <alignment horizontal="center" vertical="center" wrapText="1"/>
    </xf>
    <xf numFmtId="0" fontId="2" fillId="0" borderId="23" xfId="0" applyFont="1" applyBorder="1" applyAlignment="1">
      <alignment horizontal="center" vertical="center" wrapText="1"/>
    </xf>
    <xf numFmtId="0" fontId="18" fillId="0" borderId="0" xfId="0" applyFont="1" applyAlignment="1">
      <alignment horizontal="center" vertical="center" wrapText="1"/>
    </xf>
    <xf numFmtId="0" fontId="9" fillId="0" borderId="36" xfId="0" applyFont="1" applyBorder="1" applyAlignment="1">
      <alignment horizontal="center" vertical="center" wrapText="1"/>
    </xf>
    <xf numFmtId="0" fontId="9" fillId="0" borderId="37" xfId="0" applyFont="1" applyBorder="1" applyAlignment="1">
      <alignment horizontal="center" vertical="center" wrapText="1"/>
    </xf>
    <xf numFmtId="0" fontId="9" fillId="3" borderId="0" xfId="0" applyFont="1" applyFill="1" applyAlignment="1">
      <alignment horizontal="center" vertical="center" wrapText="1"/>
    </xf>
    <xf numFmtId="0" fontId="9" fillId="0" borderId="30" xfId="0" applyFont="1" applyBorder="1" applyAlignment="1">
      <alignment horizontal="center" vertical="center"/>
    </xf>
    <xf numFmtId="0" fontId="9" fillId="0" borderId="8" xfId="0" applyFont="1" applyBorder="1" applyAlignment="1">
      <alignment horizontal="center" vertical="center"/>
    </xf>
    <xf numFmtId="0" fontId="9" fillId="0" borderId="31" xfId="0" applyFont="1" applyBorder="1" applyAlignment="1">
      <alignment horizontal="center" vertical="center" wrapText="1"/>
    </xf>
    <xf numFmtId="0" fontId="9" fillId="0" borderId="6" xfId="0" applyFont="1" applyBorder="1" applyAlignment="1">
      <alignment horizontal="center" vertical="center" wrapText="1"/>
    </xf>
    <xf numFmtId="0" fontId="9" fillId="0" borderId="0" xfId="0" applyFont="1" applyAlignment="1">
      <alignment horizontal="left"/>
    </xf>
    <xf numFmtId="0" fontId="17" fillId="0" borderId="0" xfId="0" applyFont="1" applyAlignment="1">
      <alignment horizontal="center" vertical="center"/>
    </xf>
    <xf numFmtId="0" fontId="9" fillId="0" borderId="7" xfId="0" applyFont="1" applyBorder="1" applyAlignment="1">
      <alignment horizontal="center" vertical="center" wrapText="1"/>
    </xf>
    <xf numFmtId="0" fontId="12" fillId="0" borderId="0" xfId="0" applyFont="1" applyAlignment="1">
      <alignment horizontal="center" vertical="center"/>
    </xf>
    <xf numFmtId="0" fontId="9" fillId="0" borderId="6" xfId="0" applyFont="1" applyBorder="1" applyAlignment="1">
      <alignment horizontal="center"/>
    </xf>
    <xf numFmtId="0" fontId="9" fillId="0" borderId="7" xfId="0" applyFont="1" applyBorder="1" applyAlignment="1">
      <alignment horizontal="center"/>
    </xf>
    <xf numFmtId="0" fontId="5" fillId="0" borderId="6" xfId="0" applyFont="1" applyBorder="1" applyAlignment="1">
      <alignment horizontal="center" vertical="center"/>
    </xf>
    <xf numFmtId="0" fontId="5" fillId="0" borderId="51" xfId="0" applyFont="1" applyBorder="1" applyAlignment="1">
      <alignment horizontal="center" vertical="center" wrapText="1"/>
    </xf>
    <xf numFmtId="0" fontId="5" fillId="0" borderId="12" xfId="0" applyFont="1" applyBorder="1" applyAlignment="1">
      <alignment horizontal="center" vertical="center" wrapText="1"/>
    </xf>
    <xf numFmtId="0" fontId="5" fillId="0" borderId="19" xfId="0" applyFont="1" applyBorder="1" applyAlignment="1">
      <alignment horizontal="center" vertical="center" wrapText="1"/>
    </xf>
    <xf numFmtId="0" fontId="5" fillId="0" borderId="4" xfId="0" applyFont="1" applyBorder="1" applyAlignment="1">
      <alignment horizontal="center" vertical="center" wrapText="1"/>
    </xf>
    <xf numFmtId="0" fontId="9" fillId="0" borderId="48" xfId="0" applyFont="1" applyBorder="1" applyAlignment="1">
      <alignment horizontal="center" vertical="center"/>
    </xf>
    <xf numFmtId="0" fontId="9" fillId="0" borderId="50" xfId="0" applyFont="1" applyBorder="1" applyAlignment="1">
      <alignment horizontal="center"/>
    </xf>
    <xf numFmtId="0" fontId="16" fillId="0" borderId="54" xfId="0" applyFont="1" applyBorder="1" applyAlignment="1">
      <alignment horizontal="center" vertical="center"/>
    </xf>
    <xf numFmtId="0" fontId="16" fillId="0" borderId="53" xfId="0" applyFont="1" applyBorder="1" applyAlignment="1">
      <alignment horizontal="center" vertical="center"/>
    </xf>
    <xf numFmtId="0" fontId="9" fillId="0" borderId="31" xfId="0" applyFont="1" applyBorder="1" applyAlignment="1">
      <alignment horizontal="center" wrapText="1"/>
    </xf>
    <xf numFmtId="0" fontId="9" fillId="0" borderId="6" xfId="0" applyFont="1" applyBorder="1" applyAlignment="1">
      <alignment horizontal="center" wrapText="1"/>
    </xf>
    <xf numFmtId="0" fontId="16" fillId="0" borderId="52" xfId="0" applyFont="1" applyBorder="1" applyAlignment="1">
      <alignment horizontal="center" vertical="center"/>
    </xf>
    <xf numFmtId="0" fontId="9" fillId="0" borderId="45" xfId="0" applyFont="1" applyBorder="1" applyAlignment="1">
      <alignment horizontal="center" vertical="center"/>
    </xf>
    <xf numFmtId="0" fontId="9" fillId="0" borderId="21" xfId="0" applyFont="1" applyBorder="1" applyAlignment="1">
      <alignment horizontal="center" vertical="center"/>
    </xf>
    <xf numFmtId="0" fontId="9" fillId="0" borderId="1" xfId="0" applyFont="1" applyBorder="1" applyAlignment="1">
      <alignment horizontal="center" vertical="center" wrapText="1"/>
    </xf>
    <xf numFmtId="0" fontId="9" fillId="0" borderId="6" xfId="0" applyFont="1" applyBorder="1" applyAlignment="1">
      <alignment horizontal="center" vertical="center"/>
    </xf>
    <xf numFmtId="0" fontId="9" fillId="0" borderId="50" xfId="0" applyFont="1" applyBorder="1" applyAlignment="1">
      <alignment horizontal="center" vertical="center"/>
    </xf>
    <xf numFmtId="0" fontId="9" fillId="0" borderId="7" xfId="0" applyFont="1" applyBorder="1" applyAlignment="1">
      <alignment horizontal="center" vertical="center"/>
    </xf>
    <xf numFmtId="0" fontId="9" fillId="0" borderId="9" xfId="0" applyFont="1" applyBorder="1" applyAlignment="1">
      <alignment horizontal="center" vertical="center" wrapText="1"/>
    </xf>
    <xf numFmtId="0" fontId="9" fillId="0" borderId="2" xfId="0" applyFont="1" applyBorder="1" applyAlignment="1">
      <alignment horizontal="center"/>
    </xf>
    <xf numFmtId="0" fontId="9" fillId="0" borderId="10" xfId="0" applyFont="1" applyBorder="1" applyAlignment="1">
      <alignment horizontal="center"/>
    </xf>
    <xf numFmtId="0" fontId="9" fillId="0" borderId="32" xfId="0" applyFont="1" applyBorder="1" applyAlignment="1">
      <alignment horizontal="center"/>
    </xf>
    <xf numFmtId="0" fontId="9" fillId="0" borderId="24" xfId="0" applyFont="1" applyBorder="1" applyAlignment="1">
      <alignment horizontal="center"/>
    </xf>
    <xf numFmtId="0" fontId="9" fillId="0" borderId="3" xfId="0" applyFont="1" applyBorder="1" applyAlignment="1">
      <alignment horizontal="center"/>
    </xf>
    <xf numFmtId="0" fontId="9" fillId="0" borderId="11" xfId="0" applyFont="1" applyBorder="1" applyAlignment="1">
      <alignment horizontal="center"/>
    </xf>
    <xf numFmtId="0" fontId="9" fillId="0" borderId="23" xfId="0" applyFont="1" applyBorder="1" applyAlignment="1">
      <alignment horizontal="center" vertical="center"/>
    </xf>
    <xf numFmtId="0" fontId="9" fillId="0" borderId="15" xfId="0" applyFont="1" applyBorder="1" applyAlignment="1">
      <alignment horizontal="center"/>
    </xf>
    <xf numFmtId="0" fontId="9" fillId="0" borderId="55" xfId="0" applyFont="1" applyBorder="1" applyAlignment="1">
      <alignment horizontal="center"/>
    </xf>
    <xf numFmtId="0" fontId="9" fillId="0" borderId="25" xfId="0" applyFont="1" applyBorder="1" applyAlignment="1">
      <alignment horizontal="center"/>
    </xf>
    <xf numFmtId="0" fontId="9" fillId="0" borderId="14" xfId="0" applyFont="1" applyBorder="1" applyAlignment="1">
      <alignment horizontal="center" vertical="center"/>
    </xf>
    <xf numFmtId="0" fontId="9" fillId="0" borderId="40" xfId="0" applyFont="1" applyBorder="1" applyAlignment="1">
      <alignment horizontal="center" vertical="center"/>
    </xf>
    <xf numFmtId="0" fontId="9" fillId="0" borderId="41" xfId="0" applyFont="1" applyBorder="1" applyAlignment="1">
      <alignment horizontal="center" vertical="center"/>
    </xf>
    <xf numFmtId="0" fontId="9" fillId="0" borderId="19" xfId="0" applyFont="1" applyBorder="1" applyAlignment="1">
      <alignment horizontal="center" vertical="center"/>
    </xf>
    <xf numFmtId="0" fontId="9" fillId="0" borderId="42" xfId="0" applyFont="1" applyBorder="1" applyAlignment="1">
      <alignment horizontal="center" vertical="center"/>
    </xf>
    <xf numFmtId="0" fontId="9" fillId="0" borderId="43" xfId="0" applyFont="1" applyBorder="1" applyAlignment="1">
      <alignment horizontal="center" vertical="center"/>
    </xf>
    <xf numFmtId="0" fontId="5" fillId="0" borderId="36" xfId="0" applyFont="1" applyBorder="1" applyAlignment="1">
      <alignment horizontal="center" vertical="center"/>
    </xf>
    <xf numFmtId="0" fontId="5" fillId="0" borderId="37" xfId="0" applyFont="1" applyBorder="1" applyAlignment="1">
      <alignment horizontal="center" vertical="center"/>
    </xf>
    <xf numFmtId="0" fontId="5" fillId="0" borderId="45" xfId="0" applyFont="1" applyBorder="1" applyAlignment="1">
      <alignment horizontal="center" vertical="center"/>
    </xf>
    <xf numFmtId="0" fontId="5" fillId="0" borderId="0" xfId="0" applyFont="1" applyAlignment="1">
      <alignment horizontal="center"/>
    </xf>
  </cellXfs>
  <cellStyles count="5">
    <cellStyle name="Normal 2" xfId="3" xr:uid="{00000000-0005-0000-0000-000000000000}"/>
    <cellStyle name="Normal_550GLinCv" xfId="4" xr:uid="{00000000-0005-0000-0000-000001000000}"/>
    <cellStyle name="Normal_Sheet1" xfId="2" xr:uid="{00000000-0005-0000-0000-000002000000}"/>
    <cellStyle name="百分比" xfId="1" builtinId="5"/>
    <cellStyle name="常规" xfId="0" builtinId="0"/>
  </cellStyles>
  <dxfs count="0"/>
  <tableStyles count="0" defaultTableStyle="TableStyleMedium9" defaultPivotStyle="PivotStyleLight16"/>
  <colors>
    <mruColors>
      <color rgb="FFFF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Sizing Indices versus % Rated Cv</a:t>
            </a:r>
          </a:p>
        </c:rich>
      </c:tx>
      <c:overlay val="1"/>
    </c:title>
    <c:autoTitleDeleted val="0"/>
    <c:plotArea>
      <c:layout>
        <c:manualLayout>
          <c:layoutTarget val="inner"/>
          <c:xMode val="edge"/>
          <c:yMode val="edge"/>
          <c:x val="0.16866625190243673"/>
          <c:y val="0.11026970443745759"/>
          <c:w val="0.76816503609301912"/>
          <c:h val="0.72401707433993645"/>
        </c:manualLayout>
      </c:layout>
      <c:scatterChart>
        <c:scatterStyle val="smoothMarker"/>
        <c:varyColors val="0"/>
        <c:ser>
          <c:idx val="2"/>
          <c:order val="0"/>
          <c:tx>
            <c:v>FL</c:v>
          </c:tx>
          <c:spPr>
            <a:ln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'GC120'!$B$127:$B$146</c:f>
              <c:numCache>
                <c:formatCode>0.0%</c:formatCode>
                <c:ptCount val="20"/>
                <c:pt idx="0">
                  <c:v>5.0000000000000001E-3</c:v>
                </c:pt>
                <c:pt idx="1">
                  <c:v>0.01</c:v>
                </c:pt>
                <c:pt idx="2">
                  <c:v>0.02</c:v>
                </c:pt>
                <c:pt idx="3">
                  <c:v>0.04</c:v>
                </c:pt>
                <c:pt idx="4">
                  <c:v>0.08</c:v>
                </c:pt>
                <c:pt idx="5">
                  <c:v>0.16</c:v>
                </c:pt>
                <c:pt idx="6">
                  <c:v>0.35</c:v>
                </c:pt>
                <c:pt idx="7">
                  <c:v>0.4</c:v>
                </c:pt>
                <c:pt idx="8">
                  <c:v>0.45</c:v>
                </c:pt>
                <c:pt idx="9">
                  <c:v>0.5</c:v>
                </c:pt>
                <c:pt idx="10">
                  <c:v>0.55000000000000004</c:v>
                </c:pt>
                <c:pt idx="11">
                  <c:v>0.6</c:v>
                </c:pt>
                <c:pt idx="12">
                  <c:v>0.65</c:v>
                </c:pt>
                <c:pt idx="13">
                  <c:v>0.7</c:v>
                </c:pt>
                <c:pt idx="14">
                  <c:v>0.75</c:v>
                </c:pt>
                <c:pt idx="15">
                  <c:v>0.8</c:v>
                </c:pt>
                <c:pt idx="16">
                  <c:v>0.85</c:v>
                </c:pt>
                <c:pt idx="17">
                  <c:v>0.9</c:v>
                </c:pt>
                <c:pt idx="18">
                  <c:v>0.95</c:v>
                </c:pt>
                <c:pt idx="19">
                  <c:v>1</c:v>
                </c:pt>
              </c:numCache>
            </c:numRef>
          </c:xVal>
          <c:yVal>
            <c:numRef>
              <c:f>'GC120'!$D$127:$D$146</c:f>
              <c:numCache>
                <c:formatCode>0.000</c:formatCode>
                <c:ptCount val="20"/>
                <c:pt idx="0">
                  <c:v>0.96699999999999997</c:v>
                </c:pt>
                <c:pt idx="1">
                  <c:v>0.96699999999999997</c:v>
                </c:pt>
                <c:pt idx="2">
                  <c:v>0.96699999999999997</c:v>
                </c:pt>
                <c:pt idx="3">
                  <c:v>0.96699999999999997</c:v>
                </c:pt>
                <c:pt idx="4">
                  <c:v>0.96699999999999997</c:v>
                </c:pt>
                <c:pt idx="5">
                  <c:v>0.95650656639999998</c:v>
                </c:pt>
                <c:pt idx="6">
                  <c:v>0.9321914</c:v>
                </c:pt>
                <c:pt idx="7">
                  <c:v>0.92739759999999993</c:v>
                </c:pt>
                <c:pt idx="8">
                  <c:v>0.92315419999999992</c:v>
                </c:pt>
                <c:pt idx="9">
                  <c:v>0.9194</c:v>
                </c:pt>
                <c:pt idx="10">
                  <c:v>0.91607379999999994</c:v>
                </c:pt>
                <c:pt idx="11">
                  <c:v>0.91311439999999999</c:v>
                </c:pt>
                <c:pt idx="12">
                  <c:v>0.91046059999999995</c:v>
                </c:pt>
                <c:pt idx="13">
                  <c:v>0.90805119999999995</c:v>
                </c:pt>
                <c:pt idx="14">
                  <c:v>0.90582499999999988</c:v>
                </c:pt>
                <c:pt idx="15">
                  <c:v>0.90372079999999988</c:v>
                </c:pt>
                <c:pt idx="16">
                  <c:v>0.90167739999999985</c:v>
                </c:pt>
                <c:pt idx="17">
                  <c:v>0.9</c:v>
                </c:pt>
                <c:pt idx="18">
                  <c:v>0.9</c:v>
                </c:pt>
                <c:pt idx="19">
                  <c:v>0.9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C7D-4F14-A97C-975F5749B899}"/>
            </c:ext>
          </c:extLst>
        </c:ser>
        <c:ser>
          <c:idx val="4"/>
          <c:order val="1"/>
          <c:tx>
            <c:v>xT</c:v>
          </c:tx>
          <c:spPr>
            <a:ln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'GC120'!$B$127:$B$146</c:f>
              <c:numCache>
                <c:formatCode>0.0%</c:formatCode>
                <c:ptCount val="20"/>
                <c:pt idx="0">
                  <c:v>5.0000000000000001E-3</c:v>
                </c:pt>
                <c:pt idx="1">
                  <c:v>0.01</c:v>
                </c:pt>
                <c:pt idx="2">
                  <c:v>0.02</c:v>
                </c:pt>
                <c:pt idx="3">
                  <c:v>0.04</c:v>
                </c:pt>
                <c:pt idx="4">
                  <c:v>0.08</c:v>
                </c:pt>
                <c:pt idx="5">
                  <c:v>0.16</c:v>
                </c:pt>
                <c:pt idx="6">
                  <c:v>0.35</c:v>
                </c:pt>
                <c:pt idx="7">
                  <c:v>0.4</c:v>
                </c:pt>
                <c:pt idx="8">
                  <c:v>0.45</c:v>
                </c:pt>
                <c:pt idx="9">
                  <c:v>0.5</c:v>
                </c:pt>
                <c:pt idx="10">
                  <c:v>0.55000000000000004</c:v>
                </c:pt>
                <c:pt idx="11">
                  <c:v>0.6</c:v>
                </c:pt>
                <c:pt idx="12">
                  <c:v>0.65</c:v>
                </c:pt>
                <c:pt idx="13">
                  <c:v>0.7</c:v>
                </c:pt>
                <c:pt idx="14">
                  <c:v>0.75</c:v>
                </c:pt>
                <c:pt idx="15">
                  <c:v>0.8</c:v>
                </c:pt>
                <c:pt idx="16">
                  <c:v>0.85</c:v>
                </c:pt>
                <c:pt idx="17">
                  <c:v>0.9</c:v>
                </c:pt>
                <c:pt idx="18">
                  <c:v>0.95</c:v>
                </c:pt>
                <c:pt idx="19">
                  <c:v>1</c:v>
                </c:pt>
              </c:numCache>
            </c:numRef>
          </c:xVal>
          <c:yVal>
            <c:numRef>
              <c:f>'GC120'!$E$127:$E$146</c:f>
              <c:numCache>
                <c:formatCode>0.000</c:formatCode>
                <c:ptCount val="20"/>
                <c:pt idx="0">
                  <c:v>0.79482564999999994</c:v>
                </c:pt>
                <c:pt idx="1">
                  <c:v>0.79482564999999994</c:v>
                </c:pt>
                <c:pt idx="2">
                  <c:v>0.79482564999999994</c:v>
                </c:pt>
                <c:pt idx="3">
                  <c:v>0.79482564999999994</c:v>
                </c:pt>
                <c:pt idx="4">
                  <c:v>0.79482564999999994</c:v>
                </c:pt>
                <c:pt idx="5">
                  <c:v>0.77766908983136984</c:v>
                </c:pt>
                <c:pt idx="6">
                  <c:v>0.73863368529886597</c:v>
                </c:pt>
                <c:pt idx="7">
                  <c:v>0.73105636221289583</c:v>
                </c:pt>
                <c:pt idx="8">
                  <c:v>0.72438162543099383</c:v>
                </c:pt>
                <c:pt idx="9">
                  <c:v>0.71850190599999997</c:v>
                </c:pt>
                <c:pt idx="10">
                  <c:v>0.71331252598947392</c:v>
                </c:pt>
                <c:pt idx="11">
                  <c:v>0.70871122136425602</c:v>
                </c:pt>
                <c:pt idx="12">
                  <c:v>0.70459772852950586</c:v>
                </c:pt>
                <c:pt idx="13">
                  <c:v>0.70087343454822393</c:v>
                </c:pt>
                <c:pt idx="14">
                  <c:v>0.69744109103124985</c:v>
                </c:pt>
                <c:pt idx="15">
                  <c:v>0.6942045916997438</c:v>
                </c:pt>
                <c:pt idx="16">
                  <c:v>0.69106881362014572</c:v>
                </c:pt>
                <c:pt idx="17">
                  <c:v>0.6885</c:v>
                </c:pt>
                <c:pt idx="18">
                  <c:v>0.6885</c:v>
                </c:pt>
                <c:pt idx="19">
                  <c:v>0.6885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AC7D-4F14-A97C-975F5749B899}"/>
            </c:ext>
          </c:extLst>
        </c:ser>
        <c:ser>
          <c:idx val="3"/>
          <c:order val="2"/>
          <c:tx>
            <c:v>Kc</c:v>
          </c:tx>
          <c:spPr>
            <a:ln>
              <a:solidFill>
                <a:srgbClr val="0070C0"/>
              </a:solidFill>
            </a:ln>
          </c:spPr>
          <c:marker>
            <c:symbol val="none"/>
          </c:marker>
          <c:xVal>
            <c:numRef>
              <c:f>'GC120'!$B$127:$B$146</c:f>
              <c:numCache>
                <c:formatCode>0.0%</c:formatCode>
                <c:ptCount val="20"/>
                <c:pt idx="0">
                  <c:v>5.0000000000000001E-3</c:v>
                </c:pt>
                <c:pt idx="1">
                  <c:v>0.01</c:v>
                </c:pt>
                <c:pt idx="2">
                  <c:v>0.02</c:v>
                </c:pt>
                <c:pt idx="3">
                  <c:v>0.04</c:v>
                </c:pt>
                <c:pt idx="4">
                  <c:v>0.08</c:v>
                </c:pt>
                <c:pt idx="5">
                  <c:v>0.16</c:v>
                </c:pt>
                <c:pt idx="6">
                  <c:v>0.35</c:v>
                </c:pt>
                <c:pt idx="7">
                  <c:v>0.4</c:v>
                </c:pt>
                <c:pt idx="8">
                  <c:v>0.45</c:v>
                </c:pt>
                <c:pt idx="9">
                  <c:v>0.5</c:v>
                </c:pt>
                <c:pt idx="10">
                  <c:v>0.55000000000000004</c:v>
                </c:pt>
                <c:pt idx="11">
                  <c:v>0.6</c:v>
                </c:pt>
                <c:pt idx="12">
                  <c:v>0.65</c:v>
                </c:pt>
                <c:pt idx="13">
                  <c:v>0.7</c:v>
                </c:pt>
                <c:pt idx="14">
                  <c:v>0.75</c:v>
                </c:pt>
                <c:pt idx="15">
                  <c:v>0.8</c:v>
                </c:pt>
                <c:pt idx="16">
                  <c:v>0.85</c:v>
                </c:pt>
                <c:pt idx="17">
                  <c:v>0.9</c:v>
                </c:pt>
                <c:pt idx="18">
                  <c:v>0.95</c:v>
                </c:pt>
                <c:pt idx="19">
                  <c:v>1</c:v>
                </c:pt>
              </c:numCache>
            </c:numRef>
          </c:xVal>
          <c:yVal>
            <c:numRef>
              <c:f>'GC120'!$F$127:$F$146</c:f>
              <c:numCache>
                <c:formatCode>0.000</c:formatCode>
                <c:ptCount val="20"/>
                <c:pt idx="0">
                  <c:v>0.75</c:v>
                </c:pt>
                <c:pt idx="1">
                  <c:v>0.75</c:v>
                </c:pt>
                <c:pt idx="2">
                  <c:v>0.75</c:v>
                </c:pt>
                <c:pt idx="3">
                  <c:v>0.75</c:v>
                </c:pt>
                <c:pt idx="4">
                  <c:v>0.75</c:v>
                </c:pt>
                <c:pt idx="5">
                  <c:v>0.73134332159999993</c:v>
                </c:pt>
                <c:pt idx="6">
                  <c:v>0.69172535000000002</c:v>
                </c:pt>
                <c:pt idx="7">
                  <c:v>0.68485439999999997</c:v>
                </c:pt>
                <c:pt idx="8">
                  <c:v>0.67904354999999994</c:v>
                </c:pt>
                <c:pt idx="9">
                  <c:v>0.67407499999999998</c:v>
                </c:pt>
                <c:pt idx="10">
                  <c:v>0.66973094999999994</c:v>
                </c:pt>
                <c:pt idx="11">
                  <c:v>0.66579359999999999</c:v>
                </c:pt>
                <c:pt idx="12">
                  <c:v>0.66204514999999997</c:v>
                </c:pt>
                <c:pt idx="13">
                  <c:v>0.65826779999999996</c:v>
                </c:pt>
                <c:pt idx="14">
                  <c:v>0.65424375000000001</c:v>
                </c:pt>
                <c:pt idx="15">
                  <c:v>0.65</c:v>
                </c:pt>
                <c:pt idx="16">
                  <c:v>0.65</c:v>
                </c:pt>
                <c:pt idx="17">
                  <c:v>0.65</c:v>
                </c:pt>
                <c:pt idx="18">
                  <c:v>0.65</c:v>
                </c:pt>
                <c:pt idx="19">
                  <c:v>0.65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AC7D-4F14-A97C-975F5749B899}"/>
            </c:ext>
          </c:extLst>
        </c:ser>
        <c:ser>
          <c:idx val="0"/>
          <c:order val="3"/>
          <c:tx>
            <c:strRef>
              <c:f>'GC120'!$G$126</c:f>
              <c:strCache>
                <c:ptCount val="1"/>
                <c:pt idx="0">
                  <c:v>Fd</c:v>
                </c:pt>
              </c:strCache>
            </c:strRef>
          </c:tx>
          <c:spPr>
            <a:ln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'GC120'!$B$127:$B$146</c:f>
              <c:numCache>
                <c:formatCode>0.0%</c:formatCode>
                <c:ptCount val="20"/>
                <c:pt idx="0">
                  <c:v>5.0000000000000001E-3</c:v>
                </c:pt>
                <c:pt idx="1">
                  <c:v>0.01</c:v>
                </c:pt>
                <c:pt idx="2">
                  <c:v>0.02</c:v>
                </c:pt>
                <c:pt idx="3">
                  <c:v>0.04</c:v>
                </c:pt>
                <c:pt idx="4">
                  <c:v>0.08</c:v>
                </c:pt>
                <c:pt idx="5">
                  <c:v>0.16</c:v>
                </c:pt>
                <c:pt idx="6">
                  <c:v>0.35</c:v>
                </c:pt>
                <c:pt idx="7">
                  <c:v>0.4</c:v>
                </c:pt>
                <c:pt idx="8">
                  <c:v>0.45</c:v>
                </c:pt>
                <c:pt idx="9">
                  <c:v>0.5</c:v>
                </c:pt>
                <c:pt idx="10">
                  <c:v>0.55000000000000004</c:v>
                </c:pt>
                <c:pt idx="11">
                  <c:v>0.6</c:v>
                </c:pt>
                <c:pt idx="12">
                  <c:v>0.65</c:v>
                </c:pt>
                <c:pt idx="13">
                  <c:v>0.7</c:v>
                </c:pt>
                <c:pt idx="14">
                  <c:v>0.75</c:v>
                </c:pt>
                <c:pt idx="15">
                  <c:v>0.8</c:v>
                </c:pt>
                <c:pt idx="16">
                  <c:v>0.85</c:v>
                </c:pt>
                <c:pt idx="17">
                  <c:v>0.9</c:v>
                </c:pt>
                <c:pt idx="18">
                  <c:v>0.95</c:v>
                </c:pt>
                <c:pt idx="19">
                  <c:v>1</c:v>
                </c:pt>
              </c:numCache>
            </c:numRef>
          </c:xVal>
          <c:yVal>
            <c:numRef>
              <c:f>'GC120'!$G$127:$G$146</c:f>
              <c:numCache>
                <c:formatCode>0.000</c:formatCode>
                <c:ptCount val="20"/>
                <c:pt idx="0">
                  <c:v>0.50001844691256248</c:v>
                </c:pt>
                <c:pt idx="1">
                  <c:v>0.49232803080100002</c:v>
                </c:pt>
                <c:pt idx="2">
                  <c:v>0.47751013441600004</c:v>
                </c:pt>
                <c:pt idx="3">
                  <c:v>0.45005368345600005</c:v>
                </c:pt>
                <c:pt idx="4">
                  <c:v>0.40329279769600002</c:v>
                </c:pt>
                <c:pt idx="5">
                  <c:v>0.33807806233600002</c:v>
                </c:pt>
                <c:pt idx="6">
                  <c:v>0.28933980062500003</c:v>
                </c:pt>
                <c:pt idx="7">
                  <c:v>0.29196976000000013</c:v>
                </c:pt>
                <c:pt idx="8">
                  <c:v>0.29809025062500005</c:v>
                </c:pt>
                <c:pt idx="9">
                  <c:v>0.30645625000000021</c:v>
                </c:pt>
                <c:pt idx="10">
                  <c:v>0.31598775062500006</c:v>
                </c:pt>
                <c:pt idx="11">
                  <c:v>0.32576976000000024</c:v>
                </c:pt>
                <c:pt idx="12">
                  <c:v>0.33505230062500013</c:v>
                </c:pt>
                <c:pt idx="13">
                  <c:v>0.34325041000000012</c:v>
                </c:pt>
                <c:pt idx="14">
                  <c:v>0.34994414062500012</c:v>
                </c:pt>
                <c:pt idx="15">
                  <c:v>0.35487856000000062</c:v>
                </c:pt>
                <c:pt idx="16">
                  <c:v>0.35796375062500019</c:v>
                </c:pt>
                <c:pt idx="17">
                  <c:v>0.3592748100000005</c:v>
                </c:pt>
                <c:pt idx="18">
                  <c:v>0.35905185062500111</c:v>
                </c:pt>
                <c:pt idx="19">
                  <c:v>0.3577000000000008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AC7D-4F14-A97C-975F5749B8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3496192"/>
        <c:axId val="142139392"/>
      </c:scatterChart>
      <c:valAx>
        <c:axId val="133496192"/>
        <c:scaling>
          <c:orientation val="minMax"/>
          <c:max val="1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Percentage of Rated Cv</a:t>
                </a:r>
              </a:p>
            </c:rich>
          </c:tx>
          <c:overlay val="0"/>
        </c:title>
        <c:numFmt formatCode="0%" sourceLinked="0"/>
        <c:majorTickMark val="out"/>
        <c:minorTickMark val="none"/>
        <c:tickLblPos val="nextTo"/>
        <c:crossAx val="142139392"/>
        <c:crosses val="autoZero"/>
        <c:crossBetween val="midCat"/>
        <c:majorUnit val="0.1"/>
      </c:valAx>
      <c:valAx>
        <c:axId val="142139392"/>
        <c:scaling>
          <c:orientation val="minMax"/>
          <c:max val="1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Sizing Indices</a:t>
                </a:r>
              </a:p>
            </c:rich>
          </c:tx>
          <c:overlay val="0"/>
        </c:title>
        <c:numFmt formatCode="#,##0.00" sourceLinked="0"/>
        <c:majorTickMark val="out"/>
        <c:minorTickMark val="none"/>
        <c:tickLblPos val="nextTo"/>
        <c:crossAx val="133496192"/>
        <c:crosses val="autoZero"/>
        <c:crossBetween val="midCat"/>
      </c:valAx>
    </c:plotArea>
    <c:legend>
      <c:legendPos val="b"/>
      <c:layout>
        <c:manualLayout>
          <c:xMode val="edge"/>
          <c:yMode val="edge"/>
          <c:x val="0.24073485878362091"/>
          <c:y val="0.94665853477090001"/>
          <c:w val="0.51853028243275856"/>
          <c:h val="4.2160475376951223E-2"/>
        </c:manualLayout>
      </c:layout>
      <c:overlay val="0"/>
    </c:legend>
    <c:plotVisOnly val="1"/>
    <c:dispBlanksAs val="gap"/>
    <c:showDLblsOverMax val="0"/>
  </c:chart>
  <c:printSettings>
    <c:headerFooter/>
    <c:pageMargins b="0.75000000000000444" l="0.70000000000000062" r="0.70000000000000062" t="0.75000000000000444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Cv versus Travel</a:t>
            </a:r>
          </a:p>
        </c:rich>
      </c:tx>
      <c:overlay val="1"/>
    </c:title>
    <c:autoTitleDeleted val="0"/>
    <c:plotArea>
      <c:layout>
        <c:manualLayout>
          <c:layoutTarget val="inner"/>
          <c:xMode val="edge"/>
          <c:yMode val="edge"/>
          <c:x val="0.14578426080011259"/>
          <c:y val="9.9362954250615212E-2"/>
          <c:w val="0.79103207176336221"/>
          <c:h val="0.73446970980163817"/>
        </c:manualLayout>
      </c:layout>
      <c:scatterChart>
        <c:scatterStyle val="smoothMarker"/>
        <c:varyColors val="0"/>
        <c:ser>
          <c:idx val="0"/>
          <c:order val="0"/>
          <c:spPr>
            <a:ln>
              <a:solidFill>
                <a:srgbClr val="0070C0"/>
              </a:solidFill>
            </a:ln>
          </c:spPr>
          <c:marker>
            <c:symbol val="none"/>
          </c:marker>
          <c:xVal>
            <c:numRef>
              <c:f>'GC120'!$C$127:$C$146</c:f>
              <c:numCache>
                <c:formatCode>0.0%</c:formatCode>
                <c:ptCount val="20"/>
                <c:pt idx="0">
                  <c:v>-4.9480313444589877E-3</c:v>
                </c:pt>
                <c:pt idx="1">
                  <c:v>1.3879177845545994E-2</c:v>
                </c:pt>
                <c:pt idx="2">
                  <c:v>4.9893849971625222E-2</c:v>
                </c:pt>
                <c:pt idx="3">
                  <c:v>0.11582609444902503</c:v>
                </c:pt>
                <c:pt idx="4">
                  <c:v>0.22664635720515997</c:v>
                </c:pt>
                <c:pt idx="5">
                  <c:v>0.38588746283130476</c:v>
                </c:pt>
                <c:pt idx="6">
                  <c:v>0.59111440334353116</c:v>
                </c:pt>
                <c:pt idx="7">
                  <c:v>0.62594050310399985</c:v>
                </c:pt>
                <c:pt idx="8">
                  <c:v>0.6568005748424065</c:v>
                </c:pt>
                <c:pt idx="9">
                  <c:v>0.68488856249999996</c:v>
                </c:pt>
                <c:pt idx="10">
                  <c:v>0.71124624363553168</c:v>
                </c:pt>
                <c:pt idx="11">
                  <c:v>0.73688962598400021</c:v>
                </c:pt>
                <c:pt idx="12">
                  <c:v>0.76285960107290618</c:v>
                </c:pt>
                <c:pt idx="13">
                  <c:v>0.790196854896</c:v>
                </c:pt>
                <c:pt idx="14">
                  <c:v>0.81984103564453104</c:v>
                </c:pt>
                <c:pt idx="15">
                  <c:v>0.85245417849599991</c:v>
                </c:pt>
                <c:pt idx="16">
                  <c:v>0.88816838746040483</c:v>
                </c:pt>
                <c:pt idx="17">
                  <c:v>0.92625777428400047</c:v>
                </c:pt>
                <c:pt idx="18">
                  <c:v>0.9647346544105283</c:v>
                </c:pt>
                <c:pt idx="19">
                  <c:v>0.99986999999999948</c:v>
                </c:pt>
              </c:numCache>
            </c:numRef>
          </c:xVal>
          <c:yVal>
            <c:numRef>
              <c:f>'GC120'!$B$127:$B$146</c:f>
              <c:numCache>
                <c:formatCode>0.0%</c:formatCode>
                <c:ptCount val="20"/>
                <c:pt idx="0">
                  <c:v>5.0000000000000001E-3</c:v>
                </c:pt>
                <c:pt idx="1">
                  <c:v>0.01</c:v>
                </c:pt>
                <c:pt idx="2">
                  <c:v>0.02</c:v>
                </c:pt>
                <c:pt idx="3">
                  <c:v>0.04</c:v>
                </c:pt>
                <c:pt idx="4">
                  <c:v>0.08</c:v>
                </c:pt>
                <c:pt idx="5">
                  <c:v>0.16</c:v>
                </c:pt>
                <c:pt idx="6">
                  <c:v>0.35</c:v>
                </c:pt>
                <c:pt idx="7">
                  <c:v>0.4</c:v>
                </c:pt>
                <c:pt idx="8">
                  <c:v>0.45</c:v>
                </c:pt>
                <c:pt idx="9">
                  <c:v>0.5</c:v>
                </c:pt>
                <c:pt idx="10">
                  <c:v>0.55000000000000004</c:v>
                </c:pt>
                <c:pt idx="11">
                  <c:v>0.6</c:v>
                </c:pt>
                <c:pt idx="12">
                  <c:v>0.65</c:v>
                </c:pt>
                <c:pt idx="13">
                  <c:v>0.7</c:v>
                </c:pt>
                <c:pt idx="14">
                  <c:v>0.75</c:v>
                </c:pt>
                <c:pt idx="15">
                  <c:v>0.8</c:v>
                </c:pt>
                <c:pt idx="16">
                  <c:v>0.85</c:v>
                </c:pt>
                <c:pt idx="17">
                  <c:v>0.9</c:v>
                </c:pt>
                <c:pt idx="18">
                  <c:v>0.95</c:v>
                </c:pt>
                <c:pt idx="19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586-4B6B-8FD4-24115A1CA2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3436544"/>
        <c:axId val="133438464"/>
      </c:scatterChart>
      <c:valAx>
        <c:axId val="133436544"/>
        <c:scaling>
          <c:orientation val="minMax"/>
          <c:max val="1"/>
          <c:min val="0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Valve Travel, % of Full Open</a:t>
                </a:r>
              </a:p>
            </c:rich>
          </c:tx>
          <c:overlay val="0"/>
        </c:title>
        <c:numFmt formatCode="0%" sourceLinked="0"/>
        <c:majorTickMark val="out"/>
        <c:minorTickMark val="none"/>
        <c:tickLblPos val="nextTo"/>
        <c:crossAx val="133438464"/>
        <c:crosses val="autoZero"/>
        <c:crossBetween val="midCat"/>
        <c:majorUnit val="0.1"/>
      </c:valAx>
      <c:valAx>
        <c:axId val="133438464"/>
        <c:scaling>
          <c:orientation val="minMax"/>
          <c:max val="1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Percentage</a:t>
                </a:r>
                <a:r>
                  <a:rPr lang="en-US" baseline="0"/>
                  <a:t> of Rated Cv</a:t>
                </a:r>
              </a:p>
              <a:p>
                <a:pPr>
                  <a:defRPr/>
                </a:pPr>
                <a:endParaRPr lang="en-US"/>
              </a:p>
            </c:rich>
          </c:tx>
          <c:layout>
            <c:manualLayout>
              <c:xMode val="edge"/>
              <c:yMode val="edge"/>
              <c:x val="1.9437693119712603E-2"/>
              <c:y val="0.32757919464225538"/>
            </c:manualLayout>
          </c:layout>
          <c:overlay val="0"/>
        </c:title>
        <c:numFmt formatCode="0%" sourceLinked="0"/>
        <c:majorTickMark val="out"/>
        <c:minorTickMark val="none"/>
        <c:tickLblPos val="nextTo"/>
        <c:crossAx val="13343654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466" l="0.70000000000000062" r="0.70000000000000062" t="0.75000000000000466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Sizing Indices versus % Rated Cv</a:t>
            </a:r>
          </a:p>
        </c:rich>
      </c:tx>
      <c:overlay val="1"/>
    </c:title>
    <c:autoTitleDeleted val="0"/>
    <c:plotArea>
      <c:layout>
        <c:manualLayout>
          <c:layoutTarget val="inner"/>
          <c:xMode val="edge"/>
          <c:yMode val="edge"/>
          <c:x val="0.16866625190243678"/>
          <c:y val="0.11026970443745759"/>
          <c:w val="0.76816503609301956"/>
          <c:h val="0.72401707433993645"/>
        </c:manualLayout>
      </c:layout>
      <c:scatterChart>
        <c:scatterStyle val="smoothMarker"/>
        <c:varyColors val="0"/>
        <c:ser>
          <c:idx val="2"/>
          <c:order val="0"/>
          <c:tx>
            <c:v>FL</c:v>
          </c:tx>
          <c:spPr>
            <a:ln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'GC210'!$B$120:$B$139</c:f>
              <c:numCache>
                <c:formatCode>0.0%</c:formatCode>
                <c:ptCount val="20"/>
                <c:pt idx="0">
                  <c:v>5.0000000000000001E-3</c:v>
                </c:pt>
                <c:pt idx="1">
                  <c:v>0.01</c:v>
                </c:pt>
                <c:pt idx="2">
                  <c:v>0.02</c:v>
                </c:pt>
                <c:pt idx="3">
                  <c:v>0.04</c:v>
                </c:pt>
                <c:pt idx="4">
                  <c:v>0.08</c:v>
                </c:pt>
                <c:pt idx="5">
                  <c:v>0.16</c:v>
                </c:pt>
                <c:pt idx="6">
                  <c:v>0.35</c:v>
                </c:pt>
                <c:pt idx="7">
                  <c:v>0.4</c:v>
                </c:pt>
                <c:pt idx="8">
                  <c:v>0.45</c:v>
                </c:pt>
                <c:pt idx="9">
                  <c:v>0.5</c:v>
                </c:pt>
                <c:pt idx="10">
                  <c:v>0.55000000000000004</c:v>
                </c:pt>
                <c:pt idx="11">
                  <c:v>0.6</c:v>
                </c:pt>
                <c:pt idx="12">
                  <c:v>0.65</c:v>
                </c:pt>
                <c:pt idx="13">
                  <c:v>0.7</c:v>
                </c:pt>
                <c:pt idx="14">
                  <c:v>0.75</c:v>
                </c:pt>
                <c:pt idx="15">
                  <c:v>0.8</c:v>
                </c:pt>
                <c:pt idx="16">
                  <c:v>0.85</c:v>
                </c:pt>
                <c:pt idx="17">
                  <c:v>0.9</c:v>
                </c:pt>
                <c:pt idx="18">
                  <c:v>0.95</c:v>
                </c:pt>
                <c:pt idx="19">
                  <c:v>1</c:v>
                </c:pt>
              </c:numCache>
            </c:numRef>
          </c:xVal>
          <c:yVal>
            <c:numRef>
              <c:f>'GC210'!$D$120:$D$139</c:f>
              <c:numCache>
                <c:formatCode>0.000</c:formatCode>
                <c:ptCount val="20"/>
                <c:pt idx="0">
                  <c:v>0.94</c:v>
                </c:pt>
                <c:pt idx="1">
                  <c:v>0.94</c:v>
                </c:pt>
                <c:pt idx="2">
                  <c:v>0.94</c:v>
                </c:pt>
                <c:pt idx="3">
                  <c:v>0.94</c:v>
                </c:pt>
                <c:pt idx="4">
                  <c:v>0.94</c:v>
                </c:pt>
                <c:pt idx="5">
                  <c:v>0.94</c:v>
                </c:pt>
                <c:pt idx="6">
                  <c:v>0.94</c:v>
                </c:pt>
                <c:pt idx="7">
                  <c:v>0.94</c:v>
                </c:pt>
                <c:pt idx="8">
                  <c:v>0.94</c:v>
                </c:pt>
                <c:pt idx="9">
                  <c:v>0.94</c:v>
                </c:pt>
                <c:pt idx="10">
                  <c:v>0.94</c:v>
                </c:pt>
                <c:pt idx="11">
                  <c:v>0.94</c:v>
                </c:pt>
                <c:pt idx="12">
                  <c:v>0.94</c:v>
                </c:pt>
                <c:pt idx="13">
                  <c:v>0.94</c:v>
                </c:pt>
                <c:pt idx="14">
                  <c:v>0.94</c:v>
                </c:pt>
                <c:pt idx="15">
                  <c:v>0.94</c:v>
                </c:pt>
                <c:pt idx="16">
                  <c:v>0.94</c:v>
                </c:pt>
                <c:pt idx="17">
                  <c:v>0.94</c:v>
                </c:pt>
                <c:pt idx="18">
                  <c:v>0.94</c:v>
                </c:pt>
                <c:pt idx="19">
                  <c:v>0.94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648-42B5-8E45-6E73417312AF}"/>
            </c:ext>
          </c:extLst>
        </c:ser>
        <c:ser>
          <c:idx val="4"/>
          <c:order val="1"/>
          <c:tx>
            <c:v>xT</c:v>
          </c:tx>
          <c:spPr>
            <a:ln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'GC210'!$B$120:$B$139</c:f>
              <c:numCache>
                <c:formatCode>0.0%</c:formatCode>
                <c:ptCount val="20"/>
                <c:pt idx="0">
                  <c:v>5.0000000000000001E-3</c:v>
                </c:pt>
                <c:pt idx="1">
                  <c:v>0.01</c:v>
                </c:pt>
                <c:pt idx="2">
                  <c:v>0.02</c:v>
                </c:pt>
                <c:pt idx="3">
                  <c:v>0.04</c:v>
                </c:pt>
                <c:pt idx="4">
                  <c:v>0.08</c:v>
                </c:pt>
                <c:pt idx="5">
                  <c:v>0.16</c:v>
                </c:pt>
                <c:pt idx="6">
                  <c:v>0.35</c:v>
                </c:pt>
                <c:pt idx="7">
                  <c:v>0.4</c:v>
                </c:pt>
                <c:pt idx="8">
                  <c:v>0.45</c:v>
                </c:pt>
                <c:pt idx="9">
                  <c:v>0.5</c:v>
                </c:pt>
                <c:pt idx="10">
                  <c:v>0.55000000000000004</c:v>
                </c:pt>
                <c:pt idx="11">
                  <c:v>0.6</c:v>
                </c:pt>
                <c:pt idx="12">
                  <c:v>0.65</c:v>
                </c:pt>
                <c:pt idx="13">
                  <c:v>0.7</c:v>
                </c:pt>
                <c:pt idx="14">
                  <c:v>0.75</c:v>
                </c:pt>
                <c:pt idx="15">
                  <c:v>0.8</c:v>
                </c:pt>
                <c:pt idx="16">
                  <c:v>0.85</c:v>
                </c:pt>
                <c:pt idx="17">
                  <c:v>0.9</c:v>
                </c:pt>
                <c:pt idx="18">
                  <c:v>0.95</c:v>
                </c:pt>
                <c:pt idx="19">
                  <c:v>1</c:v>
                </c:pt>
              </c:numCache>
            </c:numRef>
          </c:xVal>
          <c:yVal>
            <c:numRef>
              <c:f>'GC210'!$E$120:$E$139</c:f>
              <c:numCache>
                <c:formatCode>0.000</c:formatCode>
                <c:ptCount val="20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3648-42B5-8E45-6E73417312AF}"/>
            </c:ext>
          </c:extLst>
        </c:ser>
        <c:ser>
          <c:idx val="3"/>
          <c:order val="2"/>
          <c:tx>
            <c:v>Kc</c:v>
          </c:tx>
          <c:spPr>
            <a:ln>
              <a:solidFill>
                <a:srgbClr val="0070C0"/>
              </a:solidFill>
            </a:ln>
          </c:spPr>
          <c:marker>
            <c:symbol val="none"/>
          </c:marker>
          <c:xVal>
            <c:numRef>
              <c:f>'GC210'!$B$120:$B$139</c:f>
              <c:numCache>
                <c:formatCode>0.0%</c:formatCode>
                <c:ptCount val="20"/>
                <c:pt idx="0">
                  <c:v>5.0000000000000001E-3</c:v>
                </c:pt>
                <c:pt idx="1">
                  <c:v>0.01</c:v>
                </c:pt>
                <c:pt idx="2">
                  <c:v>0.02</c:v>
                </c:pt>
                <c:pt idx="3">
                  <c:v>0.04</c:v>
                </c:pt>
                <c:pt idx="4">
                  <c:v>0.08</c:v>
                </c:pt>
                <c:pt idx="5">
                  <c:v>0.16</c:v>
                </c:pt>
                <c:pt idx="6">
                  <c:v>0.35</c:v>
                </c:pt>
                <c:pt idx="7">
                  <c:v>0.4</c:v>
                </c:pt>
                <c:pt idx="8">
                  <c:v>0.45</c:v>
                </c:pt>
                <c:pt idx="9">
                  <c:v>0.5</c:v>
                </c:pt>
                <c:pt idx="10">
                  <c:v>0.55000000000000004</c:v>
                </c:pt>
                <c:pt idx="11">
                  <c:v>0.6</c:v>
                </c:pt>
                <c:pt idx="12">
                  <c:v>0.65</c:v>
                </c:pt>
                <c:pt idx="13">
                  <c:v>0.7</c:v>
                </c:pt>
                <c:pt idx="14">
                  <c:v>0.75</c:v>
                </c:pt>
                <c:pt idx="15">
                  <c:v>0.8</c:v>
                </c:pt>
                <c:pt idx="16">
                  <c:v>0.85</c:v>
                </c:pt>
                <c:pt idx="17">
                  <c:v>0.9</c:v>
                </c:pt>
                <c:pt idx="18">
                  <c:v>0.95</c:v>
                </c:pt>
                <c:pt idx="19">
                  <c:v>1</c:v>
                </c:pt>
              </c:numCache>
            </c:numRef>
          </c:xVal>
          <c:yVal>
            <c:numRef>
              <c:f>'GC210'!$F$120:$F$139</c:f>
              <c:numCache>
                <c:formatCode>0.000</c:formatCode>
                <c:ptCount val="20"/>
                <c:pt idx="0">
                  <c:v>0.85</c:v>
                </c:pt>
                <c:pt idx="1">
                  <c:v>0.85</c:v>
                </c:pt>
                <c:pt idx="2">
                  <c:v>0.85</c:v>
                </c:pt>
                <c:pt idx="3">
                  <c:v>0.85</c:v>
                </c:pt>
                <c:pt idx="4">
                  <c:v>0.85</c:v>
                </c:pt>
                <c:pt idx="5">
                  <c:v>0.85</c:v>
                </c:pt>
                <c:pt idx="6">
                  <c:v>0.85</c:v>
                </c:pt>
                <c:pt idx="7">
                  <c:v>0.85</c:v>
                </c:pt>
                <c:pt idx="8">
                  <c:v>0.85</c:v>
                </c:pt>
                <c:pt idx="9">
                  <c:v>0.85</c:v>
                </c:pt>
                <c:pt idx="10">
                  <c:v>0.85</c:v>
                </c:pt>
                <c:pt idx="11">
                  <c:v>0.85</c:v>
                </c:pt>
                <c:pt idx="12">
                  <c:v>0.85</c:v>
                </c:pt>
                <c:pt idx="13">
                  <c:v>0.85</c:v>
                </c:pt>
                <c:pt idx="14">
                  <c:v>0.85</c:v>
                </c:pt>
                <c:pt idx="15">
                  <c:v>0.85</c:v>
                </c:pt>
                <c:pt idx="16">
                  <c:v>0.85</c:v>
                </c:pt>
                <c:pt idx="17">
                  <c:v>0.85</c:v>
                </c:pt>
                <c:pt idx="18">
                  <c:v>0.85</c:v>
                </c:pt>
                <c:pt idx="19">
                  <c:v>0.85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3648-42B5-8E45-6E73417312AF}"/>
            </c:ext>
          </c:extLst>
        </c:ser>
        <c:ser>
          <c:idx val="0"/>
          <c:order val="3"/>
          <c:tx>
            <c:strRef>
              <c:f>'GC210'!$G$119</c:f>
              <c:strCache>
                <c:ptCount val="1"/>
                <c:pt idx="0">
                  <c:v>Fd</c:v>
                </c:pt>
              </c:strCache>
            </c:strRef>
          </c:tx>
          <c:spPr>
            <a:ln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'GC210'!$B$120:$B$139</c:f>
              <c:numCache>
                <c:formatCode>0.0%</c:formatCode>
                <c:ptCount val="20"/>
                <c:pt idx="0">
                  <c:v>5.0000000000000001E-3</c:v>
                </c:pt>
                <c:pt idx="1">
                  <c:v>0.01</c:v>
                </c:pt>
                <c:pt idx="2">
                  <c:v>0.02</c:v>
                </c:pt>
                <c:pt idx="3">
                  <c:v>0.04</c:v>
                </c:pt>
                <c:pt idx="4">
                  <c:v>0.08</c:v>
                </c:pt>
                <c:pt idx="5">
                  <c:v>0.16</c:v>
                </c:pt>
                <c:pt idx="6">
                  <c:v>0.35</c:v>
                </c:pt>
                <c:pt idx="7">
                  <c:v>0.4</c:v>
                </c:pt>
                <c:pt idx="8">
                  <c:v>0.45</c:v>
                </c:pt>
                <c:pt idx="9">
                  <c:v>0.5</c:v>
                </c:pt>
                <c:pt idx="10">
                  <c:v>0.55000000000000004</c:v>
                </c:pt>
                <c:pt idx="11">
                  <c:v>0.6</c:v>
                </c:pt>
                <c:pt idx="12">
                  <c:v>0.65</c:v>
                </c:pt>
                <c:pt idx="13">
                  <c:v>0.7</c:v>
                </c:pt>
                <c:pt idx="14">
                  <c:v>0.75</c:v>
                </c:pt>
                <c:pt idx="15">
                  <c:v>0.8</c:v>
                </c:pt>
                <c:pt idx="16">
                  <c:v>0.85</c:v>
                </c:pt>
                <c:pt idx="17">
                  <c:v>0.9</c:v>
                </c:pt>
                <c:pt idx="18">
                  <c:v>0.95</c:v>
                </c:pt>
                <c:pt idx="19">
                  <c:v>1</c:v>
                </c:pt>
              </c:numCache>
            </c:numRef>
          </c:xVal>
          <c:yVal>
            <c:numRef>
              <c:f>'GC210'!$G$120:$G$139</c:f>
              <c:numCache>
                <c:formatCode>0.000</c:formatCode>
                <c:ptCount val="20"/>
                <c:pt idx="0">
                  <c:v>0.55661506185362986</c:v>
                </c:pt>
                <c:pt idx="1">
                  <c:v>0.39358355285905938</c:v>
                </c:pt>
                <c:pt idx="2">
                  <c:v>0.27829787184113747</c:v>
                </c:pt>
                <c:pt idx="3">
                  <c:v>0.19676445157235203</c:v>
                </c:pt>
                <c:pt idx="4">
                  <c:v>0.13907159475485378</c:v>
                </c:pt>
                <c:pt idx="5">
                  <c:v>9.816284871402739E-2</c:v>
                </c:pt>
                <c:pt idx="6">
                  <c:v>6.5760985983512099E-2</c:v>
                </c:pt>
                <c:pt idx="7">
                  <c:v>6.1288919587093808E-2</c:v>
                </c:pt>
                <c:pt idx="8">
                  <c:v>5.7540636013755045E-2</c:v>
                </c:pt>
                <c:pt idx="9">
                  <c:v>5.4326562762841854E-2</c:v>
                </c:pt>
                <c:pt idx="10">
                  <c:v>5.1518755535966645E-2</c:v>
                </c:pt>
                <c:pt idx="11">
                  <c:v>4.90271825847923E-2</c:v>
                </c:pt>
                <c:pt idx="12">
                  <c:v>4.6786254713088851E-2</c:v>
                </c:pt>
                <c:pt idx="13">
                  <c:v>4.4746743023129108E-2</c:v>
                </c:pt>
                <c:pt idx="14">
                  <c:v>4.2870701573400304E-2</c:v>
                </c:pt>
                <c:pt idx="15">
                  <c:v>4.112814788009278E-2</c:v>
                </c:pt>
                <c:pt idx="16">
                  <c:v>3.9494811851314947E-2</c:v>
                </c:pt>
                <c:pt idx="17">
                  <c:v>3.7950553035891683E-2</c:v>
                </c:pt>
                <c:pt idx="18">
                  <c:v>3.6478202740418263E-2</c:v>
                </c:pt>
                <c:pt idx="19">
                  <c:v>3.5062674737743375E-2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3648-42B5-8E45-6E73417312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4997888"/>
        <c:axId val="135086080"/>
      </c:scatterChart>
      <c:valAx>
        <c:axId val="134997888"/>
        <c:scaling>
          <c:orientation val="minMax"/>
          <c:max val="1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Percentage of Rated Cv</a:t>
                </a:r>
              </a:p>
            </c:rich>
          </c:tx>
          <c:overlay val="0"/>
        </c:title>
        <c:numFmt formatCode="0%" sourceLinked="0"/>
        <c:majorTickMark val="out"/>
        <c:minorTickMark val="none"/>
        <c:tickLblPos val="nextTo"/>
        <c:crossAx val="135086080"/>
        <c:crosses val="autoZero"/>
        <c:crossBetween val="midCat"/>
        <c:majorUnit val="0.1"/>
      </c:valAx>
      <c:valAx>
        <c:axId val="135086080"/>
        <c:scaling>
          <c:orientation val="minMax"/>
          <c:max val="1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Sizing Indices</a:t>
                </a:r>
              </a:p>
            </c:rich>
          </c:tx>
          <c:overlay val="0"/>
        </c:title>
        <c:numFmt formatCode="#,##0.00" sourceLinked="0"/>
        <c:majorTickMark val="out"/>
        <c:minorTickMark val="none"/>
        <c:tickLblPos val="nextTo"/>
        <c:crossAx val="134997888"/>
        <c:crosses val="autoZero"/>
        <c:crossBetween val="midCat"/>
      </c:valAx>
    </c:plotArea>
    <c:legend>
      <c:legendPos val="b"/>
      <c:layout>
        <c:manualLayout>
          <c:xMode val="edge"/>
          <c:yMode val="edge"/>
          <c:x val="0.24073485878362091"/>
          <c:y val="0.94665853477090001"/>
          <c:w val="0.51853028243275856"/>
          <c:h val="4.2160475376951223E-2"/>
        </c:manualLayout>
      </c:layout>
      <c:overlay val="0"/>
    </c:legend>
    <c:plotVisOnly val="1"/>
    <c:dispBlanksAs val="gap"/>
    <c:showDLblsOverMax val="0"/>
  </c:chart>
  <c:printSettings>
    <c:headerFooter/>
    <c:pageMargins b="0.75000000000000466" l="0.70000000000000062" r="0.70000000000000062" t="0.75000000000000466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Cv versus Travel</a:t>
            </a:r>
          </a:p>
        </c:rich>
      </c:tx>
      <c:overlay val="1"/>
    </c:title>
    <c:autoTitleDeleted val="0"/>
    <c:plotArea>
      <c:layout>
        <c:manualLayout>
          <c:layoutTarget val="inner"/>
          <c:xMode val="edge"/>
          <c:yMode val="edge"/>
          <c:x val="0.14578426080011264"/>
          <c:y val="9.9362954250615212E-2"/>
          <c:w val="0.79103207176336199"/>
          <c:h val="0.73446970980163795"/>
        </c:manualLayout>
      </c:layout>
      <c:scatterChart>
        <c:scatterStyle val="smoothMarker"/>
        <c:varyColors val="0"/>
        <c:ser>
          <c:idx val="0"/>
          <c:order val="0"/>
          <c:spPr>
            <a:ln>
              <a:solidFill>
                <a:srgbClr val="0070C0"/>
              </a:solidFill>
            </a:ln>
          </c:spPr>
          <c:marker>
            <c:symbol val="none"/>
          </c:marker>
          <c:xVal>
            <c:numRef>
              <c:f>'GC210'!$C$120:$C$139</c:f>
              <c:numCache>
                <c:formatCode>0.0%</c:formatCode>
                <c:ptCount val="20"/>
                <c:pt idx="0">
                  <c:v>-0.35436764027111578</c:v>
                </c:pt>
                <c:pt idx="1">
                  <c:v>-0.17718382013555778</c:v>
                </c:pt>
                <c:pt idx="2">
                  <c:v>0</c:v>
                </c:pt>
                <c:pt idx="3">
                  <c:v>0.17718382013555789</c:v>
                </c:pt>
                <c:pt idx="4">
                  <c:v>0.35436764027111578</c:v>
                </c:pt>
                <c:pt idx="5">
                  <c:v>0.53155146040667367</c:v>
                </c:pt>
                <c:pt idx="6">
                  <c:v>0.73164213936319078</c:v>
                </c:pt>
                <c:pt idx="7">
                  <c:v>0.76577573020333689</c:v>
                </c:pt>
                <c:pt idx="8">
                  <c:v>0.79588369109542589</c:v>
                </c:pt>
                <c:pt idx="9">
                  <c:v>0.82281617986444211</c:v>
                </c:pt>
                <c:pt idx="10">
                  <c:v>0.84717957948455602</c:v>
                </c:pt>
                <c:pt idx="11">
                  <c:v>0.86942162071716034</c:v>
                </c:pt>
                <c:pt idx="12">
                  <c:v>0.88988231523824901</c:v>
                </c:pt>
                <c:pt idx="13">
                  <c:v>0.90882595949874878</c:v>
                </c:pt>
                <c:pt idx="14">
                  <c:v>0.92646207037826556</c:v>
                </c:pt>
                <c:pt idx="15">
                  <c:v>0.94295955033889478</c:v>
                </c:pt>
                <c:pt idx="16">
                  <c:v>0.95845655067153979</c:v>
                </c:pt>
                <c:pt idx="17">
                  <c:v>0.97306751123098389</c:v>
                </c:pt>
                <c:pt idx="18">
                  <c:v>0.9868882942875391</c:v>
                </c:pt>
                <c:pt idx="19">
                  <c:v>1</c:v>
                </c:pt>
              </c:numCache>
            </c:numRef>
          </c:xVal>
          <c:yVal>
            <c:numRef>
              <c:f>'GC210'!$B$120:$B$139</c:f>
              <c:numCache>
                <c:formatCode>0.0%</c:formatCode>
                <c:ptCount val="20"/>
                <c:pt idx="0">
                  <c:v>5.0000000000000001E-3</c:v>
                </c:pt>
                <c:pt idx="1">
                  <c:v>0.01</c:v>
                </c:pt>
                <c:pt idx="2">
                  <c:v>0.02</c:v>
                </c:pt>
                <c:pt idx="3">
                  <c:v>0.04</c:v>
                </c:pt>
                <c:pt idx="4">
                  <c:v>0.08</c:v>
                </c:pt>
                <c:pt idx="5">
                  <c:v>0.16</c:v>
                </c:pt>
                <c:pt idx="6">
                  <c:v>0.35</c:v>
                </c:pt>
                <c:pt idx="7">
                  <c:v>0.4</c:v>
                </c:pt>
                <c:pt idx="8">
                  <c:v>0.45</c:v>
                </c:pt>
                <c:pt idx="9">
                  <c:v>0.5</c:v>
                </c:pt>
                <c:pt idx="10">
                  <c:v>0.55000000000000004</c:v>
                </c:pt>
                <c:pt idx="11">
                  <c:v>0.6</c:v>
                </c:pt>
                <c:pt idx="12">
                  <c:v>0.65</c:v>
                </c:pt>
                <c:pt idx="13">
                  <c:v>0.7</c:v>
                </c:pt>
                <c:pt idx="14">
                  <c:v>0.75</c:v>
                </c:pt>
                <c:pt idx="15">
                  <c:v>0.8</c:v>
                </c:pt>
                <c:pt idx="16">
                  <c:v>0.85</c:v>
                </c:pt>
                <c:pt idx="17">
                  <c:v>0.9</c:v>
                </c:pt>
                <c:pt idx="18">
                  <c:v>0.95</c:v>
                </c:pt>
                <c:pt idx="19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F09-41B3-8B20-F0429E24489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5110656"/>
        <c:axId val="135112576"/>
      </c:scatterChart>
      <c:valAx>
        <c:axId val="135110656"/>
        <c:scaling>
          <c:orientation val="minMax"/>
          <c:max val="1"/>
          <c:min val="0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Valve Travel, % of Full Open</a:t>
                </a:r>
              </a:p>
            </c:rich>
          </c:tx>
          <c:overlay val="0"/>
        </c:title>
        <c:numFmt formatCode="0%" sourceLinked="0"/>
        <c:majorTickMark val="out"/>
        <c:minorTickMark val="none"/>
        <c:tickLblPos val="nextTo"/>
        <c:crossAx val="135112576"/>
        <c:crosses val="autoZero"/>
        <c:crossBetween val="midCat"/>
        <c:majorUnit val="0.1"/>
      </c:valAx>
      <c:valAx>
        <c:axId val="135112576"/>
        <c:scaling>
          <c:orientation val="minMax"/>
          <c:max val="1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Percentage</a:t>
                </a:r>
                <a:r>
                  <a:rPr lang="en-US" baseline="0"/>
                  <a:t> of Rated Cv</a:t>
                </a:r>
              </a:p>
              <a:p>
                <a:pPr>
                  <a:defRPr/>
                </a:pPr>
                <a:endParaRPr lang="en-US"/>
              </a:p>
            </c:rich>
          </c:tx>
          <c:layout>
            <c:manualLayout>
              <c:xMode val="edge"/>
              <c:yMode val="edge"/>
              <c:x val="1.9437693119712603E-2"/>
              <c:y val="0.32757919464225554"/>
            </c:manualLayout>
          </c:layout>
          <c:overlay val="0"/>
        </c:title>
        <c:numFmt formatCode="0%" sourceLinked="0"/>
        <c:majorTickMark val="out"/>
        <c:minorTickMark val="none"/>
        <c:tickLblPos val="nextTo"/>
        <c:crossAx val="13511065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488" l="0.70000000000000062" r="0.70000000000000062" t="0.75000000000000488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Sizing Indices versus % Rated Cv</a:t>
            </a:r>
          </a:p>
        </c:rich>
      </c:tx>
      <c:overlay val="1"/>
    </c:title>
    <c:autoTitleDeleted val="0"/>
    <c:plotArea>
      <c:layout>
        <c:manualLayout>
          <c:layoutTarget val="inner"/>
          <c:xMode val="edge"/>
          <c:yMode val="edge"/>
          <c:x val="0.16866625190243684"/>
          <c:y val="0.11026970443745759"/>
          <c:w val="0.76816503609302011"/>
          <c:h val="0.72401707433993645"/>
        </c:manualLayout>
      </c:layout>
      <c:scatterChart>
        <c:scatterStyle val="smoothMarker"/>
        <c:varyColors val="0"/>
        <c:ser>
          <c:idx val="2"/>
          <c:order val="0"/>
          <c:tx>
            <c:v>FL</c:v>
          </c:tx>
          <c:spPr>
            <a:ln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'GV120'!$B$84:$B$103</c:f>
              <c:numCache>
                <c:formatCode>0.0%</c:formatCode>
                <c:ptCount val="20"/>
                <c:pt idx="0">
                  <c:v>5.0000000000000001E-3</c:v>
                </c:pt>
                <c:pt idx="1">
                  <c:v>0.01</c:v>
                </c:pt>
                <c:pt idx="2">
                  <c:v>0.02</c:v>
                </c:pt>
                <c:pt idx="3">
                  <c:v>0.04</c:v>
                </c:pt>
                <c:pt idx="4">
                  <c:v>0.08</c:v>
                </c:pt>
                <c:pt idx="5">
                  <c:v>0.16</c:v>
                </c:pt>
                <c:pt idx="6">
                  <c:v>0.35</c:v>
                </c:pt>
                <c:pt idx="7">
                  <c:v>0.4</c:v>
                </c:pt>
                <c:pt idx="8">
                  <c:v>0.45</c:v>
                </c:pt>
                <c:pt idx="9">
                  <c:v>0.5</c:v>
                </c:pt>
                <c:pt idx="10">
                  <c:v>0.55000000000000004</c:v>
                </c:pt>
                <c:pt idx="11">
                  <c:v>0.6</c:v>
                </c:pt>
                <c:pt idx="12">
                  <c:v>0.63600000000000001</c:v>
                </c:pt>
                <c:pt idx="13">
                  <c:v>0.7</c:v>
                </c:pt>
                <c:pt idx="14">
                  <c:v>0.75</c:v>
                </c:pt>
                <c:pt idx="15">
                  <c:v>0.8</c:v>
                </c:pt>
                <c:pt idx="16">
                  <c:v>0.85</c:v>
                </c:pt>
                <c:pt idx="17">
                  <c:v>0.9</c:v>
                </c:pt>
                <c:pt idx="18">
                  <c:v>0.95</c:v>
                </c:pt>
                <c:pt idx="19">
                  <c:v>1</c:v>
                </c:pt>
              </c:numCache>
            </c:numRef>
          </c:xVal>
          <c:yVal>
            <c:numRef>
              <c:f>'GV120'!$D$84:$D$103</c:f>
              <c:numCache>
                <c:formatCode>0.000</c:formatCode>
                <c:ptCount val="20"/>
                <c:pt idx="0">
                  <c:v>0.96699999999999997</c:v>
                </c:pt>
                <c:pt idx="1">
                  <c:v>0.96699999999999997</c:v>
                </c:pt>
                <c:pt idx="2">
                  <c:v>0.96699999999999997</c:v>
                </c:pt>
                <c:pt idx="3">
                  <c:v>0.96699999999999997</c:v>
                </c:pt>
                <c:pt idx="4">
                  <c:v>0.96699999999999997</c:v>
                </c:pt>
                <c:pt idx="5">
                  <c:v>0.95650656639999998</c:v>
                </c:pt>
                <c:pt idx="6">
                  <c:v>0.9321914</c:v>
                </c:pt>
                <c:pt idx="7">
                  <c:v>0.92739759999999993</c:v>
                </c:pt>
                <c:pt idx="8">
                  <c:v>0.92315419999999992</c:v>
                </c:pt>
                <c:pt idx="9">
                  <c:v>0.9194</c:v>
                </c:pt>
                <c:pt idx="10">
                  <c:v>0.91607379999999994</c:v>
                </c:pt>
                <c:pt idx="11">
                  <c:v>0.91311439999999999</c:v>
                </c:pt>
                <c:pt idx="12">
                  <c:v>0.91117639639039993</c:v>
                </c:pt>
                <c:pt idx="13">
                  <c:v>0.90805119999999995</c:v>
                </c:pt>
                <c:pt idx="14">
                  <c:v>0.90582499999999988</c:v>
                </c:pt>
                <c:pt idx="15">
                  <c:v>0.90372079999999988</c:v>
                </c:pt>
                <c:pt idx="16">
                  <c:v>0.90167739999999985</c:v>
                </c:pt>
                <c:pt idx="17">
                  <c:v>0.9</c:v>
                </c:pt>
                <c:pt idx="18">
                  <c:v>0.9</c:v>
                </c:pt>
                <c:pt idx="19">
                  <c:v>0.9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644-468A-A413-5899E404B355}"/>
            </c:ext>
          </c:extLst>
        </c:ser>
        <c:ser>
          <c:idx val="4"/>
          <c:order val="1"/>
          <c:tx>
            <c:v>xT</c:v>
          </c:tx>
          <c:spPr>
            <a:ln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'GV120'!$B$84:$B$103</c:f>
              <c:numCache>
                <c:formatCode>0.0%</c:formatCode>
                <c:ptCount val="20"/>
                <c:pt idx="0">
                  <c:v>5.0000000000000001E-3</c:v>
                </c:pt>
                <c:pt idx="1">
                  <c:v>0.01</c:v>
                </c:pt>
                <c:pt idx="2">
                  <c:v>0.02</c:v>
                </c:pt>
                <c:pt idx="3">
                  <c:v>0.04</c:v>
                </c:pt>
                <c:pt idx="4">
                  <c:v>0.08</c:v>
                </c:pt>
                <c:pt idx="5">
                  <c:v>0.16</c:v>
                </c:pt>
                <c:pt idx="6">
                  <c:v>0.35</c:v>
                </c:pt>
                <c:pt idx="7">
                  <c:v>0.4</c:v>
                </c:pt>
                <c:pt idx="8">
                  <c:v>0.45</c:v>
                </c:pt>
                <c:pt idx="9">
                  <c:v>0.5</c:v>
                </c:pt>
                <c:pt idx="10">
                  <c:v>0.55000000000000004</c:v>
                </c:pt>
                <c:pt idx="11">
                  <c:v>0.6</c:v>
                </c:pt>
                <c:pt idx="12">
                  <c:v>0.63600000000000001</c:v>
                </c:pt>
                <c:pt idx="13">
                  <c:v>0.7</c:v>
                </c:pt>
                <c:pt idx="14">
                  <c:v>0.75</c:v>
                </c:pt>
                <c:pt idx="15">
                  <c:v>0.8</c:v>
                </c:pt>
                <c:pt idx="16">
                  <c:v>0.85</c:v>
                </c:pt>
                <c:pt idx="17">
                  <c:v>0.9</c:v>
                </c:pt>
                <c:pt idx="18">
                  <c:v>0.95</c:v>
                </c:pt>
                <c:pt idx="19">
                  <c:v>1</c:v>
                </c:pt>
              </c:numCache>
            </c:numRef>
          </c:xVal>
          <c:yVal>
            <c:numRef>
              <c:f>'GV120'!$E$84:$E$103</c:f>
              <c:numCache>
                <c:formatCode>0.000</c:formatCode>
                <c:ptCount val="20"/>
                <c:pt idx="0">
                  <c:v>0.78547475999999994</c:v>
                </c:pt>
                <c:pt idx="1">
                  <c:v>0.78547475999999994</c:v>
                </c:pt>
                <c:pt idx="2">
                  <c:v>0.78547475999999994</c:v>
                </c:pt>
                <c:pt idx="3">
                  <c:v>0.78547475999999994</c:v>
                </c:pt>
                <c:pt idx="4">
                  <c:v>0.78547475999999994</c:v>
                </c:pt>
                <c:pt idx="5">
                  <c:v>0.76852004171570665</c:v>
                </c:pt>
                <c:pt idx="6">
                  <c:v>0.72994387723652643</c:v>
                </c:pt>
                <c:pt idx="7">
                  <c:v>0.7224556991280382</c:v>
                </c:pt>
                <c:pt idx="8">
                  <c:v>0.7158594886612174</c:v>
                </c:pt>
                <c:pt idx="9">
                  <c:v>0.71004894239999994</c:v>
                </c:pt>
                <c:pt idx="10">
                  <c:v>0.70492061391900951</c:v>
                </c:pt>
                <c:pt idx="11">
                  <c:v>0.70037344228938236</c:v>
                </c:pt>
                <c:pt idx="12">
                  <c:v>0.69740363728475596</c:v>
                </c:pt>
                <c:pt idx="13">
                  <c:v>0.69262786473000948</c:v>
                </c:pt>
                <c:pt idx="14">
                  <c:v>0.68923590172499982</c:v>
                </c:pt>
                <c:pt idx="15">
                  <c:v>0.68603747885621735</c:v>
                </c:pt>
                <c:pt idx="16">
                  <c:v>0.68293859228343812</c:v>
                </c:pt>
                <c:pt idx="17">
                  <c:v>0.6804</c:v>
                </c:pt>
                <c:pt idx="18">
                  <c:v>0.6804</c:v>
                </c:pt>
                <c:pt idx="19">
                  <c:v>0.6804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644-468A-A413-5899E404B355}"/>
            </c:ext>
          </c:extLst>
        </c:ser>
        <c:ser>
          <c:idx val="3"/>
          <c:order val="2"/>
          <c:tx>
            <c:v>Kc</c:v>
          </c:tx>
          <c:spPr>
            <a:ln>
              <a:solidFill>
                <a:srgbClr val="0070C0"/>
              </a:solidFill>
            </a:ln>
          </c:spPr>
          <c:marker>
            <c:symbol val="none"/>
          </c:marker>
          <c:xVal>
            <c:numRef>
              <c:f>'GV120'!$B$84:$B$103</c:f>
              <c:numCache>
                <c:formatCode>0.0%</c:formatCode>
                <c:ptCount val="20"/>
                <c:pt idx="0">
                  <c:v>5.0000000000000001E-3</c:v>
                </c:pt>
                <c:pt idx="1">
                  <c:v>0.01</c:v>
                </c:pt>
                <c:pt idx="2">
                  <c:v>0.02</c:v>
                </c:pt>
                <c:pt idx="3">
                  <c:v>0.04</c:v>
                </c:pt>
                <c:pt idx="4">
                  <c:v>0.08</c:v>
                </c:pt>
                <c:pt idx="5">
                  <c:v>0.16</c:v>
                </c:pt>
                <c:pt idx="6">
                  <c:v>0.35</c:v>
                </c:pt>
                <c:pt idx="7">
                  <c:v>0.4</c:v>
                </c:pt>
                <c:pt idx="8">
                  <c:v>0.45</c:v>
                </c:pt>
                <c:pt idx="9">
                  <c:v>0.5</c:v>
                </c:pt>
                <c:pt idx="10">
                  <c:v>0.55000000000000004</c:v>
                </c:pt>
                <c:pt idx="11">
                  <c:v>0.6</c:v>
                </c:pt>
                <c:pt idx="12">
                  <c:v>0.63600000000000001</c:v>
                </c:pt>
                <c:pt idx="13">
                  <c:v>0.7</c:v>
                </c:pt>
                <c:pt idx="14">
                  <c:v>0.75</c:v>
                </c:pt>
                <c:pt idx="15">
                  <c:v>0.8</c:v>
                </c:pt>
                <c:pt idx="16">
                  <c:v>0.85</c:v>
                </c:pt>
                <c:pt idx="17">
                  <c:v>0.9</c:v>
                </c:pt>
                <c:pt idx="18">
                  <c:v>0.95</c:v>
                </c:pt>
                <c:pt idx="19">
                  <c:v>1</c:v>
                </c:pt>
              </c:numCache>
            </c:numRef>
          </c:xVal>
          <c:yVal>
            <c:numRef>
              <c:f>'GV120'!$F$84:$F$103</c:f>
              <c:numCache>
                <c:formatCode>0.000</c:formatCode>
                <c:ptCount val="20"/>
                <c:pt idx="0">
                  <c:v>0.75</c:v>
                </c:pt>
                <c:pt idx="1">
                  <c:v>0.75</c:v>
                </c:pt>
                <c:pt idx="2">
                  <c:v>0.75</c:v>
                </c:pt>
                <c:pt idx="3">
                  <c:v>0.75</c:v>
                </c:pt>
                <c:pt idx="4">
                  <c:v>0.75</c:v>
                </c:pt>
                <c:pt idx="5">
                  <c:v>0.73134332159999993</c:v>
                </c:pt>
                <c:pt idx="6">
                  <c:v>0.69172535000000002</c:v>
                </c:pt>
                <c:pt idx="7">
                  <c:v>0.68485439999999997</c:v>
                </c:pt>
                <c:pt idx="8">
                  <c:v>0.67904354999999994</c:v>
                </c:pt>
                <c:pt idx="9">
                  <c:v>0.67407499999999998</c:v>
                </c:pt>
                <c:pt idx="10">
                  <c:v>0.66973094999999994</c:v>
                </c:pt>
                <c:pt idx="11">
                  <c:v>0.66579359999999999</c:v>
                </c:pt>
                <c:pt idx="12">
                  <c:v>0.66308826197759996</c:v>
                </c:pt>
                <c:pt idx="13">
                  <c:v>0.65826779999999996</c:v>
                </c:pt>
                <c:pt idx="14">
                  <c:v>0.65424375000000001</c:v>
                </c:pt>
                <c:pt idx="15">
                  <c:v>0.65</c:v>
                </c:pt>
                <c:pt idx="16">
                  <c:v>0.65</c:v>
                </c:pt>
                <c:pt idx="17">
                  <c:v>0.65</c:v>
                </c:pt>
                <c:pt idx="18">
                  <c:v>0.65</c:v>
                </c:pt>
                <c:pt idx="19">
                  <c:v>0.65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7644-468A-A413-5899E404B355}"/>
            </c:ext>
          </c:extLst>
        </c:ser>
        <c:ser>
          <c:idx val="0"/>
          <c:order val="3"/>
          <c:tx>
            <c:strRef>
              <c:f>'GV120'!$G$83</c:f>
              <c:strCache>
                <c:ptCount val="1"/>
                <c:pt idx="0">
                  <c:v>Fd</c:v>
                </c:pt>
              </c:strCache>
            </c:strRef>
          </c:tx>
          <c:spPr>
            <a:ln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'GV120'!$B$84:$B$103</c:f>
              <c:numCache>
                <c:formatCode>0.0%</c:formatCode>
                <c:ptCount val="20"/>
                <c:pt idx="0">
                  <c:v>5.0000000000000001E-3</c:v>
                </c:pt>
                <c:pt idx="1">
                  <c:v>0.01</c:v>
                </c:pt>
                <c:pt idx="2">
                  <c:v>0.02</c:v>
                </c:pt>
                <c:pt idx="3">
                  <c:v>0.04</c:v>
                </c:pt>
                <c:pt idx="4">
                  <c:v>0.08</c:v>
                </c:pt>
                <c:pt idx="5">
                  <c:v>0.16</c:v>
                </c:pt>
                <c:pt idx="6">
                  <c:v>0.35</c:v>
                </c:pt>
                <c:pt idx="7">
                  <c:v>0.4</c:v>
                </c:pt>
                <c:pt idx="8">
                  <c:v>0.45</c:v>
                </c:pt>
                <c:pt idx="9">
                  <c:v>0.5</c:v>
                </c:pt>
                <c:pt idx="10">
                  <c:v>0.55000000000000004</c:v>
                </c:pt>
                <c:pt idx="11">
                  <c:v>0.6</c:v>
                </c:pt>
                <c:pt idx="12">
                  <c:v>0.63600000000000001</c:v>
                </c:pt>
                <c:pt idx="13">
                  <c:v>0.7</c:v>
                </c:pt>
                <c:pt idx="14">
                  <c:v>0.75</c:v>
                </c:pt>
                <c:pt idx="15">
                  <c:v>0.8</c:v>
                </c:pt>
                <c:pt idx="16">
                  <c:v>0.85</c:v>
                </c:pt>
                <c:pt idx="17">
                  <c:v>0.9</c:v>
                </c:pt>
                <c:pt idx="18">
                  <c:v>0.95</c:v>
                </c:pt>
                <c:pt idx="19">
                  <c:v>1</c:v>
                </c:pt>
              </c:numCache>
            </c:numRef>
          </c:xVal>
          <c:yVal>
            <c:numRef>
              <c:f>'GV120'!$G$84:$G$103</c:f>
              <c:numCache>
                <c:formatCode>0.000</c:formatCode>
                <c:ptCount val="20"/>
                <c:pt idx="0">
                  <c:v>2.2656087281807343E-2</c:v>
                </c:pt>
                <c:pt idx="1">
                  <c:v>3.2066305741449891E-2</c:v>
                </c:pt>
                <c:pt idx="2">
                  <c:v>4.5421640312772668E-2</c:v>
                </c:pt>
                <c:pt idx="3">
                  <c:v>6.44434776269103E-2</c:v>
                </c:pt>
                <c:pt idx="4">
                  <c:v>9.1729687785668604E-2</c:v>
                </c:pt>
                <c:pt idx="5">
                  <c:v>0.1306828812723119</c:v>
                </c:pt>
                <c:pt idx="6">
                  <c:v>0.19661167698388191</c:v>
                </c:pt>
                <c:pt idx="7">
                  <c:v>0.2113031468983651</c:v>
                </c:pt>
                <c:pt idx="8">
                  <c:v>0.22538023113985306</c:v>
                </c:pt>
                <c:pt idx="9">
                  <c:v>0.23897496638942592</c:v>
                </c:pt>
                <c:pt idx="10">
                  <c:v>0.25218598337257547</c:v>
                </c:pt>
                <c:pt idx="11">
                  <c:v>0.26508835459307034</c:v>
                </c:pt>
                <c:pt idx="12">
                  <c:v>0.27421988348371601</c:v>
                </c:pt>
                <c:pt idx="13">
                  <c:v>0.29018445457751213</c:v>
                </c:pt>
                <c:pt idx="14">
                  <c:v>0.30245602517317166</c:v>
                </c:pt>
                <c:pt idx="15">
                  <c:v>0.31457914894484884</c:v>
                </c:pt>
                <c:pt idx="16">
                  <c:v>0.32657089839386555</c:v>
                </c:pt>
                <c:pt idx="17">
                  <c:v>0.33853193593381437</c:v>
                </c:pt>
                <c:pt idx="18">
                  <c:v>0.35083670913782922</c:v>
                </c:pt>
                <c:pt idx="19">
                  <c:v>0.36311232006476357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7644-468A-A413-5899E404B3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8424192"/>
        <c:axId val="148426112"/>
      </c:scatterChart>
      <c:valAx>
        <c:axId val="148424192"/>
        <c:scaling>
          <c:orientation val="minMax"/>
          <c:max val="1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Percentage of Rated Cv</a:t>
                </a:r>
              </a:p>
            </c:rich>
          </c:tx>
          <c:overlay val="0"/>
        </c:title>
        <c:numFmt formatCode="0%" sourceLinked="0"/>
        <c:majorTickMark val="out"/>
        <c:minorTickMark val="none"/>
        <c:tickLblPos val="nextTo"/>
        <c:crossAx val="148426112"/>
        <c:crosses val="autoZero"/>
        <c:crossBetween val="midCat"/>
        <c:majorUnit val="0.1"/>
      </c:valAx>
      <c:valAx>
        <c:axId val="148426112"/>
        <c:scaling>
          <c:orientation val="minMax"/>
          <c:max val="1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Sizing Indices</a:t>
                </a:r>
              </a:p>
            </c:rich>
          </c:tx>
          <c:overlay val="0"/>
        </c:title>
        <c:numFmt formatCode="#,##0.00" sourceLinked="0"/>
        <c:majorTickMark val="out"/>
        <c:minorTickMark val="none"/>
        <c:tickLblPos val="nextTo"/>
        <c:crossAx val="148424192"/>
        <c:crosses val="autoZero"/>
        <c:crossBetween val="midCat"/>
      </c:valAx>
    </c:plotArea>
    <c:legend>
      <c:legendPos val="b"/>
      <c:layout>
        <c:manualLayout>
          <c:xMode val="edge"/>
          <c:yMode val="edge"/>
          <c:x val="0.24073485878362091"/>
          <c:y val="0.94665853477090001"/>
          <c:w val="0.51853028243275856"/>
          <c:h val="4.2160475376951223E-2"/>
        </c:manualLayout>
      </c:layout>
      <c:overlay val="0"/>
    </c:legend>
    <c:plotVisOnly val="1"/>
    <c:dispBlanksAs val="gap"/>
    <c:showDLblsOverMax val="0"/>
  </c:chart>
  <c:printSettings>
    <c:headerFooter/>
    <c:pageMargins b="0.75000000000000488" l="0.70000000000000062" r="0.70000000000000062" t="0.75000000000000488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Cv versus Travel</a:t>
            </a:r>
          </a:p>
        </c:rich>
      </c:tx>
      <c:overlay val="1"/>
    </c:title>
    <c:autoTitleDeleted val="0"/>
    <c:plotArea>
      <c:layout>
        <c:manualLayout>
          <c:layoutTarget val="inner"/>
          <c:xMode val="edge"/>
          <c:yMode val="edge"/>
          <c:x val="0.14578426080011272"/>
          <c:y val="9.9362954250615212E-2"/>
          <c:w val="0.79103207176336177"/>
          <c:h val="0.7344697098016375"/>
        </c:manualLayout>
      </c:layout>
      <c:scatterChart>
        <c:scatterStyle val="smoothMarker"/>
        <c:varyColors val="0"/>
        <c:ser>
          <c:idx val="0"/>
          <c:order val="0"/>
          <c:spPr>
            <a:ln>
              <a:solidFill>
                <a:srgbClr val="0070C0"/>
              </a:solidFill>
            </a:ln>
          </c:spPr>
          <c:marker>
            <c:symbol val="none"/>
          </c:marker>
          <c:xVal>
            <c:numRef>
              <c:f>'GV120'!$C$84:$C$103</c:f>
              <c:numCache>
                <c:formatCode>0.0%</c:formatCode>
                <c:ptCount val="20"/>
                <c:pt idx="0">
                  <c:v>6.9148158022294612E-2</c:v>
                </c:pt>
                <c:pt idx="1">
                  <c:v>8.2751199177026363E-2</c:v>
                </c:pt>
                <c:pt idx="2">
                  <c:v>0.10990424464492186</c:v>
                </c:pt>
                <c:pt idx="3">
                  <c:v>0.16412514181874996</c:v>
                </c:pt>
                <c:pt idx="4">
                  <c:v>0.27321264909999998</c:v>
                </c:pt>
                <c:pt idx="5">
                  <c:v>0.50139616559999989</c:v>
                </c:pt>
                <c:pt idx="6">
                  <c:v>1.1725422451141356</c:v>
                </c:pt>
                <c:pt idx="7">
                  <c:v>1.3944724875000001</c:v>
                </c:pt>
                <c:pt idx="8">
                  <c:v>1.6397396679656981</c:v>
                </c:pt>
                <c:pt idx="9">
                  <c:v>1.9100591601074219</c:v>
                </c:pt>
                <c:pt idx="10">
                  <c:v>2.2067994226043699</c:v>
                </c:pt>
                <c:pt idx="11">
                  <c:v>2.5309819992187497</c:v>
                </c:pt>
                <c:pt idx="12">
                  <c:v>2.7817781105700319</c:v>
                </c:pt>
                <c:pt idx="13">
                  <c:v>3.2640256952636713</c:v>
                </c:pt>
                <c:pt idx="14">
                  <c:v>3.6731953276336666</c:v>
                </c:pt>
                <c:pt idx="15">
                  <c:v>4.1104242999999991</c:v>
                </c:pt>
                <c:pt idx="16">
                  <c:v>4.5749995815399158</c:v>
                </c:pt>
                <c:pt idx="17">
                  <c:v>5.0658612265136718</c:v>
                </c:pt>
                <c:pt idx="18">
                  <c:v>5.5816023742645253</c:v>
                </c:pt>
                <c:pt idx="19">
                  <c:v>6.1204692492187496</c:v>
                </c:pt>
              </c:numCache>
            </c:numRef>
          </c:xVal>
          <c:yVal>
            <c:numRef>
              <c:f>'GV120'!$B$84:$B$103</c:f>
              <c:numCache>
                <c:formatCode>0.0%</c:formatCode>
                <c:ptCount val="20"/>
                <c:pt idx="0">
                  <c:v>5.0000000000000001E-3</c:v>
                </c:pt>
                <c:pt idx="1">
                  <c:v>0.01</c:v>
                </c:pt>
                <c:pt idx="2">
                  <c:v>0.02</c:v>
                </c:pt>
                <c:pt idx="3">
                  <c:v>0.04</c:v>
                </c:pt>
                <c:pt idx="4">
                  <c:v>0.08</c:v>
                </c:pt>
                <c:pt idx="5">
                  <c:v>0.16</c:v>
                </c:pt>
                <c:pt idx="6">
                  <c:v>0.35</c:v>
                </c:pt>
                <c:pt idx="7">
                  <c:v>0.4</c:v>
                </c:pt>
                <c:pt idx="8">
                  <c:v>0.45</c:v>
                </c:pt>
                <c:pt idx="9">
                  <c:v>0.5</c:v>
                </c:pt>
                <c:pt idx="10">
                  <c:v>0.55000000000000004</c:v>
                </c:pt>
                <c:pt idx="11">
                  <c:v>0.6</c:v>
                </c:pt>
                <c:pt idx="12">
                  <c:v>0.63600000000000001</c:v>
                </c:pt>
                <c:pt idx="13">
                  <c:v>0.7</c:v>
                </c:pt>
                <c:pt idx="14">
                  <c:v>0.75</c:v>
                </c:pt>
                <c:pt idx="15">
                  <c:v>0.8</c:v>
                </c:pt>
                <c:pt idx="16">
                  <c:v>0.85</c:v>
                </c:pt>
                <c:pt idx="17">
                  <c:v>0.9</c:v>
                </c:pt>
                <c:pt idx="18">
                  <c:v>0.95</c:v>
                </c:pt>
                <c:pt idx="19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8CE-4D5D-9A3F-3576E547EC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2591744"/>
        <c:axId val="156415488"/>
      </c:scatterChart>
      <c:valAx>
        <c:axId val="152591744"/>
        <c:scaling>
          <c:orientation val="minMax"/>
          <c:max val="1"/>
          <c:min val="0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Valve Travel, % of Full Open</a:t>
                </a:r>
              </a:p>
            </c:rich>
          </c:tx>
          <c:overlay val="0"/>
        </c:title>
        <c:numFmt formatCode="0%" sourceLinked="0"/>
        <c:majorTickMark val="out"/>
        <c:minorTickMark val="none"/>
        <c:tickLblPos val="nextTo"/>
        <c:crossAx val="156415488"/>
        <c:crosses val="autoZero"/>
        <c:crossBetween val="midCat"/>
        <c:majorUnit val="0.1"/>
      </c:valAx>
      <c:valAx>
        <c:axId val="156415488"/>
        <c:scaling>
          <c:orientation val="minMax"/>
          <c:max val="1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Percentage</a:t>
                </a:r>
                <a:r>
                  <a:rPr lang="en-US" baseline="0"/>
                  <a:t> of Rated Cv</a:t>
                </a:r>
              </a:p>
              <a:p>
                <a:pPr>
                  <a:defRPr/>
                </a:pPr>
                <a:endParaRPr lang="en-US"/>
              </a:p>
            </c:rich>
          </c:tx>
          <c:layout>
            <c:manualLayout>
              <c:xMode val="edge"/>
              <c:yMode val="edge"/>
              <c:x val="1.9437693119712603E-2"/>
              <c:y val="0.32757919464225577"/>
            </c:manualLayout>
          </c:layout>
          <c:overlay val="0"/>
        </c:title>
        <c:numFmt formatCode="0%" sourceLinked="0"/>
        <c:majorTickMark val="out"/>
        <c:minorTickMark val="none"/>
        <c:tickLblPos val="nextTo"/>
        <c:crossAx val="15259174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511" l="0.70000000000000062" r="0.70000000000000062" t="0.75000000000000511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Cv versus Travel</a:t>
            </a:r>
          </a:p>
        </c:rich>
      </c:tx>
      <c:overlay val="1"/>
    </c:title>
    <c:autoTitleDeleted val="0"/>
    <c:plotArea>
      <c:layout>
        <c:manualLayout>
          <c:layoutTarget val="inner"/>
          <c:xMode val="edge"/>
          <c:yMode val="edge"/>
          <c:x val="0.16021176604438139"/>
          <c:y val="9.0545888079889711E-2"/>
          <c:w val="0.77792635059167392"/>
          <c:h val="0.77645296187854029"/>
        </c:manualLayout>
      </c:layout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'GV110'!$C$36:$C$55</c:f>
              <c:numCache>
                <c:formatCode>0.0%</c:formatCode>
                <c:ptCount val="20"/>
                <c:pt idx="0">
                  <c:v>5.0000000000000001E-3</c:v>
                </c:pt>
                <c:pt idx="1">
                  <c:v>0.01</c:v>
                </c:pt>
                <c:pt idx="2">
                  <c:v>0.02</c:v>
                </c:pt>
                <c:pt idx="3">
                  <c:v>0.04</c:v>
                </c:pt>
                <c:pt idx="4">
                  <c:v>0.08</c:v>
                </c:pt>
                <c:pt idx="5">
                  <c:v>0.16</c:v>
                </c:pt>
                <c:pt idx="6">
                  <c:v>0.35</c:v>
                </c:pt>
                <c:pt idx="7">
                  <c:v>0.4</c:v>
                </c:pt>
                <c:pt idx="8">
                  <c:v>0.45</c:v>
                </c:pt>
                <c:pt idx="9">
                  <c:v>0.5</c:v>
                </c:pt>
                <c:pt idx="10">
                  <c:v>0.55000000000000004</c:v>
                </c:pt>
                <c:pt idx="11">
                  <c:v>0.6</c:v>
                </c:pt>
                <c:pt idx="12">
                  <c:v>0.65</c:v>
                </c:pt>
                <c:pt idx="13">
                  <c:v>0.7</c:v>
                </c:pt>
                <c:pt idx="14">
                  <c:v>0.75</c:v>
                </c:pt>
                <c:pt idx="15">
                  <c:v>0.8</c:v>
                </c:pt>
                <c:pt idx="16">
                  <c:v>0.85</c:v>
                </c:pt>
                <c:pt idx="17">
                  <c:v>0.9</c:v>
                </c:pt>
                <c:pt idx="18">
                  <c:v>0.95</c:v>
                </c:pt>
                <c:pt idx="19">
                  <c:v>1</c:v>
                </c:pt>
              </c:numCache>
            </c:numRef>
          </c:xVal>
          <c:yVal>
            <c:numRef>
              <c:f>'GV110'!$B$36:$B$55</c:f>
              <c:numCache>
                <c:formatCode>0.0%</c:formatCode>
                <c:ptCount val="20"/>
                <c:pt idx="0">
                  <c:v>5.0000000000000001E-3</c:v>
                </c:pt>
                <c:pt idx="1">
                  <c:v>0.01</c:v>
                </c:pt>
                <c:pt idx="2">
                  <c:v>0.02</c:v>
                </c:pt>
                <c:pt idx="3">
                  <c:v>0.04</c:v>
                </c:pt>
                <c:pt idx="4">
                  <c:v>0.08</c:v>
                </c:pt>
                <c:pt idx="5">
                  <c:v>0.16</c:v>
                </c:pt>
                <c:pt idx="6">
                  <c:v>0.35</c:v>
                </c:pt>
                <c:pt idx="7">
                  <c:v>0.4</c:v>
                </c:pt>
                <c:pt idx="8">
                  <c:v>0.45</c:v>
                </c:pt>
                <c:pt idx="9">
                  <c:v>0.5</c:v>
                </c:pt>
                <c:pt idx="10">
                  <c:v>0.55000000000000004</c:v>
                </c:pt>
                <c:pt idx="11">
                  <c:v>0.6</c:v>
                </c:pt>
                <c:pt idx="12">
                  <c:v>0.65</c:v>
                </c:pt>
                <c:pt idx="13">
                  <c:v>0.7</c:v>
                </c:pt>
                <c:pt idx="14">
                  <c:v>0.75</c:v>
                </c:pt>
                <c:pt idx="15">
                  <c:v>0.8</c:v>
                </c:pt>
                <c:pt idx="16">
                  <c:v>0.85</c:v>
                </c:pt>
                <c:pt idx="17">
                  <c:v>0.9</c:v>
                </c:pt>
                <c:pt idx="18">
                  <c:v>0.95</c:v>
                </c:pt>
                <c:pt idx="19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D7A-443F-908E-677287156E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9637376"/>
        <c:axId val="169639296"/>
      </c:scatterChart>
      <c:valAx>
        <c:axId val="169637376"/>
        <c:scaling>
          <c:orientation val="minMax"/>
          <c:max val="1"/>
          <c:min val="0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Valve Travel, % of Full Open</a:t>
                </a:r>
              </a:p>
            </c:rich>
          </c:tx>
          <c:overlay val="0"/>
        </c:title>
        <c:numFmt formatCode="0.0%" sourceLinked="1"/>
        <c:majorTickMark val="out"/>
        <c:minorTickMark val="none"/>
        <c:tickLblPos val="nextTo"/>
        <c:crossAx val="169639296"/>
        <c:crosses val="autoZero"/>
        <c:crossBetween val="midCat"/>
        <c:majorUnit val="0.1"/>
      </c:valAx>
      <c:valAx>
        <c:axId val="169639296"/>
        <c:scaling>
          <c:orientation val="minMax"/>
          <c:max val="1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Percentage of Rated Cv</a:t>
                </a:r>
              </a:p>
            </c:rich>
          </c:tx>
          <c:layout>
            <c:manualLayout>
              <c:xMode val="edge"/>
              <c:yMode val="edge"/>
              <c:x val="2.6764411373815078E-2"/>
              <c:y val="0.31800815642399194"/>
            </c:manualLayout>
          </c:layout>
          <c:overlay val="0"/>
        </c:title>
        <c:numFmt formatCode="0%" sourceLinked="0"/>
        <c:majorTickMark val="out"/>
        <c:minorTickMark val="none"/>
        <c:tickLblPos val="nextTo"/>
        <c:crossAx val="16963737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222" l="0.70000000000000062" r="0.70000000000000062" t="0.75000000000000222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Sizing Indices versus % of Rated Cv</a:t>
            </a:r>
          </a:p>
        </c:rich>
      </c:tx>
      <c:overlay val="1"/>
    </c:title>
    <c:autoTitleDeleted val="0"/>
    <c:plotArea>
      <c:layout>
        <c:manualLayout>
          <c:layoutTarget val="inner"/>
          <c:xMode val="edge"/>
          <c:yMode val="edge"/>
          <c:x val="0.11396204910711842"/>
          <c:y val="8.7826481693684524E-2"/>
          <c:w val="0.82430522906974835"/>
          <c:h val="0.73255632306008567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'GV110'!$D$35</c:f>
              <c:strCache>
                <c:ptCount val="1"/>
                <c:pt idx="0">
                  <c:v>FL</c:v>
                </c:pt>
              </c:strCache>
            </c:strRef>
          </c:tx>
          <c:spPr>
            <a:ln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'GV110'!$B$36:$B$55</c:f>
              <c:numCache>
                <c:formatCode>0.0%</c:formatCode>
                <c:ptCount val="20"/>
                <c:pt idx="0">
                  <c:v>5.0000000000000001E-3</c:v>
                </c:pt>
                <c:pt idx="1">
                  <c:v>0.01</c:v>
                </c:pt>
                <c:pt idx="2">
                  <c:v>0.02</c:v>
                </c:pt>
                <c:pt idx="3">
                  <c:v>0.04</c:v>
                </c:pt>
                <c:pt idx="4">
                  <c:v>0.08</c:v>
                </c:pt>
                <c:pt idx="5">
                  <c:v>0.16</c:v>
                </c:pt>
                <c:pt idx="6">
                  <c:v>0.35</c:v>
                </c:pt>
                <c:pt idx="7">
                  <c:v>0.4</c:v>
                </c:pt>
                <c:pt idx="8">
                  <c:v>0.45</c:v>
                </c:pt>
                <c:pt idx="9">
                  <c:v>0.5</c:v>
                </c:pt>
                <c:pt idx="10">
                  <c:v>0.55000000000000004</c:v>
                </c:pt>
                <c:pt idx="11">
                  <c:v>0.6</c:v>
                </c:pt>
                <c:pt idx="12">
                  <c:v>0.65</c:v>
                </c:pt>
                <c:pt idx="13">
                  <c:v>0.7</c:v>
                </c:pt>
                <c:pt idx="14">
                  <c:v>0.75</c:v>
                </c:pt>
                <c:pt idx="15">
                  <c:v>0.8</c:v>
                </c:pt>
                <c:pt idx="16">
                  <c:v>0.85</c:v>
                </c:pt>
                <c:pt idx="17">
                  <c:v>0.9</c:v>
                </c:pt>
                <c:pt idx="18">
                  <c:v>0.95</c:v>
                </c:pt>
                <c:pt idx="19">
                  <c:v>1</c:v>
                </c:pt>
              </c:numCache>
            </c:numRef>
          </c:xVal>
          <c:yVal>
            <c:numRef>
              <c:f>'GV110'!$D$36:$D$55</c:f>
              <c:numCache>
                <c:formatCode>0.000</c:formatCode>
                <c:ptCount val="20"/>
                <c:pt idx="0">
                  <c:v>0.96699999999999997</c:v>
                </c:pt>
                <c:pt idx="1">
                  <c:v>0.96699999999999997</c:v>
                </c:pt>
                <c:pt idx="2">
                  <c:v>0.96699999999999997</c:v>
                </c:pt>
                <c:pt idx="3">
                  <c:v>0.96699999999999997</c:v>
                </c:pt>
                <c:pt idx="4">
                  <c:v>0.96699999999999997</c:v>
                </c:pt>
                <c:pt idx="5">
                  <c:v>0.95650656639999998</c:v>
                </c:pt>
                <c:pt idx="6">
                  <c:v>0.9321914</c:v>
                </c:pt>
                <c:pt idx="7">
                  <c:v>0.92739759999999993</c:v>
                </c:pt>
                <c:pt idx="8">
                  <c:v>0.92315419999999992</c:v>
                </c:pt>
                <c:pt idx="9">
                  <c:v>0.9194</c:v>
                </c:pt>
                <c:pt idx="10">
                  <c:v>0.91607379999999994</c:v>
                </c:pt>
                <c:pt idx="11">
                  <c:v>0.91311439999999999</c:v>
                </c:pt>
                <c:pt idx="12">
                  <c:v>0.91046059999999995</c:v>
                </c:pt>
                <c:pt idx="13">
                  <c:v>0.90805119999999995</c:v>
                </c:pt>
                <c:pt idx="14">
                  <c:v>0.90582499999999988</c:v>
                </c:pt>
                <c:pt idx="15">
                  <c:v>0.90372079999999988</c:v>
                </c:pt>
                <c:pt idx="16">
                  <c:v>0.90167739999999985</c:v>
                </c:pt>
                <c:pt idx="17">
                  <c:v>0.9</c:v>
                </c:pt>
                <c:pt idx="18">
                  <c:v>0.9</c:v>
                </c:pt>
                <c:pt idx="19">
                  <c:v>0.9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896-4ED0-9FBC-6E49C5CA0C2F}"/>
            </c:ext>
          </c:extLst>
        </c:ser>
        <c:ser>
          <c:idx val="1"/>
          <c:order val="1"/>
          <c:tx>
            <c:strRef>
              <c:f>'GV110'!$E$35</c:f>
              <c:strCache>
                <c:ptCount val="1"/>
                <c:pt idx="0">
                  <c:v>xT</c:v>
                </c:pt>
              </c:strCache>
            </c:strRef>
          </c:tx>
          <c:marker>
            <c:symbol val="none"/>
          </c:marker>
          <c:xVal>
            <c:numRef>
              <c:f>'GV110'!$B$36:$B$55</c:f>
              <c:numCache>
                <c:formatCode>0.0%</c:formatCode>
                <c:ptCount val="20"/>
                <c:pt idx="0">
                  <c:v>5.0000000000000001E-3</c:v>
                </c:pt>
                <c:pt idx="1">
                  <c:v>0.01</c:v>
                </c:pt>
                <c:pt idx="2">
                  <c:v>0.02</c:v>
                </c:pt>
                <c:pt idx="3">
                  <c:v>0.04</c:v>
                </c:pt>
                <c:pt idx="4">
                  <c:v>0.08</c:v>
                </c:pt>
                <c:pt idx="5">
                  <c:v>0.16</c:v>
                </c:pt>
                <c:pt idx="6">
                  <c:v>0.35</c:v>
                </c:pt>
                <c:pt idx="7">
                  <c:v>0.4</c:v>
                </c:pt>
                <c:pt idx="8">
                  <c:v>0.45</c:v>
                </c:pt>
                <c:pt idx="9">
                  <c:v>0.5</c:v>
                </c:pt>
                <c:pt idx="10">
                  <c:v>0.55000000000000004</c:v>
                </c:pt>
                <c:pt idx="11">
                  <c:v>0.6</c:v>
                </c:pt>
                <c:pt idx="12">
                  <c:v>0.65</c:v>
                </c:pt>
                <c:pt idx="13">
                  <c:v>0.7</c:v>
                </c:pt>
                <c:pt idx="14">
                  <c:v>0.75</c:v>
                </c:pt>
                <c:pt idx="15">
                  <c:v>0.8</c:v>
                </c:pt>
                <c:pt idx="16">
                  <c:v>0.85</c:v>
                </c:pt>
                <c:pt idx="17">
                  <c:v>0.9</c:v>
                </c:pt>
                <c:pt idx="18">
                  <c:v>0.95</c:v>
                </c:pt>
                <c:pt idx="19">
                  <c:v>1</c:v>
                </c:pt>
              </c:numCache>
            </c:numRef>
          </c:xVal>
          <c:yVal>
            <c:numRef>
              <c:f>'GV110'!$E$36:$E$55</c:f>
              <c:numCache>
                <c:formatCode>0.000</c:formatCode>
                <c:ptCount val="20"/>
                <c:pt idx="0">
                  <c:v>0.78547475999999994</c:v>
                </c:pt>
                <c:pt idx="1">
                  <c:v>0.78547475999999994</c:v>
                </c:pt>
                <c:pt idx="2">
                  <c:v>0.78547475999999994</c:v>
                </c:pt>
                <c:pt idx="3">
                  <c:v>0.78547475999999994</c:v>
                </c:pt>
                <c:pt idx="4">
                  <c:v>0.78547475999999994</c:v>
                </c:pt>
                <c:pt idx="5">
                  <c:v>0.76852004171570665</c:v>
                </c:pt>
                <c:pt idx="6">
                  <c:v>0.72994387723652643</c:v>
                </c:pt>
                <c:pt idx="7">
                  <c:v>0.7224556991280382</c:v>
                </c:pt>
                <c:pt idx="8">
                  <c:v>0.7158594886612174</c:v>
                </c:pt>
                <c:pt idx="9">
                  <c:v>0.71004894239999994</c:v>
                </c:pt>
                <c:pt idx="10">
                  <c:v>0.70492061391900951</c:v>
                </c:pt>
                <c:pt idx="11">
                  <c:v>0.70037344228938236</c:v>
                </c:pt>
                <c:pt idx="12">
                  <c:v>0.69630834348798232</c:v>
                </c:pt>
                <c:pt idx="13">
                  <c:v>0.69262786473000948</c:v>
                </c:pt>
                <c:pt idx="14">
                  <c:v>0.68923590172499982</c:v>
                </c:pt>
                <c:pt idx="15">
                  <c:v>0.68603747885621735</c:v>
                </c:pt>
                <c:pt idx="16">
                  <c:v>0.68293859228343812</c:v>
                </c:pt>
                <c:pt idx="17">
                  <c:v>0.6804</c:v>
                </c:pt>
                <c:pt idx="18">
                  <c:v>0.6804</c:v>
                </c:pt>
                <c:pt idx="19">
                  <c:v>0.6804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896-4ED0-9FBC-6E49C5CA0C2F}"/>
            </c:ext>
          </c:extLst>
        </c:ser>
        <c:ser>
          <c:idx val="2"/>
          <c:order val="2"/>
          <c:tx>
            <c:strRef>
              <c:f>'GV110'!$F$35</c:f>
              <c:strCache>
                <c:ptCount val="1"/>
                <c:pt idx="0">
                  <c:v>Kc</c:v>
                </c:pt>
              </c:strCache>
            </c:strRef>
          </c:tx>
          <c:spPr>
            <a:ln>
              <a:solidFill>
                <a:srgbClr val="0070C0"/>
              </a:solidFill>
            </a:ln>
          </c:spPr>
          <c:marker>
            <c:symbol val="none"/>
          </c:marker>
          <c:xVal>
            <c:numRef>
              <c:f>'GV110'!$B$36:$B$55</c:f>
              <c:numCache>
                <c:formatCode>0.0%</c:formatCode>
                <c:ptCount val="20"/>
                <c:pt idx="0">
                  <c:v>5.0000000000000001E-3</c:v>
                </c:pt>
                <c:pt idx="1">
                  <c:v>0.01</c:v>
                </c:pt>
                <c:pt idx="2">
                  <c:v>0.02</c:v>
                </c:pt>
                <c:pt idx="3">
                  <c:v>0.04</c:v>
                </c:pt>
                <c:pt idx="4">
                  <c:v>0.08</c:v>
                </c:pt>
                <c:pt idx="5">
                  <c:v>0.16</c:v>
                </c:pt>
                <c:pt idx="6">
                  <c:v>0.35</c:v>
                </c:pt>
                <c:pt idx="7">
                  <c:v>0.4</c:v>
                </c:pt>
                <c:pt idx="8">
                  <c:v>0.45</c:v>
                </c:pt>
                <c:pt idx="9">
                  <c:v>0.5</c:v>
                </c:pt>
                <c:pt idx="10">
                  <c:v>0.55000000000000004</c:v>
                </c:pt>
                <c:pt idx="11">
                  <c:v>0.6</c:v>
                </c:pt>
                <c:pt idx="12">
                  <c:v>0.65</c:v>
                </c:pt>
                <c:pt idx="13">
                  <c:v>0.7</c:v>
                </c:pt>
                <c:pt idx="14">
                  <c:v>0.75</c:v>
                </c:pt>
                <c:pt idx="15">
                  <c:v>0.8</c:v>
                </c:pt>
                <c:pt idx="16">
                  <c:v>0.85</c:v>
                </c:pt>
                <c:pt idx="17">
                  <c:v>0.9</c:v>
                </c:pt>
                <c:pt idx="18">
                  <c:v>0.95</c:v>
                </c:pt>
                <c:pt idx="19">
                  <c:v>1</c:v>
                </c:pt>
              </c:numCache>
            </c:numRef>
          </c:xVal>
          <c:yVal>
            <c:numRef>
              <c:f>'GV110'!$F$36:$F$55</c:f>
              <c:numCache>
                <c:formatCode>0.000</c:formatCode>
                <c:ptCount val="20"/>
                <c:pt idx="0">
                  <c:v>0.75</c:v>
                </c:pt>
                <c:pt idx="1">
                  <c:v>0.75</c:v>
                </c:pt>
                <c:pt idx="2">
                  <c:v>0.75</c:v>
                </c:pt>
                <c:pt idx="3">
                  <c:v>0.75</c:v>
                </c:pt>
                <c:pt idx="4">
                  <c:v>0.75</c:v>
                </c:pt>
                <c:pt idx="5">
                  <c:v>0.73134332159999993</c:v>
                </c:pt>
                <c:pt idx="6">
                  <c:v>0.69172535000000002</c:v>
                </c:pt>
                <c:pt idx="7">
                  <c:v>0.68485439999999997</c:v>
                </c:pt>
                <c:pt idx="8">
                  <c:v>0.67904354999999994</c:v>
                </c:pt>
                <c:pt idx="9">
                  <c:v>0.67407499999999998</c:v>
                </c:pt>
                <c:pt idx="10">
                  <c:v>0.66973094999999994</c:v>
                </c:pt>
                <c:pt idx="11">
                  <c:v>0.66579359999999999</c:v>
                </c:pt>
                <c:pt idx="12">
                  <c:v>0.66204514999999997</c:v>
                </c:pt>
                <c:pt idx="13">
                  <c:v>0.65826779999999996</c:v>
                </c:pt>
                <c:pt idx="14">
                  <c:v>0.65424375000000001</c:v>
                </c:pt>
                <c:pt idx="15">
                  <c:v>0.65</c:v>
                </c:pt>
                <c:pt idx="16">
                  <c:v>0.65</c:v>
                </c:pt>
                <c:pt idx="17">
                  <c:v>0.65</c:v>
                </c:pt>
                <c:pt idx="18">
                  <c:v>0.65</c:v>
                </c:pt>
                <c:pt idx="19">
                  <c:v>0.65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B896-4ED0-9FBC-6E49C5CA0C2F}"/>
            </c:ext>
          </c:extLst>
        </c:ser>
        <c:ser>
          <c:idx val="3"/>
          <c:order val="3"/>
          <c:tx>
            <c:strRef>
              <c:f>'GV110'!$G$35</c:f>
              <c:strCache>
                <c:ptCount val="1"/>
                <c:pt idx="0">
                  <c:v>Fd</c:v>
                </c:pt>
              </c:strCache>
            </c:strRef>
          </c:tx>
          <c:spPr>
            <a:ln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'GV110'!$B$36:$B$55</c:f>
              <c:numCache>
                <c:formatCode>0.0%</c:formatCode>
                <c:ptCount val="20"/>
                <c:pt idx="0">
                  <c:v>5.0000000000000001E-3</c:v>
                </c:pt>
                <c:pt idx="1">
                  <c:v>0.01</c:v>
                </c:pt>
                <c:pt idx="2">
                  <c:v>0.02</c:v>
                </c:pt>
                <c:pt idx="3">
                  <c:v>0.04</c:v>
                </c:pt>
                <c:pt idx="4">
                  <c:v>0.08</c:v>
                </c:pt>
                <c:pt idx="5">
                  <c:v>0.16</c:v>
                </c:pt>
                <c:pt idx="6">
                  <c:v>0.35</c:v>
                </c:pt>
                <c:pt idx="7">
                  <c:v>0.4</c:v>
                </c:pt>
                <c:pt idx="8">
                  <c:v>0.45</c:v>
                </c:pt>
                <c:pt idx="9">
                  <c:v>0.5</c:v>
                </c:pt>
                <c:pt idx="10">
                  <c:v>0.55000000000000004</c:v>
                </c:pt>
                <c:pt idx="11">
                  <c:v>0.6</c:v>
                </c:pt>
                <c:pt idx="12">
                  <c:v>0.65</c:v>
                </c:pt>
                <c:pt idx="13">
                  <c:v>0.7</c:v>
                </c:pt>
                <c:pt idx="14">
                  <c:v>0.75</c:v>
                </c:pt>
                <c:pt idx="15">
                  <c:v>0.8</c:v>
                </c:pt>
                <c:pt idx="16">
                  <c:v>0.85</c:v>
                </c:pt>
                <c:pt idx="17">
                  <c:v>0.9</c:v>
                </c:pt>
                <c:pt idx="18">
                  <c:v>0.95</c:v>
                </c:pt>
                <c:pt idx="19">
                  <c:v>1</c:v>
                </c:pt>
              </c:numCache>
            </c:numRef>
          </c:xVal>
          <c:yVal>
            <c:numRef>
              <c:f>'GV110'!$G$36:$G$55</c:f>
              <c:numCache>
                <c:formatCode>0.000</c:formatCode>
                <c:ptCount val="20"/>
                <c:pt idx="0">
                  <c:v>1.3229533304565283E-2</c:v>
                </c:pt>
                <c:pt idx="1">
                  <c:v>1.8714514293415557E-2</c:v>
                </c:pt>
                <c:pt idx="2">
                  <c:v>2.6480838499470291E-2</c:v>
                </c:pt>
                <c:pt idx="3">
                  <c:v>3.749069332781528E-2</c:v>
                </c:pt>
                <c:pt idx="4">
                  <c:v>5.3136571089632871E-2</c:v>
                </c:pt>
                <c:pt idx="5">
                  <c:v>7.506094333426136E-2</c:v>
                </c:pt>
                <c:pt idx="6">
                  <c:v>0.1106925617097155</c:v>
                </c:pt>
                <c:pt idx="7">
                  <c:v>0.1183360007859852</c:v>
                </c:pt>
                <c:pt idx="8">
                  <c:v>0.12554990706810404</c:v>
                </c:pt>
                <c:pt idx="9">
                  <c:v>0.1324121143133381</c:v>
                </c:pt>
                <c:pt idx="10">
                  <c:v>0.13898048871027832</c:v>
                </c:pt>
                <c:pt idx="11">
                  <c:v>0.14529888803096339</c:v>
                </c:pt>
                <c:pt idx="12">
                  <c:v>0.1514009286149206</c:v>
                </c:pt>
                <c:pt idx="13">
                  <c:v>0.15731247264268783</c:v>
                </c:pt>
                <c:pt idx="14">
                  <c:v>0.16305332989910018</c:v>
                </c:pt>
                <c:pt idx="15">
                  <c:v>0.16863845676724654</c:v>
                </c:pt>
                <c:pt idx="16">
                  <c:v>0.174078821757358</c:v>
                </c:pt>
                <c:pt idx="17">
                  <c:v>0.17942208228198009</c:v>
                </c:pt>
                <c:pt idx="18">
                  <c:v>0.18483266386830871</c:v>
                </c:pt>
                <c:pt idx="19">
                  <c:v>0.19014386667669739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B896-4ED0-9FBC-6E49C5CA0C2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1603456"/>
        <c:axId val="171605376"/>
      </c:scatterChart>
      <c:valAx>
        <c:axId val="171603456"/>
        <c:scaling>
          <c:orientation val="minMax"/>
          <c:max val="1"/>
          <c:min val="0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Percentage of Rated Cv</a:t>
                </a:r>
              </a:p>
            </c:rich>
          </c:tx>
          <c:overlay val="0"/>
        </c:title>
        <c:numFmt formatCode="0%" sourceLinked="0"/>
        <c:majorTickMark val="out"/>
        <c:minorTickMark val="none"/>
        <c:tickLblPos val="nextTo"/>
        <c:crossAx val="171605376"/>
        <c:crosses val="autoZero"/>
        <c:crossBetween val="midCat"/>
        <c:majorUnit val="0.1"/>
      </c:valAx>
      <c:valAx>
        <c:axId val="171605376"/>
        <c:scaling>
          <c:orientation val="minMax"/>
          <c:max val="1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Sizing Indices</a:t>
                </a:r>
              </a:p>
            </c:rich>
          </c:tx>
          <c:overlay val="0"/>
        </c:title>
        <c:numFmt formatCode="0.0" sourceLinked="0"/>
        <c:majorTickMark val="out"/>
        <c:minorTickMark val="none"/>
        <c:tickLblPos val="nextTo"/>
        <c:crossAx val="171603456"/>
        <c:crosses val="autoZero"/>
        <c:crossBetween val="midCat"/>
      </c:valAx>
    </c:plotArea>
    <c:legend>
      <c:legendPos val="b"/>
      <c:layout>
        <c:manualLayout>
          <c:xMode val="edge"/>
          <c:yMode val="edge"/>
          <c:x val="0.27740272549438638"/>
          <c:y val="0.93848893295632996"/>
          <c:w val="0.44150742026811829"/>
          <c:h val="5.2758329803139437E-2"/>
        </c:manualLayout>
      </c:layout>
      <c:overlay val="0"/>
    </c:legend>
    <c:plotVisOnly val="1"/>
    <c:dispBlanksAs val="gap"/>
    <c:showDLblsOverMax val="0"/>
  </c:chart>
  <c:printSettings>
    <c:headerFooter/>
    <c:pageMargins b="0.75000000000000222" l="0.70000000000000062" r="0.70000000000000062" t="0.75000000000000222" header="0.30000000000000032" footer="0.3000000000000003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Cv versus Rated Travel</a:t>
            </a:r>
          </a:p>
        </c:rich>
      </c:tx>
      <c:overlay val="1"/>
    </c:title>
    <c:autoTitleDeleted val="0"/>
    <c:plotArea>
      <c:layout>
        <c:manualLayout>
          <c:layoutTarget val="inner"/>
          <c:xMode val="edge"/>
          <c:yMode val="edge"/>
          <c:x val="0.14040751195408738"/>
          <c:y val="9.0644855712479253E-2"/>
          <c:w val="0.7799070084792884"/>
          <c:h val="0.78263496606457583"/>
        </c:manualLayout>
      </c:layout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'GV410'!$C$46:$C$65</c:f>
              <c:numCache>
                <c:formatCode>0.0%</c:formatCode>
                <c:ptCount val="20"/>
                <c:pt idx="0">
                  <c:v>-0.55778003214819716</c:v>
                </c:pt>
                <c:pt idx="1">
                  <c:v>-0.35398498505769083</c:v>
                </c:pt>
                <c:pt idx="2">
                  <c:v>-0.15018993796718472</c:v>
                </c:pt>
                <c:pt idx="3">
                  <c:v>5.3605109123321393E-2</c:v>
                </c:pt>
                <c:pt idx="4">
                  <c:v>0.2574001562138275</c:v>
                </c:pt>
                <c:pt idx="5">
                  <c:v>0.46119520330433372</c:v>
                </c:pt>
                <c:pt idx="6">
                  <c:v>0.691337488921142</c:v>
                </c:pt>
                <c:pt idx="7">
                  <c:v>0.73059760165216692</c:v>
                </c:pt>
                <c:pt idx="8">
                  <c:v>0.76522747532295721</c:v>
                </c:pt>
                <c:pt idx="9">
                  <c:v>0.79620495290949389</c:v>
                </c:pt>
                <c:pt idx="10">
                  <c:v>0.8242274900072224</c:v>
                </c:pt>
                <c:pt idx="11">
                  <c:v>0.84981006203281517</c:v>
                </c:pt>
                <c:pt idx="12">
                  <c:v>0.87334374699479156</c:v>
                </c:pt>
                <c:pt idx="13">
                  <c:v>0.89513253601164822</c:v>
                </c:pt>
                <c:pt idx="14">
                  <c:v>0.91541741329014215</c:v>
                </c:pt>
                <c:pt idx="15">
                  <c:v>0.93439264874267303</c:v>
                </c:pt>
                <c:pt idx="16">
                  <c:v>0.9522171425939554</c:v>
                </c:pt>
                <c:pt idx="17">
                  <c:v>0.96902252241346343</c:v>
                </c:pt>
                <c:pt idx="18">
                  <c:v>0.98491904801994068</c:v>
                </c:pt>
                <c:pt idx="19">
                  <c:v>1</c:v>
                </c:pt>
              </c:numCache>
            </c:numRef>
          </c:xVal>
          <c:yVal>
            <c:numRef>
              <c:f>'GV410'!$B$46:$B$65</c:f>
              <c:numCache>
                <c:formatCode>0.0%</c:formatCode>
                <c:ptCount val="20"/>
                <c:pt idx="0">
                  <c:v>5.0000000000000001E-3</c:v>
                </c:pt>
                <c:pt idx="1">
                  <c:v>0.01</c:v>
                </c:pt>
                <c:pt idx="2">
                  <c:v>0.02</c:v>
                </c:pt>
                <c:pt idx="3">
                  <c:v>0.04</c:v>
                </c:pt>
                <c:pt idx="4">
                  <c:v>0.08</c:v>
                </c:pt>
                <c:pt idx="5">
                  <c:v>0.16</c:v>
                </c:pt>
                <c:pt idx="6">
                  <c:v>0.35</c:v>
                </c:pt>
                <c:pt idx="7">
                  <c:v>0.4</c:v>
                </c:pt>
                <c:pt idx="8">
                  <c:v>0.45</c:v>
                </c:pt>
                <c:pt idx="9">
                  <c:v>0.5</c:v>
                </c:pt>
                <c:pt idx="10">
                  <c:v>0.55000000000000004</c:v>
                </c:pt>
                <c:pt idx="11">
                  <c:v>0.6</c:v>
                </c:pt>
                <c:pt idx="12">
                  <c:v>0.65</c:v>
                </c:pt>
                <c:pt idx="13">
                  <c:v>0.7</c:v>
                </c:pt>
                <c:pt idx="14">
                  <c:v>0.75</c:v>
                </c:pt>
                <c:pt idx="15">
                  <c:v>0.8</c:v>
                </c:pt>
                <c:pt idx="16">
                  <c:v>0.85</c:v>
                </c:pt>
                <c:pt idx="17">
                  <c:v>0.9</c:v>
                </c:pt>
                <c:pt idx="18">
                  <c:v>0.95</c:v>
                </c:pt>
                <c:pt idx="19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010-4183-8BED-C668C70E97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4236032"/>
        <c:axId val="174237952"/>
      </c:scatterChart>
      <c:valAx>
        <c:axId val="174236032"/>
        <c:scaling>
          <c:orientation val="minMax"/>
          <c:max val="1"/>
          <c:min val="0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Valve Travel, % of Full Open</a:t>
                </a:r>
              </a:p>
            </c:rich>
          </c:tx>
          <c:layout>
            <c:manualLayout>
              <c:xMode val="edge"/>
              <c:yMode val="edge"/>
              <c:x val="0.35728618828306941"/>
              <c:y val="0.94171221069521271"/>
            </c:manualLayout>
          </c:layout>
          <c:overlay val="0"/>
        </c:title>
        <c:numFmt formatCode="0%" sourceLinked="0"/>
        <c:majorTickMark val="out"/>
        <c:minorTickMark val="none"/>
        <c:tickLblPos val="nextTo"/>
        <c:crossAx val="174237952"/>
        <c:crosses val="autoZero"/>
        <c:crossBetween val="midCat"/>
        <c:majorUnit val="0.1"/>
      </c:valAx>
      <c:valAx>
        <c:axId val="174237952"/>
        <c:scaling>
          <c:orientation val="minMax"/>
          <c:max val="1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Percentage of Rated Cv</a:t>
                </a:r>
              </a:p>
            </c:rich>
          </c:tx>
          <c:overlay val="0"/>
        </c:title>
        <c:numFmt formatCode="0%" sourceLinked="0"/>
        <c:majorTickMark val="out"/>
        <c:minorTickMark val="none"/>
        <c:tickLblPos val="nextTo"/>
        <c:crossAx val="17423603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222" l="0.70000000000000062" r="0.70000000000000062" t="0.75000000000000222" header="0.30000000000000032" footer="0.3000000000000003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Sizing Indices versus % of Rated Cv</a:t>
            </a:r>
          </a:p>
        </c:rich>
      </c:tx>
      <c:overlay val="1"/>
    </c:title>
    <c:autoTitleDeleted val="0"/>
    <c:plotArea>
      <c:layout>
        <c:manualLayout>
          <c:layoutTarget val="inner"/>
          <c:xMode val="edge"/>
          <c:yMode val="edge"/>
          <c:x val="0.10606976361118807"/>
          <c:y val="9.7057043135694535E-2"/>
          <c:w val="0.82318453152051063"/>
          <c:h val="0.73709717709409506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'GV410'!$D$45</c:f>
              <c:strCache>
                <c:ptCount val="1"/>
                <c:pt idx="0">
                  <c:v>FL</c:v>
                </c:pt>
              </c:strCache>
            </c:strRef>
          </c:tx>
          <c:spPr>
            <a:ln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'GV410'!$B$46:$B$65</c:f>
              <c:numCache>
                <c:formatCode>0.0%</c:formatCode>
                <c:ptCount val="20"/>
                <c:pt idx="0">
                  <c:v>5.0000000000000001E-3</c:v>
                </c:pt>
                <c:pt idx="1">
                  <c:v>0.01</c:v>
                </c:pt>
                <c:pt idx="2">
                  <c:v>0.02</c:v>
                </c:pt>
                <c:pt idx="3">
                  <c:v>0.04</c:v>
                </c:pt>
                <c:pt idx="4">
                  <c:v>0.08</c:v>
                </c:pt>
                <c:pt idx="5">
                  <c:v>0.16</c:v>
                </c:pt>
                <c:pt idx="6">
                  <c:v>0.35</c:v>
                </c:pt>
                <c:pt idx="7">
                  <c:v>0.4</c:v>
                </c:pt>
                <c:pt idx="8">
                  <c:v>0.45</c:v>
                </c:pt>
                <c:pt idx="9">
                  <c:v>0.5</c:v>
                </c:pt>
                <c:pt idx="10">
                  <c:v>0.55000000000000004</c:v>
                </c:pt>
                <c:pt idx="11">
                  <c:v>0.6</c:v>
                </c:pt>
                <c:pt idx="12">
                  <c:v>0.65</c:v>
                </c:pt>
                <c:pt idx="13">
                  <c:v>0.7</c:v>
                </c:pt>
                <c:pt idx="14">
                  <c:v>0.75</c:v>
                </c:pt>
                <c:pt idx="15">
                  <c:v>0.8</c:v>
                </c:pt>
                <c:pt idx="16">
                  <c:v>0.85</c:v>
                </c:pt>
                <c:pt idx="17">
                  <c:v>0.9</c:v>
                </c:pt>
                <c:pt idx="18">
                  <c:v>0.95</c:v>
                </c:pt>
                <c:pt idx="19">
                  <c:v>1</c:v>
                </c:pt>
              </c:numCache>
            </c:numRef>
          </c:xVal>
          <c:yVal>
            <c:numRef>
              <c:f>'GV410'!$D$46:$D$65</c:f>
              <c:numCache>
                <c:formatCode>0.000</c:formatCode>
                <c:ptCount val="20"/>
                <c:pt idx="0">
                  <c:v>0.96699999999999997</c:v>
                </c:pt>
                <c:pt idx="1">
                  <c:v>0.96699999999999997</c:v>
                </c:pt>
                <c:pt idx="2">
                  <c:v>0.96699999999999997</c:v>
                </c:pt>
                <c:pt idx="3">
                  <c:v>0.96699999999999997</c:v>
                </c:pt>
                <c:pt idx="4">
                  <c:v>0.96699999999999997</c:v>
                </c:pt>
                <c:pt idx="5">
                  <c:v>0.95650656639999998</c:v>
                </c:pt>
                <c:pt idx="6">
                  <c:v>0.9321914</c:v>
                </c:pt>
                <c:pt idx="7">
                  <c:v>0.92739759999999993</c:v>
                </c:pt>
                <c:pt idx="8">
                  <c:v>0.92315419999999992</c:v>
                </c:pt>
                <c:pt idx="9">
                  <c:v>0.9194</c:v>
                </c:pt>
                <c:pt idx="10">
                  <c:v>0.91607379999999994</c:v>
                </c:pt>
                <c:pt idx="11">
                  <c:v>0.91311439999999999</c:v>
                </c:pt>
                <c:pt idx="12">
                  <c:v>0.91046059999999995</c:v>
                </c:pt>
                <c:pt idx="13">
                  <c:v>0.90805119999999995</c:v>
                </c:pt>
                <c:pt idx="14">
                  <c:v>0.90582499999999988</c:v>
                </c:pt>
                <c:pt idx="15">
                  <c:v>0.90372079999999988</c:v>
                </c:pt>
                <c:pt idx="16">
                  <c:v>0.90167739999999985</c:v>
                </c:pt>
                <c:pt idx="17">
                  <c:v>0.9</c:v>
                </c:pt>
                <c:pt idx="18">
                  <c:v>0.9</c:v>
                </c:pt>
                <c:pt idx="19">
                  <c:v>0.9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68B-4498-BD99-9740040C05C7}"/>
            </c:ext>
          </c:extLst>
        </c:ser>
        <c:ser>
          <c:idx val="1"/>
          <c:order val="1"/>
          <c:tx>
            <c:strRef>
              <c:f>'GV410'!$E$45</c:f>
              <c:strCache>
                <c:ptCount val="1"/>
                <c:pt idx="0">
                  <c:v>xT</c:v>
                </c:pt>
              </c:strCache>
            </c:strRef>
          </c:tx>
          <c:marker>
            <c:symbol val="none"/>
          </c:marker>
          <c:xVal>
            <c:numRef>
              <c:f>'GV410'!$B$46:$B$65</c:f>
              <c:numCache>
                <c:formatCode>0.0%</c:formatCode>
                <c:ptCount val="20"/>
                <c:pt idx="0">
                  <c:v>5.0000000000000001E-3</c:v>
                </c:pt>
                <c:pt idx="1">
                  <c:v>0.01</c:v>
                </c:pt>
                <c:pt idx="2">
                  <c:v>0.02</c:v>
                </c:pt>
                <c:pt idx="3">
                  <c:v>0.04</c:v>
                </c:pt>
                <c:pt idx="4">
                  <c:v>0.08</c:v>
                </c:pt>
                <c:pt idx="5">
                  <c:v>0.16</c:v>
                </c:pt>
                <c:pt idx="6">
                  <c:v>0.35</c:v>
                </c:pt>
                <c:pt idx="7">
                  <c:v>0.4</c:v>
                </c:pt>
                <c:pt idx="8">
                  <c:v>0.45</c:v>
                </c:pt>
                <c:pt idx="9">
                  <c:v>0.5</c:v>
                </c:pt>
                <c:pt idx="10">
                  <c:v>0.55000000000000004</c:v>
                </c:pt>
                <c:pt idx="11">
                  <c:v>0.6</c:v>
                </c:pt>
                <c:pt idx="12">
                  <c:v>0.65</c:v>
                </c:pt>
                <c:pt idx="13">
                  <c:v>0.7</c:v>
                </c:pt>
                <c:pt idx="14">
                  <c:v>0.75</c:v>
                </c:pt>
                <c:pt idx="15">
                  <c:v>0.8</c:v>
                </c:pt>
                <c:pt idx="16">
                  <c:v>0.85</c:v>
                </c:pt>
                <c:pt idx="17">
                  <c:v>0.9</c:v>
                </c:pt>
                <c:pt idx="18">
                  <c:v>0.95</c:v>
                </c:pt>
                <c:pt idx="19">
                  <c:v>1</c:v>
                </c:pt>
              </c:numCache>
            </c:numRef>
          </c:xVal>
          <c:yVal>
            <c:numRef>
              <c:f>'GV410'!$E$46:$E$65</c:f>
              <c:numCache>
                <c:formatCode>0.000</c:formatCode>
                <c:ptCount val="20"/>
                <c:pt idx="0">
                  <c:v>0.78547475999999994</c:v>
                </c:pt>
                <c:pt idx="1">
                  <c:v>0.78547475999999994</c:v>
                </c:pt>
                <c:pt idx="2">
                  <c:v>0.78547475999999994</c:v>
                </c:pt>
                <c:pt idx="3">
                  <c:v>0.78547475999999994</c:v>
                </c:pt>
                <c:pt idx="4">
                  <c:v>0.78547475999999994</c:v>
                </c:pt>
                <c:pt idx="5">
                  <c:v>0.76852004171570665</c:v>
                </c:pt>
                <c:pt idx="6">
                  <c:v>0.72994387723652643</c:v>
                </c:pt>
                <c:pt idx="7">
                  <c:v>0.7224556991280382</c:v>
                </c:pt>
                <c:pt idx="8">
                  <c:v>0.7158594886612174</c:v>
                </c:pt>
                <c:pt idx="9">
                  <c:v>0.71004894239999994</c:v>
                </c:pt>
                <c:pt idx="10">
                  <c:v>0.70492061391900951</c:v>
                </c:pt>
                <c:pt idx="11">
                  <c:v>0.70037344228938236</c:v>
                </c:pt>
                <c:pt idx="12">
                  <c:v>0.69630834348798232</c:v>
                </c:pt>
                <c:pt idx="13">
                  <c:v>0.69262786473000948</c:v>
                </c:pt>
                <c:pt idx="14">
                  <c:v>0.68923590172499982</c:v>
                </c:pt>
                <c:pt idx="15">
                  <c:v>0.68603747885621735</c:v>
                </c:pt>
                <c:pt idx="16">
                  <c:v>0.68293859228343812</c:v>
                </c:pt>
                <c:pt idx="17">
                  <c:v>0.6804</c:v>
                </c:pt>
                <c:pt idx="18">
                  <c:v>0.6804</c:v>
                </c:pt>
                <c:pt idx="19">
                  <c:v>0.6804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68B-4498-BD99-9740040C05C7}"/>
            </c:ext>
          </c:extLst>
        </c:ser>
        <c:ser>
          <c:idx val="2"/>
          <c:order val="2"/>
          <c:tx>
            <c:strRef>
              <c:f>'GV410'!$F$45</c:f>
              <c:strCache>
                <c:ptCount val="1"/>
                <c:pt idx="0">
                  <c:v>Kc</c:v>
                </c:pt>
              </c:strCache>
            </c:strRef>
          </c:tx>
          <c:spPr>
            <a:ln>
              <a:solidFill>
                <a:srgbClr val="0070C0"/>
              </a:solidFill>
            </a:ln>
          </c:spPr>
          <c:marker>
            <c:symbol val="none"/>
          </c:marker>
          <c:xVal>
            <c:numRef>
              <c:f>'GV410'!$B$46:$B$65</c:f>
              <c:numCache>
                <c:formatCode>0.0%</c:formatCode>
                <c:ptCount val="20"/>
                <c:pt idx="0">
                  <c:v>5.0000000000000001E-3</c:v>
                </c:pt>
                <c:pt idx="1">
                  <c:v>0.01</c:v>
                </c:pt>
                <c:pt idx="2">
                  <c:v>0.02</c:v>
                </c:pt>
                <c:pt idx="3">
                  <c:v>0.04</c:v>
                </c:pt>
                <c:pt idx="4">
                  <c:v>0.08</c:v>
                </c:pt>
                <c:pt idx="5">
                  <c:v>0.16</c:v>
                </c:pt>
                <c:pt idx="6">
                  <c:v>0.35</c:v>
                </c:pt>
                <c:pt idx="7">
                  <c:v>0.4</c:v>
                </c:pt>
                <c:pt idx="8">
                  <c:v>0.45</c:v>
                </c:pt>
                <c:pt idx="9">
                  <c:v>0.5</c:v>
                </c:pt>
                <c:pt idx="10">
                  <c:v>0.55000000000000004</c:v>
                </c:pt>
                <c:pt idx="11">
                  <c:v>0.6</c:v>
                </c:pt>
                <c:pt idx="12">
                  <c:v>0.65</c:v>
                </c:pt>
                <c:pt idx="13">
                  <c:v>0.7</c:v>
                </c:pt>
                <c:pt idx="14">
                  <c:v>0.75</c:v>
                </c:pt>
                <c:pt idx="15">
                  <c:v>0.8</c:v>
                </c:pt>
                <c:pt idx="16">
                  <c:v>0.85</c:v>
                </c:pt>
                <c:pt idx="17">
                  <c:v>0.9</c:v>
                </c:pt>
                <c:pt idx="18">
                  <c:v>0.95</c:v>
                </c:pt>
                <c:pt idx="19">
                  <c:v>1</c:v>
                </c:pt>
              </c:numCache>
            </c:numRef>
          </c:xVal>
          <c:yVal>
            <c:numRef>
              <c:f>'GV410'!$F$46:$F$65</c:f>
              <c:numCache>
                <c:formatCode>0.000</c:formatCode>
                <c:ptCount val="20"/>
                <c:pt idx="0">
                  <c:v>0.75</c:v>
                </c:pt>
                <c:pt idx="1">
                  <c:v>0.75</c:v>
                </c:pt>
                <c:pt idx="2">
                  <c:v>0.75</c:v>
                </c:pt>
                <c:pt idx="3">
                  <c:v>0.75</c:v>
                </c:pt>
                <c:pt idx="4">
                  <c:v>0.75</c:v>
                </c:pt>
                <c:pt idx="5">
                  <c:v>0.73134332159999993</c:v>
                </c:pt>
                <c:pt idx="6">
                  <c:v>0.69172535000000002</c:v>
                </c:pt>
                <c:pt idx="7">
                  <c:v>0.68485439999999997</c:v>
                </c:pt>
                <c:pt idx="8">
                  <c:v>0.67904354999999994</c:v>
                </c:pt>
                <c:pt idx="9">
                  <c:v>0.67407499999999998</c:v>
                </c:pt>
                <c:pt idx="10">
                  <c:v>0.66973094999999994</c:v>
                </c:pt>
                <c:pt idx="11">
                  <c:v>0.66579359999999999</c:v>
                </c:pt>
                <c:pt idx="12">
                  <c:v>0.66204514999999997</c:v>
                </c:pt>
                <c:pt idx="13">
                  <c:v>0.65826779999999996</c:v>
                </c:pt>
                <c:pt idx="14">
                  <c:v>0.65424375000000001</c:v>
                </c:pt>
                <c:pt idx="15">
                  <c:v>0.65</c:v>
                </c:pt>
                <c:pt idx="16">
                  <c:v>0.65</c:v>
                </c:pt>
                <c:pt idx="17">
                  <c:v>0.65</c:v>
                </c:pt>
                <c:pt idx="18">
                  <c:v>0.65</c:v>
                </c:pt>
                <c:pt idx="19">
                  <c:v>0.65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768B-4498-BD99-9740040C05C7}"/>
            </c:ext>
          </c:extLst>
        </c:ser>
        <c:ser>
          <c:idx val="3"/>
          <c:order val="3"/>
          <c:tx>
            <c:strRef>
              <c:f>'GV410'!$G$45</c:f>
              <c:strCache>
                <c:ptCount val="1"/>
                <c:pt idx="0">
                  <c:v>Fd</c:v>
                </c:pt>
              </c:strCache>
            </c:strRef>
          </c:tx>
          <c:spPr>
            <a:ln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'GV410'!$B$46:$B$65</c:f>
              <c:numCache>
                <c:formatCode>0.0%</c:formatCode>
                <c:ptCount val="20"/>
                <c:pt idx="0">
                  <c:v>5.0000000000000001E-3</c:v>
                </c:pt>
                <c:pt idx="1">
                  <c:v>0.01</c:v>
                </c:pt>
                <c:pt idx="2">
                  <c:v>0.02</c:v>
                </c:pt>
                <c:pt idx="3">
                  <c:v>0.04</c:v>
                </c:pt>
                <c:pt idx="4">
                  <c:v>0.08</c:v>
                </c:pt>
                <c:pt idx="5">
                  <c:v>0.16</c:v>
                </c:pt>
                <c:pt idx="6">
                  <c:v>0.35</c:v>
                </c:pt>
                <c:pt idx="7">
                  <c:v>0.4</c:v>
                </c:pt>
                <c:pt idx="8">
                  <c:v>0.45</c:v>
                </c:pt>
                <c:pt idx="9">
                  <c:v>0.5</c:v>
                </c:pt>
                <c:pt idx="10">
                  <c:v>0.55000000000000004</c:v>
                </c:pt>
                <c:pt idx="11">
                  <c:v>0.6</c:v>
                </c:pt>
                <c:pt idx="12">
                  <c:v>0.65</c:v>
                </c:pt>
                <c:pt idx="13">
                  <c:v>0.7</c:v>
                </c:pt>
                <c:pt idx="14">
                  <c:v>0.75</c:v>
                </c:pt>
                <c:pt idx="15">
                  <c:v>0.8</c:v>
                </c:pt>
                <c:pt idx="16">
                  <c:v>0.85</c:v>
                </c:pt>
                <c:pt idx="17">
                  <c:v>0.9</c:v>
                </c:pt>
                <c:pt idx="18">
                  <c:v>0.95</c:v>
                </c:pt>
                <c:pt idx="19">
                  <c:v>1</c:v>
                </c:pt>
              </c:numCache>
            </c:numRef>
          </c:xVal>
          <c:yVal>
            <c:numRef>
              <c:f>'GV410'!$G$46:$G$65</c:f>
              <c:numCache>
                <c:formatCode>0.000</c:formatCode>
                <c:ptCount val="20"/>
                <c:pt idx="0">
                  <c:v>2.1443843634082312E-2</c:v>
                </c:pt>
                <c:pt idx="1">
                  <c:v>3.034801668904626E-2</c:v>
                </c:pt>
                <c:pt idx="2">
                  <c:v>4.2980489522203034E-2</c:v>
                </c:pt>
                <c:pt idx="3">
                  <c:v>6.0959466881604397E-2</c:v>
                </c:pt>
                <c:pt idx="4">
                  <c:v>8.67114995900998E-2</c:v>
                </c:pt>
                <c:pt idx="5">
                  <c:v>0.12336638114164616</c:v>
                </c:pt>
                <c:pt idx="6">
                  <c:v>0.18500540322049175</c:v>
                </c:pt>
                <c:pt idx="7">
                  <c:v>0.1986579304051678</c:v>
                </c:pt>
                <c:pt idx="8">
                  <c:v>0.2117078391209303</c:v>
                </c:pt>
                <c:pt idx="9">
                  <c:v>0.22428000450656674</c:v>
                </c:pt>
                <c:pt idx="10">
                  <c:v>0.23646755366351088</c:v>
                </c:pt>
                <c:pt idx="11">
                  <c:v>0.24834124082792647</c:v>
                </c:pt>
                <c:pt idx="12">
                  <c:v>0.25995532207705985</c:v>
                </c:pt>
                <c:pt idx="13">
                  <c:v>0.27135138763549338</c:v>
                </c:pt>
                <c:pt idx="14">
                  <c:v>0.28256094013732924</c:v>
                </c:pt>
                <c:pt idx="15">
                  <c:v>0.29360716912334783</c:v>
                </c:pt>
                <c:pt idx="16">
                  <c:v>0.3045061910267457</c:v>
                </c:pt>
                <c:pt idx="17">
                  <c:v>0.31534970283493757</c:v>
                </c:pt>
                <c:pt idx="18">
                  <c:v>0.32647574603811219</c:v>
                </c:pt>
                <c:pt idx="19">
                  <c:v>0.33754572592373244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768B-4498-BD99-9740040C05C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4285184"/>
        <c:axId val="174287104"/>
      </c:scatterChart>
      <c:valAx>
        <c:axId val="174285184"/>
        <c:scaling>
          <c:orientation val="minMax"/>
          <c:max val="1"/>
          <c:min val="0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Percentage of Rated Cv</a:t>
                </a:r>
              </a:p>
            </c:rich>
          </c:tx>
          <c:layout>
            <c:manualLayout>
              <c:xMode val="edge"/>
              <c:yMode val="edge"/>
              <c:x val="0.3699670647945914"/>
              <c:y val="0.90886447031901763"/>
            </c:manualLayout>
          </c:layout>
          <c:overlay val="0"/>
        </c:title>
        <c:numFmt formatCode="0%" sourceLinked="0"/>
        <c:majorTickMark val="out"/>
        <c:minorTickMark val="none"/>
        <c:tickLblPos val="nextTo"/>
        <c:crossAx val="174287104"/>
        <c:crosses val="autoZero"/>
        <c:crossBetween val="midCat"/>
        <c:majorUnit val="0.1"/>
      </c:valAx>
      <c:valAx>
        <c:axId val="174287104"/>
        <c:scaling>
          <c:orientation val="minMax"/>
          <c:max val="1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Sizing Indices</a:t>
                </a:r>
              </a:p>
            </c:rich>
          </c:tx>
          <c:overlay val="0"/>
        </c:title>
        <c:numFmt formatCode="0.0" sourceLinked="0"/>
        <c:majorTickMark val="out"/>
        <c:minorTickMark val="none"/>
        <c:tickLblPos val="nextTo"/>
        <c:crossAx val="174285184"/>
        <c:crosses val="autoZero"/>
        <c:crossBetween val="midCat"/>
      </c:valAx>
    </c:plotArea>
    <c:legend>
      <c:legendPos val="b"/>
      <c:layout>
        <c:manualLayout>
          <c:xMode val="edge"/>
          <c:yMode val="edge"/>
          <c:x val="0.28217766994789223"/>
          <c:y val="0.9469806491709325"/>
          <c:w val="0.43564466010422043"/>
          <c:h val="5.3019350829067294E-2"/>
        </c:manualLayout>
      </c:layout>
      <c:overlay val="0"/>
    </c:legend>
    <c:plotVisOnly val="1"/>
    <c:dispBlanksAs val="gap"/>
    <c:showDLblsOverMax val="0"/>
  </c:chart>
  <c:printSettings>
    <c:headerFooter/>
    <c:pageMargins b="0.75000000000000222" l="0.70000000000000062" r="0.70000000000000062" t="0.75000000000000222" header="0.30000000000000032" footer="0.3000000000000003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Cv versus Travel</a:t>
            </a:r>
          </a:p>
        </c:rich>
      </c:tx>
      <c:overlay val="1"/>
    </c:title>
    <c:autoTitleDeleted val="0"/>
    <c:plotArea>
      <c:layout>
        <c:manualLayout>
          <c:layoutTarget val="inner"/>
          <c:xMode val="edge"/>
          <c:yMode val="edge"/>
          <c:x val="0.20010057566333617"/>
          <c:y val="9.134369127006163E-2"/>
          <c:w val="0.7377776307373346"/>
          <c:h val="0.75098841467236022"/>
        </c:manualLayout>
      </c:layout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'BC110'!$C$42:$C$61</c:f>
              <c:numCache>
                <c:formatCode>0%</c:formatCode>
                <c:ptCount val="20"/>
                <c:pt idx="0">
                  <c:v>9.3335181102453119E-2</c:v>
                </c:pt>
                <c:pt idx="1">
                  <c:v>0.1116108081585</c:v>
                </c:pt>
                <c:pt idx="2">
                  <c:v>0.14626622715199999</c:v>
                </c:pt>
                <c:pt idx="3">
                  <c:v>0.208550406144</c:v>
                </c:pt>
                <c:pt idx="4">
                  <c:v>0.30912943308800001</c:v>
                </c:pt>
                <c:pt idx="5">
                  <c:v>0.442214762496</c:v>
                </c:pt>
                <c:pt idx="6">
                  <c:v>0.61144591718749997</c:v>
                </c:pt>
                <c:pt idx="7">
                  <c:v>0.64968960000000009</c:v>
                </c:pt>
                <c:pt idx="8">
                  <c:v>0.68875390781250023</c:v>
                </c:pt>
                <c:pt idx="9">
                  <c:v>0.7281312499999999</c:v>
                </c:pt>
                <c:pt idx="10">
                  <c:v>0.7665757734375005</c:v>
                </c:pt>
                <c:pt idx="11">
                  <c:v>0.80249280000000023</c:v>
                </c:pt>
                <c:pt idx="12">
                  <c:v>0.83432826406250071</c:v>
                </c:pt>
                <c:pt idx="13">
                  <c:v>0.86095814999999942</c:v>
                </c:pt>
                <c:pt idx="14">
                  <c:v>0.88207792968749987</c:v>
                </c:pt>
                <c:pt idx="15">
                  <c:v>0.89859200000000006</c:v>
                </c:pt>
                <c:pt idx="16">
                  <c:v>0.91300312031249908</c:v>
                </c:pt>
                <c:pt idx="17">
                  <c:v>0.92980185000000071</c:v>
                </c:pt>
                <c:pt idx="18">
                  <c:v>0.9558559859374991</c:v>
                </c:pt>
                <c:pt idx="19">
                  <c:v>1.000800000000001</c:v>
                </c:pt>
              </c:numCache>
            </c:numRef>
          </c:xVal>
          <c:yVal>
            <c:numRef>
              <c:f>'BC110'!$B$42:$B$61</c:f>
              <c:numCache>
                <c:formatCode>0.0%</c:formatCode>
                <c:ptCount val="20"/>
                <c:pt idx="0">
                  <c:v>5.0000000000000001E-3</c:v>
                </c:pt>
                <c:pt idx="1">
                  <c:v>0.01</c:v>
                </c:pt>
                <c:pt idx="2">
                  <c:v>0.02</c:v>
                </c:pt>
                <c:pt idx="3">
                  <c:v>0.04</c:v>
                </c:pt>
                <c:pt idx="4">
                  <c:v>0.08</c:v>
                </c:pt>
                <c:pt idx="5">
                  <c:v>0.16</c:v>
                </c:pt>
                <c:pt idx="6">
                  <c:v>0.35</c:v>
                </c:pt>
                <c:pt idx="7">
                  <c:v>0.4</c:v>
                </c:pt>
                <c:pt idx="8">
                  <c:v>0.45</c:v>
                </c:pt>
                <c:pt idx="9">
                  <c:v>0.5</c:v>
                </c:pt>
                <c:pt idx="10">
                  <c:v>0.55000000000000004</c:v>
                </c:pt>
                <c:pt idx="11">
                  <c:v>0.6</c:v>
                </c:pt>
                <c:pt idx="12">
                  <c:v>0.65</c:v>
                </c:pt>
                <c:pt idx="13">
                  <c:v>0.7</c:v>
                </c:pt>
                <c:pt idx="14">
                  <c:v>0.75</c:v>
                </c:pt>
                <c:pt idx="15">
                  <c:v>0.8</c:v>
                </c:pt>
                <c:pt idx="16">
                  <c:v>0.85</c:v>
                </c:pt>
                <c:pt idx="17">
                  <c:v>0.9</c:v>
                </c:pt>
                <c:pt idx="18">
                  <c:v>0.95</c:v>
                </c:pt>
                <c:pt idx="19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E61-4075-9AD1-B98DA226B8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4860160"/>
        <c:axId val="174878720"/>
      </c:scatterChart>
      <c:valAx>
        <c:axId val="174860160"/>
        <c:scaling>
          <c:orientation val="minMax"/>
          <c:max val="1"/>
          <c:min val="0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Valve Travel, % of Full Open</a:t>
                </a:r>
              </a:p>
            </c:rich>
          </c:tx>
          <c:overlay val="0"/>
        </c:title>
        <c:numFmt formatCode="0%" sourceLinked="1"/>
        <c:majorTickMark val="out"/>
        <c:minorTickMark val="none"/>
        <c:tickLblPos val="nextTo"/>
        <c:crossAx val="174878720"/>
        <c:crosses val="autoZero"/>
        <c:crossBetween val="midCat"/>
        <c:majorUnit val="0.1"/>
      </c:valAx>
      <c:valAx>
        <c:axId val="174878720"/>
        <c:scaling>
          <c:orientation val="minMax"/>
          <c:max val="1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Percentage of Rated Cv</a:t>
                </a:r>
              </a:p>
            </c:rich>
          </c:tx>
          <c:overlay val="0"/>
        </c:title>
        <c:numFmt formatCode="0.0%" sourceLinked="1"/>
        <c:majorTickMark val="out"/>
        <c:minorTickMark val="none"/>
        <c:tickLblPos val="nextTo"/>
        <c:crossAx val="17486016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3" l="0.70000000000000062" r="0.70000000000000062" t="0.750000000000003" header="0.30000000000000032" footer="0.30000000000000032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Sizing Indices versus % of Rated Cv</a:t>
            </a:r>
          </a:p>
        </c:rich>
      </c:tx>
      <c:overlay val="1"/>
    </c:title>
    <c:autoTitleDeleted val="0"/>
    <c:plotArea>
      <c:layout>
        <c:manualLayout>
          <c:layoutTarget val="inner"/>
          <c:xMode val="edge"/>
          <c:yMode val="edge"/>
          <c:x val="0.15166898255365141"/>
          <c:y val="9.1545333019377048E-2"/>
          <c:w val="0.78620922384701908"/>
          <c:h val="0.7237046053326871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'BC110'!$D$41</c:f>
              <c:strCache>
                <c:ptCount val="1"/>
                <c:pt idx="0">
                  <c:v>FL</c:v>
                </c:pt>
              </c:strCache>
            </c:strRef>
          </c:tx>
          <c:spPr>
            <a:ln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'BC110'!$B$42:$B$61</c:f>
              <c:numCache>
                <c:formatCode>0.0%</c:formatCode>
                <c:ptCount val="20"/>
                <c:pt idx="0">
                  <c:v>5.0000000000000001E-3</c:v>
                </c:pt>
                <c:pt idx="1">
                  <c:v>0.01</c:v>
                </c:pt>
                <c:pt idx="2">
                  <c:v>0.02</c:v>
                </c:pt>
                <c:pt idx="3">
                  <c:v>0.04</c:v>
                </c:pt>
                <c:pt idx="4">
                  <c:v>0.08</c:v>
                </c:pt>
                <c:pt idx="5">
                  <c:v>0.16</c:v>
                </c:pt>
                <c:pt idx="6">
                  <c:v>0.35</c:v>
                </c:pt>
                <c:pt idx="7">
                  <c:v>0.4</c:v>
                </c:pt>
                <c:pt idx="8">
                  <c:v>0.45</c:v>
                </c:pt>
                <c:pt idx="9">
                  <c:v>0.5</c:v>
                </c:pt>
                <c:pt idx="10">
                  <c:v>0.55000000000000004</c:v>
                </c:pt>
                <c:pt idx="11">
                  <c:v>0.6</c:v>
                </c:pt>
                <c:pt idx="12">
                  <c:v>0.65</c:v>
                </c:pt>
                <c:pt idx="13">
                  <c:v>0.7</c:v>
                </c:pt>
                <c:pt idx="14">
                  <c:v>0.75</c:v>
                </c:pt>
                <c:pt idx="15">
                  <c:v>0.8</c:v>
                </c:pt>
                <c:pt idx="16">
                  <c:v>0.85</c:v>
                </c:pt>
                <c:pt idx="17">
                  <c:v>0.9</c:v>
                </c:pt>
                <c:pt idx="18">
                  <c:v>0.95</c:v>
                </c:pt>
                <c:pt idx="19">
                  <c:v>1</c:v>
                </c:pt>
              </c:numCache>
            </c:numRef>
          </c:xVal>
          <c:yVal>
            <c:numRef>
              <c:f>'BC110'!$D$42:$D$61</c:f>
              <c:numCache>
                <c:formatCode>0.0000</c:formatCode>
                <c:ptCount val="20"/>
                <c:pt idx="0">
                  <c:v>0.92</c:v>
                </c:pt>
                <c:pt idx="1">
                  <c:v>0.92</c:v>
                </c:pt>
                <c:pt idx="2">
                  <c:v>0.92</c:v>
                </c:pt>
                <c:pt idx="3">
                  <c:v>0.92</c:v>
                </c:pt>
                <c:pt idx="4">
                  <c:v>0.92</c:v>
                </c:pt>
                <c:pt idx="5">
                  <c:v>0.88559039999999989</c:v>
                </c:pt>
                <c:pt idx="6">
                  <c:v>0.79424125000000001</c:v>
                </c:pt>
                <c:pt idx="7">
                  <c:v>0.77291999999999994</c:v>
                </c:pt>
                <c:pt idx="8">
                  <c:v>0.75273124999999985</c:v>
                </c:pt>
                <c:pt idx="9">
                  <c:v>0.73367499999999997</c:v>
                </c:pt>
                <c:pt idx="10">
                  <c:v>0.71575124999999984</c:v>
                </c:pt>
                <c:pt idx="11">
                  <c:v>0.69895999999999991</c:v>
                </c:pt>
                <c:pt idx="12">
                  <c:v>0.68330124999999997</c:v>
                </c:pt>
                <c:pt idx="13">
                  <c:v>0.6687749999999999</c:v>
                </c:pt>
                <c:pt idx="14">
                  <c:v>0.65538124999999992</c:v>
                </c:pt>
                <c:pt idx="15">
                  <c:v>0.64311999999999991</c:v>
                </c:pt>
                <c:pt idx="16">
                  <c:v>0.63199124999999989</c:v>
                </c:pt>
                <c:pt idx="17">
                  <c:v>0.62199499999999985</c:v>
                </c:pt>
                <c:pt idx="18">
                  <c:v>0.61313124999999991</c:v>
                </c:pt>
                <c:pt idx="19">
                  <c:v>0.60539999999999994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6BB-4903-B78C-F730FFDAAB58}"/>
            </c:ext>
          </c:extLst>
        </c:ser>
        <c:ser>
          <c:idx val="1"/>
          <c:order val="1"/>
          <c:tx>
            <c:strRef>
              <c:f>'BC110'!$E$41</c:f>
              <c:strCache>
                <c:ptCount val="1"/>
                <c:pt idx="0">
                  <c:v>xT</c:v>
                </c:pt>
              </c:strCache>
            </c:strRef>
          </c:tx>
          <c:marker>
            <c:symbol val="none"/>
          </c:marker>
          <c:xVal>
            <c:numRef>
              <c:f>'BC110'!$B$42:$B$61</c:f>
              <c:numCache>
                <c:formatCode>0.0%</c:formatCode>
                <c:ptCount val="20"/>
                <c:pt idx="0">
                  <c:v>5.0000000000000001E-3</c:v>
                </c:pt>
                <c:pt idx="1">
                  <c:v>0.01</c:v>
                </c:pt>
                <c:pt idx="2">
                  <c:v>0.02</c:v>
                </c:pt>
                <c:pt idx="3">
                  <c:v>0.04</c:v>
                </c:pt>
                <c:pt idx="4">
                  <c:v>0.08</c:v>
                </c:pt>
                <c:pt idx="5">
                  <c:v>0.16</c:v>
                </c:pt>
                <c:pt idx="6">
                  <c:v>0.35</c:v>
                </c:pt>
                <c:pt idx="7">
                  <c:v>0.4</c:v>
                </c:pt>
                <c:pt idx="8">
                  <c:v>0.45</c:v>
                </c:pt>
                <c:pt idx="9">
                  <c:v>0.5</c:v>
                </c:pt>
                <c:pt idx="10">
                  <c:v>0.55000000000000004</c:v>
                </c:pt>
                <c:pt idx="11">
                  <c:v>0.6</c:v>
                </c:pt>
                <c:pt idx="12">
                  <c:v>0.65</c:v>
                </c:pt>
                <c:pt idx="13">
                  <c:v>0.7</c:v>
                </c:pt>
                <c:pt idx="14">
                  <c:v>0.75</c:v>
                </c:pt>
                <c:pt idx="15">
                  <c:v>0.8</c:v>
                </c:pt>
                <c:pt idx="16">
                  <c:v>0.85</c:v>
                </c:pt>
                <c:pt idx="17">
                  <c:v>0.9</c:v>
                </c:pt>
                <c:pt idx="18">
                  <c:v>0.95</c:v>
                </c:pt>
                <c:pt idx="19">
                  <c:v>1</c:v>
                </c:pt>
              </c:numCache>
            </c:numRef>
          </c:xVal>
          <c:yVal>
            <c:numRef>
              <c:f>'BC110'!$E$42:$E$61</c:f>
              <c:numCache>
                <c:formatCode>0.0000</c:formatCode>
                <c:ptCount val="20"/>
                <c:pt idx="0">
                  <c:v>0.71097600000000005</c:v>
                </c:pt>
                <c:pt idx="1">
                  <c:v>0.71097600000000005</c:v>
                </c:pt>
                <c:pt idx="2">
                  <c:v>0.71097600000000005</c:v>
                </c:pt>
                <c:pt idx="3">
                  <c:v>0.71097600000000005</c:v>
                </c:pt>
                <c:pt idx="4">
                  <c:v>0.71097600000000005</c:v>
                </c:pt>
                <c:pt idx="5">
                  <c:v>0.65878709952061421</c:v>
                </c:pt>
                <c:pt idx="6">
                  <c:v>0.5298880970893125</c:v>
                </c:pt>
                <c:pt idx="7">
                  <c:v>0.50182047417599984</c:v>
                </c:pt>
                <c:pt idx="8">
                  <c:v>0.47594764117031224</c:v>
                </c:pt>
                <c:pt idx="9">
                  <c:v>0.45215436472499998</c:v>
                </c:pt>
                <c:pt idx="10">
                  <c:v>0.43033187557631225</c:v>
                </c:pt>
                <c:pt idx="11">
                  <c:v>0.41037786854399988</c:v>
                </c:pt>
                <c:pt idx="12">
                  <c:v>0.39219650253131244</c:v>
                </c:pt>
                <c:pt idx="13">
                  <c:v>0.37569840052499986</c:v>
                </c:pt>
                <c:pt idx="14">
                  <c:v>0.36080064959531238</c:v>
                </c:pt>
                <c:pt idx="15">
                  <c:v>0.34742680089599992</c:v>
                </c:pt>
                <c:pt idx="16">
                  <c:v>0.33550686966431237</c:v>
                </c:pt>
                <c:pt idx="17">
                  <c:v>0.32497733522099986</c:v>
                </c:pt>
                <c:pt idx="18">
                  <c:v>0.31578114097031235</c:v>
                </c:pt>
                <c:pt idx="19">
                  <c:v>0.30786769439999995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6BB-4903-B78C-F730FFDAAB58}"/>
            </c:ext>
          </c:extLst>
        </c:ser>
        <c:ser>
          <c:idx val="2"/>
          <c:order val="2"/>
          <c:tx>
            <c:strRef>
              <c:f>'BC110'!$F$41</c:f>
              <c:strCache>
                <c:ptCount val="1"/>
                <c:pt idx="0">
                  <c:v>Kc</c:v>
                </c:pt>
              </c:strCache>
            </c:strRef>
          </c:tx>
          <c:spPr>
            <a:ln>
              <a:solidFill>
                <a:srgbClr val="0070C0"/>
              </a:solidFill>
            </a:ln>
          </c:spPr>
          <c:marker>
            <c:symbol val="none"/>
          </c:marker>
          <c:xVal>
            <c:numRef>
              <c:f>'BC110'!$B$42:$B$61</c:f>
              <c:numCache>
                <c:formatCode>0.0%</c:formatCode>
                <c:ptCount val="20"/>
                <c:pt idx="0">
                  <c:v>5.0000000000000001E-3</c:v>
                </c:pt>
                <c:pt idx="1">
                  <c:v>0.01</c:v>
                </c:pt>
                <c:pt idx="2">
                  <c:v>0.02</c:v>
                </c:pt>
                <c:pt idx="3">
                  <c:v>0.04</c:v>
                </c:pt>
                <c:pt idx="4">
                  <c:v>0.08</c:v>
                </c:pt>
                <c:pt idx="5">
                  <c:v>0.16</c:v>
                </c:pt>
                <c:pt idx="6">
                  <c:v>0.35</c:v>
                </c:pt>
                <c:pt idx="7">
                  <c:v>0.4</c:v>
                </c:pt>
                <c:pt idx="8">
                  <c:v>0.45</c:v>
                </c:pt>
                <c:pt idx="9">
                  <c:v>0.5</c:v>
                </c:pt>
                <c:pt idx="10">
                  <c:v>0.55000000000000004</c:v>
                </c:pt>
                <c:pt idx="11">
                  <c:v>0.6</c:v>
                </c:pt>
                <c:pt idx="12">
                  <c:v>0.65</c:v>
                </c:pt>
                <c:pt idx="13">
                  <c:v>0.7</c:v>
                </c:pt>
                <c:pt idx="14">
                  <c:v>0.75</c:v>
                </c:pt>
                <c:pt idx="15">
                  <c:v>0.8</c:v>
                </c:pt>
                <c:pt idx="16">
                  <c:v>0.85</c:v>
                </c:pt>
                <c:pt idx="17">
                  <c:v>0.9</c:v>
                </c:pt>
                <c:pt idx="18">
                  <c:v>0.95</c:v>
                </c:pt>
                <c:pt idx="19">
                  <c:v>1</c:v>
                </c:pt>
              </c:numCache>
            </c:numRef>
          </c:xVal>
          <c:yVal>
            <c:numRef>
              <c:f>'BC110'!$F$42:$F$61</c:f>
              <c:numCache>
                <c:formatCode>0.0000</c:formatCode>
                <c:ptCount val="20"/>
                <c:pt idx="0">
                  <c:v>0.65500000000000003</c:v>
                </c:pt>
                <c:pt idx="1">
                  <c:v>0.65500000000000003</c:v>
                </c:pt>
                <c:pt idx="2">
                  <c:v>0.65500000000000003</c:v>
                </c:pt>
                <c:pt idx="3">
                  <c:v>0.65500000000000003</c:v>
                </c:pt>
                <c:pt idx="4">
                  <c:v>0.65500000000000003</c:v>
                </c:pt>
                <c:pt idx="5">
                  <c:v>0.60303008000000002</c:v>
                </c:pt>
                <c:pt idx="6">
                  <c:v>0.49034925000000007</c:v>
                </c:pt>
                <c:pt idx="7">
                  <c:v>0.46512800000000004</c:v>
                </c:pt>
                <c:pt idx="8">
                  <c:v>0.44175325000000004</c:v>
                </c:pt>
                <c:pt idx="9">
                  <c:v>0.42022500000000002</c:v>
                </c:pt>
                <c:pt idx="10">
                  <c:v>0.40054325000000002</c:v>
                </c:pt>
                <c:pt idx="11">
                  <c:v>0.38270800000000005</c:v>
                </c:pt>
                <c:pt idx="12">
                  <c:v>0.36671925000000005</c:v>
                </c:pt>
                <c:pt idx="13">
                  <c:v>0.35257700000000008</c:v>
                </c:pt>
                <c:pt idx="14">
                  <c:v>0.34028125000000009</c:v>
                </c:pt>
                <c:pt idx="15">
                  <c:v>0.32983200000000007</c:v>
                </c:pt>
                <c:pt idx="16">
                  <c:v>0.32122925000000008</c:v>
                </c:pt>
                <c:pt idx="17">
                  <c:v>0.31447300000000006</c:v>
                </c:pt>
                <c:pt idx="18">
                  <c:v>0.30956325000000007</c:v>
                </c:pt>
                <c:pt idx="19">
                  <c:v>0.30650000000000005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6BB-4903-B78C-F730FFDAAB58}"/>
            </c:ext>
          </c:extLst>
        </c:ser>
        <c:ser>
          <c:idx val="3"/>
          <c:order val="3"/>
          <c:tx>
            <c:strRef>
              <c:f>'BC110'!$G$41</c:f>
              <c:strCache>
                <c:ptCount val="1"/>
                <c:pt idx="0">
                  <c:v>Fd</c:v>
                </c:pt>
              </c:strCache>
            </c:strRef>
          </c:tx>
          <c:spPr>
            <a:ln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'BC110'!$B$42:$B$61</c:f>
              <c:numCache>
                <c:formatCode>0.0%</c:formatCode>
                <c:ptCount val="20"/>
                <c:pt idx="0">
                  <c:v>5.0000000000000001E-3</c:v>
                </c:pt>
                <c:pt idx="1">
                  <c:v>0.01</c:v>
                </c:pt>
                <c:pt idx="2">
                  <c:v>0.02</c:v>
                </c:pt>
                <c:pt idx="3">
                  <c:v>0.04</c:v>
                </c:pt>
                <c:pt idx="4">
                  <c:v>0.08</c:v>
                </c:pt>
                <c:pt idx="5">
                  <c:v>0.16</c:v>
                </c:pt>
                <c:pt idx="6">
                  <c:v>0.35</c:v>
                </c:pt>
                <c:pt idx="7">
                  <c:v>0.4</c:v>
                </c:pt>
                <c:pt idx="8">
                  <c:v>0.45</c:v>
                </c:pt>
                <c:pt idx="9">
                  <c:v>0.5</c:v>
                </c:pt>
                <c:pt idx="10">
                  <c:v>0.55000000000000004</c:v>
                </c:pt>
                <c:pt idx="11">
                  <c:v>0.6</c:v>
                </c:pt>
                <c:pt idx="12">
                  <c:v>0.65</c:v>
                </c:pt>
                <c:pt idx="13">
                  <c:v>0.7</c:v>
                </c:pt>
                <c:pt idx="14">
                  <c:v>0.75</c:v>
                </c:pt>
                <c:pt idx="15">
                  <c:v>0.8</c:v>
                </c:pt>
                <c:pt idx="16">
                  <c:v>0.85</c:v>
                </c:pt>
                <c:pt idx="17">
                  <c:v>0.9</c:v>
                </c:pt>
                <c:pt idx="18">
                  <c:v>0.95</c:v>
                </c:pt>
                <c:pt idx="19">
                  <c:v>1</c:v>
                </c:pt>
              </c:numCache>
            </c:numRef>
          </c:xVal>
          <c:yVal>
            <c:numRef>
              <c:f>'BC110'!$G$42:$G$61</c:f>
              <c:numCache>
                <c:formatCode>0.0000</c:formatCode>
                <c:ptCount val="20"/>
                <c:pt idx="0">
                  <c:v>0.54069910543293753</c:v>
                </c:pt>
                <c:pt idx="1">
                  <c:v>0.54443116032700001</c:v>
                </c:pt>
                <c:pt idx="2">
                  <c:v>0.55169851243200008</c:v>
                </c:pt>
                <c:pt idx="3">
                  <c:v>0.56547641651200009</c:v>
                </c:pt>
                <c:pt idx="4">
                  <c:v>0.59023896499200001</c:v>
                </c:pt>
                <c:pt idx="5">
                  <c:v>0.630336086272</c:v>
                </c:pt>
                <c:pt idx="6">
                  <c:v>0.69254255437500001</c:v>
                </c:pt>
                <c:pt idx="7">
                  <c:v>0.70451152000000006</c:v>
                </c:pt>
                <c:pt idx="8">
                  <c:v>0.71556520437500004</c:v>
                </c:pt>
                <c:pt idx="9">
                  <c:v>0.72601875000000005</c:v>
                </c:pt>
                <c:pt idx="10">
                  <c:v>0.73609320437500003</c:v>
                </c:pt>
                <c:pt idx="11">
                  <c:v>0.74591552000000005</c:v>
                </c:pt>
                <c:pt idx="12">
                  <c:v>0.75551855437500004</c:v>
                </c:pt>
                <c:pt idx="13">
                  <c:v>0.7648410699999999</c:v>
                </c:pt>
                <c:pt idx="14">
                  <c:v>0.77372773437500009</c:v>
                </c:pt>
                <c:pt idx="15">
                  <c:v>0.78192911999999992</c:v>
                </c:pt>
                <c:pt idx="16">
                  <c:v>0.78910170437499993</c:v>
                </c:pt>
                <c:pt idx="17">
                  <c:v>0.79480786999999997</c:v>
                </c:pt>
                <c:pt idx="18">
                  <c:v>0.79851590437499997</c:v>
                </c:pt>
                <c:pt idx="19">
                  <c:v>0.79959999999999998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56BB-4903-B78C-F730FFDAAB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4937984"/>
        <c:axId val="174940160"/>
      </c:scatterChart>
      <c:valAx>
        <c:axId val="174937984"/>
        <c:scaling>
          <c:orientation val="minMax"/>
          <c:max val="1"/>
          <c:min val="0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Percentage of Rated Cv</a:t>
                </a:r>
              </a:p>
            </c:rich>
          </c:tx>
          <c:overlay val="0"/>
        </c:title>
        <c:numFmt formatCode="0%" sourceLinked="0"/>
        <c:majorTickMark val="out"/>
        <c:minorTickMark val="none"/>
        <c:tickLblPos val="nextTo"/>
        <c:crossAx val="174940160"/>
        <c:crosses val="autoZero"/>
        <c:crossBetween val="midCat"/>
        <c:majorUnit val="0.1"/>
      </c:valAx>
      <c:valAx>
        <c:axId val="17494016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Sizing Indices</a:t>
                </a:r>
              </a:p>
            </c:rich>
          </c:tx>
          <c:overlay val="0"/>
        </c:title>
        <c:numFmt formatCode="0.0" sourceLinked="0"/>
        <c:majorTickMark val="out"/>
        <c:minorTickMark val="none"/>
        <c:tickLblPos val="nextTo"/>
        <c:crossAx val="174937984"/>
        <c:crosses val="autoZero"/>
        <c:crossBetween val="midCat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0000000000003" l="0.70000000000000062" r="0.70000000000000062" t="0.750000000000003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Cv versus Travel</a:t>
            </a:r>
          </a:p>
        </c:rich>
      </c:tx>
      <c:overlay val="1"/>
    </c:title>
    <c:autoTitleDeleted val="0"/>
    <c:plotArea>
      <c:layout>
        <c:manualLayout>
          <c:layoutTarget val="inner"/>
          <c:xMode val="edge"/>
          <c:yMode val="edge"/>
          <c:x val="0.16134132814988084"/>
          <c:y val="7.8901076230100078E-2"/>
          <c:w val="0.7767968020733852"/>
          <c:h val="0.78227532693784452"/>
        </c:manualLayout>
      </c:layout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'BE120'!$C$45:$C$64</c:f>
              <c:numCache>
                <c:formatCode>0.0%</c:formatCode>
                <c:ptCount val="20"/>
                <c:pt idx="0">
                  <c:v>1.2702957000000001E-2</c:v>
                </c:pt>
                <c:pt idx="1">
                  <c:v>2.2283456E-2</c:v>
                </c:pt>
                <c:pt idx="2">
                  <c:v>4.1119848000000001E-2</c:v>
                </c:pt>
                <c:pt idx="3">
                  <c:v>7.7520584000000003E-2</c:v>
                </c:pt>
                <c:pt idx="4">
                  <c:v>0.145444872</c:v>
                </c:pt>
                <c:pt idx="5">
                  <c:v>0.26347277600000002</c:v>
                </c:pt>
                <c:pt idx="6">
                  <c:v>0.46853400000000001</c:v>
                </c:pt>
                <c:pt idx="7">
                  <c:v>0.50971700000000009</c:v>
                </c:pt>
                <c:pt idx="8">
                  <c:v>0.54739599999999999</c:v>
                </c:pt>
                <c:pt idx="9">
                  <c:v>0.58251300000000006</c:v>
                </c:pt>
                <c:pt idx="10">
                  <c:v>0.61601000000000017</c:v>
                </c:pt>
                <c:pt idx="11">
                  <c:v>0.64882899999999988</c:v>
                </c:pt>
                <c:pt idx="12">
                  <c:v>0.68191200000000007</c:v>
                </c:pt>
                <c:pt idx="13">
                  <c:v>0.71620100000000009</c:v>
                </c:pt>
                <c:pt idx="14">
                  <c:v>0.75263800000000014</c:v>
                </c:pt>
                <c:pt idx="15">
                  <c:v>0.79216500000000023</c:v>
                </c:pt>
                <c:pt idx="16">
                  <c:v>0.83572399999999991</c:v>
                </c:pt>
                <c:pt idx="17">
                  <c:v>0.88425700000000007</c:v>
                </c:pt>
                <c:pt idx="18">
                  <c:v>0.93870599999999993</c:v>
                </c:pt>
                <c:pt idx="19">
                  <c:v>1</c:v>
                </c:pt>
              </c:numCache>
            </c:numRef>
          </c:xVal>
          <c:yVal>
            <c:numRef>
              <c:f>'BE120'!$B$45:$B$64</c:f>
              <c:numCache>
                <c:formatCode>0.0%</c:formatCode>
                <c:ptCount val="20"/>
                <c:pt idx="0">
                  <c:v>5.0000000000000001E-3</c:v>
                </c:pt>
                <c:pt idx="1">
                  <c:v>0.01</c:v>
                </c:pt>
                <c:pt idx="2">
                  <c:v>0.02</c:v>
                </c:pt>
                <c:pt idx="3">
                  <c:v>0.04</c:v>
                </c:pt>
                <c:pt idx="4">
                  <c:v>0.08</c:v>
                </c:pt>
                <c:pt idx="5">
                  <c:v>0.16</c:v>
                </c:pt>
                <c:pt idx="6">
                  <c:v>0.35</c:v>
                </c:pt>
                <c:pt idx="7">
                  <c:v>0.4</c:v>
                </c:pt>
                <c:pt idx="8">
                  <c:v>0.45</c:v>
                </c:pt>
                <c:pt idx="9">
                  <c:v>0.5</c:v>
                </c:pt>
                <c:pt idx="10">
                  <c:v>0.55000000000000004</c:v>
                </c:pt>
                <c:pt idx="11">
                  <c:v>0.6</c:v>
                </c:pt>
                <c:pt idx="12">
                  <c:v>0.65</c:v>
                </c:pt>
                <c:pt idx="13">
                  <c:v>0.7</c:v>
                </c:pt>
                <c:pt idx="14">
                  <c:v>0.75</c:v>
                </c:pt>
                <c:pt idx="15">
                  <c:v>0.8</c:v>
                </c:pt>
                <c:pt idx="16">
                  <c:v>0.85</c:v>
                </c:pt>
                <c:pt idx="17">
                  <c:v>0.9</c:v>
                </c:pt>
                <c:pt idx="18">
                  <c:v>0.95</c:v>
                </c:pt>
                <c:pt idx="19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464-44F8-8AE5-D11F288731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4969600"/>
        <c:axId val="174971520"/>
      </c:scatterChart>
      <c:valAx>
        <c:axId val="174969600"/>
        <c:scaling>
          <c:orientation val="minMax"/>
          <c:max val="1"/>
          <c:min val="0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Valve Travel, % of Full</a:t>
                </a:r>
                <a:r>
                  <a:rPr lang="en-US" baseline="0"/>
                  <a:t> Open</a:t>
                </a:r>
                <a:endParaRPr lang="en-US"/>
              </a:p>
            </c:rich>
          </c:tx>
          <c:overlay val="0"/>
        </c:title>
        <c:numFmt formatCode="0%" sourceLinked="0"/>
        <c:majorTickMark val="out"/>
        <c:minorTickMark val="none"/>
        <c:tickLblPos val="nextTo"/>
        <c:crossAx val="174971520"/>
        <c:crosses val="autoZero"/>
        <c:crossBetween val="midCat"/>
        <c:majorUnit val="0.1"/>
      </c:valAx>
      <c:valAx>
        <c:axId val="174971520"/>
        <c:scaling>
          <c:orientation val="minMax"/>
          <c:max val="1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Percentage of Rated Cv</a:t>
                </a:r>
              </a:p>
            </c:rich>
          </c:tx>
          <c:overlay val="0"/>
        </c:title>
        <c:numFmt formatCode="0%" sourceLinked="0"/>
        <c:majorTickMark val="out"/>
        <c:minorTickMark val="none"/>
        <c:tickLblPos val="nextTo"/>
        <c:crossAx val="17496960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3" l="0.70000000000000062" r="0.70000000000000062" t="0.750000000000003" header="0.30000000000000032" footer="0.30000000000000032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Sizing Indices versus % of Rated Cv</a:t>
            </a:r>
          </a:p>
        </c:rich>
      </c:tx>
      <c:overlay val="1"/>
    </c:title>
    <c:autoTitleDeleted val="0"/>
    <c:plotArea>
      <c:layout>
        <c:manualLayout>
          <c:layoutTarget val="inner"/>
          <c:xMode val="edge"/>
          <c:yMode val="edge"/>
          <c:x val="0.14069300125848988"/>
          <c:y val="8.7970838843466806E-2"/>
          <c:w val="0.79581806243039044"/>
          <c:h val="0.74028465769444174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'BE120'!$D$44</c:f>
              <c:strCache>
                <c:ptCount val="1"/>
                <c:pt idx="0">
                  <c:v>FL</c:v>
                </c:pt>
              </c:strCache>
            </c:strRef>
          </c:tx>
          <c:spPr>
            <a:ln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'BE120'!$B$45:$B$64</c:f>
              <c:numCache>
                <c:formatCode>0.0%</c:formatCode>
                <c:ptCount val="20"/>
                <c:pt idx="0">
                  <c:v>5.0000000000000001E-3</c:v>
                </c:pt>
                <c:pt idx="1">
                  <c:v>0.01</c:v>
                </c:pt>
                <c:pt idx="2">
                  <c:v>0.02</c:v>
                </c:pt>
                <c:pt idx="3">
                  <c:v>0.04</c:v>
                </c:pt>
                <c:pt idx="4">
                  <c:v>0.08</c:v>
                </c:pt>
                <c:pt idx="5">
                  <c:v>0.16</c:v>
                </c:pt>
                <c:pt idx="6">
                  <c:v>0.35</c:v>
                </c:pt>
                <c:pt idx="7">
                  <c:v>0.4</c:v>
                </c:pt>
                <c:pt idx="8">
                  <c:v>0.45</c:v>
                </c:pt>
                <c:pt idx="9">
                  <c:v>0.5</c:v>
                </c:pt>
                <c:pt idx="10">
                  <c:v>0.55000000000000004</c:v>
                </c:pt>
                <c:pt idx="11">
                  <c:v>0.6</c:v>
                </c:pt>
                <c:pt idx="12">
                  <c:v>0.65</c:v>
                </c:pt>
                <c:pt idx="13">
                  <c:v>0.7</c:v>
                </c:pt>
                <c:pt idx="14">
                  <c:v>0.75</c:v>
                </c:pt>
                <c:pt idx="15">
                  <c:v>0.8</c:v>
                </c:pt>
                <c:pt idx="16">
                  <c:v>0.85</c:v>
                </c:pt>
                <c:pt idx="17">
                  <c:v>0.9</c:v>
                </c:pt>
                <c:pt idx="18">
                  <c:v>0.95</c:v>
                </c:pt>
                <c:pt idx="19">
                  <c:v>1</c:v>
                </c:pt>
              </c:numCache>
            </c:numRef>
          </c:xVal>
          <c:yVal>
            <c:numRef>
              <c:f>'BE120'!$D$45:$D$64</c:f>
              <c:numCache>
                <c:formatCode>0.0000</c:formatCode>
                <c:ptCount val="20"/>
                <c:pt idx="0">
                  <c:v>0.95299999999999996</c:v>
                </c:pt>
                <c:pt idx="1">
                  <c:v>0.95299999999999996</c:v>
                </c:pt>
                <c:pt idx="2">
                  <c:v>0.95299999999999996</c:v>
                </c:pt>
                <c:pt idx="3">
                  <c:v>0.95299999999999996</c:v>
                </c:pt>
                <c:pt idx="4">
                  <c:v>0.95299999999999996</c:v>
                </c:pt>
                <c:pt idx="5">
                  <c:v>0.93623737600000001</c:v>
                </c:pt>
                <c:pt idx="6">
                  <c:v>0.89646412500000006</c:v>
                </c:pt>
                <c:pt idx="7">
                  <c:v>0.88842399999999999</c:v>
                </c:pt>
                <c:pt idx="8">
                  <c:v>0.88129487500000003</c:v>
                </c:pt>
                <c:pt idx="9">
                  <c:v>0.87502500000000005</c:v>
                </c:pt>
                <c:pt idx="10">
                  <c:v>0.86956262500000003</c:v>
                </c:pt>
                <c:pt idx="11">
                  <c:v>0.86485600000000007</c:v>
                </c:pt>
                <c:pt idx="12">
                  <c:v>0.86085337500000003</c:v>
                </c:pt>
                <c:pt idx="13">
                  <c:v>0.85750300000000002</c:v>
                </c:pt>
                <c:pt idx="14">
                  <c:v>0.854753125</c:v>
                </c:pt>
                <c:pt idx="15">
                  <c:v>0.85255199999999998</c:v>
                </c:pt>
                <c:pt idx="16">
                  <c:v>0.85084787499999992</c:v>
                </c:pt>
                <c:pt idx="17">
                  <c:v>0.85</c:v>
                </c:pt>
                <c:pt idx="18">
                  <c:v>0.85</c:v>
                </c:pt>
                <c:pt idx="19">
                  <c:v>0.85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B04-41A8-8210-F354FC1033D9}"/>
            </c:ext>
          </c:extLst>
        </c:ser>
        <c:ser>
          <c:idx val="1"/>
          <c:order val="1"/>
          <c:tx>
            <c:strRef>
              <c:f>'BE120'!$E$44</c:f>
              <c:strCache>
                <c:ptCount val="1"/>
                <c:pt idx="0">
                  <c:v>xT</c:v>
                </c:pt>
              </c:strCache>
            </c:strRef>
          </c:tx>
          <c:marker>
            <c:symbol val="none"/>
          </c:marker>
          <c:xVal>
            <c:numRef>
              <c:f>'BE120'!$B$45:$B$64</c:f>
              <c:numCache>
                <c:formatCode>0.0%</c:formatCode>
                <c:ptCount val="20"/>
                <c:pt idx="0">
                  <c:v>5.0000000000000001E-3</c:v>
                </c:pt>
                <c:pt idx="1">
                  <c:v>0.01</c:v>
                </c:pt>
                <c:pt idx="2">
                  <c:v>0.02</c:v>
                </c:pt>
                <c:pt idx="3">
                  <c:v>0.04</c:v>
                </c:pt>
                <c:pt idx="4">
                  <c:v>0.08</c:v>
                </c:pt>
                <c:pt idx="5">
                  <c:v>0.16</c:v>
                </c:pt>
                <c:pt idx="6">
                  <c:v>0.35</c:v>
                </c:pt>
                <c:pt idx="7">
                  <c:v>0.4</c:v>
                </c:pt>
                <c:pt idx="8">
                  <c:v>0.45</c:v>
                </c:pt>
                <c:pt idx="9">
                  <c:v>0.5</c:v>
                </c:pt>
                <c:pt idx="10">
                  <c:v>0.55000000000000004</c:v>
                </c:pt>
                <c:pt idx="11">
                  <c:v>0.6</c:v>
                </c:pt>
                <c:pt idx="12">
                  <c:v>0.65</c:v>
                </c:pt>
                <c:pt idx="13">
                  <c:v>0.7</c:v>
                </c:pt>
                <c:pt idx="14">
                  <c:v>0.75</c:v>
                </c:pt>
                <c:pt idx="15">
                  <c:v>0.8</c:v>
                </c:pt>
                <c:pt idx="16">
                  <c:v>0.85</c:v>
                </c:pt>
                <c:pt idx="17">
                  <c:v>0.9</c:v>
                </c:pt>
                <c:pt idx="18">
                  <c:v>0.95</c:v>
                </c:pt>
                <c:pt idx="19">
                  <c:v>1</c:v>
                </c:pt>
              </c:numCache>
            </c:numRef>
          </c:xVal>
          <c:yVal>
            <c:numRef>
              <c:f>'BE120'!$E$45:$E$64</c:f>
              <c:numCache>
                <c:formatCode>0.0000</c:formatCode>
                <c:ptCount val="20"/>
                <c:pt idx="0">
                  <c:v>0.76289555999999992</c:v>
                </c:pt>
                <c:pt idx="1">
                  <c:v>0.76289555999999992</c:v>
                </c:pt>
                <c:pt idx="2">
                  <c:v>0.76289555999999992</c:v>
                </c:pt>
                <c:pt idx="3">
                  <c:v>0.76289555999999992</c:v>
                </c:pt>
                <c:pt idx="4">
                  <c:v>0.76289555999999992</c:v>
                </c:pt>
                <c:pt idx="5">
                  <c:v>0.73629395634426686</c:v>
                </c:pt>
                <c:pt idx="6">
                  <c:v>0.67506425902609324</c:v>
                </c:pt>
                <c:pt idx="7">
                  <c:v>0.66300965117183996</c:v>
                </c:pt>
                <c:pt idx="8">
                  <c:v>0.65241175162906317</c:v>
                </c:pt>
                <c:pt idx="9">
                  <c:v>0.64316175052500002</c:v>
                </c:pt>
                <c:pt idx="10">
                  <c:v>0.63515689338938808</c:v>
                </c:pt>
                <c:pt idx="11">
                  <c:v>0.62829975661824</c:v>
                </c:pt>
                <c:pt idx="12">
                  <c:v>0.62249756792906819</c:v>
                </c:pt>
                <c:pt idx="13">
                  <c:v>0.61766157180755998</c:v>
                </c:pt>
                <c:pt idx="14">
                  <c:v>0.61370643994570306</c:v>
                </c:pt>
                <c:pt idx="15">
                  <c:v>0.61054972667135998</c:v>
                </c:pt>
                <c:pt idx="16">
                  <c:v>0.608111369369293</c:v>
                </c:pt>
                <c:pt idx="17">
                  <c:v>0.60689999999999988</c:v>
                </c:pt>
                <c:pt idx="18">
                  <c:v>0.60689999999999988</c:v>
                </c:pt>
                <c:pt idx="19">
                  <c:v>0.60689999999999988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B04-41A8-8210-F354FC1033D9}"/>
            </c:ext>
          </c:extLst>
        </c:ser>
        <c:ser>
          <c:idx val="2"/>
          <c:order val="2"/>
          <c:tx>
            <c:strRef>
              <c:f>'BE120'!$F$44</c:f>
              <c:strCache>
                <c:ptCount val="1"/>
                <c:pt idx="0">
                  <c:v>Kc</c:v>
                </c:pt>
              </c:strCache>
            </c:strRef>
          </c:tx>
          <c:spPr>
            <a:ln>
              <a:solidFill>
                <a:srgbClr val="0070C0"/>
              </a:solidFill>
            </a:ln>
          </c:spPr>
          <c:marker>
            <c:symbol val="none"/>
          </c:marker>
          <c:xVal>
            <c:numRef>
              <c:f>'BE120'!$B$45:$B$64</c:f>
              <c:numCache>
                <c:formatCode>0.0%</c:formatCode>
                <c:ptCount val="20"/>
                <c:pt idx="0">
                  <c:v>5.0000000000000001E-3</c:v>
                </c:pt>
                <c:pt idx="1">
                  <c:v>0.01</c:v>
                </c:pt>
                <c:pt idx="2">
                  <c:v>0.02</c:v>
                </c:pt>
                <c:pt idx="3">
                  <c:v>0.04</c:v>
                </c:pt>
                <c:pt idx="4">
                  <c:v>0.08</c:v>
                </c:pt>
                <c:pt idx="5">
                  <c:v>0.16</c:v>
                </c:pt>
                <c:pt idx="6">
                  <c:v>0.35</c:v>
                </c:pt>
                <c:pt idx="7">
                  <c:v>0.4</c:v>
                </c:pt>
                <c:pt idx="8">
                  <c:v>0.45</c:v>
                </c:pt>
                <c:pt idx="9">
                  <c:v>0.5</c:v>
                </c:pt>
                <c:pt idx="10">
                  <c:v>0.55000000000000004</c:v>
                </c:pt>
                <c:pt idx="11">
                  <c:v>0.6</c:v>
                </c:pt>
                <c:pt idx="12">
                  <c:v>0.65</c:v>
                </c:pt>
                <c:pt idx="13">
                  <c:v>0.7</c:v>
                </c:pt>
                <c:pt idx="14">
                  <c:v>0.75</c:v>
                </c:pt>
                <c:pt idx="15">
                  <c:v>0.8</c:v>
                </c:pt>
                <c:pt idx="16">
                  <c:v>0.85</c:v>
                </c:pt>
                <c:pt idx="17">
                  <c:v>0.9</c:v>
                </c:pt>
                <c:pt idx="18">
                  <c:v>0.95</c:v>
                </c:pt>
                <c:pt idx="19">
                  <c:v>1</c:v>
                </c:pt>
              </c:numCache>
            </c:numRef>
          </c:xVal>
          <c:yVal>
            <c:numRef>
              <c:f>'BE120'!$F$45:$F$64</c:f>
              <c:numCache>
                <c:formatCode>0.0000</c:formatCode>
                <c:ptCount val="20"/>
                <c:pt idx="0">
                  <c:v>0.76</c:v>
                </c:pt>
                <c:pt idx="1">
                  <c:v>0.76</c:v>
                </c:pt>
                <c:pt idx="2">
                  <c:v>0.76</c:v>
                </c:pt>
                <c:pt idx="3">
                  <c:v>0.76</c:v>
                </c:pt>
                <c:pt idx="4">
                  <c:v>0.76</c:v>
                </c:pt>
                <c:pt idx="5">
                  <c:v>0.72926928000000002</c:v>
                </c:pt>
                <c:pt idx="6">
                  <c:v>0.66659550000000001</c:v>
                </c:pt>
                <c:pt idx="7">
                  <c:v>0.65362799999999999</c:v>
                </c:pt>
                <c:pt idx="8">
                  <c:v>0.64212950000000002</c:v>
                </c:pt>
                <c:pt idx="9">
                  <c:v>0.6321</c:v>
                </c:pt>
                <c:pt idx="10">
                  <c:v>0.62353949999999991</c:v>
                </c:pt>
                <c:pt idx="11">
                  <c:v>0.616448</c:v>
                </c:pt>
                <c:pt idx="12">
                  <c:v>0.61082550000000002</c:v>
                </c:pt>
                <c:pt idx="13">
                  <c:v>0.60667199999999999</c:v>
                </c:pt>
                <c:pt idx="14">
                  <c:v>0.60398750000000001</c:v>
                </c:pt>
                <c:pt idx="15">
                  <c:v>0.60277199999999997</c:v>
                </c:pt>
                <c:pt idx="16">
                  <c:v>0.60302549999999999</c:v>
                </c:pt>
                <c:pt idx="17">
                  <c:v>0.60474800000000006</c:v>
                </c:pt>
                <c:pt idx="18">
                  <c:v>0.60793950000000008</c:v>
                </c:pt>
                <c:pt idx="19">
                  <c:v>0.61260000000000003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2B04-41A8-8210-F354FC1033D9}"/>
            </c:ext>
          </c:extLst>
        </c:ser>
        <c:ser>
          <c:idx val="3"/>
          <c:order val="3"/>
          <c:tx>
            <c:strRef>
              <c:f>'BE120'!$G$44</c:f>
              <c:strCache>
                <c:ptCount val="1"/>
                <c:pt idx="0">
                  <c:v>Fd</c:v>
                </c:pt>
              </c:strCache>
            </c:strRef>
          </c:tx>
          <c:spPr>
            <a:ln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'BE120'!$B$45:$B$64</c:f>
              <c:numCache>
                <c:formatCode>0.0%</c:formatCode>
                <c:ptCount val="20"/>
                <c:pt idx="0">
                  <c:v>5.0000000000000001E-3</c:v>
                </c:pt>
                <c:pt idx="1">
                  <c:v>0.01</c:v>
                </c:pt>
                <c:pt idx="2">
                  <c:v>0.02</c:v>
                </c:pt>
                <c:pt idx="3">
                  <c:v>0.04</c:v>
                </c:pt>
                <c:pt idx="4">
                  <c:v>0.08</c:v>
                </c:pt>
                <c:pt idx="5">
                  <c:v>0.16</c:v>
                </c:pt>
                <c:pt idx="6">
                  <c:v>0.35</c:v>
                </c:pt>
                <c:pt idx="7">
                  <c:v>0.4</c:v>
                </c:pt>
                <c:pt idx="8">
                  <c:v>0.45</c:v>
                </c:pt>
                <c:pt idx="9">
                  <c:v>0.5</c:v>
                </c:pt>
                <c:pt idx="10">
                  <c:v>0.55000000000000004</c:v>
                </c:pt>
                <c:pt idx="11">
                  <c:v>0.6</c:v>
                </c:pt>
                <c:pt idx="12">
                  <c:v>0.65</c:v>
                </c:pt>
                <c:pt idx="13">
                  <c:v>0.7</c:v>
                </c:pt>
                <c:pt idx="14">
                  <c:v>0.75</c:v>
                </c:pt>
                <c:pt idx="15">
                  <c:v>0.8</c:v>
                </c:pt>
                <c:pt idx="16">
                  <c:v>0.85</c:v>
                </c:pt>
                <c:pt idx="17">
                  <c:v>0.9</c:v>
                </c:pt>
                <c:pt idx="18">
                  <c:v>0.95</c:v>
                </c:pt>
                <c:pt idx="19">
                  <c:v>1</c:v>
                </c:pt>
              </c:numCache>
            </c:numRef>
          </c:xVal>
          <c:yVal>
            <c:numRef>
              <c:f>'BE120'!$G$45:$G$64</c:f>
              <c:numCache>
                <c:formatCode>0.0000</c:formatCode>
                <c:ptCount val="20"/>
                <c:pt idx="0">
                  <c:v>5.9675340418125E-2</c:v>
                </c:pt>
                <c:pt idx="1">
                  <c:v>6.3672319389999996E-2</c:v>
                </c:pt>
                <c:pt idx="2">
                  <c:v>7.1436891839999989E-2</c:v>
                </c:pt>
                <c:pt idx="3">
                  <c:v>8.6087722239999998E-2</c:v>
                </c:pt>
                <c:pt idx="4">
                  <c:v>0.11217997823999999</c:v>
                </c:pt>
                <c:pt idx="5">
                  <c:v>0.15379823104000001</c:v>
                </c:pt>
                <c:pt idx="6">
                  <c:v>0.21890304374999997</c:v>
                </c:pt>
                <c:pt idx="7">
                  <c:v>0.2325375999999999</c:v>
                </c:pt>
                <c:pt idx="8">
                  <c:v>0.24594926875000001</c:v>
                </c:pt>
                <c:pt idx="9">
                  <c:v>0.25957499999999994</c:v>
                </c:pt>
                <c:pt idx="10">
                  <c:v>0.27373309374999999</c:v>
                </c:pt>
                <c:pt idx="11">
                  <c:v>0.28862320000000002</c:v>
                </c:pt>
                <c:pt idx="12">
                  <c:v>0.30432631875000005</c:v>
                </c:pt>
                <c:pt idx="13">
                  <c:v>0.32080479999999983</c:v>
                </c:pt>
                <c:pt idx="14">
                  <c:v>0.33790234374999994</c:v>
                </c:pt>
                <c:pt idx="15">
                  <c:v>0.35534399999999966</c:v>
                </c:pt>
                <c:pt idx="16">
                  <c:v>0.37273616875000004</c:v>
                </c:pt>
                <c:pt idx="17">
                  <c:v>0.38956659999999987</c:v>
                </c:pt>
                <c:pt idx="18">
                  <c:v>0.40520439374999973</c:v>
                </c:pt>
                <c:pt idx="19">
                  <c:v>0.41889999999999972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2B04-41A8-8210-F354FC1033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5039232"/>
        <c:axId val="175041152"/>
      </c:scatterChart>
      <c:valAx>
        <c:axId val="175039232"/>
        <c:scaling>
          <c:orientation val="minMax"/>
          <c:max val="1"/>
          <c:min val="0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Percentage of Rated Cv</a:t>
                </a:r>
              </a:p>
            </c:rich>
          </c:tx>
          <c:overlay val="0"/>
        </c:title>
        <c:numFmt formatCode="0%" sourceLinked="0"/>
        <c:majorTickMark val="out"/>
        <c:minorTickMark val="none"/>
        <c:tickLblPos val="nextTo"/>
        <c:crossAx val="175041152"/>
        <c:crosses val="autoZero"/>
        <c:crossBetween val="midCat"/>
        <c:majorUnit val="0.1"/>
      </c:valAx>
      <c:valAx>
        <c:axId val="175041152"/>
        <c:scaling>
          <c:orientation val="minMax"/>
          <c:max val="1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Sizing Indices</a:t>
                </a:r>
              </a:p>
            </c:rich>
          </c:tx>
          <c:overlay val="0"/>
        </c:title>
        <c:numFmt formatCode="0.0" sourceLinked="0"/>
        <c:majorTickMark val="out"/>
        <c:minorTickMark val="none"/>
        <c:tickLblPos val="nextTo"/>
        <c:crossAx val="175039232"/>
        <c:crosses val="autoZero"/>
        <c:crossBetween val="midCat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0000000000003" l="0.70000000000000062" r="0.70000000000000062" t="0.750000000000003" header="0.30000000000000032" footer="0.30000000000000032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Cv versus Travel</a:t>
            </a:r>
          </a:p>
        </c:rich>
      </c:tx>
      <c:overlay val="1"/>
    </c:title>
    <c:autoTitleDeleted val="0"/>
    <c:plotArea>
      <c:layout>
        <c:manualLayout>
          <c:layoutTarget val="inner"/>
          <c:xMode val="edge"/>
          <c:yMode val="edge"/>
          <c:x val="0.16579056782757726"/>
          <c:y val="8.4723492532866013E-2"/>
          <c:w val="0.76397934613368446"/>
          <c:h val="0.77354170248369902"/>
        </c:manualLayout>
      </c:layout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'BT120'!$C$59:$C$78</c:f>
              <c:numCache>
                <c:formatCode>0.0%</c:formatCode>
                <c:ptCount val="20"/>
                <c:pt idx="0">
                  <c:v>0.22322650835662303</c:v>
                </c:pt>
                <c:pt idx="1">
                  <c:v>0.35352341403623078</c:v>
                </c:pt>
                <c:pt idx="2">
                  <c:v>1.1722012786458671</c:v>
                </c:pt>
                <c:pt idx="3">
                  <c:v>4.6227218833737746E-2</c:v>
                </c:pt>
                <c:pt idx="4">
                  <c:v>0.23775533971204413</c:v>
                </c:pt>
                <c:pt idx="5">
                  <c:v>0.39231138923277603</c:v>
                </c:pt>
                <c:pt idx="6">
                  <c:v>0.59297559890263352</c:v>
                </c:pt>
                <c:pt idx="7">
                  <c:v>0.63338656599160525</c:v>
                </c:pt>
                <c:pt idx="8">
                  <c:v>0.67109574572241182</c:v>
                </c:pt>
                <c:pt idx="9">
                  <c:v>0.70665712342063358</c:v>
                </c:pt>
                <c:pt idx="10">
                  <c:v>0.74046791156244596</c:v>
                </c:pt>
                <c:pt idx="11">
                  <c:v>0.77282386095490641</c:v>
                </c:pt>
                <c:pt idx="12">
                  <c:v>0.80395186841709909</c:v>
                </c:pt>
                <c:pt idx="13">
                  <c:v>0.83403029825990771</c:v>
                </c:pt>
                <c:pt idx="14">
                  <c:v>0.86320222689728587</c:v>
                </c:pt>
                <c:pt idx="15">
                  <c:v>0.89158439951121149</c:v>
                </c:pt>
                <c:pt idx="16">
                  <c:v>0.91927347733538434</c:v>
                </c:pt>
                <c:pt idx="17">
                  <c:v>0.94635051141570359</c:v>
                </c:pt>
                <c:pt idx="18">
                  <c:v>0.9728842198569807</c:v>
                </c:pt>
                <c:pt idx="19">
                  <c:v>0.99893343648040189</c:v>
                </c:pt>
              </c:numCache>
            </c:numRef>
          </c:xVal>
          <c:yVal>
            <c:numRef>
              <c:f>'BT120'!$B$59:$B$78</c:f>
              <c:numCache>
                <c:formatCode>0.0%</c:formatCode>
                <c:ptCount val="20"/>
                <c:pt idx="0">
                  <c:v>5.0000000000000001E-3</c:v>
                </c:pt>
                <c:pt idx="1">
                  <c:v>0.01</c:v>
                </c:pt>
                <c:pt idx="2">
                  <c:v>0.02</c:v>
                </c:pt>
                <c:pt idx="3">
                  <c:v>0.04</c:v>
                </c:pt>
                <c:pt idx="4">
                  <c:v>0.08</c:v>
                </c:pt>
                <c:pt idx="5">
                  <c:v>0.16</c:v>
                </c:pt>
                <c:pt idx="6">
                  <c:v>0.35</c:v>
                </c:pt>
                <c:pt idx="7">
                  <c:v>0.4</c:v>
                </c:pt>
                <c:pt idx="8">
                  <c:v>0.45</c:v>
                </c:pt>
                <c:pt idx="9">
                  <c:v>0.5</c:v>
                </c:pt>
                <c:pt idx="10">
                  <c:v>0.55000000000000004</c:v>
                </c:pt>
                <c:pt idx="11">
                  <c:v>0.6</c:v>
                </c:pt>
                <c:pt idx="12">
                  <c:v>0.65</c:v>
                </c:pt>
                <c:pt idx="13">
                  <c:v>0.7</c:v>
                </c:pt>
                <c:pt idx="14">
                  <c:v>0.75</c:v>
                </c:pt>
                <c:pt idx="15">
                  <c:v>0.8</c:v>
                </c:pt>
                <c:pt idx="16">
                  <c:v>0.85</c:v>
                </c:pt>
                <c:pt idx="17">
                  <c:v>0.9</c:v>
                </c:pt>
                <c:pt idx="18">
                  <c:v>0.95</c:v>
                </c:pt>
                <c:pt idx="19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DA1-4E77-A306-CDDC6E2008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5319296"/>
        <c:axId val="175354240"/>
      </c:scatterChart>
      <c:valAx>
        <c:axId val="175319296"/>
        <c:scaling>
          <c:orientation val="minMax"/>
          <c:max val="1"/>
          <c:min val="0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Valve Travel, % of Full Open</a:t>
                </a:r>
              </a:p>
            </c:rich>
          </c:tx>
          <c:overlay val="0"/>
        </c:title>
        <c:numFmt formatCode="0%" sourceLinked="0"/>
        <c:majorTickMark val="out"/>
        <c:minorTickMark val="none"/>
        <c:tickLblPos val="nextTo"/>
        <c:crossAx val="175354240"/>
        <c:crosses val="autoZero"/>
        <c:crossBetween val="midCat"/>
        <c:majorUnit val="0.1"/>
      </c:valAx>
      <c:valAx>
        <c:axId val="175354240"/>
        <c:scaling>
          <c:orientation val="minMax"/>
          <c:max val="1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Percentage of Rated Cv</a:t>
                </a:r>
              </a:p>
            </c:rich>
          </c:tx>
          <c:overlay val="0"/>
        </c:title>
        <c:numFmt formatCode="0%" sourceLinked="0"/>
        <c:majorTickMark val="out"/>
        <c:minorTickMark val="none"/>
        <c:tickLblPos val="nextTo"/>
        <c:crossAx val="17531929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289" l="0.70000000000000062" r="0.70000000000000062" t="0.75000000000000289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Sizing Indices versus % of Rated Cv</a:t>
            </a:r>
          </a:p>
        </c:rich>
      </c:tx>
      <c:overlay val="1"/>
    </c:title>
    <c:autoTitleDeleted val="0"/>
    <c:plotArea>
      <c:layout>
        <c:manualLayout>
          <c:layoutTarget val="inner"/>
          <c:xMode val="edge"/>
          <c:yMode val="edge"/>
          <c:x val="0.154795490030007"/>
          <c:y val="9.3661639854038345E-2"/>
          <c:w val="0.77229920766974536"/>
          <c:h val="0.72904052540315578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'BT120'!$D$58</c:f>
              <c:strCache>
                <c:ptCount val="1"/>
                <c:pt idx="0">
                  <c:v>FL</c:v>
                </c:pt>
              </c:strCache>
            </c:strRef>
          </c:tx>
          <c:marker>
            <c:symbol val="none"/>
          </c:marker>
          <c:xVal>
            <c:numRef>
              <c:f>'BT120'!$B$59:$B$78</c:f>
              <c:numCache>
                <c:formatCode>0.0%</c:formatCode>
                <c:ptCount val="20"/>
                <c:pt idx="0">
                  <c:v>5.0000000000000001E-3</c:v>
                </c:pt>
                <c:pt idx="1">
                  <c:v>0.01</c:v>
                </c:pt>
                <c:pt idx="2">
                  <c:v>0.02</c:v>
                </c:pt>
                <c:pt idx="3">
                  <c:v>0.04</c:v>
                </c:pt>
                <c:pt idx="4">
                  <c:v>0.08</c:v>
                </c:pt>
                <c:pt idx="5">
                  <c:v>0.16</c:v>
                </c:pt>
                <c:pt idx="6">
                  <c:v>0.35</c:v>
                </c:pt>
                <c:pt idx="7">
                  <c:v>0.4</c:v>
                </c:pt>
                <c:pt idx="8">
                  <c:v>0.45</c:v>
                </c:pt>
                <c:pt idx="9">
                  <c:v>0.5</c:v>
                </c:pt>
                <c:pt idx="10">
                  <c:v>0.55000000000000004</c:v>
                </c:pt>
                <c:pt idx="11">
                  <c:v>0.6</c:v>
                </c:pt>
                <c:pt idx="12">
                  <c:v>0.65</c:v>
                </c:pt>
                <c:pt idx="13">
                  <c:v>0.7</c:v>
                </c:pt>
                <c:pt idx="14">
                  <c:v>0.75</c:v>
                </c:pt>
                <c:pt idx="15">
                  <c:v>0.8</c:v>
                </c:pt>
                <c:pt idx="16">
                  <c:v>0.85</c:v>
                </c:pt>
                <c:pt idx="17">
                  <c:v>0.9</c:v>
                </c:pt>
                <c:pt idx="18">
                  <c:v>0.95</c:v>
                </c:pt>
                <c:pt idx="19">
                  <c:v>1</c:v>
                </c:pt>
              </c:numCache>
            </c:numRef>
          </c:xVal>
          <c:yVal>
            <c:numRef>
              <c:f>'BT120'!$D$59:$D$78</c:f>
              <c:numCache>
                <c:formatCode>0.0000</c:formatCode>
                <c:ptCount val="20"/>
                <c:pt idx="0">
                  <c:v>0.87</c:v>
                </c:pt>
                <c:pt idx="1">
                  <c:v>0.87</c:v>
                </c:pt>
                <c:pt idx="2">
                  <c:v>0.87</c:v>
                </c:pt>
                <c:pt idx="3">
                  <c:v>0.87</c:v>
                </c:pt>
                <c:pt idx="4">
                  <c:v>0.87</c:v>
                </c:pt>
                <c:pt idx="5">
                  <c:v>0.87</c:v>
                </c:pt>
                <c:pt idx="6">
                  <c:v>0.87</c:v>
                </c:pt>
                <c:pt idx="7">
                  <c:v>0.86513200000000001</c:v>
                </c:pt>
                <c:pt idx="8">
                  <c:v>0.85734049999999995</c:v>
                </c:pt>
                <c:pt idx="9">
                  <c:v>0.84814999999999996</c:v>
                </c:pt>
                <c:pt idx="10">
                  <c:v>0.83756050000000004</c:v>
                </c:pt>
                <c:pt idx="11">
                  <c:v>0.82557199999999997</c:v>
                </c:pt>
                <c:pt idx="12">
                  <c:v>0.81218449999999998</c:v>
                </c:pt>
                <c:pt idx="13">
                  <c:v>0.79739800000000005</c:v>
                </c:pt>
                <c:pt idx="14">
                  <c:v>0.78121249999999998</c:v>
                </c:pt>
                <c:pt idx="15">
                  <c:v>0.76362799999999997</c:v>
                </c:pt>
                <c:pt idx="16">
                  <c:v>0.74464450000000004</c:v>
                </c:pt>
                <c:pt idx="17">
                  <c:v>0.72426199999999996</c:v>
                </c:pt>
                <c:pt idx="18">
                  <c:v>0.70248049999999995</c:v>
                </c:pt>
                <c:pt idx="19">
                  <c:v>0.68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292-463C-8190-4D7385A631D4}"/>
            </c:ext>
          </c:extLst>
        </c:ser>
        <c:ser>
          <c:idx val="1"/>
          <c:order val="1"/>
          <c:tx>
            <c:strRef>
              <c:f>'BT120'!$E$58</c:f>
              <c:strCache>
                <c:ptCount val="1"/>
                <c:pt idx="0">
                  <c:v>xT</c:v>
                </c:pt>
              </c:strCache>
            </c:strRef>
          </c:tx>
          <c:marker>
            <c:symbol val="none"/>
          </c:marker>
          <c:xVal>
            <c:numRef>
              <c:f>'BT120'!$B$59:$B$78</c:f>
              <c:numCache>
                <c:formatCode>0.0%</c:formatCode>
                <c:ptCount val="20"/>
                <c:pt idx="0">
                  <c:v>5.0000000000000001E-3</c:v>
                </c:pt>
                <c:pt idx="1">
                  <c:v>0.01</c:v>
                </c:pt>
                <c:pt idx="2">
                  <c:v>0.02</c:v>
                </c:pt>
                <c:pt idx="3">
                  <c:v>0.04</c:v>
                </c:pt>
                <c:pt idx="4">
                  <c:v>0.08</c:v>
                </c:pt>
                <c:pt idx="5">
                  <c:v>0.16</c:v>
                </c:pt>
                <c:pt idx="6">
                  <c:v>0.35</c:v>
                </c:pt>
                <c:pt idx="7">
                  <c:v>0.4</c:v>
                </c:pt>
                <c:pt idx="8">
                  <c:v>0.45</c:v>
                </c:pt>
                <c:pt idx="9">
                  <c:v>0.5</c:v>
                </c:pt>
                <c:pt idx="10">
                  <c:v>0.55000000000000004</c:v>
                </c:pt>
                <c:pt idx="11">
                  <c:v>0.6</c:v>
                </c:pt>
                <c:pt idx="12">
                  <c:v>0.65</c:v>
                </c:pt>
                <c:pt idx="13">
                  <c:v>0.7</c:v>
                </c:pt>
                <c:pt idx="14">
                  <c:v>0.75</c:v>
                </c:pt>
                <c:pt idx="15">
                  <c:v>0.8</c:v>
                </c:pt>
                <c:pt idx="16">
                  <c:v>0.85</c:v>
                </c:pt>
                <c:pt idx="17">
                  <c:v>0.9</c:v>
                </c:pt>
                <c:pt idx="18">
                  <c:v>0.95</c:v>
                </c:pt>
                <c:pt idx="19">
                  <c:v>1</c:v>
                </c:pt>
              </c:numCache>
            </c:numRef>
          </c:xVal>
          <c:yVal>
            <c:numRef>
              <c:f>'BT120'!$E$59:$E$78</c:f>
              <c:numCache>
                <c:formatCode>0.0000</c:formatCode>
                <c:ptCount val="20"/>
                <c:pt idx="0">
                  <c:v>0.63579600000000003</c:v>
                </c:pt>
                <c:pt idx="1">
                  <c:v>0.63579600000000003</c:v>
                </c:pt>
                <c:pt idx="2">
                  <c:v>0.63579600000000003</c:v>
                </c:pt>
                <c:pt idx="3">
                  <c:v>0.63579600000000003</c:v>
                </c:pt>
                <c:pt idx="4">
                  <c:v>0.63579600000000003</c:v>
                </c:pt>
                <c:pt idx="5">
                  <c:v>0.63579600000000003</c:v>
                </c:pt>
                <c:pt idx="6">
                  <c:v>0.63579600000000003</c:v>
                </c:pt>
                <c:pt idx="7">
                  <c:v>0.62870083703615998</c:v>
                </c:pt>
                <c:pt idx="8">
                  <c:v>0.61742749566980992</c:v>
                </c:pt>
                <c:pt idx="9">
                  <c:v>0.60426107489999992</c:v>
                </c:pt>
                <c:pt idx="10">
                  <c:v>0.58926637657461001</c:v>
                </c:pt>
                <c:pt idx="11">
                  <c:v>0.57251806683455997</c:v>
                </c:pt>
                <c:pt idx="12">
                  <c:v>0.55410067611380998</c:v>
                </c:pt>
                <c:pt idx="13">
                  <c:v>0.53410859913936004</c:v>
                </c:pt>
                <c:pt idx="14">
                  <c:v>0.51264609493124991</c:v>
                </c:pt>
                <c:pt idx="15">
                  <c:v>0.48982728680255999</c:v>
                </c:pt>
                <c:pt idx="16">
                  <c:v>0.46577616235941</c:v>
                </c:pt>
                <c:pt idx="17">
                  <c:v>0.44062657350095996</c:v>
                </c:pt>
                <c:pt idx="18">
                  <c:v>0.41452223641940994</c:v>
                </c:pt>
                <c:pt idx="19">
                  <c:v>0.38841600000000004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292-463C-8190-4D7385A631D4}"/>
            </c:ext>
          </c:extLst>
        </c:ser>
        <c:ser>
          <c:idx val="2"/>
          <c:order val="2"/>
          <c:tx>
            <c:strRef>
              <c:f>'BT120'!$F$58</c:f>
              <c:strCache>
                <c:ptCount val="1"/>
                <c:pt idx="0">
                  <c:v>Kc</c:v>
                </c:pt>
              </c:strCache>
            </c:strRef>
          </c:tx>
          <c:marker>
            <c:symbol val="none"/>
          </c:marker>
          <c:xVal>
            <c:numRef>
              <c:f>'BT120'!$B$59:$B$78</c:f>
              <c:numCache>
                <c:formatCode>0.0%</c:formatCode>
                <c:ptCount val="20"/>
                <c:pt idx="0">
                  <c:v>5.0000000000000001E-3</c:v>
                </c:pt>
                <c:pt idx="1">
                  <c:v>0.01</c:v>
                </c:pt>
                <c:pt idx="2">
                  <c:v>0.02</c:v>
                </c:pt>
                <c:pt idx="3">
                  <c:v>0.04</c:v>
                </c:pt>
                <c:pt idx="4">
                  <c:v>0.08</c:v>
                </c:pt>
                <c:pt idx="5">
                  <c:v>0.16</c:v>
                </c:pt>
                <c:pt idx="6">
                  <c:v>0.35</c:v>
                </c:pt>
                <c:pt idx="7">
                  <c:v>0.4</c:v>
                </c:pt>
                <c:pt idx="8">
                  <c:v>0.45</c:v>
                </c:pt>
                <c:pt idx="9">
                  <c:v>0.5</c:v>
                </c:pt>
                <c:pt idx="10">
                  <c:v>0.55000000000000004</c:v>
                </c:pt>
                <c:pt idx="11">
                  <c:v>0.6</c:v>
                </c:pt>
                <c:pt idx="12">
                  <c:v>0.65</c:v>
                </c:pt>
                <c:pt idx="13">
                  <c:v>0.7</c:v>
                </c:pt>
                <c:pt idx="14">
                  <c:v>0.75</c:v>
                </c:pt>
                <c:pt idx="15">
                  <c:v>0.8</c:v>
                </c:pt>
                <c:pt idx="16">
                  <c:v>0.85</c:v>
                </c:pt>
                <c:pt idx="17">
                  <c:v>0.9</c:v>
                </c:pt>
                <c:pt idx="18">
                  <c:v>0.95</c:v>
                </c:pt>
                <c:pt idx="19">
                  <c:v>1</c:v>
                </c:pt>
              </c:numCache>
            </c:numRef>
          </c:xVal>
          <c:yVal>
            <c:numRef>
              <c:f>'BT120'!$F$59:$F$78</c:f>
              <c:numCache>
                <c:formatCode>0.0000</c:formatCode>
                <c:ptCount val="20"/>
                <c:pt idx="0">
                  <c:v>0.53500000000000003</c:v>
                </c:pt>
                <c:pt idx="1">
                  <c:v>0.53500000000000003</c:v>
                </c:pt>
                <c:pt idx="2">
                  <c:v>0.53500000000000003</c:v>
                </c:pt>
                <c:pt idx="3">
                  <c:v>0.53500000000000003</c:v>
                </c:pt>
                <c:pt idx="4">
                  <c:v>0.53500000000000003</c:v>
                </c:pt>
                <c:pt idx="5">
                  <c:v>0.53500000000000003</c:v>
                </c:pt>
                <c:pt idx="6">
                  <c:v>0.53302875000000005</c:v>
                </c:pt>
                <c:pt idx="7">
                  <c:v>0.52594000000000007</c:v>
                </c:pt>
                <c:pt idx="8">
                  <c:v>0.51728875000000007</c:v>
                </c:pt>
                <c:pt idx="9">
                  <c:v>0.50707500000000005</c:v>
                </c:pt>
                <c:pt idx="10">
                  <c:v>0.49529875000000001</c:v>
                </c:pt>
                <c:pt idx="11">
                  <c:v>0.48196000000000006</c:v>
                </c:pt>
                <c:pt idx="12">
                  <c:v>0.46705875000000002</c:v>
                </c:pt>
                <c:pt idx="13">
                  <c:v>0.45059500000000008</c:v>
                </c:pt>
                <c:pt idx="14">
                  <c:v>0.43256875000000006</c:v>
                </c:pt>
                <c:pt idx="15">
                  <c:v>0.41298000000000001</c:v>
                </c:pt>
                <c:pt idx="16">
                  <c:v>0.39182875000000006</c:v>
                </c:pt>
                <c:pt idx="17">
                  <c:v>0.36911499999999997</c:v>
                </c:pt>
                <c:pt idx="18">
                  <c:v>0.34483875000000003</c:v>
                </c:pt>
                <c:pt idx="19">
                  <c:v>0.32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D292-463C-8190-4D7385A631D4}"/>
            </c:ext>
          </c:extLst>
        </c:ser>
        <c:ser>
          <c:idx val="3"/>
          <c:order val="3"/>
          <c:tx>
            <c:strRef>
              <c:f>'BT120'!$G$58</c:f>
              <c:strCache>
                <c:ptCount val="1"/>
                <c:pt idx="0">
                  <c:v>Fd</c:v>
                </c:pt>
              </c:strCache>
            </c:strRef>
          </c:tx>
          <c:marker>
            <c:symbol val="none"/>
          </c:marker>
          <c:xVal>
            <c:numRef>
              <c:f>'BT120'!$B$59:$B$78</c:f>
              <c:numCache>
                <c:formatCode>0.0%</c:formatCode>
                <c:ptCount val="20"/>
                <c:pt idx="0">
                  <c:v>5.0000000000000001E-3</c:v>
                </c:pt>
                <c:pt idx="1">
                  <c:v>0.01</c:v>
                </c:pt>
                <c:pt idx="2">
                  <c:v>0.02</c:v>
                </c:pt>
                <c:pt idx="3">
                  <c:v>0.04</c:v>
                </c:pt>
                <c:pt idx="4">
                  <c:v>0.08</c:v>
                </c:pt>
                <c:pt idx="5">
                  <c:v>0.16</c:v>
                </c:pt>
                <c:pt idx="6">
                  <c:v>0.35</c:v>
                </c:pt>
                <c:pt idx="7">
                  <c:v>0.4</c:v>
                </c:pt>
                <c:pt idx="8">
                  <c:v>0.45</c:v>
                </c:pt>
                <c:pt idx="9">
                  <c:v>0.5</c:v>
                </c:pt>
                <c:pt idx="10">
                  <c:v>0.55000000000000004</c:v>
                </c:pt>
                <c:pt idx="11">
                  <c:v>0.6</c:v>
                </c:pt>
                <c:pt idx="12">
                  <c:v>0.65</c:v>
                </c:pt>
                <c:pt idx="13">
                  <c:v>0.7</c:v>
                </c:pt>
                <c:pt idx="14">
                  <c:v>0.75</c:v>
                </c:pt>
                <c:pt idx="15">
                  <c:v>0.8</c:v>
                </c:pt>
                <c:pt idx="16">
                  <c:v>0.85</c:v>
                </c:pt>
                <c:pt idx="17">
                  <c:v>0.9</c:v>
                </c:pt>
                <c:pt idx="18">
                  <c:v>0.95</c:v>
                </c:pt>
                <c:pt idx="19">
                  <c:v>1</c:v>
                </c:pt>
              </c:numCache>
            </c:numRef>
          </c:xVal>
          <c:yVal>
            <c:numRef>
              <c:f>'BT120'!$G$59:$G$78</c:f>
              <c:numCache>
                <c:formatCode>0.0000</c:formatCode>
                <c:ptCount val="20"/>
                <c:pt idx="0">
                  <c:v>0.17790349595701249</c:v>
                </c:pt>
                <c:pt idx="1">
                  <c:v>0.1813781174122</c:v>
                </c:pt>
                <c:pt idx="2">
                  <c:v>0.1882415353952</c:v>
                </c:pt>
                <c:pt idx="3">
                  <c:v>0.20163062072320001</c:v>
                </c:pt>
                <c:pt idx="4">
                  <c:v>0.2271015667712</c:v>
                </c:pt>
                <c:pt idx="5">
                  <c:v>0.27315494993919998</c:v>
                </c:pt>
                <c:pt idx="6">
                  <c:v>0.36018045762499995</c:v>
                </c:pt>
                <c:pt idx="7">
                  <c:v>0.37869683200000004</c:v>
                </c:pt>
                <c:pt idx="8">
                  <c:v>0.39567835262500001</c:v>
                </c:pt>
                <c:pt idx="9">
                  <c:v>0.41126374999999998</c:v>
                </c:pt>
                <c:pt idx="10">
                  <c:v>0.42558443762500003</c:v>
                </c:pt>
                <c:pt idx="11">
                  <c:v>0.438764512</c:v>
                </c:pt>
                <c:pt idx="12">
                  <c:v>0.45092075262499998</c:v>
                </c:pt>
                <c:pt idx="13">
                  <c:v>0.46216262199999997</c:v>
                </c:pt>
                <c:pt idx="14">
                  <c:v>0.47259226562500006</c:v>
                </c:pt>
                <c:pt idx="15">
                  <c:v>0.48230451200000002</c:v>
                </c:pt>
                <c:pt idx="16">
                  <c:v>0.49138687262500008</c:v>
                </c:pt>
                <c:pt idx="17">
                  <c:v>0.49991954200000005</c:v>
                </c:pt>
                <c:pt idx="18">
                  <c:v>0.50797539762499999</c:v>
                </c:pt>
                <c:pt idx="19">
                  <c:v>0.51561999999999997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D292-463C-8190-4D7385A631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5450368"/>
        <c:axId val="175460736"/>
      </c:scatterChart>
      <c:valAx>
        <c:axId val="175450368"/>
        <c:scaling>
          <c:orientation val="minMax"/>
          <c:max val="1"/>
          <c:min val="0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Percentage of Rated Cv</a:t>
                </a:r>
              </a:p>
            </c:rich>
          </c:tx>
          <c:layout>
            <c:manualLayout>
              <c:xMode val="edge"/>
              <c:yMode val="edge"/>
              <c:x val="0.39154858040092216"/>
              <c:y val="0.88829187001656862"/>
            </c:manualLayout>
          </c:layout>
          <c:overlay val="0"/>
        </c:title>
        <c:numFmt formatCode="0.0%" sourceLinked="1"/>
        <c:majorTickMark val="out"/>
        <c:minorTickMark val="none"/>
        <c:tickLblPos val="nextTo"/>
        <c:crossAx val="175460736"/>
        <c:crosses val="autoZero"/>
        <c:crossBetween val="midCat"/>
      </c:valAx>
      <c:valAx>
        <c:axId val="175460736"/>
        <c:scaling>
          <c:orientation val="minMax"/>
          <c:max val="1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Sizing Indices</a:t>
                </a:r>
              </a:p>
            </c:rich>
          </c:tx>
          <c:overlay val="0"/>
        </c:title>
        <c:numFmt formatCode="0.0" sourceLinked="0"/>
        <c:majorTickMark val="out"/>
        <c:minorTickMark val="none"/>
        <c:tickLblPos val="nextTo"/>
        <c:crossAx val="175450368"/>
        <c:crosses val="autoZero"/>
        <c:crossBetween val="midCat"/>
      </c:valAx>
    </c:plotArea>
    <c:legend>
      <c:legendPos val="b"/>
      <c:layout>
        <c:manualLayout>
          <c:xMode val="edge"/>
          <c:yMode val="edge"/>
          <c:x val="0.27552838225647114"/>
          <c:y val="0.93848893295632996"/>
          <c:w val="0.44894323548705944"/>
          <c:h val="5.2758329803139388E-2"/>
        </c:manualLayout>
      </c:layout>
      <c:overlay val="0"/>
    </c:legend>
    <c:plotVisOnly val="1"/>
    <c:dispBlanksAs val="gap"/>
    <c:showDLblsOverMax val="0"/>
  </c:chart>
  <c:printSettings>
    <c:headerFooter/>
    <c:pageMargins b="0.75000000000000289" l="0.70000000000000062" r="0.70000000000000062" t="0.75000000000000289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Cv versus Travel</a:t>
            </a:r>
          </a:p>
        </c:rich>
      </c:tx>
      <c:overlay val="1"/>
    </c:title>
    <c:autoTitleDeleted val="0"/>
    <c:plotArea>
      <c:layout>
        <c:manualLayout>
          <c:layoutTarget val="inner"/>
          <c:xMode val="edge"/>
          <c:yMode val="edge"/>
          <c:x val="0.15511351706036774"/>
          <c:y val="7.8884265782566659E-2"/>
          <c:w val="0.78328237095362918"/>
          <c:h val="0.77883950821936765"/>
        </c:manualLayout>
      </c:layout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'BT110'!$C$63:$C$82</c:f>
              <c:numCache>
                <c:formatCode>0.0%</c:formatCode>
                <c:ptCount val="20"/>
                <c:pt idx="0">
                  <c:v>4.9016417521742496E-2</c:v>
                </c:pt>
                <c:pt idx="1">
                  <c:v>6.9893077691783129E-2</c:v>
                </c:pt>
                <c:pt idx="2">
                  <c:v>0.10933241632951934</c:v>
                </c:pt>
                <c:pt idx="3">
                  <c:v>0.18077588660793006</c:v>
                </c:pt>
                <c:pt idx="4">
                  <c:v>0.29326542868278432</c:v>
                </c:pt>
                <c:pt idx="5">
                  <c:v>0.44145219346510622</c:v>
                </c:pt>
                <c:pt idx="6">
                  <c:v>0.63953273575672775</c:v>
                </c:pt>
                <c:pt idx="7">
                  <c:v>0.67694458233960808</c:v>
                </c:pt>
                <c:pt idx="8">
                  <c:v>0.7111711388949844</c:v>
                </c:pt>
                <c:pt idx="9">
                  <c:v>0.74292954444904935</c:v>
                </c:pt>
                <c:pt idx="10">
                  <c:v>0.7727342295513594</c:v>
                </c:pt>
                <c:pt idx="11">
                  <c:v>0.80096549137785589</c:v>
                </c:pt>
                <c:pt idx="12">
                  <c:v>0.82791168973811835</c:v>
                </c:pt>
                <c:pt idx="13">
                  <c:v>0.85379625876025722</c:v>
                </c:pt>
                <c:pt idx="14">
                  <c:v>0.87879559286825082</c:v>
                </c:pt>
                <c:pt idx="15">
                  <c:v>0.90305124081194477</c:v>
                </c:pt>
                <c:pt idx="16">
                  <c:v>0.92667843319548482</c:v>
                </c:pt>
                <c:pt idx="17">
                  <c:v>0.94977218062994428</c:v>
                </c:pt>
                <c:pt idx="18">
                  <c:v>0.97241172165672651</c:v>
                </c:pt>
                <c:pt idx="19">
                  <c:v>0.99466382465003356</c:v>
                </c:pt>
              </c:numCache>
            </c:numRef>
          </c:xVal>
          <c:yVal>
            <c:numRef>
              <c:f>'BT110'!$B$63:$B$82</c:f>
              <c:numCache>
                <c:formatCode>0.0%</c:formatCode>
                <c:ptCount val="20"/>
                <c:pt idx="0">
                  <c:v>5.0000000000000001E-3</c:v>
                </c:pt>
                <c:pt idx="1">
                  <c:v>0.01</c:v>
                </c:pt>
                <c:pt idx="2">
                  <c:v>0.02</c:v>
                </c:pt>
                <c:pt idx="3">
                  <c:v>0.04</c:v>
                </c:pt>
                <c:pt idx="4">
                  <c:v>0.08</c:v>
                </c:pt>
                <c:pt idx="5">
                  <c:v>0.16</c:v>
                </c:pt>
                <c:pt idx="6">
                  <c:v>0.35</c:v>
                </c:pt>
                <c:pt idx="7">
                  <c:v>0.4</c:v>
                </c:pt>
                <c:pt idx="8">
                  <c:v>0.45</c:v>
                </c:pt>
                <c:pt idx="9">
                  <c:v>0.5</c:v>
                </c:pt>
                <c:pt idx="10">
                  <c:v>0.55000000000000004</c:v>
                </c:pt>
                <c:pt idx="11">
                  <c:v>0.6</c:v>
                </c:pt>
                <c:pt idx="12">
                  <c:v>0.65</c:v>
                </c:pt>
                <c:pt idx="13">
                  <c:v>0.7</c:v>
                </c:pt>
                <c:pt idx="14">
                  <c:v>0.75</c:v>
                </c:pt>
                <c:pt idx="15">
                  <c:v>0.8</c:v>
                </c:pt>
                <c:pt idx="16">
                  <c:v>0.85</c:v>
                </c:pt>
                <c:pt idx="17">
                  <c:v>0.9</c:v>
                </c:pt>
                <c:pt idx="18">
                  <c:v>0.95</c:v>
                </c:pt>
                <c:pt idx="19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A17-432C-B7DA-E23A2D8C4B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5395968"/>
        <c:axId val="175397888"/>
      </c:scatterChart>
      <c:valAx>
        <c:axId val="175395968"/>
        <c:scaling>
          <c:orientation val="minMax"/>
          <c:max val="1"/>
          <c:min val="0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Valve Travel, % of Full Open</a:t>
                </a:r>
              </a:p>
            </c:rich>
          </c:tx>
          <c:overlay val="0"/>
        </c:title>
        <c:numFmt formatCode="0%" sourceLinked="0"/>
        <c:majorTickMark val="out"/>
        <c:minorTickMark val="none"/>
        <c:tickLblPos val="nextTo"/>
        <c:crossAx val="175397888"/>
        <c:crosses val="autoZero"/>
        <c:crossBetween val="midCat"/>
        <c:majorUnit val="0.1"/>
      </c:valAx>
      <c:valAx>
        <c:axId val="175397888"/>
        <c:scaling>
          <c:orientation val="minMax"/>
          <c:max val="1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Percentage of Rated Cv</a:t>
                </a:r>
              </a:p>
            </c:rich>
          </c:tx>
          <c:overlay val="0"/>
        </c:title>
        <c:numFmt formatCode="0%" sourceLinked="0"/>
        <c:majorTickMark val="out"/>
        <c:minorTickMark val="none"/>
        <c:tickLblPos val="nextTo"/>
        <c:crossAx val="17539596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289" l="0.70000000000000062" r="0.70000000000000062" t="0.75000000000000289" header="0.30000000000000032" footer="0.3000000000000003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Sizing Indices versus % of Rated Cv</a:t>
            </a:r>
          </a:p>
        </c:rich>
      </c:tx>
      <c:overlay val="1"/>
    </c:title>
    <c:autoTitleDeleted val="0"/>
    <c:plotArea>
      <c:layout>
        <c:manualLayout>
          <c:layoutTarget val="inner"/>
          <c:xMode val="edge"/>
          <c:yMode val="edge"/>
          <c:x val="0.14606674165729341"/>
          <c:y val="8.4676567327818267E-2"/>
          <c:w val="0.7918114647433776"/>
          <c:h val="0.75282323886729363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'BT110'!$D$62</c:f>
              <c:strCache>
                <c:ptCount val="1"/>
                <c:pt idx="0">
                  <c:v>FL</c:v>
                </c:pt>
              </c:strCache>
            </c:strRef>
          </c:tx>
          <c:marker>
            <c:symbol val="none"/>
          </c:marker>
          <c:xVal>
            <c:numRef>
              <c:f>'BT110'!$B$63:$B$82</c:f>
              <c:numCache>
                <c:formatCode>0.0%</c:formatCode>
                <c:ptCount val="20"/>
                <c:pt idx="0">
                  <c:v>5.0000000000000001E-3</c:v>
                </c:pt>
                <c:pt idx="1">
                  <c:v>0.01</c:v>
                </c:pt>
                <c:pt idx="2">
                  <c:v>0.02</c:v>
                </c:pt>
                <c:pt idx="3">
                  <c:v>0.04</c:v>
                </c:pt>
                <c:pt idx="4">
                  <c:v>0.08</c:v>
                </c:pt>
                <c:pt idx="5">
                  <c:v>0.16</c:v>
                </c:pt>
                <c:pt idx="6">
                  <c:v>0.35</c:v>
                </c:pt>
                <c:pt idx="7">
                  <c:v>0.4</c:v>
                </c:pt>
                <c:pt idx="8">
                  <c:v>0.45</c:v>
                </c:pt>
                <c:pt idx="9">
                  <c:v>0.5</c:v>
                </c:pt>
                <c:pt idx="10">
                  <c:v>0.55000000000000004</c:v>
                </c:pt>
                <c:pt idx="11">
                  <c:v>0.6</c:v>
                </c:pt>
                <c:pt idx="12">
                  <c:v>0.65</c:v>
                </c:pt>
                <c:pt idx="13">
                  <c:v>0.7</c:v>
                </c:pt>
                <c:pt idx="14">
                  <c:v>0.75</c:v>
                </c:pt>
                <c:pt idx="15">
                  <c:v>0.8</c:v>
                </c:pt>
                <c:pt idx="16">
                  <c:v>0.85</c:v>
                </c:pt>
                <c:pt idx="17">
                  <c:v>0.9</c:v>
                </c:pt>
                <c:pt idx="18">
                  <c:v>0.95</c:v>
                </c:pt>
                <c:pt idx="19">
                  <c:v>1</c:v>
                </c:pt>
              </c:numCache>
            </c:numRef>
          </c:xVal>
          <c:yVal>
            <c:numRef>
              <c:f>'BT110'!$D$63:$D$82</c:f>
              <c:numCache>
                <c:formatCode>0.000</c:formatCode>
                <c:ptCount val="20"/>
                <c:pt idx="0">
                  <c:v>0.87</c:v>
                </c:pt>
                <c:pt idx="1">
                  <c:v>0.87</c:v>
                </c:pt>
                <c:pt idx="2">
                  <c:v>0.87</c:v>
                </c:pt>
                <c:pt idx="3">
                  <c:v>0.87</c:v>
                </c:pt>
                <c:pt idx="4">
                  <c:v>0.87</c:v>
                </c:pt>
                <c:pt idx="5">
                  <c:v>0.87</c:v>
                </c:pt>
                <c:pt idx="6">
                  <c:v>0.87</c:v>
                </c:pt>
                <c:pt idx="7">
                  <c:v>0.86513200000000001</c:v>
                </c:pt>
                <c:pt idx="8">
                  <c:v>0.85734049999999995</c:v>
                </c:pt>
                <c:pt idx="9">
                  <c:v>0.84814999999999996</c:v>
                </c:pt>
                <c:pt idx="10">
                  <c:v>0.83756050000000004</c:v>
                </c:pt>
                <c:pt idx="11">
                  <c:v>0.82557199999999997</c:v>
                </c:pt>
                <c:pt idx="12">
                  <c:v>0.81218449999999998</c:v>
                </c:pt>
                <c:pt idx="13">
                  <c:v>0.79739800000000005</c:v>
                </c:pt>
                <c:pt idx="14">
                  <c:v>0.78121249999999998</c:v>
                </c:pt>
                <c:pt idx="15">
                  <c:v>0.76362799999999997</c:v>
                </c:pt>
                <c:pt idx="16">
                  <c:v>0.74464450000000004</c:v>
                </c:pt>
                <c:pt idx="17">
                  <c:v>0.72426199999999996</c:v>
                </c:pt>
                <c:pt idx="18">
                  <c:v>0.70248049999999995</c:v>
                </c:pt>
                <c:pt idx="19">
                  <c:v>0.68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9BA-4B1C-8B41-2CE5BF707FAC}"/>
            </c:ext>
          </c:extLst>
        </c:ser>
        <c:ser>
          <c:idx val="1"/>
          <c:order val="1"/>
          <c:tx>
            <c:strRef>
              <c:f>'BT110'!$E$62</c:f>
              <c:strCache>
                <c:ptCount val="1"/>
                <c:pt idx="0">
                  <c:v>xT</c:v>
                </c:pt>
              </c:strCache>
            </c:strRef>
          </c:tx>
          <c:marker>
            <c:symbol val="none"/>
          </c:marker>
          <c:xVal>
            <c:numRef>
              <c:f>'BT110'!$B$63:$B$82</c:f>
              <c:numCache>
                <c:formatCode>0.0%</c:formatCode>
                <c:ptCount val="20"/>
                <c:pt idx="0">
                  <c:v>5.0000000000000001E-3</c:v>
                </c:pt>
                <c:pt idx="1">
                  <c:v>0.01</c:v>
                </c:pt>
                <c:pt idx="2">
                  <c:v>0.02</c:v>
                </c:pt>
                <c:pt idx="3">
                  <c:v>0.04</c:v>
                </c:pt>
                <c:pt idx="4">
                  <c:v>0.08</c:v>
                </c:pt>
                <c:pt idx="5">
                  <c:v>0.16</c:v>
                </c:pt>
                <c:pt idx="6">
                  <c:v>0.35</c:v>
                </c:pt>
                <c:pt idx="7">
                  <c:v>0.4</c:v>
                </c:pt>
                <c:pt idx="8">
                  <c:v>0.45</c:v>
                </c:pt>
                <c:pt idx="9">
                  <c:v>0.5</c:v>
                </c:pt>
                <c:pt idx="10">
                  <c:v>0.55000000000000004</c:v>
                </c:pt>
                <c:pt idx="11">
                  <c:v>0.6</c:v>
                </c:pt>
                <c:pt idx="12">
                  <c:v>0.65</c:v>
                </c:pt>
                <c:pt idx="13">
                  <c:v>0.7</c:v>
                </c:pt>
                <c:pt idx="14">
                  <c:v>0.75</c:v>
                </c:pt>
                <c:pt idx="15">
                  <c:v>0.8</c:v>
                </c:pt>
                <c:pt idx="16">
                  <c:v>0.85</c:v>
                </c:pt>
                <c:pt idx="17">
                  <c:v>0.9</c:v>
                </c:pt>
                <c:pt idx="18">
                  <c:v>0.95</c:v>
                </c:pt>
                <c:pt idx="19">
                  <c:v>1</c:v>
                </c:pt>
              </c:numCache>
            </c:numRef>
          </c:xVal>
          <c:yVal>
            <c:numRef>
              <c:f>'BT110'!$E$63:$E$82</c:f>
              <c:numCache>
                <c:formatCode>0.000</c:formatCode>
                <c:ptCount val="20"/>
                <c:pt idx="0">
                  <c:v>0.63579600000000003</c:v>
                </c:pt>
                <c:pt idx="1">
                  <c:v>0.63579600000000003</c:v>
                </c:pt>
                <c:pt idx="2">
                  <c:v>0.63579600000000003</c:v>
                </c:pt>
                <c:pt idx="3">
                  <c:v>0.63579600000000003</c:v>
                </c:pt>
                <c:pt idx="4">
                  <c:v>0.63579600000000003</c:v>
                </c:pt>
                <c:pt idx="5">
                  <c:v>0.63579600000000003</c:v>
                </c:pt>
                <c:pt idx="6">
                  <c:v>0.63579600000000003</c:v>
                </c:pt>
                <c:pt idx="7">
                  <c:v>0.62870083703615998</c:v>
                </c:pt>
                <c:pt idx="8">
                  <c:v>0.61742749566980992</c:v>
                </c:pt>
                <c:pt idx="9">
                  <c:v>0.60426107489999992</c:v>
                </c:pt>
                <c:pt idx="10">
                  <c:v>0.58926637657461001</c:v>
                </c:pt>
                <c:pt idx="11">
                  <c:v>0.57251806683455997</c:v>
                </c:pt>
                <c:pt idx="12">
                  <c:v>0.55410067611380998</c:v>
                </c:pt>
                <c:pt idx="13">
                  <c:v>0.53410859913936004</c:v>
                </c:pt>
                <c:pt idx="14">
                  <c:v>0.51264609493124991</c:v>
                </c:pt>
                <c:pt idx="15">
                  <c:v>0.48982728680255999</c:v>
                </c:pt>
                <c:pt idx="16">
                  <c:v>0.46577616235941</c:v>
                </c:pt>
                <c:pt idx="17">
                  <c:v>0.44062657350095996</c:v>
                </c:pt>
                <c:pt idx="18">
                  <c:v>0.41452223641940994</c:v>
                </c:pt>
                <c:pt idx="19">
                  <c:v>0.38841600000000004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9BA-4B1C-8B41-2CE5BF707FAC}"/>
            </c:ext>
          </c:extLst>
        </c:ser>
        <c:ser>
          <c:idx val="2"/>
          <c:order val="2"/>
          <c:tx>
            <c:strRef>
              <c:f>'BT110'!$F$62</c:f>
              <c:strCache>
                <c:ptCount val="1"/>
                <c:pt idx="0">
                  <c:v>Kc</c:v>
                </c:pt>
              </c:strCache>
            </c:strRef>
          </c:tx>
          <c:marker>
            <c:symbol val="none"/>
          </c:marker>
          <c:xVal>
            <c:numRef>
              <c:f>'BT110'!$B$63:$B$82</c:f>
              <c:numCache>
                <c:formatCode>0.0%</c:formatCode>
                <c:ptCount val="20"/>
                <c:pt idx="0">
                  <c:v>5.0000000000000001E-3</c:v>
                </c:pt>
                <c:pt idx="1">
                  <c:v>0.01</c:v>
                </c:pt>
                <c:pt idx="2">
                  <c:v>0.02</c:v>
                </c:pt>
                <c:pt idx="3">
                  <c:v>0.04</c:v>
                </c:pt>
                <c:pt idx="4">
                  <c:v>0.08</c:v>
                </c:pt>
                <c:pt idx="5">
                  <c:v>0.16</c:v>
                </c:pt>
                <c:pt idx="6">
                  <c:v>0.35</c:v>
                </c:pt>
                <c:pt idx="7">
                  <c:v>0.4</c:v>
                </c:pt>
                <c:pt idx="8">
                  <c:v>0.45</c:v>
                </c:pt>
                <c:pt idx="9">
                  <c:v>0.5</c:v>
                </c:pt>
                <c:pt idx="10">
                  <c:v>0.55000000000000004</c:v>
                </c:pt>
                <c:pt idx="11">
                  <c:v>0.6</c:v>
                </c:pt>
                <c:pt idx="12">
                  <c:v>0.65</c:v>
                </c:pt>
                <c:pt idx="13">
                  <c:v>0.7</c:v>
                </c:pt>
                <c:pt idx="14">
                  <c:v>0.75</c:v>
                </c:pt>
                <c:pt idx="15">
                  <c:v>0.8</c:v>
                </c:pt>
                <c:pt idx="16">
                  <c:v>0.85</c:v>
                </c:pt>
                <c:pt idx="17">
                  <c:v>0.9</c:v>
                </c:pt>
                <c:pt idx="18">
                  <c:v>0.95</c:v>
                </c:pt>
                <c:pt idx="19">
                  <c:v>1</c:v>
                </c:pt>
              </c:numCache>
            </c:numRef>
          </c:xVal>
          <c:yVal>
            <c:numRef>
              <c:f>'BT110'!$F$63:$F$82</c:f>
              <c:numCache>
                <c:formatCode>0.000</c:formatCode>
                <c:ptCount val="20"/>
                <c:pt idx="0">
                  <c:v>0.53500000000000003</c:v>
                </c:pt>
                <c:pt idx="1">
                  <c:v>0.53500000000000003</c:v>
                </c:pt>
                <c:pt idx="2">
                  <c:v>0.53500000000000003</c:v>
                </c:pt>
                <c:pt idx="3">
                  <c:v>0.53500000000000003</c:v>
                </c:pt>
                <c:pt idx="4">
                  <c:v>0.53500000000000003</c:v>
                </c:pt>
                <c:pt idx="5">
                  <c:v>0.53500000000000003</c:v>
                </c:pt>
                <c:pt idx="6">
                  <c:v>0.53302875000000005</c:v>
                </c:pt>
                <c:pt idx="7">
                  <c:v>0.52594000000000007</c:v>
                </c:pt>
                <c:pt idx="8">
                  <c:v>0.51728875000000007</c:v>
                </c:pt>
                <c:pt idx="9">
                  <c:v>0.50707500000000005</c:v>
                </c:pt>
                <c:pt idx="10">
                  <c:v>0.49529875000000001</c:v>
                </c:pt>
                <c:pt idx="11">
                  <c:v>0.48196000000000006</c:v>
                </c:pt>
                <c:pt idx="12">
                  <c:v>0.46705875000000002</c:v>
                </c:pt>
                <c:pt idx="13">
                  <c:v>0.45059500000000008</c:v>
                </c:pt>
                <c:pt idx="14">
                  <c:v>0.43256875000000006</c:v>
                </c:pt>
                <c:pt idx="15">
                  <c:v>0.41298000000000001</c:v>
                </c:pt>
                <c:pt idx="16">
                  <c:v>0.39182875000000006</c:v>
                </c:pt>
                <c:pt idx="17">
                  <c:v>0.36911499999999997</c:v>
                </c:pt>
                <c:pt idx="18">
                  <c:v>0.34483875000000003</c:v>
                </c:pt>
                <c:pt idx="19">
                  <c:v>0.32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B9BA-4B1C-8B41-2CE5BF707FAC}"/>
            </c:ext>
          </c:extLst>
        </c:ser>
        <c:ser>
          <c:idx val="3"/>
          <c:order val="3"/>
          <c:tx>
            <c:strRef>
              <c:f>'BT110'!$G$62</c:f>
              <c:strCache>
                <c:ptCount val="1"/>
                <c:pt idx="0">
                  <c:v>Fd</c:v>
                </c:pt>
              </c:strCache>
            </c:strRef>
          </c:tx>
          <c:marker>
            <c:symbol val="none"/>
          </c:marker>
          <c:xVal>
            <c:numRef>
              <c:f>'BT110'!$B$63:$B$82</c:f>
              <c:numCache>
                <c:formatCode>0.0%</c:formatCode>
                <c:ptCount val="20"/>
                <c:pt idx="0">
                  <c:v>5.0000000000000001E-3</c:v>
                </c:pt>
                <c:pt idx="1">
                  <c:v>0.01</c:v>
                </c:pt>
                <c:pt idx="2">
                  <c:v>0.02</c:v>
                </c:pt>
                <c:pt idx="3">
                  <c:v>0.04</c:v>
                </c:pt>
                <c:pt idx="4">
                  <c:v>0.08</c:v>
                </c:pt>
                <c:pt idx="5">
                  <c:v>0.16</c:v>
                </c:pt>
                <c:pt idx="6">
                  <c:v>0.35</c:v>
                </c:pt>
                <c:pt idx="7">
                  <c:v>0.4</c:v>
                </c:pt>
                <c:pt idx="8">
                  <c:v>0.45</c:v>
                </c:pt>
                <c:pt idx="9">
                  <c:v>0.5</c:v>
                </c:pt>
                <c:pt idx="10">
                  <c:v>0.55000000000000004</c:v>
                </c:pt>
                <c:pt idx="11">
                  <c:v>0.6</c:v>
                </c:pt>
                <c:pt idx="12">
                  <c:v>0.65</c:v>
                </c:pt>
                <c:pt idx="13">
                  <c:v>0.7</c:v>
                </c:pt>
                <c:pt idx="14">
                  <c:v>0.75</c:v>
                </c:pt>
                <c:pt idx="15">
                  <c:v>0.8</c:v>
                </c:pt>
                <c:pt idx="16">
                  <c:v>0.85</c:v>
                </c:pt>
                <c:pt idx="17">
                  <c:v>0.9</c:v>
                </c:pt>
                <c:pt idx="18">
                  <c:v>0.95</c:v>
                </c:pt>
                <c:pt idx="19">
                  <c:v>1</c:v>
                </c:pt>
              </c:numCache>
            </c:numRef>
          </c:xVal>
          <c:yVal>
            <c:numRef>
              <c:f>'BT110'!$G$63:$G$82</c:f>
              <c:numCache>
                <c:formatCode>0.000</c:formatCode>
                <c:ptCount val="20"/>
                <c:pt idx="0">
                  <c:v>0.17790349595701249</c:v>
                </c:pt>
                <c:pt idx="1">
                  <c:v>0.1813781174122</c:v>
                </c:pt>
                <c:pt idx="2">
                  <c:v>0.1882415353952</c:v>
                </c:pt>
                <c:pt idx="3">
                  <c:v>0.20163062072320001</c:v>
                </c:pt>
                <c:pt idx="4">
                  <c:v>0.2271015667712</c:v>
                </c:pt>
                <c:pt idx="5">
                  <c:v>0.27315494993919998</c:v>
                </c:pt>
                <c:pt idx="6">
                  <c:v>0.36018045762499995</c:v>
                </c:pt>
                <c:pt idx="7">
                  <c:v>0.37869683200000004</c:v>
                </c:pt>
                <c:pt idx="8">
                  <c:v>0.39567835262500001</c:v>
                </c:pt>
                <c:pt idx="9">
                  <c:v>0.41126374999999998</c:v>
                </c:pt>
                <c:pt idx="10">
                  <c:v>0.42558443762500003</c:v>
                </c:pt>
                <c:pt idx="11">
                  <c:v>0.438764512</c:v>
                </c:pt>
                <c:pt idx="12">
                  <c:v>0.45092075262499998</c:v>
                </c:pt>
                <c:pt idx="13">
                  <c:v>0.46216262199999997</c:v>
                </c:pt>
                <c:pt idx="14">
                  <c:v>0.47259226562500006</c:v>
                </c:pt>
                <c:pt idx="15">
                  <c:v>0.48230451200000002</c:v>
                </c:pt>
                <c:pt idx="16">
                  <c:v>0.49138687262500008</c:v>
                </c:pt>
                <c:pt idx="17">
                  <c:v>0.49991954200000005</c:v>
                </c:pt>
                <c:pt idx="18">
                  <c:v>0.50797539762499999</c:v>
                </c:pt>
                <c:pt idx="19">
                  <c:v>0.51561999999999997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B9BA-4B1C-8B41-2CE5BF707F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5437312"/>
        <c:axId val="175439232"/>
      </c:scatterChart>
      <c:valAx>
        <c:axId val="175437312"/>
        <c:scaling>
          <c:orientation val="minMax"/>
          <c:max val="1"/>
          <c:min val="0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Percentage of Rated Cv</a:t>
                </a:r>
              </a:p>
            </c:rich>
          </c:tx>
          <c:layout>
            <c:manualLayout>
              <c:xMode val="edge"/>
              <c:yMode val="edge"/>
              <c:x val="0.39569090628377401"/>
              <c:y val="0.90636300209309284"/>
            </c:manualLayout>
          </c:layout>
          <c:overlay val="0"/>
        </c:title>
        <c:numFmt formatCode="0%" sourceLinked="0"/>
        <c:majorTickMark val="out"/>
        <c:minorTickMark val="none"/>
        <c:tickLblPos val="nextTo"/>
        <c:crossAx val="175439232"/>
        <c:crosses val="autoZero"/>
        <c:crossBetween val="midCat"/>
        <c:majorUnit val="0.1"/>
      </c:valAx>
      <c:valAx>
        <c:axId val="175439232"/>
        <c:scaling>
          <c:orientation val="minMax"/>
          <c:max val="1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Sizing Indices</a:t>
                </a:r>
              </a:p>
            </c:rich>
          </c:tx>
          <c:overlay val="0"/>
        </c:title>
        <c:numFmt formatCode="0.0" sourceLinked="0"/>
        <c:majorTickMark val="out"/>
        <c:minorTickMark val="none"/>
        <c:tickLblPos val="nextTo"/>
        <c:crossAx val="175437312"/>
        <c:crosses val="autoZero"/>
        <c:crossBetween val="midCat"/>
      </c:valAx>
    </c:plotArea>
    <c:legend>
      <c:legendPos val="b"/>
      <c:layout>
        <c:manualLayout>
          <c:xMode val="edge"/>
          <c:yMode val="edge"/>
          <c:x val="0.27599991177573391"/>
          <c:y val="0.943507979224116"/>
          <c:w val="0.44800017644853213"/>
          <c:h val="5.0866141732283494E-2"/>
        </c:manualLayout>
      </c:layout>
      <c:overlay val="0"/>
    </c:legend>
    <c:plotVisOnly val="1"/>
    <c:dispBlanksAs val="gap"/>
    <c:showDLblsOverMax val="0"/>
  </c:chart>
  <c:printSettings>
    <c:headerFooter/>
    <c:pageMargins b="0.75000000000000289" l="0.70000000000000062" r="0.70000000000000062" t="0.75000000000000289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Cv versus Travel</a:t>
            </a:r>
          </a:p>
        </c:rich>
      </c:tx>
      <c:overlay val="1"/>
    </c:title>
    <c:autoTitleDeleted val="0"/>
    <c:plotArea>
      <c:layout>
        <c:manualLayout>
          <c:layoutTarget val="inner"/>
          <c:xMode val="edge"/>
          <c:yMode val="edge"/>
          <c:x val="0.15855192787094091"/>
          <c:y val="8.7634700684248543E-2"/>
          <c:w val="0.7795862023523209"/>
          <c:h val="0.76189686987816485"/>
        </c:manualLayout>
      </c:layout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'BT210'!$C$59:$C$78</c:f>
              <c:numCache>
                <c:formatCode>0.0%</c:formatCode>
                <c:ptCount val="20"/>
                <c:pt idx="0">
                  <c:v>2.2159828774562278E-2</c:v>
                </c:pt>
                <c:pt idx="1">
                  <c:v>3.7932797039994151E-2</c:v>
                </c:pt>
                <c:pt idx="2">
                  <c:v>6.8221756362498984E-2</c:v>
                </c:pt>
                <c:pt idx="3">
                  <c:v>0.12404508240561375</c:v>
                </c:pt>
                <c:pt idx="4">
                  <c:v>0.21873444306464623</c:v>
                </c:pt>
                <c:pt idx="5">
                  <c:v>0.35486645031944541</c:v>
                </c:pt>
                <c:pt idx="6">
                  <c:v>0.52233910387897819</c:v>
                </c:pt>
                <c:pt idx="7">
                  <c:v>0.55117958153500457</c:v>
                </c:pt>
                <c:pt idx="8">
                  <c:v>0.57857490426418046</c:v>
                </c:pt>
                <c:pt idx="9">
                  <c:v>0.60592704581944412</c:v>
                </c:pt>
                <c:pt idx="10">
                  <c:v>0.63416057764608336</c:v>
                </c:pt>
                <c:pt idx="11">
                  <c:v>0.66384391714588398</c:v>
                </c:pt>
                <c:pt idx="12">
                  <c:v>0.69531057594128642</c:v>
                </c:pt>
                <c:pt idx="13">
                  <c:v>0.72878040813952449</c:v>
                </c:pt>
                <c:pt idx="14">
                  <c:v>0.76448085859678849</c:v>
                </c:pt>
                <c:pt idx="15">
                  <c:v>0.80276821118236485</c:v>
                </c:pt>
                <c:pt idx="16">
                  <c:v>0.84424883704279086</c:v>
                </c:pt>
                <c:pt idx="17">
                  <c:v>0.88990044286600367</c:v>
                </c:pt>
                <c:pt idx="18">
                  <c:v>0.94119331914549242</c:v>
                </c:pt>
                <c:pt idx="19">
                  <c:v>1.000211588444442</c:v>
                </c:pt>
              </c:numCache>
            </c:numRef>
          </c:xVal>
          <c:yVal>
            <c:numRef>
              <c:f>'BT210'!$B$59:$B$78</c:f>
              <c:numCache>
                <c:formatCode>0.0%</c:formatCode>
                <c:ptCount val="20"/>
                <c:pt idx="0">
                  <c:v>5.0000000000000001E-3</c:v>
                </c:pt>
                <c:pt idx="1">
                  <c:v>0.01</c:v>
                </c:pt>
                <c:pt idx="2">
                  <c:v>0.02</c:v>
                </c:pt>
                <c:pt idx="3">
                  <c:v>0.04</c:v>
                </c:pt>
                <c:pt idx="4">
                  <c:v>0.08</c:v>
                </c:pt>
                <c:pt idx="5">
                  <c:v>0.16</c:v>
                </c:pt>
                <c:pt idx="6">
                  <c:v>0.35</c:v>
                </c:pt>
                <c:pt idx="7">
                  <c:v>0.4</c:v>
                </c:pt>
                <c:pt idx="8">
                  <c:v>0.45</c:v>
                </c:pt>
                <c:pt idx="9">
                  <c:v>0.5</c:v>
                </c:pt>
                <c:pt idx="10">
                  <c:v>0.55000000000000004</c:v>
                </c:pt>
                <c:pt idx="11">
                  <c:v>0.6</c:v>
                </c:pt>
                <c:pt idx="12">
                  <c:v>0.65</c:v>
                </c:pt>
                <c:pt idx="13">
                  <c:v>0.7</c:v>
                </c:pt>
                <c:pt idx="14">
                  <c:v>0.75</c:v>
                </c:pt>
                <c:pt idx="15">
                  <c:v>0.8</c:v>
                </c:pt>
                <c:pt idx="16">
                  <c:v>0.85</c:v>
                </c:pt>
                <c:pt idx="17">
                  <c:v>0.9</c:v>
                </c:pt>
                <c:pt idx="18">
                  <c:v>0.95</c:v>
                </c:pt>
                <c:pt idx="19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691-48E4-8F37-398FB86EFF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5670016"/>
        <c:axId val="175671936"/>
      </c:scatterChart>
      <c:valAx>
        <c:axId val="175670016"/>
        <c:scaling>
          <c:orientation val="minMax"/>
          <c:max val="1"/>
          <c:min val="0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Valve Travel, % of Full Open</a:t>
                </a:r>
              </a:p>
            </c:rich>
          </c:tx>
          <c:overlay val="0"/>
        </c:title>
        <c:numFmt formatCode="0%" sourceLinked="0"/>
        <c:majorTickMark val="out"/>
        <c:minorTickMark val="none"/>
        <c:tickLblPos val="nextTo"/>
        <c:crossAx val="175671936"/>
        <c:crosses val="autoZero"/>
        <c:crossBetween val="midCat"/>
        <c:majorUnit val="0.1"/>
      </c:valAx>
      <c:valAx>
        <c:axId val="175671936"/>
        <c:scaling>
          <c:orientation val="minMax"/>
          <c:max val="1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Percentage of Rated Cv</a:t>
                </a:r>
              </a:p>
            </c:rich>
          </c:tx>
          <c:overlay val="0"/>
        </c:title>
        <c:numFmt formatCode="0%" sourceLinked="0"/>
        <c:majorTickMark val="out"/>
        <c:minorTickMark val="none"/>
        <c:tickLblPos val="nextTo"/>
        <c:crossAx val="17567001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211" l="0.70000000000000062" r="0.70000000000000062" t="0.75000000000000211" header="0.30000000000000032" footer="0.30000000000000032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Sizing Indices versus % of Rated Cv</a:t>
            </a:r>
          </a:p>
        </c:rich>
      </c:tx>
      <c:overlay val="1"/>
    </c:title>
    <c:autoTitleDeleted val="0"/>
    <c:plotArea>
      <c:layout>
        <c:manualLayout>
          <c:layoutTarget val="inner"/>
          <c:xMode val="edge"/>
          <c:yMode val="edge"/>
          <c:x val="0.14395001843247496"/>
          <c:y val="8.4908883107335853E-2"/>
          <c:w val="0.79482851712481384"/>
          <c:h val="0.7319581660607527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'BT210'!$D$58</c:f>
              <c:strCache>
                <c:ptCount val="1"/>
                <c:pt idx="0">
                  <c:v>FL</c:v>
                </c:pt>
              </c:strCache>
            </c:strRef>
          </c:tx>
          <c:spPr>
            <a:ln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'BT210'!$B$59:$B$78</c:f>
              <c:numCache>
                <c:formatCode>0.0%</c:formatCode>
                <c:ptCount val="20"/>
                <c:pt idx="0">
                  <c:v>5.0000000000000001E-3</c:v>
                </c:pt>
                <c:pt idx="1">
                  <c:v>0.01</c:v>
                </c:pt>
                <c:pt idx="2">
                  <c:v>0.02</c:v>
                </c:pt>
                <c:pt idx="3">
                  <c:v>0.04</c:v>
                </c:pt>
                <c:pt idx="4">
                  <c:v>0.08</c:v>
                </c:pt>
                <c:pt idx="5">
                  <c:v>0.16</c:v>
                </c:pt>
                <c:pt idx="6">
                  <c:v>0.35</c:v>
                </c:pt>
                <c:pt idx="7">
                  <c:v>0.4</c:v>
                </c:pt>
                <c:pt idx="8">
                  <c:v>0.45</c:v>
                </c:pt>
                <c:pt idx="9">
                  <c:v>0.5</c:v>
                </c:pt>
                <c:pt idx="10">
                  <c:v>0.55000000000000004</c:v>
                </c:pt>
                <c:pt idx="11">
                  <c:v>0.6</c:v>
                </c:pt>
                <c:pt idx="12">
                  <c:v>0.65</c:v>
                </c:pt>
                <c:pt idx="13">
                  <c:v>0.7</c:v>
                </c:pt>
                <c:pt idx="14">
                  <c:v>0.75</c:v>
                </c:pt>
                <c:pt idx="15">
                  <c:v>0.8</c:v>
                </c:pt>
                <c:pt idx="16">
                  <c:v>0.85</c:v>
                </c:pt>
                <c:pt idx="17">
                  <c:v>0.9</c:v>
                </c:pt>
                <c:pt idx="18">
                  <c:v>0.95</c:v>
                </c:pt>
                <c:pt idx="19">
                  <c:v>1</c:v>
                </c:pt>
              </c:numCache>
            </c:numRef>
          </c:xVal>
          <c:yVal>
            <c:numRef>
              <c:f>'BT210'!$D$59:$D$78</c:f>
              <c:numCache>
                <c:formatCode>0.000</c:formatCode>
                <c:ptCount val="20"/>
                <c:pt idx="0">
                  <c:v>0.87</c:v>
                </c:pt>
                <c:pt idx="1">
                  <c:v>0.87</c:v>
                </c:pt>
                <c:pt idx="2">
                  <c:v>0.87</c:v>
                </c:pt>
                <c:pt idx="3">
                  <c:v>0.87</c:v>
                </c:pt>
                <c:pt idx="4">
                  <c:v>0.87</c:v>
                </c:pt>
                <c:pt idx="5">
                  <c:v>0.87</c:v>
                </c:pt>
                <c:pt idx="6">
                  <c:v>0.84216391937500001</c:v>
                </c:pt>
                <c:pt idx="7">
                  <c:v>0.82447855999999997</c:v>
                </c:pt>
                <c:pt idx="8">
                  <c:v>0.80319346937500002</c:v>
                </c:pt>
                <c:pt idx="9">
                  <c:v>0.77861875000000003</c:v>
                </c:pt>
                <c:pt idx="10">
                  <c:v>0.75124916937499997</c:v>
                </c:pt>
                <c:pt idx="11">
                  <c:v>0.72176415999999999</c:v>
                </c:pt>
                <c:pt idx="12">
                  <c:v>0.69102781937499991</c:v>
                </c:pt>
                <c:pt idx="13">
                  <c:v>0.66008891000000003</c:v>
                </c:pt>
                <c:pt idx="14">
                  <c:v>0.63018085937500001</c:v>
                </c:pt>
                <c:pt idx="15">
                  <c:v>0.60272176000000011</c:v>
                </c:pt>
                <c:pt idx="16">
                  <c:v>0.57931436937500003</c:v>
                </c:pt>
                <c:pt idx="17">
                  <c:v>0.56174611000000008</c:v>
                </c:pt>
                <c:pt idx="18">
                  <c:v>0.55198906937500025</c:v>
                </c:pt>
                <c:pt idx="19">
                  <c:v>0.55220000000000002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055-4557-9B9B-4DE19605DE2D}"/>
            </c:ext>
          </c:extLst>
        </c:ser>
        <c:ser>
          <c:idx val="1"/>
          <c:order val="1"/>
          <c:tx>
            <c:strRef>
              <c:f>'BT210'!$E$58</c:f>
              <c:strCache>
                <c:ptCount val="1"/>
                <c:pt idx="0">
                  <c:v>xT</c:v>
                </c:pt>
              </c:strCache>
            </c:strRef>
          </c:tx>
          <c:marker>
            <c:symbol val="none"/>
          </c:marker>
          <c:xVal>
            <c:numRef>
              <c:f>'BT210'!$B$59:$B$78</c:f>
              <c:numCache>
                <c:formatCode>0.0%</c:formatCode>
                <c:ptCount val="20"/>
                <c:pt idx="0">
                  <c:v>5.0000000000000001E-3</c:v>
                </c:pt>
                <c:pt idx="1">
                  <c:v>0.01</c:v>
                </c:pt>
                <c:pt idx="2">
                  <c:v>0.02</c:v>
                </c:pt>
                <c:pt idx="3">
                  <c:v>0.04</c:v>
                </c:pt>
                <c:pt idx="4">
                  <c:v>0.08</c:v>
                </c:pt>
                <c:pt idx="5">
                  <c:v>0.16</c:v>
                </c:pt>
                <c:pt idx="6">
                  <c:v>0.35</c:v>
                </c:pt>
                <c:pt idx="7">
                  <c:v>0.4</c:v>
                </c:pt>
                <c:pt idx="8">
                  <c:v>0.45</c:v>
                </c:pt>
                <c:pt idx="9">
                  <c:v>0.5</c:v>
                </c:pt>
                <c:pt idx="10">
                  <c:v>0.55000000000000004</c:v>
                </c:pt>
                <c:pt idx="11">
                  <c:v>0.6</c:v>
                </c:pt>
                <c:pt idx="12">
                  <c:v>0.65</c:v>
                </c:pt>
                <c:pt idx="13">
                  <c:v>0.7</c:v>
                </c:pt>
                <c:pt idx="14">
                  <c:v>0.75</c:v>
                </c:pt>
                <c:pt idx="15">
                  <c:v>0.8</c:v>
                </c:pt>
                <c:pt idx="16">
                  <c:v>0.85</c:v>
                </c:pt>
                <c:pt idx="17">
                  <c:v>0.9</c:v>
                </c:pt>
                <c:pt idx="18">
                  <c:v>0.95</c:v>
                </c:pt>
                <c:pt idx="19">
                  <c:v>1</c:v>
                </c:pt>
              </c:numCache>
            </c:numRef>
          </c:xVal>
          <c:yVal>
            <c:numRef>
              <c:f>'BT210'!$E$59:$E$78</c:f>
              <c:numCache>
                <c:formatCode>0.000</c:formatCode>
                <c:ptCount val="20"/>
                <c:pt idx="0">
                  <c:v>0.63579600000000003</c:v>
                </c:pt>
                <c:pt idx="1">
                  <c:v>0.63579600000000003</c:v>
                </c:pt>
                <c:pt idx="2">
                  <c:v>0.63579600000000003</c:v>
                </c:pt>
                <c:pt idx="3">
                  <c:v>0.63579600000000003</c:v>
                </c:pt>
                <c:pt idx="4">
                  <c:v>0.63579600000000003</c:v>
                </c:pt>
                <c:pt idx="5">
                  <c:v>0.63579600000000003</c:v>
                </c:pt>
                <c:pt idx="6">
                  <c:v>0.59576165636153167</c:v>
                </c:pt>
                <c:pt idx="7">
                  <c:v>0.57100251255572576</c:v>
                </c:pt>
                <c:pt idx="8">
                  <c:v>0.54190058936718521</c:v>
                </c:pt>
                <c:pt idx="9">
                  <c:v>0.50924761259531259</c:v>
                </c:pt>
                <c:pt idx="10">
                  <c:v>0.474075264168767</c:v>
                </c:pt>
                <c:pt idx="11">
                  <c:v>0.43759254223482469</c:v>
                </c:pt>
                <c:pt idx="12">
                  <c:v>0.40111633560614068</c:v>
                </c:pt>
                <c:pt idx="13">
                  <c:v>0.36600259004819002</c:v>
                </c:pt>
                <c:pt idx="14">
                  <c:v>0.3335874490389954</c:v>
                </c:pt>
                <c:pt idx="15">
                  <c:v>0.30514975678109807</c:v>
                </c:pt>
                <c:pt idx="16">
                  <c:v>0.28190831639405733</c:v>
                </c:pt>
                <c:pt idx="17">
                  <c:v>0.26506930136411105</c:v>
                </c:pt>
                <c:pt idx="18">
                  <c:v>0.25594122347596221</c:v>
                </c:pt>
                <c:pt idx="19">
                  <c:v>0.25613686560000004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A055-4557-9B9B-4DE19605DE2D}"/>
            </c:ext>
          </c:extLst>
        </c:ser>
        <c:ser>
          <c:idx val="2"/>
          <c:order val="2"/>
          <c:tx>
            <c:strRef>
              <c:f>'BT210'!$F$58</c:f>
              <c:strCache>
                <c:ptCount val="1"/>
                <c:pt idx="0">
                  <c:v>Kc</c:v>
                </c:pt>
              </c:strCache>
            </c:strRef>
          </c:tx>
          <c:spPr>
            <a:ln>
              <a:solidFill>
                <a:srgbClr val="0070C0"/>
              </a:solidFill>
            </a:ln>
          </c:spPr>
          <c:marker>
            <c:symbol val="none"/>
          </c:marker>
          <c:xVal>
            <c:numRef>
              <c:f>'BT210'!$B$59:$B$78</c:f>
              <c:numCache>
                <c:formatCode>0.0%</c:formatCode>
                <c:ptCount val="20"/>
                <c:pt idx="0">
                  <c:v>5.0000000000000001E-3</c:v>
                </c:pt>
                <c:pt idx="1">
                  <c:v>0.01</c:v>
                </c:pt>
                <c:pt idx="2">
                  <c:v>0.02</c:v>
                </c:pt>
                <c:pt idx="3">
                  <c:v>0.04</c:v>
                </c:pt>
                <c:pt idx="4">
                  <c:v>0.08</c:v>
                </c:pt>
                <c:pt idx="5">
                  <c:v>0.16</c:v>
                </c:pt>
                <c:pt idx="6">
                  <c:v>0.35</c:v>
                </c:pt>
                <c:pt idx="7">
                  <c:v>0.4</c:v>
                </c:pt>
                <c:pt idx="8">
                  <c:v>0.45</c:v>
                </c:pt>
                <c:pt idx="9">
                  <c:v>0.5</c:v>
                </c:pt>
                <c:pt idx="10">
                  <c:v>0.55000000000000004</c:v>
                </c:pt>
                <c:pt idx="11">
                  <c:v>0.6</c:v>
                </c:pt>
                <c:pt idx="12">
                  <c:v>0.65</c:v>
                </c:pt>
                <c:pt idx="13">
                  <c:v>0.7</c:v>
                </c:pt>
                <c:pt idx="14">
                  <c:v>0.75</c:v>
                </c:pt>
                <c:pt idx="15">
                  <c:v>0.8</c:v>
                </c:pt>
                <c:pt idx="16">
                  <c:v>0.85</c:v>
                </c:pt>
                <c:pt idx="17">
                  <c:v>0.9</c:v>
                </c:pt>
                <c:pt idx="18">
                  <c:v>0.95</c:v>
                </c:pt>
                <c:pt idx="19">
                  <c:v>1</c:v>
                </c:pt>
              </c:numCache>
            </c:numRef>
          </c:xVal>
          <c:yVal>
            <c:numRef>
              <c:f>'BT210'!$F$59:$F$78</c:f>
              <c:numCache>
                <c:formatCode>0.000</c:formatCode>
                <c:ptCount val="20"/>
                <c:pt idx="0">
                  <c:v>0.54500000000000004</c:v>
                </c:pt>
                <c:pt idx="1">
                  <c:v>0.54500000000000004</c:v>
                </c:pt>
                <c:pt idx="2">
                  <c:v>0.54500000000000004</c:v>
                </c:pt>
                <c:pt idx="3">
                  <c:v>0.54500000000000004</c:v>
                </c:pt>
                <c:pt idx="4">
                  <c:v>0.54500000000000004</c:v>
                </c:pt>
                <c:pt idx="5">
                  <c:v>0.54500000000000004</c:v>
                </c:pt>
                <c:pt idx="6">
                  <c:v>0.50682187187499994</c:v>
                </c:pt>
                <c:pt idx="7">
                  <c:v>0.48726079999999994</c:v>
                </c:pt>
                <c:pt idx="8">
                  <c:v>0.46402777187499999</c:v>
                </c:pt>
                <c:pt idx="9">
                  <c:v>0.43751874999999996</c:v>
                </c:pt>
                <c:pt idx="10">
                  <c:v>0.40831982187499993</c:v>
                </c:pt>
                <c:pt idx="11">
                  <c:v>0.37720719999999996</c:v>
                </c:pt>
                <c:pt idx="12">
                  <c:v>0.34514722187499991</c:v>
                </c:pt>
                <c:pt idx="13">
                  <c:v>0.31329635000000006</c:v>
                </c:pt>
                <c:pt idx="14">
                  <c:v>0.28300117187499996</c:v>
                </c:pt>
                <c:pt idx="15">
                  <c:v>0.25579839999999998</c:v>
                </c:pt>
                <c:pt idx="16">
                  <c:v>0.23341487187500004</c:v>
                </c:pt>
                <c:pt idx="17">
                  <c:v>0.21776755000000003</c:v>
                </c:pt>
                <c:pt idx="18">
                  <c:v>0.21096352187500034</c:v>
                </c:pt>
                <c:pt idx="19">
                  <c:v>0.21530000000000005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A055-4557-9B9B-4DE19605DE2D}"/>
            </c:ext>
          </c:extLst>
        </c:ser>
        <c:ser>
          <c:idx val="3"/>
          <c:order val="3"/>
          <c:tx>
            <c:strRef>
              <c:f>'BT210'!$G$58</c:f>
              <c:strCache>
                <c:ptCount val="1"/>
                <c:pt idx="0">
                  <c:v>Fd</c:v>
                </c:pt>
              </c:strCache>
            </c:strRef>
          </c:tx>
          <c:spPr>
            <a:ln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'BT210'!$B$59:$B$78</c:f>
              <c:numCache>
                <c:formatCode>0.0%</c:formatCode>
                <c:ptCount val="20"/>
                <c:pt idx="0">
                  <c:v>5.0000000000000001E-3</c:v>
                </c:pt>
                <c:pt idx="1">
                  <c:v>0.01</c:v>
                </c:pt>
                <c:pt idx="2">
                  <c:v>0.02</c:v>
                </c:pt>
                <c:pt idx="3">
                  <c:v>0.04</c:v>
                </c:pt>
                <c:pt idx="4">
                  <c:v>0.08</c:v>
                </c:pt>
                <c:pt idx="5">
                  <c:v>0.16</c:v>
                </c:pt>
                <c:pt idx="6">
                  <c:v>0.35</c:v>
                </c:pt>
                <c:pt idx="7">
                  <c:v>0.4</c:v>
                </c:pt>
                <c:pt idx="8">
                  <c:v>0.45</c:v>
                </c:pt>
                <c:pt idx="9">
                  <c:v>0.5</c:v>
                </c:pt>
                <c:pt idx="10">
                  <c:v>0.55000000000000004</c:v>
                </c:pt>
                <c:pt idx="11">
                  <c:v>0.6</c:v>
                </c:pt>
                <c:pt idx="12">
                  <c:v>0.65</c:v>
                </c:pt>
                <c:pt idx="13">
                  <c:v>0.7</c:v>
                </c:pt>
                <c:pt idx="14">
                  <c:v>0.75</c:v>
                </c:pt>
                <c:pt idx="15">
                  <c:v>0.8</c:v>
                </c:pt>
                <c:pt idx="16">
                  <c:v>0.85</c:v>
                </c:pt>
                <c:pt idx="17">
                  <c:v>0.9</c:v>
                </c:pt>
                <c:pt idx="18">
                  <c:v>0.95</c:v>
                </c:pt>
                <c:pt idx="19">
                  <c:v>1</c:v>
                </c:pt>
              </c:numCache>
            </c:numRef>
          </c:xVal>
          <c:yVal>
            <c:numRef>
              <c:f>'BT210'!$G$59:$G$78</c:f>
              <c:numCache>
                <c:formatCode>0.000</c:formatCode>
                <c:ptCount val="20"/>
                <c:pt idx="0">
                  <c:v>0.18137761738725</c:v>
                </c:pt>
                <c:pt idx="1">
                  <c:v>0.18824053519600001</c:v>
                </c:pt>
                <c:pt idx="2">
                  <c:v>0.201628619136</c:v>
                </c:pt>
                <c:pt idx="3">
                  <c:v>0.227097554176</c:v>
                </c:pt>
                <c:pt idx="4">
                  <c:v>0.27314685081599999</c:v>
                </c:pt>
                <c:pt idx="5">
                  <c:v>0.34825668505599999</c:v>
                </c:pt>
                <c:pt idx="6">
                  <c:v>0.46212024749999991</c:v>
                </c:pt>
                <c:pt idx="7">
                  <c:v>0.48225375999999992</c:v>
                </c:pt>
                <c:pt idx="8">
                  <c:v>0.49985959750000003</c:v>
                </c:pt>
                <c:pt idx="9">
                  <c:v>0.51554999999999995</c:v>
                </c:pt>
                <c:pt idx="10">
                  <c:v>0.52982014750000006</c:v>
                </c:pt>
                <c:pt idx="11">
                  <c:v>0.54304816</c:v>
                </c:pt>
                <c:pt idx="12">
                  <c:v>0.55549509750000003</c:v>
                </c:pt>
                <c:pt idx="13">
                  <c:v>0.56730495999999975</c:v>
                </c:pt>
                <c:pt idx="14">
                  <c:v>0.57850468749999995</c:v>
                </c:pt>
                <c:pt idx="15">
                  <c:v>0.58900415999999967</c:v>
                </c:pt>
                <c:pt idx="16">
                  <c:v>0.59859619749999993</c:v>
                </c:pt>
                <c:pt idx="17">
                  <c:v>0.60695655999999987</c:v>
                </c:pt>
                <c:pt idx="18">
                  <c:v>0.6136439474999994</c:v>
                </c:pt>
                <c:pt idx="19">
                  <c:v>0.61809999999999976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A055-4557-9B9B-4DE19605DE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5592192"/>
        <c:axId val="175594112"/>
      </c:scatterChart>
      <c:valAx>
        <c:axId val="175592192"/>
        <c:scaling>
          <c:orientation val="minMax"/>
          <c:max val="1"/>
          <c:min val="0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Percentage of Rated Cv</a:t>
                </a:r>
              </a:p>
            </c:rich>
          </c:tx>
          <c:layout>
            <c:manualLayout>
              <c:xMode val="edge"/>
              <c:yMode val="edge"/>
              <c:x val="0.3944423480885873"/>
              <c:y val="0.89120947408926177"/>
            </c:manualLayout>
          </c:layout>
          <c:overlay val="0"/>
        </c:title>
        <c:numFmt formatCode="0%" sourceLinked="0"/>
        <c:majorTickMark val="out"/>
        <c:minorTickMark val="none"/>
        <c:tickLblPos val="nextTo"/>
        <c:crossAx val="175594112"/>
        <c:crosses val="autoZero"/>
        <c:crossBetween val="midCat"/>
        <c:majorUnit val="0.1"/>
      </c:valAx>
      <c:valAx>
        <c:axId val="175594112"/>
        <c:scaling>
          <c:orientation val="minMax"/>
          <c:max val="1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Sizing Indices</a:t>
                </a:r>
              </a:p>
            </c:rich>
          </c:tx>
          <c:overlay val="0"/>
        </c:title>
        <c:numFmt formatCode="0.0" sourceLinked="0"/>
        <c:majorTickMark val="out"/>
        <c:minorTickMark val="none"/>
        <c:tickLblPos val="nextTo"/>
        <c:crossAx val="175592192"/>
        <c:crosses val="autoZero"/>
        <c:crossBetween val="midCat"/>
      </c:valAx>
    </c:plotArea>
    <c:legend>
      <c:legendPos val="b"/>
      <c:layout>
        <c:manualLayout>
          <c:xMode val="edge"/>
          <c:yMode val="edge"/>
          <c:x val="0.27924633784986996"/>
          <c:y val="0.93557136867738355"/>
          <c:w val="0.44150732430026152"/>
          <c:h val="5.2758317682937393E-2"/>
        </c:manualLayout>
      </c:layout>
      <c:overlay val="0"/>
    </c:legend>
    <c:plotVisOnly val="1"/>
    <c:dispBlanksAs val="gap"/>
    <c:showDLblsOverMax val="0"/>
  </c:chart>
  <c:printSettings>
    <c:headerFooter/>
    <c:pageMargins b="0.75000000000000211" l="0.70000000000000062" r="0.70000000000000062" t="0.75000000000000211" header="0.30000000000000032" footer="0.30000000000000032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png"/><Relationship Id="rId2" Type="http://schemas.openxmlformats.org/officeDocument/2006/relationships/chart" Target="../charts/chart12.xml"/><Relationship Id="rId1" Type="http://schemas.openxmlformats.org/officeDocument/2006/relationships/chart" Target="../charts/chart11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7.png"/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image" Target="../media/image8.png"/><Relationship Id="rId2" Type="http://schemas.openxmlformats.org/officeDocument/2006/relationships/chart" Target="../charts/chart16.xml"/><Relationship Id="rId1" Type="http://schemas.openxmlformats.org/officeDocument/2006/relationships/chart" Target="../charts/chart15.xm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image" Target="../media/image9.png"/><Relationship Id="rId2" Type="http://schemas.openxmlformats.org/officeDocument/2006/relationships/chart" Target="../charts/chart18.xml"/><Relationship Id="rId1" Type="http://schemas.openxmlformats.org/officeDocument/2006/relationships/chart" Target="../charts/chart17.xml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image" Target="../media/image10.png"/><Relationship Id="rId2" Type="http://schemas.openxmlformats.org/officeDocument/2006/relationships/chart" Target="../charts/chart20.xml"/><Relationship Id="rId1" Type="http://schemas.openxmlformats.org/officeDocument/2006/relationships/chart" Target="../charts/chart19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9260</xdr:colOff>
      <xdr:row>122</xdr:row>
      <xdr:rowOff>0</xdr:rowOff>
    </xdr:from>
    <xdr:to>
      <xdr:col>19</xdr:col>
      <xdr:colOff>2382</xdr:colOff>
      <xdr:row>150</xdr:row>
      <xdr:rowOff>9526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10319</xdr:colOff>
      <xdr:row>122</xdr:row>
      <xdr:rowOff>4495</xdr:rowOff>
    </xdr:from>
    <xdr:to>
      <xdr:col>13</xdr:col>
      <xdr:colOff>11907</xdr:colOff>
      <xdr:row>150</xdr:row>
      <xdr:rowOff>11906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9</xdr:col>
      <xdr:colOff>15976</xdr:colOff>
      <xdr:row>1</xdr:row>
      <xdr:rowOff>152400</xdr:rowOff>
    </xdr:from>
    <xdr:to>
      <xdr:col>13</xdr:col>
      <xdr:colOff>266700</xdr:colOff>
      <xdr:row>39</xdr:row>
      <xdr:rowOff>103978</xdr:rowOff>
    </xdr:to>
    <xdr:pic>
      <xdr:nvPicPr>
        <xdr:cNvPr id="4" name="Picture 3" descr="501G.bmp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6340576" y="352425"/>
          <a:ext cx="3298724" cy="6104728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9260</xdr:colOff>
      <xdr:row>115</xdr:row>
      <xdr:rowOff>0</xdr:rowOff>
    </xdr:from>
    <xdr:to>
      <xdr:col>19</xdr:col>
      <xdr:colOff>2382</xdr:colOff>
      <xdr:row>143</xdr:row>
      <xdr:rowOff>9526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10319</xdr:colOff>
      <xdr:row>115</xdr:row>
      <xdr:rowOff>4495</xdr:rowOff>
    </xdr:from>
    <xdr:to>
      <xdr:col>13</xdr:col>
      <xdr:colOff>11907</xdr:colOff>
      <xdr:row>143</xdr:row>
      <xdr:rowOff>11906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9</xdr:col>
      <xdr:colOff>9525</xdr:colOff>
      <xdr:row>2</xdr:row>
      <xdr:rowOff>9525</xdr:rowOff>
    </xdr:from>
    <xdr:to>
      <xdr:col>13</xdr:col>
      <xdr:colOff>114300</xdr:colOff>
      <xdr:row>41</xdr:row>
      <xdr:rowOff>152553</xdr:rowOff>
    </xdr:to>
    <xdr:pic>
      <xdr:nvPicPr>
        <xdr:cNvPr id="4" name="Picture 3" descr="550G.bmp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6334125" y="371475"/>
          <a:ext cx="3152775" cy="6458103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9260</xdr:colOff>
      <xdr:row>80</xdr:row>
      <xdr:rowOff>0</xdr:rowOff>
    </xdr:from>
    <xdr:to>
      <xdr:col>19</xdr:col>
      <xdr:colOff>0</xdr:colOff>
      <xdr:row>108</xdr:row>
      <xdr:rowOff>9526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10319</xdr:colOff>
      <xdr:row>80</xdr:row>
      <xdr:rowOff>4495</xdr:rowOff>
    </xdr:from>
    <xdr:to>
      <xdr:col>13</xdr:col>
      <xdr:colOff>11907</xdr:colOff>
      <xdr:row>108</xdr:row>
      <xdr:rowOff>11906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16</xdr:col>
      <xdr:colOff>476250</xdr:colOff>
      <xdr:row>2</xdr:row>
      <xdr:rowOff>57149</xdr:rowOff>
    </xdr:from>
    <xdr:to>
      <xdr:col>20</xdr:col>
      <xdr:colOff>495300</xdr:colOff>
      <xdr:row>41</xdr:row>
      <xdr:rowOff>38451</xdr:rowOff>
    </xdr:to>
    <xdr:pic>
      <xdr:nvPicPr>
        <xdr:cNvPr id="4" name="Picture 3" descr="501T.bmp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12134850" y="419099"/>
          <a:ext cx="3067050" cy="6296377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19050</xdr:colOff>
      <xdr:row>32</xdr:row>
      <xdr:rowOff>9524</xdr:rowOff>
    </xdr:from>
    <xdr:to>
      <xdr:col>12</xdr:col>
      <xdr:colOff>761999</xdr:colOff>
      <xdr:row>59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0</xdr:colOff>
      <xdr:row>32</xdr:row>
      <xdr:rowOff>9526</xdr:rowOff>
    </xdr:from>
    <xdr:to>
      <xdr:col>18</xdr:col>
      <xdr:colOff>752475</xdr:colOff>
      <xdr:row>58</xdr:row>
      <xdr:rowOff>152400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14</xdr:col>
      <xdr:colOff>22512</xdr:colOff>
      <xdr:row>0</xdr:row>
      <xdr:rowOff>200024</xdr:rowOff>
    </xdr:from>
    <xdr:to>
      <xdr:col>16</xdr:col>
      <xdr:colOff>727075</xdr:colOff>
      <xdr:row>29</xdr:row>
      <xdr:rowOff>105146</xdr:rowOff>
    </xdr:to>
    <xdr:pic>
      <xdr:nvPicPr>
        <xdr:cNvPr id="4" name="Picture 3" descr="520T.bmp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10166637" y="200024"/>
          <a:ext cx="2273013" cy="4651747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9524</xdr:colOff>
      <xdr:row>42</xdr:row>
      <xdr:rowOff>4762</xdr:rowOff>
    </xdr:from>
    <xdr:to>
      <xdr:col>12</xdr:col>
      <xdr:colOff>742949</xdr:colOff>
      <xdr:row>68</xdr:row>
      <xdr:rowOff>152400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757237</xdr:colOff>
      <xdr:row>42</xdr:row>
      <xdr:rowOff>30956</xdr:rowOff>
    </xdr:from>
    <xdr:to>
      <xdr:col>19</xdr:col>
      <xdr:colOff>85725</xdr:colOff>
      <xdr:row>68</xdr:row>
      <xdr:rowOff>152400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14</xdr:col>
      <xdr:colOff>19050</xdr:colOff>
      <xdr:row>1</xdr:row>
      <xdr:rowOff>0</xdr:rowOff>
    </xdr:from>
    <xdr:to>
      <xdr:col>17</xdr:col>
      <xdr:colOff>457199</xdr:colOff>
      <xdr:row>40</xdr:row>
      <xdr:rowOff>74039</xdr:rowOff>
    </xdr:to>
    <xdr:pic>
      <xdr:nvPicPr>
        <xdr:cNvPr id="4" name="Picture 3" descr="500R.bmp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10163175" y="200025"/>
          <a:ext cx="2724149" cy="6389114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9525</xdr:colOff>
      <xdr:row>38</xdr:row>
      <xdr:rowOff>28575</xdr:rowOff>
    </xdr:from>
    <xdr:to>
      <xdr:col>12</xdr:col>
      <xdr:colOff>733425</xdr:colOff>
      <xdr:row>64</xdr:row>
      <xdr:rowOff>142874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9525</xdr:colOff>
      <xdr:row>38</xdr:row>
      <xdr:rowOff>28576</xdr:rowOff>
    </xdr:from>
    <xdr:to>
      <xdr:col>18</xdr:col>
      <xdr:colOff>733425</xdr:colOff>
      <xdr:row>64</xdr:row>
      <xdr:rowOff>133350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13</xdr:col>
      <xdr:colOff>742950</xdr:colOff>
      <xdr:row>0</xdr:row>
      <xdr:rowOff>209551</xdr:rowOff>
    </xdr:from>
    <xdr:to>
      <xdr:col>18</xdr:col>
      <xdr:colOff>285750</xdr:colOff>
      <xdr:row>36</xdr:row>
      <xdr:rowOff>114226</xdr:rowOff>
    </xdr:to>
    <xdr:pic>
      <xdr:nvPicPr>
        <xdr:cNvPr id="4" name="Picture 3" descr="210C.bmp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10106025" y="209551"/>
          <a:ext cx="3352800" cy="5781600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41</xdr:row>
      <xdr:rowOff>0</xdr:rowOff>
    </xdr:from>
    <xdr:to>
      <xdr:col>12</xdr:col>
      <xdr:colOff>742950</xdr:colOff>
      <xdr:row>67</xdr:row>
      <xdr:rowOff>152400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754856</xdr:colOff>
      <xdr:row>40</xdr:row>
      <xdr:rowOff>159543</xdr:rowOff>
    </xdr:from>
    <xdr:to>
      <xdr:col>18</xdr:col>
      <xdr:colOff>619125</xdr:colOff>
      <xdr:row>67</xdr:row>
      <xdr:rowOff>133349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14</xdr:col>
      <xdr:colOff>19803</xdr:colOff>
      <xdr:row>1</xdr:row>
      <xdr:rowOff>19050</xdr:rowOff>
    </xdr:from>
    <xdr:to>
      <xdr:col>18</xdr:col>
      <xdr:colOff>727988</xdr:colOff>
      <xdr:row>39</xdr:row>
      <xdr:rowOff>152400</xdr:rowOff>
    </xdr:to>
    <xdr:pic>
      <xdr:nvPicPr>
        <xdr:cNvPr id="4" name="Picture 3" descr="220E.bmp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10287753" y="209550"/>
          <a:ext cx="3768885" cy="6286500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9525</xdr:colOff>
      <xdr:row>55</xdr:row>
      <xdr:rowOff>0</xdr:rowOff>
    </xdr:from>
    <xdr:to>
      <xdr:col>12</xdr:col>
      <xdr:colOff>752474</xdr:colOff>
      <xdr:row>81</xdr:row>
      <xdr:rowOff>152400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9524</xdr:colOff>
      <xdr:row>55</xdr:row>
      <xdr:rowOff>9526</xdr:rowOff>
    </xdr:from>
    <xdr:to>
      <xdr:col>18</xdr:col>
      <xdr:colOff>723900</xdr:colOff>
      <xdr:row>81</xdr:row>
      <xdr:rowOff>152400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7</xdr:col>
      <xdr:colOff>752475</xdr:colOff>
      <xdr:row>0</xdr:row>
      <xdr:rowOff>219074</xdr:rowOff>
    </xdr:from>
    <xdr:to>
      <xdr:col>12</xdr:col>
      <xdr:colOff>66675</xdr:colOff>
      <xdr:row>40</xdr:row>
      <xdr:rowOff>145133</xdr:rowOff>
    </xdr:to>
    <xdr:pic>
      <xdr:nvPicPr>
        <xdr:cNvPr id="4" name="Picture 3" descr="600B.bmp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5543550" y="219074"/>
          <a:ext cx="3124200" cy="6460209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19051</xdr:colOff>
      <xdr:row>58</xdr:row>
      <xdr:rowOff>9524</xdr:rowOff>
    </xdr:from>
    <xdr:to>
      <xdr:col>13</xdr:col>
      <xdr:colOff>19051</xdr:colOff>
      <xdr:row>85</xdr:row>
      <xdr:rowOff>161924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19051</xdr:colOff>
      <xdr:row>58</xdr:row>
      <xdr:rowOff>9525</xdr:rowOff>
    </xdr:from>
    <xdr:to>
      <xdr:col>18</xdr:col>
      <xdr:colOff>742951</xdr:colOff>
      <xdr:row>85</xdr:row>
      <xdr:rowOff>152400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11</xdr:col>
      <xdr:colOff>761755</xdr:colOff>
      <xdr:row>1</xdr:row>
      <xdr:rowOff>9525</xdr:rowOff>
    </xdr:from>
    <xdr:to>
      <xdr:col>20</xdr:col>
      <xdr:colOff>47625</xdr:colOff>
      <xdr:row>43</xdr:row>
      <xdr:rowOff>103373</xdr:rowOff>
    </xdr:to>
    <xdr:pic>
      <xdr:nvPicPr>
        <xdr:cNvPr id="4" name="Picture 3" descr="600S.bmp">
          <a:extLst>
            <a:ext uri="{FF2B5EF4-FFF2-40B4-BE49-F238E27FC236}">
              <a16:creationId xmlns:a16="http://schemas.microsoft.com/office/drawing/2014/main" id="{00000000-0008-0000-0B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8657980" y="219075"/>
          <a:ext cx="6143870" cy="6894698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9525</xdr:colOff>
      <xdr:row>55</xdr:row>
      <xdr:rowOff>0</xdr:rowOff>
    </xdr:from>
    <xdr:to>
      <xdr:col>12</xdr:col>
      <xdr:colOff>752475</xdr:colOff>
      <xdr:row>81</xdr:row>
      <xdr:rowOff>152400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752474</xdr:colOff>
      <xdr:row>55</xdr:row>
      <xdr:rowOff>9524</xdr:rowOff>
    </xdr:from>
    <xdr:to>
      <xdr:col>19</xdr:col>
      <xdr:colOff>19050</xdr:colOff>
      <xdr:row>81</xdr:row>
      <xdr:rowOff>152399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7</xdr:col>
      <xdr:colOff>66675</xdr:colOff>
      <xdr:row>0</xdr:row>
      <xdr:rowOff>209549</xdr:rowOff>
    </xdr:from>
    <xdr:to>
      <xdr:col>11</xdr:col>
      <xdr:colOff>314324</xdr:colOff>
      <xdr:row>40</xdr:row>
      <xdr:rowOff>109194</xdr:rowOff>
    </xdr:to>
    <xdr:pic>
      <xdr:nvPicPr>
        <xdr:cNvPr id="4" name="Picture 3" descr="710E.bmp">
          <a:extLst>
            <a:ext uri="{FF2B5EF4-FFF2-40B4-BE49-F238E27FC236}">
              <a16:creationId xmlns:a16="http://schemas.microsoft.com/office/drawing/2014/main" id="{00000000-0008-0000-0C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4857750" y="209549"/>
          <a:ext cx="3295649" cy="6414745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customProperty" Target="../customProperty1.bin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customProperty" Target="../customProperty2.bin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customProperty" Target="../customProperty3.bin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customProperty" Target="../customProperty4.bin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customProperty" Target="../customProperty5.bin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customProperty" Target="../customProperty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customProperty" Target="../customProperty7.bin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customProperty" Target="../customProperty8.bin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customProperty" Target="../customProperty9.bin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customProperty" Target="../customProperty10.bin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customProperty" Target="../customProperty11.bin"/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12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customProperty" Target="../customProperty13.bin"/><Relationship Id="rId1" Type="http://schemas.openxmlformats.org/officeDocument/2006/relationships/printerSettings" Target="../printerSettings/printerSettings11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14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customProperty" Target="../customProperty15.bin"/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X191"/>
  <sheetViews>
    <sheetView workbookViewId="0">
      <selection activeCell="J44" sqref="J44"/>
    </sheetView>
  </sheetViews>
  <sheetFormatPr defaultColWidth="8.84375" defaultRowHeight="12.75" customHeight="1"/>
  <cols>
    <col min="1" max="1" width="2.765625" style="15" customWidth="1"/>
    <col min="2" max="2" width="8.765625" style="15" customWidth="1"/>
    <col min="3" max="16384" width="8.84375" style="15"/>
  </cols>
  <sheetData>
    <row r="1" spans="2:8" ht="16.5">
      <c r="B1" s="30" t="s">
        <v>237</v>
      </c>
      <c r="C1" s="30"/>
      <c r="D1" s="30"/>
    </row>
    <row r="3" spans="2:8" ht="12.75" customHeight="1">
      <c r="B3" s="33" t="s">
        <v>0</v>
      </c>
    </row>
    <row r="4" spans="2:8" ht="12.75" customHeight="1">
      <c r="C4" s="33" t="s">
        <v>81</v>
      </c>
      <c r="E4" s="15" t="s">
        <v>20</v>
      </c>
    </row>
    <row r="5" spans="2:8" ht="12.75" customHeight="1">
      <c r="C5" s="33" t="s">
        <v>82</v>
      </c>
      <c r="E5" s="15" t="s">
        <v>19</v>
      </c>
    </row>
    <row r="7" spans="2:8" ht="12.75" customHeight="1">
      <c r="B7" s="33" t="s">
        <v>66</v>
      </c>
    </row>
    <row r="8" spans="2:8" ht="12.75" customHeight="1" thickBot="1"/>
    <row r="9" spans="2:8" ht="12.75" customHeight="1">
      <c r="B9" s="363" t="s">
        <v>65</v>
      </c>
      <c r="C9" s="370" t="s">
        <v>12</v>
      </c>
      <c r="D9" s="372" t="s">
        <v>69</v>
      </c>
      <c r="E9" s="374" t="s">
        <v>52</v>
      </c>
      <c r="F9" s="367" t="s">
        <v>13</v>
      </c>
      <c r="G9" s="366" t="s">
        <v>204</v>
      </c>
      <c r="H9" s="367"/>
    </row>
    <row r="10" spans="2:8" ht="12.75" customHeight="1">
      <c r="B10" s="364"/>
      <c r="C10" s="371"/>
      <c r="D10" s="373"/>
      <c r="E10" s="375"/>
      <c r="F10" s="369"/>
      <c r="G10" s="368"/>
      <c r="H10" s="369"/>
    </row>
    <row r="11" spans="2:8" ht="12.75" customHeight="1">
      <c r="B11" s="364"/>
      <c r="C11" s="371"/>
      <c r="D11" s="373"/>
      <c r="E11" s="375"/>
      <c r="F11" s="369"/>
      <c r="G11" s="271" t="s">
        <v>14</v>
      </c>
      <c r="H11" s="246" t="s">
        <v>15</v>
      </c>
    </row>
    <row r="12" spans="2:8" ht="12.75" customHeight="1" thickBot="1">
      <c r="B12" s="365"/>
      <c r="C12" s="4" t="s">
        <v>177</v>
      </c>
      <c r="D12" s="270" t="s">
        <v>16</v>
      </c>
      <c r="E12" s="5" t="s">
        <v>17</v>
      </c>
      <c r="F12" s="6" t="s">
        <v>17</v>
      </c>
      <c r="G12" s="272" t="s">
        <v>18</v>
      </c>
      <c r="H12" s="6" t="s">
        <v>18</v>
      </c>
    </row>
    <row r="13" spans="2:8" ht="12.75" customHeight="1">
      <c r="B13" s="349" t="s">
        <v>62</v>
      </c>
      <c r="C13" s="352" t="s">
        <v>178</v>
      </c>
      <c r="D13" s="215" t="s">
        <v>1</v>
      </c>
      <c r="E13" s="1">
        <v>18</v>
      </c>
      <c r="F13" s="7">
        <v>20</v>
      </c>
      <c r="G13" s="8">
        <v>6.3</v>
      </c>
      <c r="H13" s="67">
        <v>7</v>
      </c>
    </row>
    <row r="14" spans="2:8" ht="12.75" customHeight="1">
      <c r="B14" s="350"/>
      <c r="C14" s="344"/>
      <c r="D14" s="216">
        <v>1</v>
      </c>
      <c r="E14" s="2">
        <v>31</v>
      </c>
      <c r="F14" s="9">
        <v>20</v>
      </c>
      <c r="G14" s="8">
        <v>14</v>
      </c>
      <c r="H14" s="68">
        <v>16</v>
      </c>
    </row>
    <row r="15" spans="2:8" ht="12.75" customHeight="1">
      <c r="B15" s="350"/>
      <c r="C15" s="345" t="s">
        <v>179</v>
      </c>
      <c r="D15" s="216" t="s">
        <v>49</v>
      </c>
      <c r="E15" s="2">
        <v>31</v>
      </c>
      <c r="F15" s="11">
        <v>20</v>
      </c>
      <c r="G15" s="82">
        <v>16.3</v>
      </c>
      <c r="H15" s="77">
        <v>18.100000000000001</v>
      </c>
    </row>
    <row r="16" spans="2:8" ht="12.75" customHeight="1">
      <c r="B16" s="350"/>
      <c r="C16" s="352"/>
      <c r="D16" s="216" t="s">
        <v>2</v>
      </c>
      <c r="E16" s="2">
        <v>50</v>
      </c>
      <c r="F16" s="11">
        <v>25</v>
      </c>
      <c r="G16" s="12">
        <v>36</v>
      </c>
      <c r="H16" s="11">
        <v>40</v>
      </c>
    </row>
    <row r="17" spans="2:8" ht="12.75" customHeight="1">
      <c r="B17" s="350"/>
      <c r="C17" s="344" t="s">
        <v>180</v>
      </c>
      <c r="D17" s="216" t="s">
        <v>2</v>
      </c>
      <c r="E17" s="2">
        <v>50</v>
      </c>
      <c r="F17" s="11">
        <v>25</v>
      </c>
      <c r="G17" s="12">
        <v>36</v>
      </c>
      <c r="H17" s="11">
        <v>40</v>
      </c>
    </row>
    <row r="18" spans="2:8" ht="12.75" customHeight="1">
      <c r="B18" s="350"/>
      <c r="C18" s="344"/>
      <c r="D18" s="216">
        <v>2</v>
      </c>
      <c r="E18" s="2">
        <v>62</v>
      </c>
      <c r="F18" s="11">
        <v>30</v>
      </c>
      <c r="G18" s="12">
        <v>60</v>
      </c>
      <c r="H18" s="11">
        <v>70</v>
      </c>
    </row>
    <row r="19" spans="2:8" ht="12.75" customHeight="1">
      <c r="B19" s="350"/>
      <c r="C19" s="344" t="s">
        <v>195</v>
      </c>
      <c r="D19" s="216">
        <v>2</v>
      </c>
      <c r="E19" s="2">
        <v>62</v>
      </c>
      <c r="F19" s="11">
        <v>30</v>
      </c>
      <c r="G19" s="12">
        <v>60</v>
      </c>
      <c r="H19" s="11">
        <v>70</v>
      </c>
    </row>
    <row r="20" spans="2:8" ht="12.75" customHeight="1">
      <c r="B20" s="350"/>
      <c r="C20" s="344"/>
      <c r="D20" s="216">
        <v>3</v>
      </c>
      <c r="E20" s="2">
        <v>90</v>
      </c>
      <c r="F20" s="11">
        <v>40</v>
      </c>
      <c r="G20" s="12">
        <v>135</v>
      </c>
      <c r="H20" s="11">
        <v>150</v>
      </c>
    </row>
    <row r="21" spans="2:8" ht="12.75" customHeight="1">
      <c r="B21" s="350"/>
      <c r="C21" s="344" t="s">
        <v>182</v>
      </c>
      <c r="D21" s="216" t="s">
        <v>4</v>
      </c>
      <c r="E21" s="2">
        <v>90</v>
      </c>
      <c r="F21" s="11">
        <v>40</v>
      </c>
      <c r="G21" s="12">
        <v>135</v>
      </c>
      <c r="H21" s="11">
        <v>150</v>
      </c>
    </row>
    <row r="22" spans="2:8" ht="12.75" customHeight="1">
      <c r="B22" s="350"/>
      <c r="C22" s="344"/>
      <c r="D22" s="216" t="s">
        <v>3</v>
      </c>
      <c r="E22" s="2">
        <v>115</v>
      </c>
      <c r="F22" s="11">
        <v>50</v>
      </c>
      <c r="G22" s="12">
        <v>190</v>
      </c>
      <c r="H22" s="11">
        <v>215</v>
      </c>
    </row>
    <row r="23" spans="2:8" ht="12.75" customHeight="1">
      <c r="B23" s="350"/>
      <c r="C23" s="344" t="s">
        <v>183</v>
      </c>
      <c r="D23" s="216" t="s">
        <v>3</v>
      </c>
      <c r="E23" s="2">
        <v>115</v>
      </c>
      <c r="F23" s="11">
        <v>50</v>
      </c>
      <c r="G23" s="12">
        <v>190</v>
      </c>
      <c r="H23" s="11">
        <v>215</v>
      </c>
    </row>
    <row r="24" spans="2:8" ht="12.75" customHeight="1">
      <c r="B24" s="350"/>
      <c r="C24" s="344"/>
      <c r="D24" s="216" t="s">
        <v>5</v>
      </c>
      <c r="E24" s="2">
        <v>160</v>
      </c>
      <c r="F24" s="11">
        <v>60</v>
      </c>
      <c r="G24" s="12">
        <v>410</v>
      </c>
      <c r="H24" s="11">
        <v>435</v>
      </c>
    </row>
    <row r="25" spans="2:8" ht="12.75" customHeight="1">
      <c r="B25" s="350"/>
      <c r="C25" s="344" t="s">
        <v>184</v>
      </c>
      <c r="D25" s="216" t="s">
        <v>5</v>
      </c>
      <c r="E25" s="2">
        <v>160</v>
      </c>
      <c r="F25" s="11">
        <v>60</v>
      </c>
      <c r="G25" s="12">
        <v>410</v>
      </c>
      <c r="H25" s="11">
        <v>435</v>
      </c>
    </row>
    <row r="26" spans="2:8" ht="12.75" customHeight="1">
      <c r="B26" s="350"/>
      <c r="C26" s="344"/>
      <c r="D26" s="216" t="s">
        <v>6</v>
      </c>
      <c r="E26" s="2">
        <v>205</v>
      </c>
      <c r="F26" s="11">
        <v>80</v>
      </c>
      <c r="G26" s="12">
        <v>650</v>
      </c>
      <c r="H26" s="11">
        <v>735</v>
      </c>
    </row>
    <row r="27" spans="2:8" ht="12.75" customHeight="1">
      <c r="B27" s="350"/>
      <c r="C27" s="344" t="s">
        <v>185</v>
      </c>
      <c r="D27" s="216" t="s">
        <v>6</v>
      </c>
      <c r="E27" s="2">
        <v>205</v>
      </c>
      <c r="F27" s="11">
        <v>80</v>
      </c>
      <c r="G27" s="12">
        <v>650</v>
      </c>
      <c r="H27" s="11">
        <v>735</v>
      </c>
    </row>
    <row r="28" spans="2:8" ht="12.75" customHeight="1">
      <c r="B28" s="350"/>
      <c r="C28" s="344"/>
      <c r="D28" s="216" t="s">
        <v>7</v>
      </c>
      <c r="E28" s="2">
        <v>245</v>
      </c>
      <c r="F28" s="11">
        <v>90</v>
      </c>
      <c r="G28" s="12">
        <v>950</v>
      </c>
      <c r="H28" s="11">
        <v>1050</v>
      </c>
    </row>
    <row r="29" spans="2:8" ht="12.75" customHeight="1">
      <c r="B29" s="350"/>
      <c r="C29" s="344" t="s">
        <v>186</v>
      </c>
      <c r="D29" s="216" t="s">
        <v>7</v>
      </c>
      <c r="E29" s="2">
        <v>245</v>
      </c>
      <c r="F29" s="11">
        <v>90</v>
      </c>
      <c r="G29" s="12">
        <v>950</v>
      </c>
      <c r="H29" s="11">
        <v>1050</v>
      </c>
    </row>
    <row r="30" spans="2:8" ht="12.75" customHeight="1">
      <c r="B30" s="350"/>
      <c r="C30" s="344"/>
      <c r="D30" s="216" t="s">
        <v>8</v>
      </c>
      <c r="E30" s="2">
        <v>300</v>
      </c>
      <c r="F30" s="11">
        <v>100</v>
      </c>
      <c r="G30" s="12">
        <v>1300</v>
      </c>
      <c r="H30" s="11">
        <v>1400</v>
      </c>
    </row>
    <row r="31" spans="2:8" ht="12.75" customHeight="1">
      <c r="B31" s="350"/>
      <c r="C31" s="344" t="s">
        <v>187</v>
      </c>
      <c r="D31" s="216" t="s">
        <v>8</v>
      </c>
      <c r="E31" s="2">
        <v>300</v>
      </c>
      <c r="F31" s="11">
        <v>100</v>
      </c>
      <c r="G31" s="12">
        <v>1300</v>
      </c>
      <c r="H31" s="11">
        <v>1400</v>
      </c>
    </row>
    <row r="32" spans="2:8" ht="12.75" customHeight="1">
      <c r="B32" s="350"/>
      <c r="C32" s="344"/>
      <c r="D32" s="216" t="s">
        <v>9</v>
      </c>
      <c r="E32" s="2">
        <v>335</v>
      </c>
      <c r="F32" s="11">
        <v>130</v>
      </c>
      <c r="G32" s="12">
        <v>1600</v>
      </c>
      <c r="H32" s="11">
        <v>1900</v>
      </c>
    </row>
    <row r="33" spans="2:8" ht="12.75" customHeight="1">
      <c r="B33" s="350"/>
      <c r="C33" s="344" t="s">
        <v>188</v>
      </c>
      <c r="D33" s="216" t="s">
        <v>9</v>
      </c>
      <c r="E33" s="2">
        <v>335</v>
      </c>
      <c r="F33" s="11">
        <v>130</v>
      </c>
      <c r="G33" s="12">
        <v>1600</v>
      </c>
      <c r="H33" s="11">
        <v>1900</v>
      </c>
    </row>
    <row r="34" spans="2:8" ht="12.75" customHeight="1">
      <c r="B34" s="350"/>
      <c r="C34" s="344"/>
      <c r="D34" s="216" t="s">
        <v>10</v>
      </c>
      <c r="E34" s="2">
        <v>360</v>
      </c>
      <c r="F34" s="11">
        <v>150</v>
      </c>
      <c r="G34" s="12">
        <v>1800</v>
      </c>
      <c r="H34" s="11">
        <v>2000</v>
      </c>
    </row>
    <row r="35" spans="2:8" ht="12.75" customHeight="1">
      <c r="B35" s="350"/>
      <c r="C35" s="344" t="s">
        <v>189</v>
      </c>
      <c r="D35" s="216" t="s">
        <v>10</v>
      </c>
      <c r="E35" s="2">
        <v>360</v>
      </c>
      <c r="F35" s="11">
        <v>150</v>
      </c>
      <c r="G35" s="12">
        <v>1800</v>
      </c>
      <c r="H35" s="11">
        <v>2000</v>
      </c>
    </row>
    <row r="36" spans="2:8" ht="12.75" customHeight="1" thickBot="1">
      <c r="B36" s="351"/>
      <c r="C36" s="345"/>
      <c r="D36" s="217" t="s">
        <v>11</v>
      </c>
      <c r="E36" s="3">
        <v>400</v>
      </c>
      <c r="F36" s="13">
        <v>150</v>
      </c>
      <c r="G36" s="14">
        <v>2250</v>
      </c>
      <c r="H36" s="13">
        <v>2450</v>
      </c>
    </row>
    <row r="37" spans="2:8" ht="12.75" customHeight="1">
      <c r="B37" s="361" t="s">
        <v>63</v>
      </c>
      <c r="C37" s="27" t="s">
        <v>178</v>
      </c>
      <c r="D37" s="218" t="s">
        <v>1</v>
      </c>
      <c r="E37" s="18">
        <v>18</v>
      </c>
      <c r="F37" s="19">
        <v>20</v>
      </c>
      <c r="G37" s="20">
        <v>6.3</v>
      </c>
      <c r="H37" s="69">
        <v>7</v>
      </c>
    </row>
    <row r="38" spans="2:8" ht="12.75" customHeight="1">
      <c r="B38" s="350"/>
      <c r="C38" s="345" t="s">
        <v>179</v>
      </c>
      <c r="D38" s="216" t="s">
        <v>49</v>
      </c>
      <c r="E38" s="2">
        <v>31</v>
      </c>
      <c r="F38" s="11">
        <v>20</v>
      </c>
      <c r="G38" s="12">
        <v>17</v>
      </c>
      <c r="H38" s="11">
        <v>20</v>
      </c>
    </row>
    <row r="39" spans="2:8" ht="12.75" customHeight="1">
      <c r="B39" s="350"/>
      <c r="C39" s="352"/>
      <c r="D39" s="216" t="s">
        <v>39</v>
      </c>
      <c r="E39" s="2">
        <v>40</v>
      </c>
      <c r="F39" s="11">
        <v>20</v>
      </c>
      <c r="G39" s="12">
        <v>25</v>
      </c>
      <c r="H39" s="11">
        <v>30</v>
      </c>
    </row>
    <row r="40" spans="2:8" ht="12.75" customHeight="1">
      <c r="B40" s="350"/>
      <c r="C40" s="344" t="s">
        <v>180</v>
      </c>
      <c r="D40" s="216" t="s">
        <v>49</v>
      </c>
      <c r="E40" s="2">
        <v>31</v>
      </c>
      <c r="F40" s="11">
        <v>20</v>
      </c>
      <c r="G40" s="12">
        <v>17</v>
      </c>
      <c r="H40" s="11">
        <v>20</v>
      </c>
    </row>
    <row r="41" spans="2:8" ht="12.75" customHeight="1">
      <c r="B41" s="350"/>
      <c r="C41" s="344"/>
      <c r="D41" s="216" t="s">
        <v>39</v>
      </c>
      <c r="E41" s="2">
        <v>40</v>
      </c>
      <c r="F41" s="11">
        <v>20</v>
      </c>
      <c r="G41" s="12">
        <v>25</v>
      </c>
      <c r="H41" s="11">
        <v>30</v>
      </c>
    </row>
    <row r="42" spans="2:8" ht="12.75" customHeight="1">
      <c r="B42" s="350"/>
      <c r="C42" s="344"/>
      <c r="D42" s="216" t="s">
        <v>2</v>
      </c>
      <c r="E42" s="2">
        <v>50</v>
      </c>
      <c r="F42" s="11">
        <v>25</v>
      </c>
      <c r="G42" s="12">
        <v>50</v>
      </c>
      <c r="H42" s="11">
        <v>60</v>
      </c>
    </row>
    <row r="43" spans="2:8" ht="12.75" customHeight="1">
      <c r="B43" s="350"/>
      <c r="C43" s="344" t="s">
        <v>195</v>
      </c>
      <c r="D43" s="216" t="s">
        <v>2</v>
      </c>
      <c r="E43" s="2">
        <v>50</v>
      </c>
      <c r="F43" s="11">
        <v>25</v>
      </c>
      <c r="G43" s="12">
        <v>50</v>
      </c>
      <c r="H43" s="11">
        <v>60</v>
      </c>
    </row>
    <row r="44" spans="2:8" ht="12.75" customHeight="1">
      <c r="B44" s="350"/>
      <c r="C44" s="344"/>
      <c r="D44" s="216" t="s">
        <v>50</v>
      </c>
      <c r="E44" s="2">
        <v>62</v>
      </c>
      <c r="F44" s="11">
        <v>40</v>
      </c>
      <c r="G44" s="12">
        <v>75</v>
      </c>
      <c r="H44" s="11">
        <v>90</v>
      </c>
    </row>
    <row r="45" spans="2:8" ht="12.75" customHeight="1">
      <c r="B45" s="350"/>
      <c r="C45" s="344"/>
      <c r="D45" s="216" t="s">
        <v>40</v>
      </c>
      <c r="E45" s="2">
        <v>75</v>
      </c>
      <c r="F45" s="11">
        <v>40</v>
      </c>
      <c r="G45" s="12">
        <v>110</v>
      </c>
      <c r="H45" s="11">
        <v>132</v>
      </c>
    </row>
    <row r="46" spans="2:8" ht="12.75" customHeight="1">
      <c r="B46" s="350"/>
      <c r="C46" s="344" t="s">
        <v>182</v>
      </c>
      <c r="D46" s="216" t="s">
        <v>50</v>
      </c>
      <c r="E46" s="2">
        <v>62</v>
      </c>
      <c r="F46" s="11">
        <v>40</v>
      </c>
      <c r="G46" s="12">
        <v>75</v>
      </c>
      <c r="H46" s="11">
        <v>90</v>
      </c>
    </row>
    <row r="47" spans="2:8" ht="12.75" customHeight="1">
      <c r="B47" s="350"/>
      <c r="C47" s="344"/>
      <c r="D47" s="216" t="s">
        <v>40</v>
      </c>
      <c r="E47" s="2">
        <v>75</v>
      </c>
      <c r="F47" s="11">
        <v>40</v>
      </c>
      <c r="G47" s="12">
        <v>110</v>
      </c>
      <c r="H47" s="11">
        <v>132</v>
      </c>
    </row>
    <row r="48" spans="2:8" ht="12.75" customHeight="1">
      <c r="B48" s="350"/>
      <c r="C48" s="344"/>
      <c r="D48" s="216" t="s">
        <v>4</v>
      </c>
      <c r="E48" s="2">
        <v>90</v>
      </c>
      <c r="F48" s="11">
        <v>50</v>
      </c>
      <c r="G48" s="12">
        <v>170</v>
      </c>
      <c r="H48" s="11">
        <v>204</v>
      </c>
    </row>
    <row r="49" spans="2:8" ht="12.75" customHeight="1">
      <c r="B49" s="350"/>
      <c r="C49" s="344" t="s">
        <v>183</v>
      </c>
      <c r="D49" s="216" t="s">
        <v>4</v>
      </c>
      <c r="E49" s="2">
        <v>90</v>
      </c>
      <c r="F49" s="11">
        <v>50</v>
      </c>
      <c r="G49" s="12">
        <v>170</v>
      </c>
      <c r="H49" s="11">
        <v>204</v>
      </c>
    </row>
    <row r="50" spans="2:8" ht="12.75" customHeight="1">
      <c r="B50" s="350"/>
      <c r="C50" s="344"/>
      <c r="D50" s="216" t="s">
        <v>3</v>
      </c>
      <c r="E50" s="2">
        <v>115</v>
      </c>
      <c r="F50" s="11">
        <v>70</v>
      </c>
      <c r="G50" s="12">
        <v>275</v>
      </c>
      <c r="H50" s="11">
        <v>330</v>
      </c>
    </row>
    <row r="51" spans="2:8" ht="12.75" customHeight="1">
      <c r="B51" s="350"/>
      <c r="C51" s="344"/>
      <c r="D51" s="216" t="s">
        <v>41</v>
      </c>
      <c r="E51" s="2">
        <v>140</v>
      </c>
      <c r="F51" s="11">
        <v>70</v>
      </c>
      <c r="G51" s="12">
        <v>370</v>
      </c>
      <c r="H51" s="11">
        <v>445</v>
      </c>
    </row>
    <row r="52" spans="2:8" ht="12.75" customHeight="1">
      <c r="B52" s="350"/>
      <c r="C52" s="344" t="s">
        <v>184</v>
      </c>
      <c r="D52" s="216" t="s">
        <v>41</v>
      </c>
      <c r="E52" s="2">
        <v>140</v>
      </c>
      <c r="F52" s="11">
        <v>70</v>
      </c>
      <c r="G52" s="12">
        <v>370</v>
      </c>
      <c r="H52" s="11">
        <v>445</v>
      </c>
    </row>
    <row r="53" spans="2:8" ht="12.75" customHeight="1">
      <c r="B53" s="350"/>
      <c r="C53" s="344"/>
      <c r="D53" s="216" t="s">
        <v>5</v>
      </c>
      <c r="E53" s="2">
        <v>160</v>
      </c>
      <c r="F53" s="10">
        <v>70</v>
      </c>
      <c r="G53" s="12">
        <v>500</v>
      </c>
      <c r="H53" s="11">
        <v>560</v>
      </c>
    </row>
    <row r="54" spans="2:8" ht="12.75" customHeight="1">
      <c r="B54" s="350"/>
      <c r="C54" s="344"/>
      <c r="D54" s="216" t="s">
        <v>42</v>
      </c>
      <c r="E54" s="2">
        <v>180</v>
      </c>
      <c r="F54" s="11">
        <v>80</v>
      </c>
      <c r="G54" s="12">
        <v>650</v>
      </c>
      <c r="H54" s="11">
        <v>700</v>
      </c>
    </row>
    <row r="55" spans="2:8" ht="12.75" customHeight="1">
      <c r="B55" s="350"/>
      <c r="C55" s="344" t="s">
        <v>185</v>
      </c>
      <c r="D55" s="216" t="s">
        <v>5</v>
      </c>
      <c r="E55" s="2">
        <v>160</v>
      </c>
      <c r="F55" s="10">
        <v>70</v>
      </c>
      <c r="G55" s="12">
        <v>500</v>
      </c>
      <c r="H55" s="11">
        <v>560</v>
      </c>
    </row>
    <row r="56" spans="2:8" ht="12.75" customHeight="1">
      <c r="B56" s="350"/>
      <c r="C56" s="344"/>
      <c r="D56" s="216" t="s">
        <v>42</v>
      </c>
      <c r="E56" s="2">
        <v>180</v>
      </c>
      <c r="F56" s="11">
        <v>80</v>
      </c>
      <c r="G56" s="12">
        <v>650</v>
      </c>
      <c r="H56" s="11">
        <v>700</v>
      </c>
    </row>
    <row r="57" spans="2:8" ht="12.75" customHeight="1">
      <c r="B57" s="350"/>
      <c r="C57" s="344"/>
      <c r="D57" s="216" t="s">
        <v>6</v>
      </c>
      <c r="E57" s="2">
        <v>205</v>
      </c>
      <c r="F57" s="11">
        <v>90</v>
      </c>
      <c r="G57" s="12">
        <v>900</v>
      </c>
      <c r="H57" s="11">
        <v>970</v>
      </c>
    </row>
    <row r="58" spans="2:8" ht="12.75" customHeight="1">
      <c r="B58" s="350"/>
      <c r="C58" s="344" t="s">
        <v>186</v>
      </c>
      <c r="D58" s="216" t="s">
        <v>42</v>
      </c>
      <c r="E58" s="2">
        <v>180</v>
      </c>
      <c r="F58" s="11">
        <v>80</v>
      </c>
      <c r="G58" s="12">
        <v>650</v>
      </c>
      <c r="H58" s="11">
        <v>700</v>
      </c>
    </row>
    <row r="59" spans="2:8" ht="12.75" customHeight="1">
      <c r="B59" s="351"/>
      <c r="C59" s="345"/>
      <c r="D59" s="216" t="s">
        <v>6</v>
      </c>
      <c r="E59" s="2">
        <v>205</v>
      </c>
      <c r="F59" s="11">
        <v>90</v>
      </c>
      <c r="G59" s="12">
        <v>900</v>
      </c>
      <c r="H59" s="11">
        <v>970</v>
      </c>
    </row>
    <row r="60" spans="2:8" ht="12.75" customHeight="1" thickBot="1">
      <c r="B60" s="360"/>
      <c r="C60" s="346"/>
      <c r="D60" s="219" t="s">
        <v>7</v>
      </c>
      <c r="E60" s="21">
        <v>245</v>
      </c>
      <c r="F60" s="22">
        <v>100</v>
      </c>
      <c r="G60" s="23">
        <v>1300</v>
      </c>
      <c r="H60" s="22">
        <v>1400</v>
      </c>
    </row>
    <row r="61" spans="2:8" ht="12.75" customHeight="1">
      <c r="B61" s="349" t="s">
        <v>64</v>
      </c>
      <c r="C61" s="152" t="s">
        <v>179</v>
      </c>
      <c r="D61" s="215">
        <v>1</v>
      </c>
      <c r="E61" s="1">
        <v>31</v>
      </c>
      <c r="F61" s="24">
        <v>20</v>
      </c>
      <c r="G61" s="25">
        <v>17</v>
      </c>
      <c r="H61" s="24">
        <v>20</v>
      </c>
    </row>
    <row r="62" spans="2:8" ht="12.75" customHeight="1">
      <c r="B62" s="350"/>
      <c r="C62" s="344" t="s">
        <v>180</v>
      </c>
      <c r="D62" s="216">
        <v>1</v>
      </c>
      <c r="E62" s="2">
        <v>31</v>
      </c>
      <c r="F62" s="11">
        <v>20</v>
      </c>
      <c r="G62" s="12">
        <v>17</v>
      </c>
      <c r="H62" s="11">
        <v>20</v>
      </c>
    </row>
    <row r="63" spans="2:8" ht="12.75" customHeight="1">
      <c r="B63" s="350"/>
      <c r="C63" s="344"/>
      <c r="D63" s="216" t="s">
        <v>39</v>
      </c>
      <c r="E63" s="2">
        <v>40</v>
      </c>
      <c r="F63" s="11">
        <v>25</v>
      </c>
      <c r="G63" s="12">
        <v>30</v>
      </c>
      <c r="H63" s="11">
        <v>36</v>
      </c>
    </row>
    <row r="64" spans="2:8" ht="12.75" customHeight="1">
      <c r="B64" s="350"/>
      <c r="C64" s="344" t="s">
        <v>195</v>
      </c>
      <c r="D64" s="216" t="s">
        <v>39</v>
      </c>
      <c r="E64" s="2">
        <v>40</v>
      </c>
      <c r="F64" s="11">
        <v>25</v>
      </c>
      <c r="G64" s="12">
        <v>30</v>
      </c>
      <c r="H64" s="11">
        <v>36</v>
      </c>
    </row>
    <row r="65" spans="2:24" ht="12.75" customHeight="1">
      <c r="B65" s="350"/>
      <c r="C65" s="344"/>
      <c r="D65" s="216" t="s">
        <v>2</v>
      </c>
      <c r="E65" s="2">
        <v>50</v>
      </c>
      <c r="F65" s="11">
        <v>25</v>
      </c>
      <c r="G65" s="12">
        <v>50</v>
      </c>
      <c r="H65" s="11">
        <v>60</v>
      </c>
      <c r="Q65" s="26"/>
      <c r="R65" s="26"/>
      <c r="S65" s="26"/>
      <c r="T65" s="26"/>
      <c r="U65" s="26"/>
      <c r="V65" s="26"/>
      <c r="W65" s="26"/>
      <c r="X65" s="26"/>
    </row>
    <row r="66" spans="2:24" ht="12.75" customHeight="1">
      <c r="B66" s="350"/>
      <c r="C66" s="344"/>
      <c r="D66" s="216">
        <v>2</v>
      </c>
      <c r="E66" s="2">
        <v>62</v>
      </c>
      <c r="F66" s="11">
        <v>40</v>
      </c>
      <c r="G66" s="12">
        <v>75</v>
      </c>
      <c r="H66" s="11">
        <v>90</v>
      </c>
    </row>
    <row r="67" spans="2:24" ht="12.75" customHeight="1">
      <c r="B67" s="350"/>
      <c r="C67" s="362" t="s">
        <v>182</v>
      </c>
      <c r="D67" s="216" t="s">
        <v>2</v>
      </c>
      <c r="E67" s="2">
        <v>50</v>
      </c>
      <c r="F67" s="11">
        <v>25</v>
      </c>
      <c r="G67" s="12">
        <v>50</v>
      </c>
      <c r="H67" s="11">
        <v>60</v>
      </c>
    </row>
    <row r="68" spans="2:24" ht="12.75" customHeight="1">
      <c r="B68" s="350"/>
      <c r="C68" s="362"/>
      <c r="D68" s="220">
        <v>2</v>
      </c>
      <c r="E68" s="2">
        <v>62</v>
      </c>
      <c r="F68" s="11">
        <v>40</v>
      </c>
      <c r="G68" s="12">
        <v>75</v>
      </c>
      <c r="H68" s="11">
        <v>90</v>
      </c>
    </row>
    <row r="69" spans="2:24" ht="12.75" customHeight="1">
      <c r="B69" s="350"/>
      <c r="C69" s="362"/>
      <c r="D69" s="216" t="s">
        <v>40</v>
      </c>
      <c r="E69" s="2">
        <v>75</v>
      </c>
      <c r="F69" s="11">
        <v>50</v>
      </c>
      <c r="G69" s="12">
        <v>125</v>
      </c>
      <c r="H69" s="11">
        <v>150</v>
      </c>
    </row>
    <row r="70" spans="2:24" ht="12.75" customHeight="1">
      <c r="B70" s="350"/>
      <c r="C70" s="344" t="s">
        <v>183</v>
      </c>
      <c r="D70" s="216" t="s">
        <v>40</v>
      </c>
      <c r="E70" s="2">
        <v>75</v>
      </c>
      <c r="F70" s="11">
        <v>50</v>
      </c>
      <c r="G70" s="12">
        <v>125</v>
      </c>
      <c r="H70" s="11">
        <v>150</v>
      </c>
    </row>
    <row r="71" spans="2:24" ht="12.75" customHeight="1">
      <c r="B71" s="350"/>
      <c r="C71" s="344"/>
      <c r="D71" s="216" t="s">
        <v>4</v>
      </c>
      <c r="E71" s="2">
        <v>90</v>
      </c>
      <c r="F71" s="11">
        <v>50</v>
      </c>
      <c r="G71" s="12">
        <v>170</v>
      </c>
      <c r="H71" s="11">
        <v>204</v>
      </c>
      <c r="Q71" s="26"/>
      <c r="R71" s="26"/>
      <c r="S71" s="26"/>
      <c r="T71" s="26"/>
      <c r="U71" s="26"/>
      <c r="V71" s="26"/>
      <c r="W71" s="26"/>
      <c r="X71" s="26"/>
    </row>
    <row r="72" spans="2:24" ht="12.75" customHeight="1">
      <c r="B72" s="350"/>
      <c r="C72" s="344"/>
      <c r="D72" s="216" t="s">
        <v>3</v>
      </c>
      <c r="E72" s="2">
        <v>115</v>
      </c>
      <c r="F72" s="11">
        <v>70</v>
      </c>
      <c r="G72" s="12">
        <v>275</v>
      </c>
      <c r="H72" s="11">
        <v>330</v>
      </c>
    </row>
    <row r="73" spans="2:24" ht="12.75" customHeight="1">
      <c r="B73" s="350"/>
      <c r="C73" s="344" t="s">
        <v>184</v>
      </c>
      <c r="D73" s="216" t="s">
        <v>4</v>
      </c>
      <c r="E73" s="2">
        <v>90</v>
      </c>
      <c r="F73" s="11">
        <v>50</v>
      </c>
      <c r="G73" s="12">
        <v>170</v>
      </c>
      <c r="H73" s="11">
        <v>200</v>
      </c>
    </row>
    <row r="74" spans="2:24" ht="12.75" customHeight="1">
      <c r="B74" s="351"/>
      <c r="C74" s="345"/>
      <c r="D74" s="216" t="s">
        <v>3</v>
      </c>
      <c r="E74" s="2">
        <v>115</v>
      </c>
      <c r="F74" s="11">
        <v>70</v>
      </c>
      <c r="G74" s="12">
        <v>275</v>
      </c>
      <c r="H74" s="11">
        <v>330</v>
      </c>
    </row>
    <row r="75" spans="2:24" ht="12.75" customHeight="1" thickBot="1">
      <c r="B75" s="360"/>
      <c r="C75" s="346"/>
      <c r="D75" s="219" t="s">
        <v>41</v>
      </c>
      <c r="E75" s="21">
        <v>140</v>
      </c>
      <c r="F75" s="22">
        <v>80</v>
      </c>
      <c r="G75" s="23">
        <v>480</v>
      </c>
      <c r="H75" s="22">
        <v>530</v>
      </c>
    </row>
    <row r="78" spans="2:24" ht="12.75" customHeight="1">
      <c r="B78" s="33" t="s">
        <v>79</v>
      </c>
    </row>
    <row r="79" spans="2:24" ht="12.75" customHeight="1" thickBot="1"/>
    <row r="80" spans="2:24" ht="12.75" customHeight="1">
      <c r="B80" s="363" t="s">
        <v>65</v>
      </c>
      <c r="C80" s="347" t="s">
        <v>52</v>
      </c>
      <c r="D80" s="357" t="s">
        <v>80</v>
      </c>
    </row>
    <row r="81" spans="2:4" ht="12.75" customHeight="1">
      <c r="B81" s="364"/>
      <c r="C81" s="348"/>
      <c r="D81" s="358"/>
    </row>
    <row r="82" spans="2:4" ht="12.75" customHeight="1" thickBot="1">
      <c r="B82" s="365"/>
      <c r="C82" s="38" t="s">
        <v>17</v>
      </c>
      <c r="D82" s="359"/>
    </row>
    <row r="83" spans="2:4" ht="12.75" customHeight="1">
      <c r="B83" s="353" t="s">
        <v>61</v>
      </c>
      <c r="C83" s="39">
        <v>18</v>
      </c>
      <c r="D83" s="46">
        <v>1</v>
      </c>
    </row>
    <row r="84" spans="2:4" ht="12.75" customHeight="1">
      <c r="B84" s="354"/>
      <c r="C84" s="40">
        <v>31</v>
      </c>
      <c r="D84" s="43">
        <v>1</v>
      </c>
    </row>
    <row r="85" spans="2:4" ht="12.75" customHeight="1">
      <c r="B85" s="354"/>
      <c r="C85" s="40">
        <v>40</v>
      </c>
      <c r="D85" s="43">
        <v>1</v>
      </c>
    </row>
    <row r="86" spans="2:4" ht="12.75" customHeight="1">
      <c r="B86" s="354"/>
      <c r="C86" s="40">
        <v>50</v>
      </c>
      <c r="D86" s="43">
        <v>2</v>
      </c>
    </row>
    <row r="87" spans="2:4" ht="12.75" customHeight="1">
      <c r="B87" s="354"/>
      <c r="C87" s="40">
        <v>62</v>
      </c>
      <c r="D87" s="43">
        <v>3</v>
      </c>
    </row>
    <row r="88" spans="2:4" ht="12.75" customHeight="1">
      <c r="B88" s="354"/>
      <c r="C88" s="40">
        <v>75</v>
      </c>
      <c r="D88" s="43">
        <v>4</v>
      </c>
    </row>
    <row r="89" spans="2:4" ht="12.75" customHeight="1">
      <c r="B89" s="354"/>
      <c r="C89" s="40">
        <v>90</v>
      </c>
      <c r="D89" s="43">
        <v>5</v>
      </c>
    </row>
    <row r="90" spans="2:4" ht="12.75" customHeight="1">
      <c r="B90" s="354"/>
      <c r="C90" s="40">
        <v>115</v>
      </c>
      <c r="D90" s="43">
        <v>6</v>
      </c>
    </row>
    <row r="91" spans="2:4" ht="12.75" customHeight="1">
      <c r="B91" s="354"/>
      <c r="C91" s="40">
        <v>140</v>
      </c>
      <c r="D91" s="43">
        <v>7</v>
      </c>
    </row>
    <row r="92" spans="2:4" ht="12.75" customHeight="1">
      <c r="B92" s="354"/>
      <c r="C92" s="40">
        <v>160</v>
      </c>
      <c r="D92" s="43">
        <v>8</v>
      </c>
    </row>
    <row r="93" spans="2:4" ht="12.75" customHeight="1">
      <c r="B93" s="354"/>
      <c r="C93" s="40">
        <v>180</v>
      </c>
      <c r="D93" s="43">
        <v>9</v>
      </c>
    </row>
    <row r="94" spans="2:4" ht="12.75" customHeight="1">
      <c r="B94" s="354"/>
      <c r="C94" s="40">
        <v>205</v>
      </c>
      <c r="D94" s="43">
        <v>9</v>
      </c>
    </row>
    <row r="95" spans="2:4" ht="12.75" customHeight="1" thickBot="1">
      <c r="B95" s="355"/>
      <c r="C95" s="41">
        <v>245</v>
      </c>
      <c r="D95" s="44">
        <v>9</v>
      </c>
    </row>
    <row r="96" spans="2:4" ht="12.75" customHeight="1">
      <c r="B96" s="356" t="s">
        <v>64</v>
      </c>
      <c r="C96" s="42">
        <v>31</v>
      </c>
      <c r="D96" s="45">
        <v>10</v>
      </c>
    </row>
    <row r="97" spans="2:14" ht="12.75" customHeight="1">
      <c r="B97" s="354"/>
      <c r="C97" s="40">
        <v>40</v>
      </c>
      <c r="D97" s="43">
        <v>11</v>
      </c>
    </row>
    <row r="98" spans="2:14" ht="12.75" customHeight="1">
      <c r="B98" s="354"/>
      <c r="C98" s="40">
        <v>50</v>
      </c>
      <c r="D98" s="43">
        <v>12</v>
      </c>
    </row>
    <row r="99" spans="2:14" ht="12.75" customHeight="1">
      <c r="B99" s="354"/>
      <c r="C99" s="40">
        <v>62</v>
      </c>
      <c r="D99" s="43">
        <v>13</v>
      </c>
    </row>
    <row r="100" spans="2:14" ht="12.75" customHeight="1">
      <c r="B100" s="354"/>
      <c r="C100" s="40">
        <v>75</v>
      </c>
      <c r="D100" s="43">
        <v>14</v>
      </c>
    </row>
    <row r="101" spans="2:14" ht="12.75" customHeight="1">
      <c r="B101" s="354"/>
      <c r="C101" s="40">
        <v>90</v>
      </c>
      <c r="D101" s="43">
        <v>15</v>
      </c>
    </row>
    <row r="102" spans="2:14" ht="12.75" customHeight="1">
      <c r="B102" s="354"/>
      <c r="C102" s="40">
        <v>115</v>
      </c>
      <c r="D102" s="43">
        <v>16</v>
      </c>
    </row>
    <row r="103" spans="2:14" ht="12.75" customHeight="1" thickBot="1">
      <c r="B103" s="355"/>
      <c r="C103" s="41">
        <v>140</v>
      </c>
      <c r="D103" s="44">
        <v>17</v>
      </c>
    </row>
    <row r="106" spans="2:14" ht="12.75" customHeight="1">
      <c r="B106" s="33" t="s">
        <v>94</v>
      </c>
    </row>
    <row r="107" spans="2:14" ht="12.75" customHeight="1">
      <c r="B107" s="33" t="s">
        <v>92</v>
      </c>
      <c r="D107" s="90" t="s">
        <v>14</v>
      </c>
    </row>
    <row r="108" spans="2:14" ht="12.75" customHeight="1">
      <c r="B108" s="33" t="s">
        <v>93</v>
      </c>
      <c r="D108" s="59">
        <v>1500</v>
      </c>
    </row>
    <row r="109" spans="2:14" ht="12.75" customHeight="1">
      <c r="B109" s="33" t="s">
        <v>96</v>
      </c>
      <c r="D109" s="59">
        <v>75</v>
      </c>
      <c r="H109" s="65">
        <v>2</v>
      </c>
      <c r="I109" s="65">
        <v>3</v>
      </c>
      <c r="J109" s="65">
        <v>4</v>
      </c>
      <c r="K109" s="65">
        <v>5</v>
      </c>
      <c r="L109" s="65">
        <v>6</v>
      </c>
      <c r="M109" s="65">
        <v>7</v>
      </c>
      <c r="N109" s="65">
        <v>8</v>
      </c>
    </row>
    <row r="110" spans="2:14" ht="12.75" customHeight="1">
      <c r="G110" s="35" t="s">
        <v>72</v>
      </c>
      <c r="H110" s="28" t="s">
        <v>164</v>
      </c>
      <c r="I110" s="28" t="s">
        <v>53</v>
      </c>
      <c r="J110" s="28" t="s">
        <v>54</v>
      </c>
      <c r="K110" s="28" t="s">
        <v>55</v>
      </c>
      <c r="L110" s="28" t="s">
        <v>56</v>
      </c>
      <c r="M110" s="28" t="s">
        <v>57</v>
      </c>
      <c r="N110" s="28" t="s">
        <v>58</v>
      </c>
    </row>
    <row r="111" spans="2:14" ht="12.75" customHeight="1">
      <c r="B111" s="33" t="s">
        <v>95</v>
      </c>
      <c r="F111" s="15" t="s">
        <v>43</v>
      </c>
      <c r="G111" s="16">
        <f>IF($D$108=600,"Ln Eqn",
    IF($D$108=1500,INDEX($D$83:$D$95,MATCH($D$109,Plug1500,0),0),
      INDEX($D$83:$D$95,MATCH($D$109,Plug2500,0),0)))</f>
        <v>4</v>
      </c>
      <c r="H111" s="16">
        <f t="shared" ref="H111:N111" si="0">VLOOKUP($G111,StkData,H109)</f>
        <v>-6.7327060000000003</v>
      </c>
      <c r="I111" s="16">
        <f t="shared" si="0"/>
        <v>22.558786999999999</v>
      </c>
      <c r="J111" s="16">
        <f t="shared" si="0"/>
        <v>-31.23696</v>
      </c>
      <c r="K111" s="16">
        <f t="shared" si="0"/>
        <v>24.251066000000002</v>
      </c>
      <c r="L111" s="16">
        <f t="shared" si="0"/>
        <v>-11.753531000000001</v>
      </c>
      <c r="M111" s="16">
        <f t="shared" si="0"/>
        <v>3.9375589999999998</v>
      </c>
      <c r="N111" s="16">
        <f t="shared" si="0"/>
        <v>-2.4344999999999999E-2</v>
      </c>
    </row>
    <row r="112" spans="2:14" ht="12.75" customHeight="1">
      <c r="B112" s="33"/>
      <c r="G112" s="16"/>
      <c r="H112" s="28" t="s">
        <v>90</v>
      </c>
      <c r="I112" s="16"/>
      <c r="J112" s="16"/>
      <c r="K112" s="16"/>
      <c r="L112" s="16"/>
      <c r="M112" s="16"/>
      <c r="N112" s="16"/>
    </row>
    <row r="113" spans="2:14" ht="12.75" customHeight="1">
      <c r="H113" s="28">
        <v>50</v>
      </c>
      <c r="I113" s="37" t="s">
        <v>165</v>
      </c>
      <c r="J113" s="16"/>
      <c r="K113" s="16"/>
      <c r="L113" s="16"/>
      <c r="M113" s="16"/>
    </row>
    <row r="114" spans="2:14" ht="12.75" customHeight="1">
      <c r="F114" s="34"/>
      <c r="H114" s="28" t="s">
        <v>30</v>
      </c>
      <c r="I114" s="28" t="s">
        <v>31</v>
      </c>
      <c r="J114" s="28" t="s">
        <v>44</v>
      </c>
      <c r="K114" s="28" t="s">
        <v>45</v>
      </c>
      <c r="L114" s="28" t="s">
        <v>46</v>
      </c>
      <c r="M114" s="28" t="s">
        <v>47</v>
      </c>
      <c r="N114" s="28" t="s">
        <v>48</v>
      </c>
    </row>
    <row r="115" spans="2:14" ht="12.75" customHeight="1">
      <c r="B115" s="33" t="s">
        <v>21</v>
      </c>
      <c r="F115" s="15" t="s">
        <v>32</v>
      </c>
      <c r="G115" s="28">
        <v>1</v>
      </c>
      <c r="H115" s="16">
        <f t="shared" ref="H115:N115" si="1">VLOOKUP($G$115,FLData,H109)</f>
        <v>0.9</v>
      </c>
      <c r="I115" s="16">
        <f t="shared" si="1"/>
        <v>0.96699999999999997</v>
      </c>
      <c r="J115" s="16">
        <f t="shared" si="1"/>
        <v>0</v>
      </c>
      <c r="K115" s="16">
        <f t="shared" si="1"/>
        <v>-8.1600000000000006E-2</v>
      </c>
      <c r="L115" s="16">
        <f t="shared" si="1"/>
        <v>0.20799999999999999</v>
      </c>
      <c r="M115" s="16">
        <f t="shared" si="1"/>
        <v>-0.21740000000000001</v>
      </c>
      <c r="N115" s="16">
        <f t="shared" si="1"/>
        <v>0.98629999999999995</v>
      </c>
    </row>
    <row r="116" spans="2:14" ht="12.75" customHeight="1">
      <c r="B116" s="33" t="s">
        <v>33</v>
      </c>
      <c r="F116" s="15" t="s">
        <v>34</v>
      </c>
      <c r="G116" s="28">
        <v>1</v>
      </c>
      <c r="H116" s="16">
        <f t="shared" ref="H116:N116" si="2">VLOOKUP($G$116,KcData,H109)</f>
        <v>0.65</v>
      </c>
      <c r="I116" s="16">
        <f t="shared" si="2"/>
        <v>0.75</v>
      </c>
      <c r="J116" s="16">
        <f t="shared" si="2"/>
        <v>0</v>
      </c>
      <c r="K116" s="16">
        <f t="shared" si="2"/>
        <v>-0.29039999999999999</v>
      </c>
      <c r="L116" s="16">
        <f t="shared" si="2"/>
        <v>0.5605</v>
      </c>
      <c r="M116" s="16">
        <f t="shared" si="2"/>
        <v>-0.43509999999999999</v>
      </c>
      <c r="N116" s="16">
        <f t="shared" si="2"/>
        <v>0.78779999999999994</v>
      </c>
    </row>
    <row r="117" spans="2:14" ht="12.75" customHeight="1">
      <c r="B117" s="33" t="s">
        <v>26</v>
      </c>
      <c r="F117" s="15" t="s">
        <v>87</v>
      </c>
      <c r="G117" s="16">
        <f>IF(D107="Linear",1,2)</f>
        <v>2</v>
      </c>
      <c r="H117" s="16">
        <f t="shared" ref="H117:N117" si="3">VLOOKUP($G117,FdData,H109)</f>
        <v>0</v>
      </c>
      <c r="I117" s="16">
        <f t="shared" si="3"/>
        <v>10</v>
      </c>
      <c r="J117" s="16">
        <f t="shared" si="3"/>
        <v>1.1001000000000001</v>
      </c>
      <c r="K117" s="16">
        <f t="shared" si="3"/>
        <v>-3.5301999999999998</v>
      </c>
      <c r="L117" s="16">
        <f t="shared" si="3"/>
        <v>3.8755000000000002</v>
      </c>
      <c r="M117" s="16">
        <f t="shared" si="3"/>
        <v>-1.5955999999999999</v>
      </c>
      <c r="N117" s="16">
        <f t="shared" si="3"/>
        <v>0.50790000000000002</v>
      </c>
    </row>
    <row r="118" spans="2:14" ht="12.75" customHeight="1">
      <c r="B118" s="33" t="s">
        <v>24</v>
      </c>
      <c r="F118" s="15" t="s">
        <v>68</v>
      </c>
      <c r="G118" s="28">
        <v>0.68</v>
      </c>
      <c r="H118" s="36" t="s">
        <v>37</v>
      </c>
      <c r="I118" s="16"/>
      <c r="J118" s="16"/>
      <c r="K118" s="16"/>
      <c r="L118" s="16"/>
      <c r="M118" s="16"/>
      <c r="N118" s="16"/>
    </row>
    <row r="119" spans="2:14" ht="12.75" customHeight="1">
      <c r="B119" s="33"/>
      <c r="F119" s="15" t="s">
        <v>25</v>
      </c>
      <c r="G119" s="16" t="s">
        <v>29</v>
      </c>
      <c r="H119" s="36" t="s">
        <v>36</v>
      </c>
      <c r="I119" s="16"/>
      <c r="J119" s="16"/>
      <c r="K119" s="16"/>
      <c r="L119" s="16"/>
      <c r="M119" s="16"/>
      <c r="N119" s="16"/>
    </row>
    <row r="120" spans="2:14" ht="12.75" customHeight="1">
      <c r="B120" s="33" t="s">
        <v>22</v>
      </c>
      <c r="F120" s="15" t="s">
        <v>23</v>
      </c>
      <c r="G120" s="16" t="s">
        <v>29</v>
      </c>
      <c r="H120" s="36" t="s">
        <v>38</v>
      </c>
    </row>
    <row r="121" spans="2:14" ht="12.75" customHeight="1">
      <c r="B121" s="33" t="s">
        <v>28</v>
      </c>
      <c r="F121" s="15" t="s">
        <v>27</v>
      </c>
      <c r="G121" s="16" t="s">
        <v>29</v>
      </c>
      <c r="H121" s="16"/>
      <c r="I121" s="16"/>
    </row>
    <row r="123" spans="2:14" ht="12.75" customHeight="1">
      <c r="F123" s="16"/>
      <c r="G123" s="16"/>
      <c r="H123" s="16"/>
      <c r="I123" s="16"/>
      <c r="J123" s="16"/>
    </row>
    <row r="124" spans="2:14" ht="12.75" customHeight="1">
      <c r="B124" s="16"/>
      <c r="C124" s="28"/>
      <c r="D124" s="16"/>
      <c r="E124" s="16"/>
      <c r="F124" s="16"/>
      <c r="G124" s="16"/>
      <c r="H124" s="16"/>
      <c r="I124" s="16"/>
      <c r="J124" s="16"/>
    </row>
    <row r="125" spans="2:14" ht="12.75" customHeight="1">
      <c r="B125" s="28" t="s">
        <v>60</v>
      </c>
      <c r="D125" s="16"/>
      <c r="E125" s="16"/>
      <c r="F125" s="16"/>
      <c r="G125" s="16"/>
      <c r="H125" s="16"/>
      <c r="I125" s="16"/>
      <c r="J125" s="16"/>
    </row>
    <row r="126" spans="2:14" ht="12.75" customHeight="1">
      <c r="B126" s="28" t="s">
        <v>35</v>
      </c>
      <c r="C126" s="28" t="s">
        <v>43</v>
      </c>
      <c r="D126" s="28" t="s">
        <v>32</v>
      </c>
      <c r="E126" s="28" t="s">
        <v>25</v>
      </c>
      <c r="F126" s="28" t="s">
        <v>34</v>
      </c>
      <c r="G126" s="16" t="s">
        <v>87</v>
      </c>
    </row>
    <row r="127" spans="2:14" ht="12.75" customHeight="1">
      <c r="B127" s="29">
        <v>5.0000000000000001E-3</v>
      </c>
      <c r="C127" s="32">
        <f t="shared" ref="C127:C146" si="4">IF($D$107="Linear",B127,
    IF($D$108=600,LN(B127)/LN($H$113)+1,
      $H$111*B127^6+$I$111*B127^5+$J$111*B127^4+$K$111*B127^3+$L$111*B127^2+$M$111*B127+$N$111))</f>
        <v>-4.9480313444589877E-3</v>
      </c>
      <c r="D127" s="17">
        <f t="shared" ref="D127:D146" si="5">MIN(MAX($J$115*B127^4+$K$115*B127^3+$L$115*B127^2+$M$115*B127+$N$115,$H$115),$I$115)</f>
        <v>0.96699999999999997</v>
      </c>
      <c r="E127" s="17">
        <f t="shared" ref="E127:E146" si="6">0.85*D127^2</f>
        <v>0.79482564999999994</v>
      </c>
      <c r="F127" s="17">
        <f t="shared" ref="F127:F146" si="7">MIN(MAX($J$116*B127^4+$K$116*B127^3+$L$116*B127^2+$M$116*B127+$N$116,$H$116),$I$116)</f>
        <v>0.75</v>
      </c>
      <c r="G127" s="17">
        <f t="shared" ref="G127:G146" si="8">MIN(MAX($J$117*B127^4+$K$117*B127^3+$L$117*B127^2+$M$117*B127+$N$117,$H$117),$I$117)</f>
        <v>0.50001844691256248</v>
      </c>
    </row>
    <row r="128" spans="2:14" ht="12.75" customHeight="1">
      <c r="B128" s="29">
        <v>0.01</v>
      </c>
      <c r="C128" s="32">
        <f t="shared" si="4"/>
        <v>1.3879177845545994E-2</v>
      </c>
      <c r="D128" s="17">
        <f t="shared" si="5"/>
        <v>0.96699999999999997</v>
      </c>
      <c r="E128" s="17">
        <f t="shared" si="6"/>
        <v>0.79482564999999994</v>
      </c>
      <c r="F128" s="17">
        <f t="shared" si="7"/>
        <v>0.75</v>
      </c>
      <c r="G128" s="17">
        <f t="shared" si="8"/>
        <v>0.49232803080100002</v>
      </c>
    </row>
    <row r="129" spans="2:7" ht="12.75" customHeight="1">
      <c r="B129" s="29">
        <v>0.02</v>
      </c>
      <c r="C129" s="32">
        <f t="shared" si="4"/>
        <v>4.9893849971625222E-2</v>
      </c>
      <c r="D129" s="17">
        <f t="shared" si="5"/>
        <v>0.96699999999999997</v>
      </c>
      <c r="E129" s="17">
        <f t="shared" si="6"/>
        <v>0.79482564999999994</v>
      </c>
      <c r="F129" s="17">
        <f t="shared" si="7"/>
        <v>0.75</v>
      </c>
      <c r="G129" s="17">
        <f t="shared" si="8"/>
        <v>0.47751013441600004</v>
      </c>
    </row>
    <row r="130" spans="2:7" ht="12.75" customHeight="1">
      <c r="B130" s="29">
        <v>0.04</v>
      </c>
      <c r="C130" s="32">
        <f t="shared" si="4"/>
        <v>0.11582609444902503</v>
      </c>
      <c r="D130" s="17">
        <f t="shared" si="5"/>
        <v>0.96699999999999997</v>
      </c>
      <c r="E130" s="17">
        <f t="shared" si="6"/>
        <v>0.79482564999999994</v>
      </c>
      <c r="F130" s="17">
        <f t="shared" si="7"/>
        <v>0.75</v>
      </c>
      <c r="G130" s="17">
        <f t="shared" si="8"/>
        <v>0.45005368345600005</v>
      </c>
    </row>
    <row r="131" spans="2:7" ht="12.75" customHeight="1">
      <c r="B131" s="29">
        <v>0.08</v>
      </c>
      <c r="C131" s="32">
        <f t="shared" si="4"/>
        <v>0.22664635720515997</v>
      </c>
      <c r="D131" s="17">
        <f t="shared" si="5"/>
        <v>0.96699999999999997</v>
      </c>
      <c r="E131" s="17">
        <f t="shared" si="6"/>
        <v>0.79482564999999994</v>
      </c>
      <c r="F131" s="17">
        <f t="shared" si="7"/>
        <v>0.75</v>
      </c>
      <c r="G131" s="17">
        <f t="shared" si="8"/>
        <v>0.40329279769600002</v>
      </c>
    </row>
    <row r="132" spans="2:7" ht="12.75" customHeight="1">
      <c r="B132" s="29">
        <v>0.16</v>
      </c>
      <c r="C132" s="32">
        <f t="shared" si="4"/>
        <v>0.38588746283130476</v>
      </c>
      <c r="D132" s="17">
        <f t="shared" si="5"/>
        <v>0.95650656639999998</v>
      </c>
      <c r="E132" s="17">
        <f t="shared" si="6"/>
        <v>0.77766908983136984</v>
      </c>
      <c r="F132" s="17">
        <f t="shared" si="7"/>
        <v>0.73134332159999993</v>
      </c>
      <c r="G132" s="17">
        <f t="shared" si="8"/>
        <v>0.33807806233600002</v>
      </c>
    </row>
    <row r="133" spans="2:7" ht="12.75" customHeight="1">
      <c r="B133" s="29">
        <v>0.35</v>
      </c>
      <c r="C133" s="32">
        <f t="shared" si="4"/>
        <v>0.59111440334353116</v>
      </c>
      <c r="D133" s="17">
        <f t="shared" si="5"/>
        <v>0.9321914</v>
      </c>
      <c r="E133" s="17">
        <f t="shared" si="6"/>
        <v>0.73863368529886597</v>
      </c>
      <c r="F133" s="17">
        <f t="shared" si="7"/>
        <v>0.69172535000000002</v>
      </c>
      <c r="G133" s="17">
        <f t="shared" si="8"/>
        <v>0.28933980062500003</v>
      </c>
    </row>
    <row r="134" spans="2:7" ht="12.75" customHeight="1">
      <c r="B134" s="29">
        <v>0.4</v>
      </c>
      <c r="C134" s="32">
        <f t="shared" si="4"/>
        <v>0.62594050310399985</v>
      </c>
      <c r="D134" s="17">
        <f t="shared" si="5"/>
        <v>0.92739759999999993</v>
      </c>
      <c r="E134" s="17">
        <f t="shared" si="6"/>
        <v>0.73105636221289583</v>
      </c>
      <c r="F134" s="17">
        <f t="shared" si="7"/>
        <v>0.68485439999999997</v>
      </c>
      <c r="G134" s="17">
        <f t="shared" si="8"/>
        <v>0.29196976000000013</v>
      </c>
    </row>
    <row r="135" spans="2:7" ht="12.75" customHeight="1">
      <c r="B135" s="29">
        <v>0.45</v>
      </c>
      <c r="C135" s="32">
        <f t="shared" si="4"/>
        <v>0.6568005748424065</v>
      </c>
      <c r="D135" s="17">
        <f t="shared" si="5"/>
        <v>0.92315419999999992</v>
      </c>
      <c r="E135" s="17">
        <f t="shared" si="6"/>
        <v>0.72438162543099383</v>
      </c>
      <c r="F135" s="17">
        <f t="shared" si="7"/>
        <v>0.67904354999999994</v>
      </c>
      <c r="G135" s="17">
        <f t="shared" si="8"/>
        <v>0.29809025062500005</v>
      </c>
    </row>
    <row r="136" spans="2:7" ht="12.75" customHeight="1">
      <c r="B136" s="29">
        <v>0.5</v>
      </c>
      <c r="C136" s="32">
        <f t="shared" si="4"/>
        <v>0.68488856249999996</v>
      </c>
      <c r="D136" s="17">
        <f t="shared" si="5"/>
        <v>0.9194</v>
      </c>
      <c r="E136" s="17">
        <f t="shared" si="6"/>
        <v>0.71850190599999997</v>
      </c>
      <c r="F136" s="17">
        <f t="shared" si="7"/>
        <v>0.67407499999999998</v>
      </c>
      <c r="G136" s="17">
        <f t="shared" si="8"/>
        <v>0.30645625000000021</v>
      </c>
    </row>
    <row r="137" spans="2:7" ht="12.75" customHeight="1">
      <c r="B137" s="29">
        <v>0.55000000000000004</v>
      </c>
      <c r="C137" s="32">
        <f t="shared" si="4"/>
        <v>0.71124624363553168</v>
      </c>
      <c r="D137" s="17">
        <f t="shared" si="5"/>
        <v>0.91607379999999994</v>
      </c>
      <c r="E137" s="17">
        <f t="shared" si="6"/>
        <v>0.71331252598947392</v>
      </c>
      <c r="F137" s="17">
        <f t="shared" si="7"/>
        <v>0.66973094999999994</v>
      </c>
      <c r="G137" s="17">
        <f t="shared" si="8"/>
        <v>0.31598775062500006</v>
      </c>
    </row>
    <row r="138" spans="2:7" ht="12.75" customHeight="1">
      <c r="B138" s="29">
        <v>0.6</v>
      </c>
      <c r="C138" s="32">
        <f t="shared" si="4"/>
        <v>0.73688962598400021</v>
      </c>
      <c r="D138" s="17">
        <f t="shared" si="5"/>
        <v>0.91311439999999999</v>
      </c>
      <c r="E138" s="17">
        <f t="shared" si="6"/>
        <v>0.70871122136425602</v>
      </c>
      <c r="F138" s="17">
        <f t="shared" si="7"/>
        <v>0.66579359999999999</v>
      </c>
      <c r="G138" s="17">
        <f t="shared" si="8"/>
        <v>0.32576976000000024</v>
      </c>
    </row>
    <row r="139" spans="2:7" ht="12.75" customHeight="1">
      <c r="B139" s="29">
        <v>0.65</v>
      </c>
      <c r="C139" s="32">
        <f t="shared" si="4"/>
        <v>0.76285960107290618</v>
      </c>
      <c r="D139" s="17">
        <f t="shared" si="5"/>
        <v>0.91046059999999995</v>
      </c>
      <c r="E139" s="17">
        <f t="shared" si="6"/>
        <v>0.70459772852950586</v>
      </c>
      <c r="F139" s="17">
        <f t="shared" si="7"/>
        <v>0.66204514999999997</v>
      </c>
      <c r="G139" s="17">
        <f t="shared" si="8"/>
        <v>0.33505230062500013</v>
      </c>
    </row>
    <row r="140" spans="2:7" ht="12.75" customHeight="1">
      <c r="B140" s="29">
        <v>0.7</v>
      </c>
      <c r="C140" s="32">
        <f t="shared" si="4"/>
        <v>0.790196854896</v>
      </c>
      <c r="D140" s="17">
        <f t="shared" si="5"/>
        <v>0.90805119999999995</v>
      </c>
      <c r="E140" s="17">
        <f t="shared" si="6"/>
        <v>0.70087343454822393</v>
      </c>
      <c r="F140" s="17">
        <f t="shared" si="7"/>
        <v>0.65826779999999996</v>
      </c>
      <c r="G140" s="17">
        <f t="shared" si="8"/>
        <v>0.34325041000000012</v>
      </c>
    </row>
    <row r="141" spans="2:7" ht="12.75" customHeight="1">
      <c r="B141" s="29">
        <v>0.75</v>
      </c>
      <c r="C141" s="32">
        <f t="shared" si="4"/>
        <v>0.81984103564453104</v>
      </c>
      <c r="D141" s="17">
        <f t="shared" si="5"/>
        <v>0.90582499999999988</v>
      </c>
      <c r="E141" s="17">
        <f t="shared" si="6"/>
        <v>0.69744109103124985</v>
      </c>
      <c r="F141" s="17">
        <f t="shared" si="7"/>
        <v>0.65424375000000001</v>
      </c>
      <c r="G141" s="17">
        <f t="shared" si="8"/>
        <v>0.34994414062500012</v>
      </c>
    </row>
    <row r="142" spans="2:7" ht="12.75" customHeight="1">
      <c r="B142" s="29">
        <v>0.8</v>
      </c>
      <c r="C142" s="32">
        <f t="shared" si="4"/>
        <v>0.85245417849599991</v>
      </c>
      <c r="D142" s="17">
        <f t="shared" si="5"/>
        <v>0.90372079999999988</v>
      </c>
      <c r="E142" s="17">
        <f t="shared" si="6"/>
        <v>0.6942045916997438</v>
      </c>
      <c r="F142" s="17">
        <f t="shared" si="7"/>
        <v>0.65</v>
      </c>
      <c r="G142" s="17">
        <f t="shared" si="8"/>
        <v>0.35487856000000062</v>
      </c>
    </row>
    <row r="143" spans="2:7" ht="12.75" customHeight="1">
      <c r="B143" s="29">
        <v>0.85</v>
      </c>
      <c r="C143" s="32">
        <f t="shared" si="4"/>
        <v>0.88816838746040483</v>
      </c>
      <c r="D143" s="17">
        <f t="shared" si="5"/>
        <v>0.90167739999999985</v>
      </c>
      <c r="E143" s="17">
        <f t="shared" si="6"/>
        <v>0.69106881362014572</v>
      </c>
      <c r="F143" s="17">
        <f t="shared" si="7"/>
        <v>0.65</v>
      </c>
      <c r="G143" s="17">
        <f t="shared" si="8"/>
        <v>0.35796375062500019</v>
      </c>
    </row>
    <row r="144" spans="2:7" ht="12.75" customHeight="1">
      <c r="B144" s="29">
        <v>0.9</v>
      </c>
      <c r="C144" s="32">
        <f t="shared" si="4"/>
        <v>0.92625777428400047</v>
      </c>
      <c r="D144" s="17">
        <f t="shared" si="5"/>
        <v>0.9</v>
      </c>
      <c r="E144" s="17">
        <f t="shared" si="6"/>
        <v>0.6885</v>
      </c>
      <c r="F144" s="17">
        <f t="shared" si="7"/>
        <v>0.65</v>
      </c>
      <c r="G144" s="17">
        <f t="shared" si="8"/>
        <v>0.3592748100000005</v>
      </c>
    </row>
    <row r="145" spans="2:7" ht="12.75" customHeight="1">
      <c r="B145" s="29">
        <v>0.95</v>
      </c>
      <c r="C145" s="32">
        <f t="shared" si="4"/>
        <v>0.9647346544105283</v>
      </c>
      <c r="D145" s="17">
        <f t="shared" si="5"/>
        <v>0.9</v>
      </c>
      <c r="E145" s="17">
        <f t="shared" si="6"/>
        <v>0.6885</v>
      </c>
      <c r="F145" s="17">
        <f t="shared" si="7"/>
        <v>0.65</v>
      </c>
      <c r="G145" s="17">
        <f t="shared" si="8"/>
        <v>0.35905185062500111</v>
      </c>
    </row>
    <row r="146" spans="2:7" ht="12.75" customHeight="1">
      <c r="B146" s="29">
        <v>1</v>
      </c>
      <c r="C146" s="32">
        <f t="shared" si="4"/>
        <v>0.99986999999999948</v>
      </c>
      <c r="D146" s="17">
        <f t="shared" si="5"/>
        <v>0.9</v>
      </c>
      <c r="E146" s="17">
        <f t="shared" si="6"/>
        <v>0.6885</v>
      </c>
      <c r="F146" s="17">
        <f t="shared" si="7"/>
        <v>0.65</v>
      </c>
      <c r="G146" s="17">
        <f t="shared" si="8"/>
        <v>0.3577000000000008</v>
      </c>
    </row>
    <row r="147" spans="2:7" ht="12.75" customHeight="1">
      <c r="F147" s="16"/>
    </row>
    <row r="148" spans="2:7" ht="12.75" customHeight="1">
      <c r="F148" s="16"/>
    </row>
    <row r="170" spans="6:6" ht="12.75" customHeight="1">
      <c r="F170" s="16"/>
    </row>
    <row r="171" spans="6:6" ht="12.75" customHeight="1">
      <c r="F171" s="16"/>
    </row>
    <row r="172" spans="6:6" ht="12.75" customHeight="1">
      <c r="F172" s="16"/>
    </row>
    <row r="173" spans="6:6" ht="12.75" customHeight="1">
      <c r="F173" s="16"/>
    </row>
    <row r="174" spans="6:6" ht="12.75" customHeight="1">
      <c r="F174" s="16"/>
    </row>
    <row r="175" spans="6:6" ht="12.75" customHeight="1">
      <c r="F175" s="16"/>
    </row>
    <row r="176" spans="6:6" ht="12.75" customHeight="1">
      <c r="F176" s="16"/>
    </row>
    <row r="177" spans="6:6" ht="12.75" customHeight="1">
      <c r="F177" s="16"/>
    </row>
    <row r="178" spans="6:6" ht="12.75" customHeight="1">
      <c r="F178" s="16"/>
    </row>
    <row r="179" spans="6:6" ht="12.75" customHeight="1">
      <c r="F179" s="16"/>
    </row>
    <row r="180" spans="6:6" ht="12.75" customHeight="1">
      <c r="F180" s="16"/>
    </row>
    <row r="181" spans="6:6" ht="12.75" customHeight="1">
      <c r="F181" s="16"/>
    </row>
    <row r="182" spans="6:6" ht="12.75" customHeight="1">
      <c r="F182" s="16"/>
    </row>
    <row r="183" spans="6:6" ht="12.75" customHeight="1">
      <c r="F183" s="16"/>
    </row>
    <row r="184" spans="6:6" ht="12.75" customHeight="1">
      <c r="F184" s="16"/>
    </row>
    <row r="185" spans="6:6" ht="12.75" customHeight="1">
      <c r="F185" s="16"/>
    </row>
    <row r="186" spans="6:6" ht="12.75" customHeight="1">
      <c r="F186" s="16"/>
    </row>
    <row r="187" spans="6:6" ht="12.75" customHeight="1">
      <c r="F187" s="16"/>
    </row>
    <row r="188" spans="6:6" ht="12.75" customHeight="1">
      <c r="F188" s="16"/>
    </row>
    <row r="189" spans="6:6" ht="12.75" customHeight="1">
      <c r="F189" s="16"/>
    </row>
    <row r="190" spans="6:6" ht="12.75" customHeight="1">
      <c r="F190" s="16"/>
    </row>
    <row r="191" spans="6:6" ht="12.75" customHeight="1">
      <c r="F191" s="16"/>
    </row>
  </sheetData>
  <mergeCells count="39">
    <mergeCell ref="C33:C34"/>
    <mergeCell ref="G9:H10"/>
    <mergeCell ref="B9:B12"/>
    <mergeCell ref="C9:C11"/>
    <mergeCell ref="D9:D11"/>
    <mergeCell ref="E9:E11"/>
    <mergeCell ref="F9:F11"/>
    <mergeCell ref="B83:B95"/>
    <mergeCell ref="B96:B103"/>
    <mergeCell ref="D80:D82"/>
    <mergeCell ref="C55:C57"/>
    <mergeCell ref="B61:B75"/>
    <mergeCell ref="C62:C63"/>
    <mergeCell ref="C64:C66"/>
    <mergeCell ref="B37:B60"/>
    <mergeCell ref="C67:C69"/>
    <mergeCell ref="C70:C72"/>
    <mergeCell ref="C73:C75"/>
    <mergeCell ref="C40:C42"/>
    <mergeCell ref="C43:C45"/>
    <mergeCell ref="B80:B82"/>
    <mergeCell ref="C49:C51"/>
    <mergeCell ref="C52:C54"/>
    <mergeCell ref="C58:C60"/>
    <mergeCell ref="C80:C81"/>
    <mergeCell ref="C46:C48"/>
    <mergeCell ref="B13:B36"/>
    <mergeCell ref="C13:C14"/>
    <mergeCell ref="C17:C18"/>
    <mergeCell ref="C19:C20"/>
    <mergeCell ref="C29:C30"/>
    <mergeCell ref="C23:C24"/>
    <mergeCell ref="C25:C26"/>
    <mergeCell ref="C27:C28"/>
    <mergeCell ref="C31:C32"/>
    <mergeCell ref="C15:C16"/>
    <mergeCell ref="C21:C22"/>
    <mergeCell ref="C35:C36"/>
    <mergeCell ref="C38:C39"/>
  </mergeCells>
  <phoneticPr fontId="23"/>
  <dataValidations count="3">
    <dataValidation type="list" allowBlank="1" showInputMessage="1" showErrorMessage="1" sqref="D109 B124" xr:uid="{00000000-0002-0000-0000-000000000000}">
      <formula1>IF($D$108=1500,Plug1500,Plug2500)</formula1>
    </dataValidation>
    <dataValidation type="list" allowBlank="1" showInputMessage="1" showErrorMessage="1" sqref="D108" xr:uid="{00000000-0002-0000-0000-000001000000}">
      <formula1>"600, 1500, 2500"</formula1>
    </dataValidation>
    <dataValidation type="list" allowBlank="1" showInputMessage="1" showErrorMessage="1" sqref="D107" xr:uid="{00000000-0002-0000-0000-000002000000}">
      <formula1>"Linear, =%"</formula1>
    </dataValidation>
  </dataValidations>
  <pageMargins left="0.7" right="0.7" top="0.75" bottom="0.75" header="0.3" footer="0.3"/>
  <pageSetup orientation="portrait" horizontalDpi="1200" verticalDpi="1200" r:id="rId1"/>
  <customProperties>
    <customPr name="BudgetSheetCodeName" r:id="rId2"/>
  </customProperties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1:W184"/>
  <sheetViews>
    <sheetView topLeftCell="A72" workbookViewId="0">
      <selection activeCell="H107" sqref="H107"/>
    </sheetView>
  </sheetViews>
  <sheetFormatPr defaultColWidth="8.84375" defaultRowHeight="12.75" customHeight="1"/>
  <cols>
    <col min="1" max="1" width="2.765625" style="15" customWidth="1"/>
    <col min="2" max="2" width="8.765625" style="15" customWidth="1"/>
    <col min="3" max="5" width="8.84375" style="15"/>
    <col min="6" max="6" width="8.84375" style="15" customWidth="1"/>
    <col min="7" max="8" width="8.84375" style="15"/>
    <col min="9" max="10" width="8.84375" style="16"/>
    <col min="11" max="14" width="8.84375" style="15"/>
    <col min="15" max="15" width="8.84375" style="28"/>
    <col min="16" max="16" width="9" style="28" bestFit="1" customWidth="1"/>
    <col min="17" max="19" width="8.84375" style="28"/>
    <col min="20" max="20" width="8.84375" style="16"/>
    <col min="21" max="16384" width="8.84375" style="15"/>
  </cols>
  <sheetData>
    <row r="1" spans="2:15" ht="16.5">
      <c r="B1" s="30" t="s">
        <v>238</v>
      </c>
      <c r="C1" s="30"/>
      <c r="D1" s="30"/>
      <c r="E1" s="30"/>
    </row>
    <row r="3" spans="2:15" ht="12.75" customHeight="1">
      <c r="B3" s="33" t="s">
        <v>0</v>
      </c>
    </row>
    <row r="4" spans="2:15" ht="12.75" customHeight="1">
      <c r="C4" s="33" t="s">
        <v>81</v>
      </c>
      <c r="E4" s="15" t="s">
        <v>20</v>
      </c>
    </row>
    <row r="5" spans="2:15" ht="12.75" customHeight="1">
      <c r="C5" s="33" t="s">
        <v>82</v>
      </c>
      <c r="E5" s="15" t="s">
        <v>19</v>
      </c>
    </row>
    <row r="7" spans="2:15" ht="12.75" customHeight="1">
      <c r="B7" s="33" t="s">
        <v>66</v>
      </c>
    </row>
    <row r="8" spans="2:15" ht="12.75" customHeight="1" thickBot="1"/>
    <row r="9" spans="2:15" ht="12.75" customHeight="1">
      <c r="B9" s="363" t="s">
        <v>65</v>
      </c>
      <c r="C9" s="370" t="s">
        <v>12</v>
      </c>
      <c r="D9" s="372" t="s">
        <v>69</v>
      </c>
      <c r="E9" s="374" t="s">
        <v>52</v>
      </c>
      <c r="F9" s="367" t="s">
        <v>13</v>
      </c>
      <c r="G9" s="366" t="s">
        <v>203</v>
      </c>
      <c r="H9" s="367"/>
    </row>
    <row r="10" spans="2:15" ht="12.75" customHeight="1">
      <c r="B10" s="364"/>
      <c r="C10" s="371"/>
      <c r="D10" s="373"/>
      <c r="E10" s="375"/>
      <c r="F10" s="369"/>
      <c r="G10" s="368"/>
      <c r="H10" s="369"/>
      <c r="O10" s="15"/>
    </row>
    <row r="11" spans="2:15" ht="12.75" customHeight="1">
      <c r="B11" s="364"/>
      <c r="C11" s="371"/>
      <c r="D11" s="274"/>
      <c r="E11" s="375"/>
      <c r="F11" s="369"/>
      <c r="G11" s="271" t="s">
        <v>14</v>
      </c>
      <c r="H11" s="246" t="s">
        <v>15</v>
      </c>
      <c r="O11" s="15"/>
    </row>
    <row r="12" spans="2:15" ht="12.75" customHeight="1" thickBot="1">
      <c r="B12" s="365"/>
      <c r="C12" s="4" t="s">
        <v>177</v>
      </c>
      <c r="D12" s="270" t="s">
        <v>16</v>
      </c>
      <c r="E12" s="5" t="s">
        <v>17</v>
      </c>
      <c r="F12" s="6" t="s">
        <v>17</v>
      </c>
      <c r="G12" s="272" t="s">
        <v>18</v>
      </c>
      <c r="H12" s="6" t="s">
        <v>18</v>
      </c>
      <c r="O12" s="15"/>
    </row>
    <row r="13" spans="2:15" ht="12.75" customHeight="1">
      <c r="B13" s="349" t="s">
        <v>62</v>
      </c>
      <c r="C13" s="379" t="s">
        <v>178</v>
      </c>
      <c r="D13" s="224" t="s">
        <v>1</v>
      </c>
      <c r="E13" s="1">
        <v>18</v>
      </c>
      <c r="F13" s="273">
        <v>20</v>
      </c>
      <c r="G13" s="189">
        <f>0.8*H13</f>
        <v>5.04</v>
      </c>
      <c r="H13" s="70">
        <v>6.3</v>
      </c>
      <c r="O13" s="15"/>
    </row>
    <row r="14" spans="2:15" ht="12.75" customHeight="1">
      <c r="B14" s="350"/>
      <c r="C14" s="376"/>
      <c r="D14" s="222">
        <v>1</v>
      </c>
      <c r="E14" s="2">
        <v>31</v>
      </c>
      <c r="F14" s="168">
        <v>20</v>
      </c>
      <c r="G14" s="190">
        <v>11</v>
      </c>
      <c r="H14" s="71">
        <v>14</v>
      </c>
      <c r="O14" s="15"/>
    </row>
    <row r="15" spans="2:15" ht="12.75" customHeight="1">
      <c r="B15" s="350"/>
      <c r="C15" s="377" t="s">
        <v>179</v>
      </c>
      <c r="D15" s="222" t="s">
        <v>49</v>
      </c>
      <c r="E15" s="2">
        <v>31</v>
      </c>
      <c r="F15" s="169">
        <v>20</v>
      </c>
      <c r="G15" s="190">
        <v>13</v>
      </c>
      <c r="H15" s="71">
        <v>16.25</v>
      </c>
      <c r="O15" s="15"/>
    </row>
    <row r="16" spans="2:15" ht="12.75" customHeight="1">
      <c r="B16" s="350"/>
      <c r="C16" s="379"/>
      <c r="D16" s="222" t="s">
        <v>2</v>
      </c>
      <c r="E16" s="2">
        <v>50</v>
      </c>
      <c r="F16" s="169">
        <v>25</v>
      </c>
      <c r="G16" s="190">
        <v>27</v>
      </c>
      <c r="H16" s="71">
        <v>34</v>
      </c>
      <c r="O16" s="15"/>
    </row>
    <row r="17" spans="2:15" ht="12.75" customHeight="1">
      <c r="B17" s="350"/>
      <c r="C17" s="376" t="s">
        <v>180</v>
      </c>
      <c r="D17" s="222" t="s">
        <v>2</v>
      </c>
      <c r="E17" s="2">
        <v>50</v>
      </c>
      <c r="F17" s="169">
        <v>25</v>
      </c>
      <c r="G17" s="191">
        <v>31</v>
      </c>
      <c r="H17" s="72">
        <v>36</v>
      </c>
      <c r="O17" s="15"/>
    </row>
    <row r="18" spans="2:15" ht="12.75" customHeight="1">
      <c r="B18" s="350"/>
      <c r="C18" s="376"/>
      <c r="D18" s="222">
        <v>2</v>
      </c>
      <c r="E18" s="2">
        <v>62</v>
      </c>
      <c r="F18" s="169">
        <v>30</v>
      </c>
      <c r="G18" s="190">
        <v>46</v>
      </c>
      <c r="H18" s="71">
        <v>54</v>
      </c>
      <c r="O18" s="15"/>
    </row>
    <row r="19" spans="2:15" ht="12.75" customHeight="1">
      <c r="B19" s="350"/>
      <c r="C19" s="376" t="s">
        <v>195</v>
      </c>
      <c r="D19" s="222">
        <v>2</v>
      </c>
      <c r="E19" s="2">
        <v>62</v>
      </c>
      <c r="F19" s="169">
        <v>30</v>
      </c>
      <c r="G19" s="190">
        <v>54</v>
      </c>
      <c r="H19" s="71">
        <v>69</v>
      </c>
      <c r="O19" s="15"/>
    </row>
    <row r="20" spans="2:15" ht="12.75" customHeight="1">
      <c r="B20" s="350"/>
      <c r="C20" s="376"/>
      <c r="D20" s="222">
        <v>3</v>
      </c>
      <c r="E20" s="2">
        <v>90</v>
      </c>
      <c r="F20" s="169">
        <v>40</v>
      </c>
      <c r="G20" s="190">
        <v>92</v>
      </c>
      <c r="H20" s="11">
        <v>120</v>
      </c>
      <c r="O20" s="15"/>
    </row>
    <row r="21" spans="2:15" ht="12.75" customHeight="1">
      <c r="B21" s="350"/>
      <c r="C21" s="376" t="s">
        <v>182</v>
      </c>
      <c r="D21" s="222" t="s">
        <v>4</v>
      </c>
      <c r="E21" s="2">
        <v>90</v>
      </c>
      <c r="F21" s="169">
        <v>40</v>
      </c>
      <c r="G21" s="12">
        <v>100</v>
      </c>
      <c r="H21" s="11">
        <v>130</v>
      </c>
      <c r="O21" s="15"/>
    </row>
    <row r="22" spans="2:15" ht="12.75" customHeight="1">
      <c r="B22" s="350"/>
      <c r="C22" s="376"/>
      <c r="D22" s="222" t="s">
        <v>3</v>
      </c>
      <c r="E22" s="2">
        <v>115</v>
      </c>
      <c r="F22" s="169">
        <v>50</v>
      </c>
      <c r="G22" s="12">
        <v>166</v>
      </c>
      <c r="H22" s="11">
        <v>200</v>
      </c>
      <c r="O22" s="15"/>
    </row>
    <row r="23" spans="2:15" ht="12.75" customHeight="1">
      <c r="B23" s="350"/>
      <c r="C23" s="376" t="s">
        <v>183</v>
      </c>
      <c r="D23" s="222" t="s">
        <v>3</v>
      </c>
      <c r="E23" s="2">
        <v>115</v>
      </c>
      <c r="F23" s="169">
        <v>50</v>
      </c>
      <c r="G23" s="12">
        <v>194</v>
      </c>
      <c r="H23" s="11">
        <v>230</v>
      </c>
      <c r="O23" s="15"/>
    </row>
    <row r="24" spans="2:15" ht="12.75" customHeight="1">
      <c r="B24" s="350"/>
      <c r="C24" s="376"/>
      <c r="D24" s="222" t="s">
        <v>5</v>
      </c>
      <c r="E24" s="2">
        <v>160</v>
      </c>
      <c r="F24" s="169">
        <v>60</v>
      </c>
      <c r="G24" s="12">
        <v>300</v>
      </c>
      <c r="H24" s="11">
        <v>390</v>
      </c>
      <c r="O24" s="15"/>
    </row>
    <row r="25" spans="2:15" ht="12.75" customHeight="1">
      <c r="B25" s="350"/>
      <c r="C25" s="376" t="s">
        <v>184</v>
      </c>
      <c r="D25" s="222" t="s">
        <v>5</v>
      </c>
      <c r="E25" s="2">
        <v>160</v>
      </c>
      <c r="F25" s="169">
        <v>60</v>
      </c>
      <c r="G25" s="12">
        <v>320</v>
      </c>
      <c r="H25" s="11">
        <v>405</v>
      </c>
      <c r="O25" s="15"/>
    </row>
    <row r="26" spans="2:15" ht="12.75" customHeight="1">
      <c r="B26" s="350"/>
      <c r="C26" s="376"/>
      <c r="D26" s="222" t="s">
        <v>6</v>
      </c>
      <c r="E26" s="2">
        <v>205</v>
      </c>
      <c r="F26" s="169">
        <v>80</v>
      </c>
      <c r="G26" s="12">
        <v>580</v>
      </c>
      <c r="H26" s="11">
        <v>690</v>
      </c>
      <c r="O26" s="15"/>
    </row>
    <row r="27" spans="2:15" ht="12.75" customHeight="1">
      <c r="B27" s="350"/>
      <c r="C27" s="376" t="s">
        <v>185</v>
      </c>
      <c r="D27" s="222" t="s">
        <v>6</v>
      </c>
      <c r="E27" s="2">
        <v>205</v>
      </c>
      <c r="F27" s="169">
        <v>80</v>
      </c>
      <c r="G27" s="192">
        <v>600</v>
      </c>
      <c r="H27" s="11">
        <v>700</v>
      </c>
      <c r="O27" s="15"/>
    </row>
    <row r="28" spans="2:15" ht="12.75" customHeight="1">
      <c r="B28" s="350"/>
      <c r="C28" s="376"/>
      <c r="D28" s="222" t="s">
        <v>7</v>
      </c>
      <c r="E28" s="2">
        <v>245</v>
      </c>
      <c r="F28" s="169">
        <v>90</v>
      </c>
      <c r="G28" s="76">
        <f t="shared" ref="G28:G38" si="0">0.8*H28</f>
        <v>728</v>
      </c>
      <c r="H28" s="11">
        <v>910</v>
      </c>
      <c r="O28" s="15"/>
    </row>
    <row r="29" spans="2:15" ht="12.75" customHeight="1">
      <c r="B29" s="350"/>
      <c r="C29" s="376" t="s">
        <v>186</v>
      </c>
      <c r="D29" s="222" t="s">
        <v>7</v>
      </c>
      <c r="E29" s="2">
        <v>245</v>
      </c>
      <c r="F29" s="169">
        <v>90</v>
      </c>
      <c r="G29" s="76">
        <f t="shared" si="0"/>
        <v>744</v>
      </c>
      <c r="H29" s="11">
        <v>930</v>
      </c>
      <c r="O29" s="15"/>
    </row>
    <row r="30" spans="2:15" ht="12.75" customHeight="1">
      <c r="B30" s="350"/>
      <c r="C30" s="376"/>
      <c r="D30" s="222" t="s">
        <v>8</v>
      </c>
      <c r="E30" s="2">
        <v>300</v>
      </c>
      <c r="F30" s="169">
        <v>100</v>
      </c>
      <c r="G30" s="76">
        <f t="shared" si="0"/>
        <v>984</v>
      </c>
      <c r="H30" s="11">
        <v>1230</v>
      </c>
      <c r="O30" s="15"/>
    </row>
    <row r="31" spans="2:15" ht="12.75" customHeight="1">
      <c r="B31" s="350"/>
      <c r="C31" s="376" t="s">
        <v>187</v>
      </c>
      <c r="D31" s="222" t="s">
        <v>8</v>
      </c>
      <c r="E31" s="2">
        <v>300</v>
      </c>
      <c r="F31" s="169">
        <v>100</v>
      </c>
      <c r="G31" s="76">
        <f t="shared" si="0"/>
        <v>1016</v>
      </c>
      <c r="H31" s="11">
        <v>1270</v>
      </c>
      <c r="O31" s="15"/>
    </row>
    <row r="32" spans="2:15" ht="12.75" customHeight="1">
      <c r="B32" s="350"/>
      <c r="C32" s="376"/>
      <c r="D32" s="222" t="s">
        <v>9</v>
      </c>
      <c r="E32" s="2">
        <v>335</v>
      </c>
      <c r="F32" s="169">
        <v>130</v>
      </c>
      <c r="G32" s="76">
        <f t="shared" si="0"/>
        <v>1248</v>
      </c>
      <c r="H32" s="11">
        <v>1560</v>
      </c>
      <c r="O32" s="15"/>
    </row>
    <row r="33" spans="2:15" ht="12.75" customHeight="1">
      <c r="B33" s="350"/>
      <c r="C33" s="376" t="s">
        <v>188</v>
      </c>
      <c r="D33" s="222" t="s">
        <v>9</v>
      </c>
      <c r="E33" s="2">
        <v>335</v>
      </c>
      <c r="F33" s="169">
        <v>130</v>
      </c>
      <c r="G33" s="76">
        <f t="shared" si="0"/>
        <v>1304</v>
      </c>
      <c r="H33" s="11">
        <v>1630</v>
      </c>
      <c r="O33" s="15"/>
    </row>
    <row r="34" spans="2:15" ht="12.75" customHeight="1">
      <c r="B34" s="350"/>
      <c r="C34" s="376"/>
      <c r="D34" s="222" t="s">
        <v>10</v>
      </c>
      <c r="E34" s="2">
        <v>360</v>
      </c>
      <c r="F34" s="169">
        <v>150</v>
      </c>
      <c r="G34" s="76">
        <f t="shared" si="0"/>
        <v>1512</v>
      </c>
      <c r="H34" s="11">
        <v>1890</v>
      </c>
      <c r="O34" s="15"/>
    </row>
    <row r="35" spans="2:15" ht="12.75" customHeight="1">
      <c r="B35" s="350"/>
      <c r="C35" s="376" t="s">
        <v>189</v>
      </c>
      <c r="D35" s="222" t="s">
        <v>10</v>
      </c>
      <c r="E35" s="2">
        <v>360</v>
      </c>
      <c r="F35" s="169">
        <v>150</v>
      </c>
      <c r="G35" s="76">
        <f t="shared" si="0"/>
        <v>1512</v>
      </c>
      <c r="H35" s="11">
        <v>1890</v>
      </c>
      <c r="O35" s="15"/>
    </row>
    <row r="36" spans="2:15" ht="12.75" customHeight="1" thickBot="1">
      <c r="B36" s="351"/>
      <c r="C36" s="377"/>
      <c r="D36" s="223" t="s">
        <v>11</v>
      </c>
      <c r="E36" s="21">
        <v>400</v>
      </c>
      <c r="F36" s="173">
        <v>150</v>
      </c>
      <c r="G36" s="193">
        <f t="shared" si="0"/>
        <v>1776</v>
      </c>
      <c r="H36" s="13">
        <v>2220</v>
      </c>
      <c r="O36" s="15"/>
    </row>
    <row r="37" spans="2:15" ht="12.75" customHeight="1">
      <c r="B37" s="361" t="s">
        <v>63</v>
      </c>
      <c r="C37" s="175" t="s">
        <v>178</v>
      </c>
      <c r="D37" s="224" t="s">
        <v>1</v>
      </c>
      <c r="E37" s="1">
        <v>18</v>
      </c>
      <c r="F37" s="174">
        <v>20</v>
      </c>
      <c r="G37" s="194">
        <f t="shared" si="0"/>
        <v>5.04</v>
      </c>
      <c r="H37" s="73">
        <v>6.3</v>
      </c>
      <c r="O37" s="15"/>
    </row>
    <row r="38" spans="2:15" ht="12.75" customHeight="1">
      <c r="B38" s="350"/>
      <c r="C38" s="377" t="s">
        <v>179</v>
      </c>
      <c r="D38" s="222" t="s">
        <v>49</v>
      </c>
      <c r="E38" s="2">
        <v>31</v>
      </c>
      <c r="F38" s="169">
        <v>20</v>
      </c>
      <c r="G38" s="74">
        <f t="shared" si="0"/>
        <v>14.4</v>
      </c>
      <c r="H38" s="72">
        <v>18</v>
      </c>
      <c r="O38" s="15"/>
    </row>
    <row r="39" spans="2:15" ht="12.75" customHeight="1">
      <c r="B39" s="350"/>
      <c r="C39" s="379"/>
      <c r="D39" s="222" t="s">
        <v>39</v>
      </c>
      <c r="E39" s="2">
        <v>40</v>
      </c>
      <c r="F39" s="169">
        <v>20</v>
      </c>
      <c r="G39" s="74">
        <f>0.8*H39</f>
        <v>21.6</v>
      </c>
      <c r="H39" s="72">
        <v>27</v>
      </c>
      <c r="O39" s="15"/>
    </row>
    <row r="40" spans="2:15" ht="12.75" customHeight="1">
      <c r="B40" s="350"/>
      <c r="C40" s="376" t="s">
        <v>180</v>
      </c>
      <c r="D40" s="222" t="s">
        <v>49</v>
      </c>
      <c r="E40" s="2">
        <v>31</v>
      </c>
      <c r="F40" s="169">
        <v>20</v>
      </c>
      <c r="G40" s="74">
        <f>0.8*H40</f>
        <v>14.4</v>
      </c>
      <c r="H40" s="72">
        <v>18</v>
      </c>
      <c r="O40" s="15"/>
    </row>
    <row r="41" spans="2:15" ht="12.75" customHeight="1">
      <c r="B41" s="350"/>
      <c r="C41" s="376"/>
      <c r="D41" s="222" t="s">
        <v>39</v>
      </c>
      <c r="E41" s="2">
        <v>40</v>
      </c>
      <c r="F41" s="169">
        <v>20</v>
      </c>
      <c r="G41" s="74">
        <f>0.8*H41</f>
        <v>21.6</v>
      </c>
      <c r="H41" s="72">
        <v>27</v>
      </c>
      <c r="O41" s="15"/>
    </row>
    <row r="42" spans="2:15" ht="12.75" customHeight="1">
      <c r="B42" s="350"/>
      <c r="C42" s="376"/>
      <c r="D42" s="222" t="s">
        <v>2</v>
      </c>
      <c r="E42" s="2">
        <v>50</v>
      </c>
      <c r="F42" s="169">
        <v>25</v>
      </c>
      <c r="G42" s="190">
        <v>31</v>
      </c>
      <c r="H42" s="71">
        <v>43</v>
      </c>
      <c r="O42" s="15"/>
    </row>
    <row r="43" spans="2:15" ht="12.75" customHeight="1">
      <c r="B43" s="350"/>
      <c r="C43" s="376" t="s">
        <v>195</v>
      </c>
      <c r="D43" s="222" t="s">
        <v>2</v>
      </c>
      <c r="E43" s="2">
        <v>50</v>
      </c>
      <c r="F43" s="169">
        <v>25</v>
      </c>
      <c r="G43" s="74">
        <f t="shared" ref="G43:G75" si="1">0.8*H43</f>
        <v>43.2</v>
      </c>
      <c r="H43" s="72">
        <v>54</v>
      </c>
      <c r="O43" s="15"/>
    </row>
    <row r="44" spans="2:15" ht="12.75" customHeight="1">
      <c r="B44" s="350"/>
      <c r="C44" s="376"/>
      <c r="D44" s="222" t="s">
        <v>50</v>
      </c>
      <c r="E44" s="2">
        <v>62</v>
      </c>
      <c r="F44" s="169">
        <v>40</v>
      </c>
      <c r="G44" s="74">
        <f t="shared" si="1"/>
        <v>64.8</v>
      </c>
      <c r="H44" s="72">
        <v>81</v>
      </c>
      <c r="O44" s="15"/>
    </row>
    <row r="45" spans="2:15" ht="12.75" customHeight="1">
      <c r="B45" s="350"/>
      <c r="C45" s="376"/>
      <c r="D45" s="222" t="s">
        <v>40</v>
      </c>
      <c r="E45" s="2">
        <v>75</v>
      </c>
      <c r="F45" s="169">
        <v>40</v>
      </c>
      <c r="G45" s="74">
        <f t="shared" si="1"/>
        <v>95.04</v>
      </c>
      <c r="H45" s="75">
        <v>118.8</v>
      </c>
      <c r="O45" s="15"/>
    </row>
    <row r="46" spans="2:15" ht="12.75" customHeight="1">
      <c r="B46" s="350"/>
      <c r="C46" s="376" t="s">
        <v>182</v>
      </c>
      <c r="D46" s="222" t="s">
        <v>50</v>
      </c>
      <c r="E46" s="2">
        <v>62</v>
      </c>
      <c r="F46" s="169">
        <v>40</v>
      </c>
      <c r="G46" s="74">
        <f t="shared" si="1"/>
        <v>64.8</v>
      </c>
      <c r="H46" s="72">
        <v>81</v>
      </c>
      <c r="O46" s="15"/>
    </row>
    <row r="47" spans="2:15" ht="12.75" customHeight="1">
      <c r="B47" s="350"/>
      <c r="C47" s="376"/>
      <c r="D47" s="222" t="s">
        <v>40</v>
      </c>
      <c r="E47" s="2">
        <v>75</v>
      </c>
      <c r="F47" s="169">
        <v>40</v>
      </c>
      <c r="G47" s="74">
        <f>0.8*H47</f>
        <v>95.04</v>
      </c>
      <c r="H47" s="75">
        <v>118.8</v>
      </c>
      <c r="O47" s="15"/>
    </row>
    <row r="48" spans="2:15" ht="12.75" customHeight="1">
      <c r="B48" s="350"/>
      <c r="C48" s="376"/>
      <c r="D48" s="222" t="s">
        <v>4</v>
      </c>
      <c r="E48" s="2">
        <v>90</v>
      </c>
      <c r="F48" s="169">
        <v>50</v>
      </c>
      <c r="G48" s="76">
        <f t="shared" si="1"/>
        <v>146.88</v>
      </c>
      <c r="H48" s="75">
        <v>183.6</v>
      </c>
      <c r="O48" s="15"/>
    </row>
    <row r="49" spans="2:15" ht="12.75" customHeight="1">
      <c r="B49" s="350"/>
      <c r="C49" s="376" t="s">
        <v>183</v>
      </c>
      <c r="D49" s="222" t="s">
        <v>4</v>
      </c>
      <c r="E49" s="2">
        <v>90</v>
      </c>
      <c r="F49" s="169">
        <v>50</v>
      </c>
      <c r="G49" s="76">
        <f t="shared" si="1"/>
        <v>146.88</v>
      </c>
      <c r="H49" s="75">
        <v>183.6</v>
      </c>
      <c r="O49" s="15"/>
    </row>
    <row r="50" spans="2:15" ht="12.75" customHeight="1">
      <c r="B50" s="350"/>
      <c r="C50" s="376"/>
      <c r="D50" s="222" t="s">
        <v>3</v>
      </c>
      <c r="E50" s="2">
        <v>115</v>
      </c>
      <c r="F50" s="169">
        <v>70</v>
      </c>
      <c r="G50" s="76">
        <f t="shared" si="1"/>
        <v>237.60000000000002</v>
      </c>
      <c r="H50" s="77">
        <v>297</v>
      </c>
      <c r="O50" s="15"/>
    </row>
    <row r="51" spans="2:15" ht="12.75" customHeight="1">
      <c r="B51" s="350"/>
      <c r="C51" s="376"/>
      <c r="D51" s="222" t="s">
        <v>41</v>
      </c>
      <c r="E51" s="2">
        <v>140</v>
      </c>
      <c r="F51" s="169">
        <v>70</v>
      </c>
      <c r="G51" s="76">
        <f t="shared" si="1"/>
        <v>320.40000000000003</v>
      </c>
      <c r="H51" s="75">
        <v>400.5</v>
      </c>
      <c r="O51" s="15"/>
    </row>
    <row r="52" spans="2:15" ht="12.75" customHeight="1">
      <c r="B52" s="350"/>
      <c r="C52" s="376" t="s">
        <v>184</v>
      </c>
      <c r="D52" s="222" t="s">
        <v>41</v>
      </c>
      <c r="E52" s="2">
        <v>140</v>
      </c>
      <c r="F52" s="169">
        <v>70</v>
      </c>
      <c r="G52" s="76">
        <f t="shared" si="1"/>
        <v>320.40000000000003</v>
      </c>
      <c r="H52" s="75">
        <v>400.5</v>
      </c>
      <c r="O52" s="15"/>
    </row>
    <row r="53" spans="2:15" ht="12.75" customHeight="1">
      <c r="B53" s="350"/>
      <c r="C53" s="376"/>
      <c r="D53" s="222" t="s">
        <v>5</v>
      </c>
      <c r="E53" s="2">
        <v>160</v>
      </c>
      <c r="F53" s="172">
        <v>70</v>
      </c>
      <c r="G53" s="76">
        <f t="shared" si="1"/>
        <v>403.20000000000005</v>
      </c>
      <c r="H53" s="75">
        <v>504</v>
      </c>
      <c r="O53" s="15"/>
    </row>
    <row r="54" spans="2:15" ht="12.75" customHeight="1">
      <c r="B54" s="350"/>
      <c r="C54" s="376"/>
      <c r="D54" s="222" t="s">
        <v>42</v>
      </c>
      <c r="E54" s="2">
        <v>180</v>
      </c>
      <c r="F54" s="169">
        <v>80</v>
      </c>
      <c r="G54" s="76">
        <f t="shared" si="1"/>
        <v>504</v>
      </c>
      <c r="H54" s="77">
        <v>630</v>
      </c>
      <c r="O54" s="15"/>
    </row>
    <row r="55" spans="2:15" ht="12.75" customHeight="1">
      <c r="B55" s="350"/>
      <c r="C55" s="376" t="s">
        <v>185</v>
      </c>
      <c r="D55" s="222" t="s">
        <v>5</v>
      </c>
      <c r="E55" s="2">
        <v>160</v>
      </c>
      <c r="F55" s="172">
        <v>70</v>
      </c>
      <c r="G55" s="76">
        <f t="shared" si="1"/>
        <v>403.20000000000005</v>
      </c>
      <c r="H55" s="75">
        <v>504</v>
      </c>
      <c r="O55" s="15"/>
    </row>
    <row r="56" spans="2:15" ht="12.75" customHeight="1">
      <c r="B56" s="350"/>
      <c r="C56" s="376"/>
      <c r="D56" s="222" t="s">
        <v>42</v>
      </c>
      <c r="E56" s="2">
        <v>180</v>
      </c>
      <c r="F56" s="169">
        <v>80</v>
      </c>
      <c r="G56" s="76">
        <f>0.8*H56</f>
        <v>504</v>
      </c>
      <c r="H56" s="77">
        <v>630</v>
      </c>
      <c r="O56" s="15"/>
    </row>
    <row r="57" spans="2:15" ht="12.75" customHeight="1">
      <c r="B57" s="350"/>
      <c r="C57" s="376"/>
      <c r="D57" s="222" t="s">
        <v>6</v>
      </c>
      <c r="E57" s="2">
        <v>205</v>
      </c>
      <c r="F57" s="169">
        <v>90</v>
      </c>
      <c r="G57" s="76">
        <f t="shared" si="1"/>
        <v>698.40000000000009</v>
      </c>
      <c r="H57" s="77">
        <v>873</v>
      </c>
      <c r="O57" s="15"/>
    </row>
    <row r="58" spans="2:15" ht="12.75" customHeight="1">
      <c r="B58" s="350"/>
      <c r="C58" s="376" t="s">
        <v>186</v>
      </c>
      <c r="D58" s="222" t="s">
        <v>42</v>
      </c>
      <c r="E58" s="2">
        <v>180</v>
      </c>
      <c r="F58" s="169">
        <v>80</v>
      </c>
      <c r="G58" s="76">
        <f>0.8*H58</f>
        <v>504</v>
      </c>
      <c r="H58" s="77">
        <v>630</v>
      </c>
      <c r="O58" s="15"/>
    </row>
    <row r="59" spans="2:15" ht="12.75" customHeight="1">
      <c r="B59" s="351"/>
      <c r="C59" s="377"/>
      <c r="D59" s="222" t="s">
        <v>6</v>
      </c>
      <c r="E59" s="2">
        <v>205</v>
      </c>
      <c r="F59" s="169">
        <v>90</v>
      </c>
      <c r="G59" s="76">
        <f>0.8*H59</f>
        <v>698.40000000000009</v>
      </c>
      <c r="H59" s="77">
        <v>873</v>
      </c>
      <c r="O59" s="15"/>
    </row>
    <row r="60" spans="2:15" ht="12.75" customHeight="1" thickBot="1">
      <c r="B60" s="360"/>
      <c r="C60" s="378"/>
      <c r="D60" s="225" t="s">
        <v>7</v>
      </c>
      <c r="E60" s="3">
        <v>245</v>
      </c>
      <c r="F60" s="170">
        <v>100</v>
      </c>
      <c r="G60" s="81">
        <f t="shared" si="1"/>
        <v>1008</v>
      </c>
      <c r="H60" s="78">
        <v>1260</v>
      </c>
      <c r="O60" s="15"/>
    </row>
    <row r="61" spans="2:15" ht="12.75" customHeight="1">
      <c r="B61" s="349" t="s">
        <v>64</v>
      </c>
      <c r="C61" s="176" t="s">
        <v>179</v>
      </c>
      <c r="D61" s="221">
        <v>1</v>
      </c>
      <c r="E61" s="18">
        <v>31</v>
      </c>
      <c r="F61" s="171">
        <v>20</v>
      </c>
      <c r="G61" s="79">
        <v>13</v>
      </c>
      <c r="H61" s="80">
        <v>17</v>
      </c>
      <c r="O61" s="15"/>
    </row>
    <row r="62" spans="2:15" ht="12.75" customHeight="1">
      <c r="B62" s="350"/>
      <c r="C62" s="376" t="s">
        <v>180</v>
      </c>
      <c r="D62" s="222">
        <v>1</v>
      </c>
      <c r="E62" s="2">
        <v>31</v>
      </c>
      <c r="F62" s="169">
        <v>20</v>
      </c>
      <c r="G62" s="74">
        <f t="shared" si="1"/>
        <v>14.4</v>
      </c>
      <c r="H62" s="72">
        <v>18</v>
      </c>
      <c r="O62" s="15"/>
    </row>
    <row r="63" spans="2:15" ht="12.75" customHeight="1">
      <c r="B63" s="350"/>
      <c r="C63" s="376"/>
      <c r="D63" s="222" t="s">
        <v>39</v>
      </c>
      <c r="E63" s="2">
        <v>40</v>
      </c>
      <c r="F63" s="169">
        <v>25</v>
      </c>
      <c r="G63" s="74">
        <f t="shared" si="1"/>
        <v>25.92</v>
      </c>
      <c r="H63" s="72">
        <v>32.4</v>
      </c>
      <c r="O63" s="15"/>
    </row>
    <row r="64" spans="2:15" ht="12.75" customHeight="1">
      <c r="B64" s="350"/>
      <c r="C64" s="376" t="s">
        <v>195</v>
      </c>
      <c r="D64" s="222" t="s">
        <v>39</v>
      </c>
      <c r="E64" s="2">
        <v>40</v>
      </c>
      <c r="F64" s="169">
        <v>25</v>
      </c>
      <c r="G64" s="74">
        <f t="shared" si="1"/>
        <v>25.92</v>
      </c>
      <c r="H64" s="72">
        <v>32.4</v>
      </c>
      <c r="O64" s="15"/>
    </row>
    <row r="65" spans="2:23" ht="12.75" customHeight="1">
      <c r="B65" s="350"/>
      <c r="C65" s="376"/>
      <c r="D65" s="222" t="s">
        <v>2</v>
      </c>
      <c r="E65" s="2">
        <v>50</v>
      </c>
      <c r="F65" s="169">
        <v>25</v>
      </c>
      <c r="G65" s="74">
        <f t="shared" si="1"/>
        <v>43.2</v>
      </c>
      <c r="H65" s="72">
        <v>54</v>
      </c>
      <c r="O65" s="15"/>
      <c r="W65" s="26"/>
    </row>
    <row r="66" spans="2:23" ht="12.75" customHeight="1">
      <c r="B66" s="350"/>
      <c r="C66" s="376"/>
      <c r="D66" s="222">
        <v>2</v>
      </c>
      <c r="E66" s="2">
        <v>62</v>
      </c>
      <c r="F66" s="169">
        <v>40</v>
      </c>
      <c r="G66" s="74">
        <f t="shared" si="1"/>
        <v>64.8</v>
      </c>
      <c r="H66" s="72">
        <v>81</v>
      </c>
      <c r="O66" s="15"/>
    </row>
    <row r="67" spans="2:23" ht="12.75" customHeight="1">
      <c r="B67" s="350"/>
      <c r="C67" s="350" t="s">
        <v>182</v>
      </c>
      <c r="D67" s="222" t="s">
        <v>2</v>
      </c>
      <c r="E67" s="2">
        <v>50</v>
      </c>
      <c r="F67" s="169">
        <v>25</v>
      </c>
      <c r="G67" s="74">
        <f t="shared" si="1"/>
        <v>43.2</v>
      </c>
      <c r="H67" s="72">
        <v>54</v>
      </c>
      <c r="O67" s="15"/>
    </row>
    <row r="68" spans="2:23" ht="12.75" customHeight="1">
      <c r="B68" s="350"/>
      <c r="C68" s="350"/>
      <c r="D68" s="226">
        <v>2</v>
      </c>
      <c r="E68" s="2">
        <v>62</v>
      </c>
      <c r="F68" s="169">
        <v>40</v>
      </c>
      <c r="G68" s="74">
        <f>0.8*H68</f>
        <v>64.8</v>
      </c>
      <c r="H68" s="72">
        <v>81</v>
      </c>
      <c r="O68" s="15"/>
    </row>
    <row r="69" spans="2:23" ht="12.75" customHeight="1">
      <c r="B69" s="350"/>
      <c r="C69" s="350"/>
      <c r="D69" s="222" t="s">
        <v>40</v>
      </c>
      <c r="E69" s="2">
        <v>75</v>
      </c>
      <c r="F69" s="169">
        <v>50</v>
      </c>
      <c r="G69" s="76">
        <f t="shared" si="1"/>
        <v>108</v>
      </c>
      <c r="H69" s="77">
        <v>135</v>
      </c>
      <c r="O69" s="15"/>
    </row>
    <row r="70" spans="2:23" ht="12.75" customHeight="1">
      <c r="B70" s="350"/>
      <c r="C70" s="376" t="s">
        <v>183</v>
      </c>
      <c r="D70" s="222" t="s">
        <v>40</v>
      </c>
      <c r="E70" s="2">
        <v>75</v>
      </c>
      <c r="F70" s="169">
        <v>50</v>
      </c>
      <c r="G70" s="76">
        <f t="shared" si="1"/>
        <v>108</v>
      </c>
      <c r="H70" s="77">
        <v>135</v>
      </c>
      <c r="O70" s="15"/>
    </row>
    <row r="71" spans="2:23" ht="12.75" customHeight="1">
      <c r="B71" s="350"/>
      <c r="C71" s="376"/>
      <c r="D71" s="222" t="s">
        <v>4</v>
      </c>
      <c r="E71" s="2">
        <v>90</v>
      </c>
      <c r="F71" s="169">
        <v>50</v>
      </c>
      <c r="G71" s="76">
        <f t="shared" si="1"/>
        <v>146.88</v>
      </c>
      <c r="H71" s="75">
        <v>183.6</v>
      </c>
      <c r="O71" s="15"/>
      <c r="W71" s="26"/>
    </row>
    <row r="72" spans="2:23" ht="12.75" customHeight="1">
      <c r="B72" s="350"/>
      <c r="C72" s="376"/>
      <c r="D72" s="222" t="s">
        <v>3</v>
      </c>
      <c r="E72" s="2">
        <v>115</v>
      </c>
      <c r="F72" s="169">
        <v>70</v>
      </c>
      <c r="G72" s="76">
        <f t="shared" si="1"/>
        <v>237.60000000000002</v>
      </c>
      <c r="H72" s="77">
        <v>297</v>
      </c>
      <c r="O72" s="15"/>
    </row>
    <row r="73" spans="2:23" ht="12.75" customHeight="1">
      <c r="B73" s="350"/>
      <c r="C73" s="376" t="s">
        <v>184</v>
      </c>
      <c r="D73" s="222" t="s">
        <v>4</v>
      </c>
      <c r="E73" s="2">
        <v>90</v>
      </c>
      <c r="F73" s="169">
        <v>50</v>
      </c>
      <c r="G73" s="76">
        <f t="shared" si="1"/>
        <v>146.88</v>
      </c>
      <c r="H73" s="75">
        <v>183.6</v>
      </c>
      <c r="O73" s="15"/>
    </row>
    <row r="74" spans="2:23" ht="12.75" customHeight="1">
      <c r="B74" s="351"/>
      <c r="C74" s="377"/>
      <c r="D74" s="222" t="s">
        <v>3</v>
      </c>
      <c r="E74" s="2">
        <v>115</v>
      </c>
      <c r="F74" s="169">
        <v>70</v>
      </c>
      <c r="G74" s="76">
        <f>0.8*H74</f>
        <v>237.60000000000002</v>
      </c>
      <c r="H74" s="77">
        <v>297</v>
      </c>
      <c r="O74" s="15"/>
    </row>
    <row r="75" spans="2:23" ht="12.75" customHeight="1" thickBot="1">
      <c r="B75" s="360"/>
      <c r="C75" s="378"/>
      <c r="D75" s="223" t="s">
        <v>41</v>
      </c>
      <c r="E75" s="21">
        <v>140</v>
      </c>
      <c r="F75" s="173">
        <v>80</v>
      </c>
      <c r="G75" s="81">
        <f t="shared" si="1"/>
        <v>381.6</v>
      </c>
      <c r="H75" s="78">
        <v>477</v>
      </c>
      <c r="O75" s="15"/>
    </row>
    <row r="78" spans="2:23" ht="12.75" customHeight="1">
      <c r="B78" s="33" t="s">
        <v>98</v>
      </c>
    </row>
    <row r="79" spans="2:23" ht="12.75" customHeight="1" thickBot="1"/>
    <row r="80" spans="2:23" ht="12.75" customHeight="1">
      <c r="B80" s="60" t="s">
        <v>89</v>
      </c>
      <c r="C80" s="98" t="s">
        <v>52</v>
      </c>
      <c r="D80" s="100" t="s">
        <v>85</v>
      </c>
      <c r="E80" s="66" t="s">
        <v>84</v>
      </c>
      <c r="F80" s="177" t="s">
        <v>83</v>
      </c>
      <c r="G80" s="195" t="s">
        <v>156</v>
      </c>
    </row>
    <row r="81" spans="2:17" ht="12.75" customHeight="1" thickBot="1">
      <c r="B81" s="92" t="s">
        <v>16</v>
      </c>
      <c r="C81" s="99" t="s">
        <v>17</v>
      </c>
      <c r="D81" s="101" t="s">
        <v>18</v>
      </c>
      <c r="E81" s="97" t="s">
        <v>18</v>
      </c>
      <c r="F81" s="178" t="s">
        <v>17</v>
      </c>
      <c r="G81" s="132" t="s">
        <v>18</v>
      </c>
      <c r="K81" s="16"/>
    </row>
    <row r="82" spans="2:17" ht="12.75" customHeight="1">
      <c r="B82" s="187" t="s">
        <v>1</v>
      </c>
      <c r="C82" s="98">
        <v>18</v>
      </c>
      <c r="D82" s="60">
        <v>6.3</v>
      </c>
      <c r="E82" s="61">
        <v>6.8</v>
      </c>
      <c r="F82" s="98">
        <v>2</v>
      </c>
      <c r="G82" s="186">
        <v>0.12</v>
      </c>
      <c r="K82" s="16"/>
    </row>
    <row r="83" spans="2:17" ht="12.75" customHeight="1">
      <c r="B83" s="12">
        <v>1</v>
      </c>
      <c r="C83" s="148">
        <v>31</v>
      </c>
      <c r="D83" s="85">
        <v>14</v>
      </c>
      <c r="E83" s="59">
        <v>22</v>
      </c>
      <c r="F83" s="148">
        <v>2</v>
      </c>
      <c r="G83" s="180">
        <v>0.3</v>
      </c>
      <c r="K83" s="16"/>
    </row>
    <row r="84" spans="2:17" ht="12.75" customHeight="1">
      <c r="B84" s="12" t="s">
        <v>39</v>
      </c>
      <c r="C84" s="2">
        <v>40</v>
      </c>
      <c r="D84" s="185">
        <v>27</v>
      </c>
      <c r="E84" s="183">
        <v>38</v>
      </c>
      <c r="F84" s="184">
        <v>2</v>
      </c>
      <c r="G84" s="179">
        <v>0.55000000000000004</v>
      </c>
      <c r="K84" s="16"/>
    </row>
    <row r="85" spans="2:17" ht="12.75" customHeight="1">
      <c r="B85" s="12" t="s">
        <v>2</v>
      </c>
      <c r="C85" s="148">
        <v>50</v>
      </c>
      <c r="D85" s="85">
        <v>34</v>
      </c>
      <c r="E85" s="59">
        <v>59.7</v>
      </c>
      <c r="F85" s="148">
        <v>2.4</v>
      </c>
      <c r="G85" s="180">
        <v>0.9</v>
      </c>
      <c r="K85" s="16"/>
      <c r="O85" s="15"/>
    </row>
    <row r="86" spans="2:17" ht="12.75" customHeight="1">
      <c r="B86" s="12">
        <v>2</v>
      </c>
      <c r="C86" s="148">
        <v>62</v>
      </c>
      <c r="D86" s="85">
        <v>54</v>
      </c>
      <c r="E86" s="59">
        <v>93</v>
      </c>
      <c r="F86" s="148">
        <v>2.4</v>
      </c>
      <c r="G86" s="179">
        <v>1.4</v>
      </c>
      <c r="K86" s="16"/>
      <c r="O86" s="15"/>
    </row>
    <row r="87" spans="2:17" ht="12.75" customHeight="1">
      <c r="B87" s="12" t="s">
        <v>40</v>
      </c>
      <c r="C87" s="2">
        <v>75</v>
      </c>
      <c r="D87" s="185">
        <v>119</v>
      </c>
      <c r="E87" s="183">
        <v>137</v>
      </c>
      <c r="F87" s="184">
        <v>2.4</v>
      </c>
      <c r="G87" s="179">
        <v>2.2999999999999998</v>
      </c>
      <c r="K87" s="16"/>
      <c r="O87" s="15"/>
    </row>
    <row r="88" spans="2:17" ht="12.75" customHeight="1">
      <c r="B88" s="12">
        <v>3</v>
      </c>
      <c r="C88" s="148">
        <v>90</v>
      </c>
      <c r="D88" s="85">
        <v>120</v>
      </c>
      <c r="E88" s="59">
        <v>199</v>
      </c>
      <c r="F88" s="148">
        <v>3</v>
      </c>
      <c r="G88" s="181">
        <v>3</v>
      </c>
      <c r="K88" s="16"/>
      <c r="O88" s="15" t="s">
        <v>166</v>
      </c>
      <c r="P88" s="28">
        <v>9</v>
      </c>
    </row>
    <row r="89" spans="2:17" ht="12.75" customHeight="1">
      <c r="B89" s="12">
        <v>4</v>
      </c>
      <c r="C89" s="148">
        <v>115</v>
      </c>
      <c r="D89" s="85">
        <v>200</v>
      </c>
      <c r="E89" s="59">
        <v>328</v>
      </c>
      <c r="F89" s="148">
        <v>3</v>
      </c>
      <c r="G89" s="181">
        <v>5</v>
      </c>
      <c r="K89" s="16"/>
      <c r="O89" s="15" t="s">
        <v>167</v>
      </c>
      <c r="P89" s="28">
        <v>504</v>
      </c>
      <c r="Q89" s="28">
        <f>P89/P88</f>
        <v>56</v>
      </c>
    </row>
    <row r="90" spans="2:17" ht="12.75" customHeight="1">
      <c r="B90" s="12">
        <v>5</v>
      </c>
      <c r="C90" s="148">
        <v>140</v>
      </c>
      <c r="D90" s="185">
        <v>401</v>
      </c>
      <c r="E90" s="183">
        <v>489</v>
      </c>
      <c r="F90" s="184">
        <v>3</v>
      </c>
      <c r="G90" s="179">
        <v>7.5</v>
      </c>
      <c r="K90" s="16"/>
    </row>
    <row r="91" spans="2:17" ht="12.75" customHeight="1">
      <c r="B91" s="12">
        <v>6</v>
      </c>
      <c r="C91" s="148">
        <v>160</v>
      </c>
      <c r="D91" s="85">
        <v>390</v>
      </c>
      <c r="E91" s="59">
        <v>641</v>
      </c>
      <c r="F91" s="148">
        <v>4</v>
      </c>
      <c r="G91" s="181">
        <v>9</v>
      </c>
      <c r="K91" s="16"/>
      <c r="O91" s="15" t="s">
        <v>18</v>
      </c>
      <c r="P91" s="28">
        <v>9</v>
      </c>
      <c r="Q91" s="28">
        <f>P91/P89</f>
        <v>1.7857142857142856E-2</v>
      </c>
    </row>
    <row r="92" spans="2:17" ht="12.75" customHeight="1">
      <c r="B92" s="12">
        <v>7</v>
      </c>
      <c r="C92" s="148">
        <v>180</v>
      </c>
      <c r="D92" s="185">
        <v>630</v>
      </c>
      <c r="E92" s="183">
        <v>575</v>
      </c>
      <c r="F92" s="184">
        <v>4</v>
      </c>
      <c r="G92" s="179">
        <v>11</v>
      </c>
      <c r="K92" s="16"/>
    </row>
    <row r="93" spans="2:17" ht="12.75" customHeight="1">
      <c r="B93" s="12">
        <v>8</v>
      </c>
      <c r="C93" s="148">
        <v>205</v>
      </c>
      <c r="D93" s="85">
        <v>690</v>
      </c>
      <c r="E93" s="59">
        <v>1057</v>
      </c>
      <c r="F93" s="148">
        <v>4</v>
      </c>
      <c r="G93" s="179">
        <v>15</v>
      </c>
      <c r="K93" s="16"/>
      <c r="O93" s="15" t="s">
        <v>168</v>
      </c>
      <c r="P93" s="35">
        <f>LN(P91/P89)/LN(50)+1</f>
        <v>-2.8969329973201674E-2</v>
      </c>
    </row>
    <row r="94" spans="2:17" ht="12.75" customHeight="1">
      <c r="B94" s="12">
        <v>10</v>
      </c>
      <c r="C94" s="148">
        <v>245</v>
      </c>
      <c r="D94" s="85">
        <v>910</v>
      </c>
      <c r="E94" s="59">
        <v>1514</v>
      </c>
      <c r="F94" s="148">
        <v>6</v>
      </c>
      <c r="G94" s="179">
        <v>20</v>
      </c>
      <c r="K94" s="16"/>
      <c r="O94" s="15" t="s">
        <v>169</v>
      </c>
      <c r="P94" s="35">
        <f>LN(P91/P89)/LN(P89/(0.9*P88))+1</f>
        <v>2.5506622198167794E-2</v>
      </c>
    </row>
    <row r="95" spans="2:17" ht="12.75" customHeight="1">
      <c r="B95" s="12">
        <v>12</v>
      </c>
      <c r="C95" s="148">
        <v>300</v>
      </c>
      <c r="D95" s="85">
        <v>1230</v>
      </c>
      <c r="E95" s="59">
        <v>2276</v>
      </c>
      <c r="F95" s="184">
        <v>6</v>
      </c>
      <c r="G95" s="179">
        <v>25</v>
      </c>
      <c r="K95" s="16"/>
    </row>
    <row r="96" spans="2:17" ht="12.75" customHeight="1">
      <c r="B96" s="146">
        <v>14</v>
      </c>
      <c r="C96" s="148">
        <v>335</v>
      </c>
      <c r="D96" s="85">
        <v>1560</v>
      </c>
      <c r="E96" s="59">
        <v>2842</v>
      </c>
      <c r="F96" s="184">
        <v>6</v>
      </c>
      <c r="G96" s="179">
        <v>30</v>
      </c>
      <c r="K96" s="16"/>
    </row>
    <row r="97" spans="2:15" ht="12.75" customHeight="1">
      <c r="B97" s="146">
        <v>16</v>
      </c>
      <c r="C97" s="148">
        <v>360</v>
      </c>
      <c r="D97" s="85">
        <v>1890</v>
      </c>
      <c r="E97" s="59">
        <v>3285</v>
      </c>
      <c r="F97" s="184">
        <v>6</v>
      </c>
      <c r="G97" s="179">
        <v>33</v>
      </c>
      <c r="K97" s="16"/>
    </row>
    <row r="98" spans="2:15" ht="12.75" customHeight="1" thickBot="1">
      <c r="B98" s="147">
        <v>18</v>
      </c>
      <c r="C98" s="99">
        <v>400</v>
      </c>
      <c r="D98" s="92">
        <v>2220</v>
      </c>
      <c r="E98" s="93">
        <v>4059</v>
      </c>
      <c r="F98" s="99">
        <v>6</v>
      </c>
      <c r="G98" s="182">
        <v>40</v>
      </c>
      <c r="K98" s="16"/>
    </row>
    <row r="99" spans="2:15" ht="12.75" customHeight="1">
      <c r="K99" s="16"/>
    </row>
    <row r="100" spans="2:15" ht="12.75" customHeight="1">
      <c r="K100" s="16"/>
    </row>
    <row r="101" spans="2:15" ht="12.75" customHeight="1">
      <c r="B101" s="33" t="s">
        <v>67</v>
      </c>
    </row>
    <row r="102" spans="2:15" ht="12.75" customHeight="1">
      <c r="B102" s="33" t="s">
        <v>92</v>
      </c>
      <c r="D102" s="90" t="s">
        <v>14</v>
      </c>
    </row>
    <row r="103" spans="2:15" ht="12.75" customHeight="1">
      <c r="B103" s="33" t="s">
        <v>96</v>
      </c>
      <c r="D103" s="59">
        <v>160</v>
      </c>
      <c r="H103" s="65">
        <v>2</v>
      </c>
      <c r="I103" s="65">
        <v>3</v>
      </c>
      <c r="J103" s="65">
        <v>4</v>
      </c>
      <c r="K103" s="65">
        <v>5</v>
      </c>
      <c r="L103" s="65">
        <v>6</v>
      </c>
      <c r="M103" s="65">
        <v>7</v>
      </c>
      <c r="N103" s="65">
        <v>8</v>
      </c>
    </row>
    <row r="104" spans="2:15" ht="12.75" customHeight="1">
      <c r="B104" s="33"/>
      <c r="D104" s="28"/>
      <c r="H104" s="91" t="s">
        <v>90</v>
      </c>
      <c r="I104" s="65"/>
      <c r="J104" s="65"/>
      <c r="K104" s="65"/>
      <c r="L104" s="65"/>
      <c r="M104" s="65"/>
      <c r="N104" s="65"/>
    </row>
    <row r="105" spans="2:15" ht="12.75" customHeight="1">
      <c r="B105" s="33" t="s">
        <v>95</v>
      </c>
      <c r="F105" s="15" t="s">
        <v>43</v>
      </c>
      <c r="G105" s="16" t="s">
        <v>88</v>
      </c>
      <c r="H105" s="28">
        <v>50</v>
      </c>
      <c r="I105" s="37" t="s">
        <v>171</v>
      </c>
      <c r="O105" s="188" t="s">
        <v>170</v>
      </c>
    </row>
    <row r="106" spans="2:15" ht="12.75" customHeight="1">
      <c r="F106" s="34"/>
      <c r="H106" s="28" t="s">
        <v>30</v>
      </c>
      <c r="I106" s="28" t="s">
        <v>31</v>
      </c>
      <c r="J106" s="28" t="s">
        <v>44</v>
      </c>
      <c r="K106" s="28" t="s">
        <v>45</v>
      </c>
      <c r="L106" s="28" t="s">
        <v>46</v>
      </c>
      <c r="M106" s="28" t="s">
        <v>47</v>
      </c>
      <c r="N106" s="28" t="s">
        <v>48</v>
      </c>
    </row>
    <row r="107" spans="2:15" ht="12.75" customHeight="1">
      <c r="B107" s="33" t="s">
        <v>21</v>
      </c>
      <c r="F107" s="15" t="s">
        <v>32</v>
      </c>
      <c r="G107" s="28">
        <v>2</v>
      </c>
      <c r="H107" s="16">
        <f>VLOOKUP($G$107,FLData,H103)</f>
        <v>0.94</v>
      </c>
      <c r="I107" s="16">
        <f t="shared" ref="I107:N107" si="2">VLOOKUP($G$107,FLData,I103)</f>
        <v>0.94</v>
      </c>
      <c r="J107" s="16">
        <f t="shared" si="2"/>
        <v>0</v>
      </c>
      <c r="K107" s="16">
        <f t="shared" si="2"/>
        <v>0</v>
      </c>
      <c r="L107" s="16">
        <f t="shared" si="2"/>
        <v>0</v>
      </c>
      <c r="M107" s="16">
        <f t="shared" si="2"/>
        <v>0</v>
      </c>
      <c r="N107" s="16">
        <f t="shared" si="2"/>
        <v>0</v>
      </c>
    </row>
    <row r="108" spans="2:15" ht="12.75" customHeight="1">
      <c r="B108" s="33" t="s">
        <v>33</v>
      </c>
      <c r="F108" s="15" t="s">
        <v>34</v>
      </c>
      <c r="G108" s="28">
        <v>2</v>
      </c>
      <c r="H108" s="16">
        <f t="shared" ref="H108:N108" si="3">VLOOKUP($G$108,KcData,H103)</f>
        <v>0.85</v>
      </c>
      <c r="I108" s="16">
        <f t="shared" si="3"/>
        <v>0.85</v>
      </c>
      <c r="J108" s="16">
        <f t="shared" si="3"/>
        <v>0</v>
      </c>
      <c r="K108" s="16">
        <f t="shared" si="3"/>
        <v>0</v>
      </c>
      <c r="L108" s="16">
        <f t="shared" si="3"/>
        <v>0</v>
      </c>
      <c r="M108" s="16">
        <f t="shared" si="3"/>
        <v>0</v>
      </c>
      <c r="N108" s="16">
        <f t="shared" si="3"/>
        <v>0</v>
      </c>
    </row>
    <row r="109" spans="2:15" ht="12.75" customHeight="1">
      <c r="G109" s="28"/>
      <c r="H109" s="28" t="s">
        <v>85</v>
      </c>
      <c r="I109" s="28" t="s">
        <v>84</v>
      </c>
      <c r="J109" s="28" t="s">
        <v>83</v>
      </c>
      <c r="L109" s="16"/>
      <c r="M109" s="16"/>
      <c r="N109" s="16"/>
    </row>
    <row r="110" spans="2:15" ht="12.75" customHeight="1">
      <c r="B110" s="33" t="s">
        <v>26</v>
      </c>
      <c r="F110" s="15" t="s">
        <v>87</v>
      </c>
      <c r="G110" s="16" t="s">
        <v>97</v>
      </c>
      <c r="H110" s="16">
        <f>VLOOKUP($D$103,$C$82:$F$98,H103)</f>
        <v>390</v>
      </c>
      <c r="I110" s="16">
        <f>VLOOKUP($D$103,$C$82:$F$98,I103)</f>
        <v>641</v>
      </c>
      <c r="J110" s="16">
        <f>VLOOKUP($D$103,$C$82:$F$98,J103)</f>
        <v>4</v>
      </c>
      <c r="K110" s="36" t="s">
        <v>86</v>
      </c>
      <c r="L110" s="16"/>
      <c r="M110" s="16"/>
      <c r="N110" s="16"/>
    </row>
    <row r="111" spans="2:15" ht="12.75" customHeight="1">
      <c r="B111" s="33" t="s">
        <v>24</v>
      </c>
      <c r="F111" s="15" t="s">
        <v>68</v>
      </c>
      <c r="G111" s="28">
        <v>1</v>
      </c>
      <c r="H111" s="36" t="s">
        <v>37</v>
      </c>
      <c r="K111" s="16"/>
      <c r="L111" s="16"/>
      <c r="M111" s="16"/>
      <c r="N111" s="16"/>
    </row>
    <row r="112" spans="2:15" ht="12.75" customHeight="1">
      <c r="B112" s="33"/>
      <c r="F112" s="15" t="s">
        <v>25</v>
      </c>
      <c r="G112" s="16" t="s">
        <v>29</v>
      </c>
      <c r="H112" s="36" t="s">
        <v>36</v>
      </c>
      <c r="K112" s="16"/>
      <c r="L112" s="16"/>
      <c r="M112" s="16"/>
      <c r="N112" s="16"/>
    </row>
    <row r="113" spans="2:8" ht="12.75" customHeight="1">
      <c r="B113" s="33" t="s">
        <v>22</v>
      </c>
      <c r="F113" s="15" t="s">
        <v>23</v>
      </c>
      <c r="G113" s="16" t="s">
        <v>29</v>
      </c>
      <c r="H113" s="36" t="s">
        <v>38</v>
      </c>
    </row>
    <row r="114" spans="2:8" ht="12.75" customHeight="1">
      <c r="B114" s="33" t="s">
        <v>28</v>
      </c>
      <c r="F114" s="15" t="s">
        <v>27</v>
      </c>
      <c r="G114" s="16" t="s">
        <v>29</v>
      </c>
      <c r="H114" s="16"/>
    </row>
    <row r="116" spans="2:8" ht="12.75" customHeight="1">
      <c r="F116" s="16"/>
      <c r="G116" s="16"/>
      <c r="H116" s="16"/>
    </row>
    <row r="117" spans="2:8" ht="12.75" customHeight="1">
      <c r="B117" s="16"/>
      <c r="C117" s="28"/>
      <c r="D117" s="16"/>
      <c r="E117" s="16"/>
      <c r="F117" s="16"/>
      <c r="G117" s="16"/>
      <c r="H117" s="16"/>
    </row>
    <row r="118" spans="2:8" ht="12.75" customHeight="1">
      <c r="B118" s="28" t="s">
        <v>60</v>
      </c>
      <c r="D118" s="16"/>
      <c r="E118" s="16"/>
      <c r="F118" s="16"/>
      <c r="G118" s="16"/>
      <c r="H118" s="16"/>
    </row>
    <row r="119" spans="2:8" ht="12.75" customHeight="1">
      <c r="B119" s="28" t="s">
        <v>35</v>
      </c>
      <c r="C119" s="28" t="s">
        <v>43</v>
      </c>
      <c r="D119" s="28" t="s">
        <v>32</v>
      </c>
      <c r="E119" s="28" t="s">
        <v>25</v>
      </c>
      <c r="F119" s="28" t="s">
        <v>34</v>
      </c>
      <c r="G119" s="16" t="s">
        <v>87</v>
      </c>
    </row>
    <row r="120" spans="2:8" ht="12.75" customHeight="1">
      <c r="B120" s="29">
        <v>5.0000000000000001E-3</v>
      </c>
      <c r="C120" s="32">
        <f t="shared" ref="C120:C139" si="4">IF($D$102="Linear",B120,
    LN(B120)/LN($H$105)+1)</f>
        <v>-0.35436764027111578</v>
      </c>
      <c r="D120" s="17">
        <f t="shared" ref="D120:D139" si="5">MIN(MAX($J$107*B120^4+$K$107*B120^3+$L$107*B120^2+$M$107*B120+$N$107,$H$107),$I$107)</f>
        <v>0.94</v>
      </c>
      <c r="E120" s="17">
        <v>1</v>
      </c>
      <c r="F120" s="17">
        <f t="shared" ref="F120:F139" si="6">MIN(MAX($J$108*B120^4+$K$108*B120^3+$L$108*B120^2+$M$108*B120+$N$108,$H$108),$I$108)</f>
        <v>0.85</v>
      </c>
      <c r="G120" s="17">
        <f t="shared" ref="G120:G139" si="7">MIN(1,(PI()/(4*20.8))^0.5*$J$110*(($H$110*B120)^-2-$I$110^-2)^0.25)</f>
        <v>0.55661506185362986</v>
      </c>
    </row>
    <row r="121" spans="2:8" ht="12.75" customHeight="1">
      <c r="B121" s="29">
        <v>0.01</v>
      </c>
      <c r="C121" s="32">
        <f t="shared" si="4"/>
        <v>-0.17718382013555778</v>
      </c>
      <c r="D121" s="17">
        <f t="shared" si="5"/>
        <v>0.94</v>
      </c>
      <c r="E121" s="17">
        <v>1</v>
      </c>
      <c r="F121" s="17">
        <f t="shared" si="6"/>
        <v>0.85</v>
      </c>
      <c r="G121" s="17">
        <f t="shared" si="7"/>
        <v>0.39358355285905938</v>
      </c>
    </row>
    <row r="122" spans="2:8" ht="12.75" customHeight="1">
      <c r="B122" s="29">
        <v>0.02</v>
      </c>
      <c r="C122" s="32">
        <f t="shared" si="4"/>
        <v>0</v>
      </c>
      <c r="D122" s="17">
        <f t="shared" si="5"/>
        <v>0.94</v>
      </c>
      <c r="E122" s="17">
        <v>1</v>
      </c>
      <c r="F122" s="17">
        <f t="shared" si="6"/>
        <v>0.85</v>
      </c>
      <c r="G122" s="17">
        <f t="shared" si="7"/>
        <v>0.27829787184113747</v>
      </c>
    </row>
    <row r="123" spans="2:8" ht="12.75" customHeight="1">
      <c r="B123" s="29">
        <v>0.04</v>
      </c>
      <c r="C123" s="32">
        <f t="shared" si="4"/>
        <v>0.17718382013555789</v>
      </c>
      <c r="D123" s="17">
        <f t="shared" si="5"/>
        <v>0.94</v>
      </c>
      <c r="E123" s="17">
        <v>1</v>
      </c>
      <c r="F123" s="17">
        <f t="shared" si="6"/>
        <v>0.85</v>
      </c>
      <c r="G123" s="17">
        <f t="shared" si="7"/>
        <v>0.19676445157235203</v>
      </c>
    </row>
    <row r="124" spans="2:8" ht="12.75" customHeight="1">
      <c r="B124" s="29">
        <v>0.08</v>
      </c>
      <c r="C124" s="32">
        <f t="shared" si="4"/>
        <v>0.35436764027111578</v>
      </c>
      <c r="D124" s="17">
        <f t="shared" si="5"/>
        <v>0.94</v>
      </c>
      <c r="E124" s="17">
        <v>1</v>
      </c>
      <c r="F124" s="17">
        <f t="shared" si="6"/>
        <v>0.85</v>
      </c>
      <c r="G124" s="17">
        <f t="shared" si="7"/>
        <v>0.13907159475485378</v>
      </c>
    </row>
    <row r="125" spans="2:8" ht="12.75" customHeight="1">
      <c r="B125" s="29">
        <v>0.16</v>
      </c>
      <c r="C125" s="32">
        <f t="shared" si="4"/>
        <v>0.53155146040667367</v>
      </c>
      <c r="D125" s="17">
        <f t="shared" si="5"/>
        <v>0.94</v>
      </c>
      <c r="E125" s="17">
        <v>1</v>
      </c>
      <c r="F125" s="17">
        <f t="shared" si="6"/>
        <v>0.85</v>
      </c>
      <c r="G125" s="17">
        <f t="shared" si="7"/>
        <v>9.816284871402739E-2</v>
      </c>
    </row>
    <row r="126" spans="2:8" ht="12.75" customHeight="1">
      <c r="B126" s="29">
        <v>0.35</v>
      </c>
      <c r="C126" s="32">
        <f t="shared" si="4"/>
        <v>0.73164213936319078</v>
      </c>
      <c r="D126" s="17">
        <f t="shared" si="5"/>
        <v>0.94</v>
      </c>
      <c r="E126" s="17">
        <v>1</v>
      </c>
      <c r="F126" s="17">
        <f t="shared" si="6"/>
        <v>0.85</v>
      </c>
      <c r="G126" s="17">
        <f t="shared" si="7"/>
        <v>6.5760985983512099E-2</v>
      </c>
    </row>
    <row r="127" spans="2:8" ht="12.75" customHeight="1">
      <c r="B127" s="29">
        <v>0.4</v>
      </c>
      <c r="C127" s="32">
        <f t="shared" si="4"/>
        <v>0.76577573020333689</v>
      </c>
      <c r="D127" s="17">
        <f t="shared" si="5"/>
        <v>0.94</v>
      </c>
      <c r="E127" s="17">
        <v>1</v>
      </c>
      <c r="F127" s="17">
        <f t="shared" si="6"/>
        <v>0.85</v>
      </c>
      <c r="G127" s="17">
        <f t="shared" si="7"/>
        <v>6.1288919587093808E-2</v>
      </c>
    </row>
    <row r="128" spans="2:8" ht="12.75" customHeight="1">
      <c r="B128" s="29">
        <v>0.45</v>
      </c>
      <c r="C128" s="32">
        <f t="shared" si="4"/>
        <v>0.79588369109542589</v>
      </c>
      <c r="D128" s="17">
        <f t="shared" si="5"/>
        <v>0.94</v>
      </c>
      <c r="E128" s="17">
        <v>1</v>
      </c>
      <c r="F128" s="17">
        <f t="shared" si="6"/>
        <v>0.85</v>
      </c>
      <c r="G128" s="17">
        <f t="shared" si="7"/>
        <v>5.7540636013755045E-2</v>
      </c>
    </row>
    <row r="129" spans="2:7" ht="12.75" customHeight="1">
      <c r="B129" s="29">
        <v>0.5</v>
      </c>
      <c r="C129" s="32">
        <f t="shared" si="4"/>
        <v>0.82281617986444211</v>
      </c>
      <c r="D129" s="17">
        <f t="shared" si="5"/>
        <v>0.94</v>
      </c>
      <c r="E129" s="17">
        <v>1</v>
      </c>
      <c r="F129" s="17">
        <f t="shared" si="6"/>
        <v>0.85</v>
      </c>
      <c r="G129" s="17">
        <f t="shared" si="7"/>
        <v>5.4326562762841854E-2</v>
      </c>
    </row>
    <row r="130" spans="2:7" ht="12.75" customHeight="1">
      <c r="B130" s="29">
        <v>0.55000000000000004</v>
      </c>
      <c r="C130" s="32">
        <f t="shared" si="4"/>
        <v>0.84717957948455602</v>
      </c>
      <c r="D130" s="17">
        <f t="shared" si="5"/>
        <v>0.94</v>
      </c>
      <c r="E130" s="17">
        <v>1</v>
      </c>
      <c r="F130" s="17">
        <f t="shared" si="6"/>
        <v>0.85</v>
      </c>
      <c r="G130" s="17">
        <f t="shared" si="7"/>
        <v>5.1518755535966645E-2</v>
      </c>
    </row>
    <row r="131" spans="2:7" ht="12.75" customHeight="1">
      <c r="B131" s="29">
        <v>0.6</v>
      </c>
      <c r="C131" s="32">
        <f t="shared" si="4"/>
        <v>0.86942162071716034</v>
      </c>
      <c r="D131" s="17">
        <f t="shared" si="5"/>
        <v>0.94</v>
      </c>
      <c r="E131" s="17">
        <v>1</v>
      </c>
      <c r="F131" s="17">
        <f t="shared" si="6"/>
        <v>0.85</v>
      </c>
      <c r="G131" s="17">
        <f t="shared" si="7"/>
        <v>4.90271825847923E-2</v>
      </c>
    </row>
    <row r="132" spans="2:7" ht="12.75" customHeight="1">
      <c r="B132" s="29">
        <v>0.65</v>
      </c>
      <c r="C132" s="32">
        <f t="shared" si="4"/>
        <v>0.88988231523824901</v>
      </c>
      <c r="D132" s="17">
        <f t="shared" si="5"/>
        <v>0.94</v>
      </c>
      <c r="E132" s="17">
        <v>1</v>
      </c>
      <c r="F132" s="17">
        <f t="shared" si="6"/>
        <v>0.85</v>
      </c>
      <c r="G132" s="17">
        <f t="shared" si="7"/>
        <v>4.6786254713088851E-2</v>
      </c>
    </row>
    <row r="133" spans="2:7" ht="12.75" customHeight="1">
      <c r="B133" s="29">
        <v>0.7</v>
      </c>
      <c r="C133" s="32">
        <f t="shared" si="4"/>
        <v>0.90882595949874878</v>
      </c>
      <c r="D133" s="17">
        <f t="shared" si="5"/>
        <v>0.94</v>
      </c>
      <c r="E133" s="17">
        <v>1</v>
      </c>
      <c r="F133" s="17">
        <f t="shared" si="6"/>
        <v>0.85</v>
      </c>
      <c r="G133" s="17">
        <f t="shared" si="7"/>
        <v>4.4746743023129108E-2</v>
      </c>
    </row>
    <row r="134" spans="2:7" ht="12.75" customHeight="1">
      <c r="B134" s="29">
        <v>0.75</v>
      </c>
      <c r="C134" s="32">
        <f t="shared" si="4"/>
        <v>0.92646207037826556</v>
      </c>
      <c r="D134" s="17">
        <f t="shared" si="5"/>
        <v>0.94</v>
      </c>
      <c r="E134" s="17">
        <v>1</v>
      </c>
      <c r="F134" s="17">
        <f t="shared" si="6"/>
        <v>0.85</v>
      </c>
      <c r="G134" s="17">
        <f t="shared" si="7"/>
        <v>4.2870701573400304E-2</v>
      </c>
    </row>
    <row r="135" spans="2:7" ht="12.75" customHeight="1">
      <c r="B135" s="29">
        <v>0.8</v>
      </c>
      <c r="C135" s="32">
        <f t="shared" si="4"/>
        <v>0.94295955033889478</v>
      </c>
      <c r="D135" s="17">
        <f t="shared" si="5"/>
        <v>0.94</v>
      </c>
      <c r="E135" s="17">
        <v>1</v>
      </c>
      <c r="F135" s="17">
        <f t="shared" si="6"/>
        <v>0.85</v>
      </c>
      <c r="G135" s="17">
        <f t="shared" si="7"/>
        <v>4.112814788009278E-2</v>
      </c>
    </row>
    <row r="136" spans="2:7" ht="12.75" customHeight="1">
      <c r="B136" s="29">
        <v>0.85</v>
      </c>
      <c r="C136" s="32">
        <f t="shared" si="4"/>
        <v>0.95845655067153979</v>
      </c>
      <c r="D136" s="17">
        <f t="shared" si="5"/>
        <v>0.94</v>
      </c>
      <c r="E136" s="17">
        <v>1</v>
      </c>
      <c r="F136" s="17">
        <f t="shared" si="6"/>
        <v>0.85</v>
      </c>
      <c r="G136" s="17">
        <f t="shared" si="7"/>
        <v>3.9494811851314947E-2</v>
      </c>
    </row>
    <row r="137" spans="2:7" ht="12.75" customHeight="1">
      <c r="B137" s="29">
        <v>0.9</v>
      </c>
      <c r="C137" s="32">
        <f t="shared" si="4"/>
        <v>0.97306751123098389</v>
      </c>
      <c r="D137" s="17">
        <f t="shared" si="5"/>
        <v>0.94</v>
      </c>
      <c r="E137" s="17">
        <v>1</v>
      </c>
      <c r="F137" s="17">
        <f t="shared" si="6"/>
        <v>0.85</v>
      </c>
      <c r="G137" s="17">
        <f t="shared" si="7"/>
        <v>3.7950553035891683E-2</v>
      </c>
    </row>
    <row r="138" spans="2:7" ht="12.75" customHeight="1">
      <c r="B138" s="29">
        <v>0.95</v>
      </c>
      <c r="C138" s="32">
        <f t="shared" si="4"/>
        <v>0.9868882942875391</v>
      </c>
      <c r="D138" s="17">
        <f t="shared" si="5"/>
        <v>0.94</v>
      </c>
      <c r="E138" s="17">
        <v>1</v>
      </c>
      <c r="F138" s="17">
        <f t="shared" si="6"/>
        <v>0.85</v>
      </c>
      <c r="G138" s="17">
        <f t="shared" si="7"/>
        <v>3.6478202740418263E-2</v>
      </c>
    </row>
    <row r="139" spans="2:7" ht="12.75" customHeight="1">
      <c r="B139" s="29">
        <v>1</v>
      </c>
      <c r="C139" s="32">
        <f t="shared" si="4"/>
        <v>1</v>
      </c>
      <c r="D139" s="17">
        <f t="shared" si="5"/>
        <v>0.94</v>
      </c>
      <c r="E139" s="17">
        <v>1</v>
      </c>
      <c r="F139" s="17">
        <f t="shared" si="6"/>
        <v>0.85</v>
      </c>
      <c r="G139" s="17">
        <f t="shared" si="7"/>
        <v>3.5062674737743375E-2</v>
      </c>
    </row>
    <row r="140" spans="2:7" ht="12.75" customHeight="1">
      <c r="F140" s="16"/>
    </row>
    <row r="141" spans="2:7" ht="12.75" customHeight="1">
      <c r="F141" s="16"/>
    </row>
    <row r="163" spans="6:6" ht="12.75" customHeight="1">
      <c r="F163" s="16"/>
    </row>
    <row r="164" spans="6:6" ht="12.75" customHeight="1">
      <c r="F164" s="16"/>
    </row>
    <row r="165" spans="6:6" ht="12.75" customHeight="1">
      <c r="F165" s="16"/>
    </row>
    <row r="166" spans="6:6" ht="12.75" customHeight="1">
      <c r="F166" s="16"/>
    </row>
    <row r="167" spans="6:6" ht="12.75" customHeight="1">
      <c r="F167" s="16"/>
    </row>
    <row r="168" spans="6:6" ht="12.75" customHeight="1">
      <c r="F168" s="16"/>
    </row>
    <row r="169" spans="6:6" ht="12.75" customHeight="1">
      <c r="F169" s="16"/>
    </row>
    <row r="170" spans="6:6" ht="12.75" customHeight="1">
      <c r="F170" s="16"/>
    </row>
    <row r="171" spans="6:6" ht="12.75" customHeight="1">
      <c r="F171" s="16"/>
    </row>
    <row r="172" spans="6:6" ht="12.75" customHeight="1">
      <c r="F172" s="16"/>
    </row>
    <row r="173" spans="6:6" ht="12.75" customHeight="1">
      <c r="F173" s="16"/>
    </row>
    <row r="174" spans="6:6" ht="12.75" customHeight="1">
      <c r="F174" s="16"/>
    </row>
    <row r="175" spans="6:6" ht="12.75" customHeight="1">
      <c r="F175" s="16"/>
    </row>
    <row r="176" spans="6:6" ht="12.75" customHeight="1">
      <c r="F176" s="16"/>
    </row>
    <row r="177" spans="6:6" ht="12.75" customHeight="1">
      <c r="F177" s="16"/>
    </row>
    <row r="178" spans="6:6" ht="12.75" customHeight="1">
      <c r="F178" s="16"/>
    </row>
    <row r="179" spans="6:6" ht="12.75" customHeight="1">
      <c r="F179" s="16"/>
    </row>
    <row r="180" spans="6:6" ht="12.75" customHeight="1">
      <c r="F180" s="16"/>
    </row>
    <row r="181" spans="6:6" ht="12.75" customHeight="1">
      <c r="F181" s="16"/>
    </row>
    <row r="182" spans="6:6" ht="12.75" customHeight="1">
      <c r="F182" s="16"/>
    </row>
    <row r="183" spans="6:6" ht="12.75" customHeight="1">
      <c r="F183" s="16"/>
    </row>
    <row r="184" spans="6:6" ht="12.75" customHeight="1">
      <c r="F184" s="16"/>
    </row>
  </sheetData>
  <mergeCells count="34">
    <mergeCell ref="E9:E11"/>
    <mergeCell ref="F9:F11"/>
    <mergeCell ref="G9:H10"/>
    <mergeCell ref="C52:C54"/>
    <mergeCell ref="C55:C57"/>
    <mergeCell ref="C35:C36"/>
    <mergeCell ref="B9:B12"/>
    <mergeCell ref="C9:C11"/>
    <mergeCell ref="D9:D10"/>
    <mergeCell ref="C31:C32"/>
    <mergeCell ref="C33:C34"/>
    <mergeCell ref="C25:C26"/>
    <mergeCell ref="C15:C16"/>
    <mergeCell ref="B13:B36"/>
    <mergeCell ref="C13:C14"/>
    <mergeCell ref="C17:C18"/>
    <mergeCell ref="C19:C20"/>
    <mergeCell ref="C21:C22"/>
    <mergeCell ref="C23:C24"/>
    <mergeCell ref="C27:C28"/>
    <mergeCell ref="C29:C30"/>
    <mergeCell ref="C58:C60"/>
    <mergeCell ref="B61:B75"/>
    <mergeCell ref="C62:C63"/>
    <mergeCell ref="C64:C66"/>
    <mergeCell ref="C67:C69"/>
    <mergeCell ref="C70:C72"/>
    <mergeCell ref="C73:C75"/>
    <mergeCell ref="B37:B60"/>
    <mergeCell ref="C38:C39"/>
    <mergeCell ref="C40:C42"/>
    <mergeCell ref="C43:C45"/>
    <mergeCell ref="C46:C48"/>
    <mergeCell ref="C49:C51"/>
  </mergeCells>
  <phoneticPr fontId="23"/>
  <dataValidations count="3">
    <dataValidation type="list" allowBlank="1" showInputMessage="1" showErrorMessage="1" sqref="B117" xr:uid="{00000000-0002-0000-0100-000000000000}">
      <formula1>IF(#REF!=1500,Plug1500,Plug2500)</formula1>
    </dataValidation>
    <dataValidation type="list" allowBlank="1" showInputMessage="1" showErrorMessage="1" sqref="D103:D104" xr:uid="{00000000-0002-0000-0100-000001000000}">
      <formula1>$C$82:$C$98</formula1>
    </dataValidation>
    <dataValidation type="list" allowBlank="1" showInputMessage="1" showErrorMessage="1" sqref="D102" xr:uid="{00000000-0002-0000-0100-000002000000}">
      <formula1>"Linear, =%"</formula1>
    </dataValidation>
  </dataValidations>
  <pageMargins left="0.7" right="0.7" top="0.75" bottom="0.75" header="0.3" footer="0.3"/>
  <pageSetup orientation="portrait" horizontalDpi="1200" verticalDpi="1200" r:id="rId1"/>
  <customProperties>
    <customPr name="BudgetSheetCodeName" r:id="rId2"/>
  </customProperties>
  <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0"/>
  <dimension ref="B1:W149"/>
  <sheetViews>
    <sheetView workbookViewId="0">
      <selection activeCell="I71" sqref="I71"/>
    </sheetView>
  </sheetViews>
  <sheetFormatPr defaultColWidth="8.84375" defaultRowHeight="12.75" customHeight="1"/>
  <cols>
    <col min="1" max="1" width="2.765625" style="15" customWidth="1"/>
    <col min="2" max="2" width="8.765625" style="15" customWidth="1"/>
    <col min="3" max="14" width="8.84375" style="15"/>
    <col min="15" max="19" width="8.84375" style="28"/>
    <col min="20" max="16384" width="8.84375" style="15"/>
  </cols>
  <sheetData>
    <row r="1" spans="2:16" ht="16.5">
      <c r="B1" s="30" t="s">
        <v>236</v>
      </c>
      <c r="C1" s="30"/>
      <c r="D1" s="30"/>
    </row>
    <row r="3" spans="2:16" ht="12.75" customHeight="1">
      <c r="B3" s="33" t="s">
        <v>0</v>
      </c>
    </row>
    <row r="4" spans="2:16" ht="12.75" customHeight="1">
      <c r="C4" s="33" t="s">
        <v>81</v>
      </c>
      <c r="E4" s="15" t="s">
        <v>20</v>
      </c>
    </row>
    <row r="5" spans="2:16" ht="12.75" customHeight="1">
      <c r="C5" s="33" t="s">
        <v>157</v>
      </c>
      <c r="E5" s="15" t="s">
        <v>160</v>
      </c>
    </row>
    <row r="6" spans="2:16" ht="12.75" customHeight="1">
      <c r="C6" s="33" t="s">
        <v>82</v>
      </c>
      <c r="E6" s="15" t="s">
        <v>19</v>
      </c>
    </row>
    <row r="8" spans="2:16" ht="12.75" customHeight="1">
      <c r="B8" s="33" t="s">
        <v>159</v>
      </c>
      <c r="I8" s="33" t="s">
        <v>158</v>
      </c>
    </row>
    <row r="9" spans="2:16" ht="12.75" customHeight="1" thickBot="1"/>
    <row r="10" spans="2:16" ht="12.75" customHeight="1">
      <c r="B10" s="396" t="s">
        <v>157</v>
      </c>
      <c r="C10" s="399" t="s">
        <v>65</v>
      </c>
      <c r="D10" s="383" t="s">
        <v>12</v>
      </c>
      <c r="E10" s="387" t="s">
        <v>13</v>
      </c>
      <c r="F10" s="402" t="s">
        <v>52</v>
      </c>
      <c r="G10" s="389"/>
      <c r="I10" s="353" t="s">
        <v>157</v>
      </c>
      <c r="J10" s="391" t="s">
        <v>52</v>
      </c>
      <c r="K10" s="332" t="s">
        <v>156</v>
      </c>
      <c r="L10" s="383" t="s">
        <v>155</v>
      </c>
      <c r="M10" s="357" t="s">
        <v>80</v>
      </c>
    </row>
    <row r="11" spans="2:16" ht="12.75" customHeight="1">
      <c r="B11" s="397"/>
      <c r="C11" s="400"/>
      <c r="D11" s="384"/>
      <c r="E11" s="388"/>
      <c r="F11" s="197" t="s">
        <v>154</v>
      </c>
      <c r="G11" s="136" t="s">
        <v>153</v>
      </c>
      <c r="I11" s="354"/>
      <c r="J11" s="392"/>
      <c r="K11" s="333"/>
      <c r="L11" s="384"/>
      <c r="M11" s="358"/>
    </row>
    <row r="12" spans="2:16" ht="12.75" customHeight="1" thickBot="1">
      <c r="B12" s="398"/>
      <c r="C12" s="401"/>
      <c r="D12" s="243" t="s">
        <v>177</v>
      </c>
      <c r="E12" s="241" t="s">
        <v>17</v>
      </c>
      <c r="F12" s="198" t="s">
        <v>17</v>
      </c>
      <c r="G12" s="135" t="s">
        <v>17</v>
      </c>
      <c r="I12" s="355"/>
      <c r="J12" s="132" t="s">
        <v>17</v>
      </c>
      <c r="K12" s="238" t="s">
        <v>18</v>
      </c>
      <c r="L12" s="138" t="s">
        <v>18</v>
      </c>
      <c r="M12" s="359"/>
      <c r="O12" s="15"/>
      <c r="P12" s="15"/>
    </row>
    <row r="13" spans="2:16" ht="12.75" customHeight="1">
      <c r="B13" s="418" t="s">
        <v>152</v>
      </c>
      <c r="C13" s="399" t="s">
        <v>149</v>
      </c>
      <c r="D13" s="389" t="s">
        <v>190</v>
      </c>
      <c r="E13" s="199">
        <v>12</v>
      </c>
      <c r="F13" s="259">
        <v>6</v>
      </c>
      <c r="G13" s="260">
        <v>8</v>
      </c>
      <c r="I13" s="385" t="s">
        <v>152</v>
      </c>
      <c r="J13" s="227">
        <v>6</v>
      </c>
      <c r="K13" s="121">
        <f>L13/25</f>
        <v>1.1200000000000002E-2</v>
      </c>
      <c r="L13" s="96">
        <v>0.28000000000000003</v>
      </c>
      <c r="M13" s="381"/>
      <c r="O13" s="15"/>
      <c r="P13" s="15"/>
    </row>
    <row r="14" spans="2:16" ht="12.75" customHeight="1">
      <c r="B14" s="419"/>
      <c r="C14" s="400"/>
      <c r="D14" s="390"/>
      <c r="E14" s="149">
        <v>20</v>
      </c>
      <c r="F14" s="59">
        <v>9</v>
      </c>
      <c r="G14" s="261">
        <v>15</v>
      </c>
      <c r="I14" s="385"/>
      <c r="J14" s="134">
        <v>7</v>
      </c>
      <c r="K14" s="208">
        <f>L14/25</f>
        <v>2.0799999999999999E-2</v>
      </c>
      <c r="L14" s="86">
        <v>0.52</v>
      </c>
      <c r="M14" s="381"/>
      <c r="O14" s="15"/>
      <c r="P14" s="15"/>
    </row>
    <row r="15" spans="2:16" ht="12.75" customHeight="1">
      <c r="B15" s="419"/>
      <c r="C15" s="400"/>
      <c r="D15" s="390" t="s">
        <v>191</v>
      </c>
      <c r="E15" s="149">
        <v>12</v>
      </c>
      <c r="F15" s="244">
        <v>6</v>
      </c>
      <c r="G15" s="262">
        <v>8</v>
      </c>
      <c r="I15" s="385"/>
      <c r="J15" s="134">
        <v>8</v>
      </c>
      <c r="K15" s="208">
        <f>L15/25</f>
        <v>3.8399999999999997E-2</v>
      </c>
      <c r="L15" s="86">
        <v>0.96</v>
      </c>
      <c r="M15" s="381"/>
      <c r="O15" s="15"/>
      <c r="P15" s="15"/>
    </row>
    <row r="16" spans="2:16" ht="12.75" customHeight="1">
      <c r="B16" s="419"/>
      <c r="C16" s="400"/>
      <c r="D16" s="390"/>
      <c r="E16" s="149">
        <v>20</v>
      </c>
      <c r="F16" s="59">
        <v>9</v>
      </c>
      <c r="G16" s="261">
        <v>20</v>
      </c>
      <c r="I16" s="385"/>
      <c r="J16" s="134">
        <v>9</v>
      </c>
      <c r="K16" s="208">
        <f>L16/50</f>
        <v>3.2000000000000001E-2</v>
      </c>
      <c r="L16" s="86">
        <v>1.6</v>
      </c>
      <c r="M16" s="381"/>
      <c r="O16" s="15"/>
      <c r="P16" s="15"/>
    </row>
    <row r="17" spans="2:16" ht="12.75" customHeight="1">
      <c r="B17" s="419"/>
      <c r="C17" s="400"/>
      <c r="D17" s="390" t="s">
        <v>178</v>
      </c>
      <c r="E17" s="149">
        <v>12</v>
      </c>
      <c r="F17" s="244">
        <v>6</v>
      </c>
      <c r="G17" s="246">
        <v>8</v>
      </c>
      <c r="I17" s="385"/>
      <c r="J17" s="134">
        <v>10</v>
      </c>
      <c r="K17" s="208">
        <f t="shared" ref="K17:K46" si="0">L17/50</f>
        <v>0.05</v>
      </c>
      <c r="L17" s="86">
        <v>2.5</v>
      </c>
      <c r="M17" s="381"/>
      <c r="O17" s="15"/>
      <c r="P17" s="15"/>
    </row>
    <row r="18" spans="2:16" ht="12.75" customHeight="1">
      <c r="B18" s="419"/>
      <c r="C18" s="400"/>
      <c r="D18" s="390"/>
      <c r="E18" s="149">
        <v>20</v>
      </c>
      <c r="F18" s="59">
        <v>9</v>
      </c>
      <c r="G18" s="261">
        <v>25</v>
      </c>
      <c r="I18" s="385"/>
      <c r="J18" s="134">
        <v>15</v>
      </c>
      <c r="K18" s="208">
        <f t="shared" si="0"/>
        <v>0.08</v>
      </c>
      <c r="L18" s="86">
        <v>4</v>
      </c>
      <c r="M18" s="381"/>
      <c r="O18" s="15"/>
      <c r="P18" s="15"/>
    </row>
    <row r="19" spans="2:16" ht="12.75" customHeight="1">
      <c r="B19" s="419"/>
      <c r="C19" s="400"/>
      <c r="D19" s="136" t="s">
        <v>179</v>
      </c>
      <c r="E19" s="149">
        <v>20</v>
      </c>
      <c r="F19" s="244">
        <v>20</v>
      </c>
      <c r="G19" s="246">
        <v>40</v>
      </c>
      <c r="I19" s="385"/>
      <c r="J19" s="134">
        <v>20</v>
      </c>
      <c r="K19" s="208">
        <f t="shared" si="0"/>
        <v>0.16</v>
      </c>
      <c r="L19" s="86">
        <v>8</v>
      </c>
      <c r="M19" s="381"/>
      <c r="O19" s="15"/>
      <c r="P19" s="15"/>
    </row>
    <row r="20" spans="2:16" ht="12.75" customHeight="1">
      <c r="B20" s="419"/>
      <c r="C20" s="400"/>
      <c r="D20" s="136" t="s">
        <v>180</v>
      </c>
      <c r="E20" s="149">
        <v>20</v>
      </c>
      <c r="F20" s="245">
        <v>32</v>
      </c>
      <c r="G20" s="246">
        <v>50</v>
      </c>
      <c r="I20" s="385"/>
      <c r="J20" s="134">
        <v>25</v>
      </c>
      <c r="K20" s="208">
        <f t="shared" si="0"/>
        <v>0.26</v>
      </c>
      <c r="L20" s="86">
        <v>13</v>
      </c>
      <c r="M20" s="381"/>
      <c r="O20" s="15"/>
      <c r="P20" s="15"/>
    </row>
    <row r="21" spans="2:16" ht="12.75" customHeight="1">
      <c r="B21" s="419"/>
      <c r="C21" s="400"/>
      <c r="D21" s="136" t="s">
        <v>192</v>
      </c>
      <c r="E21" s="149">
        <v>30</v>
      </c>
      <c r="F21" s="244">
        <v>25</v>
      </c>
      <c r="G21" s="246">
        <v>65</v>
      </c>
      <c r="I21" s="385"/>
      <c r="J21" s="134">
        <v>32</v>
      </c>
      <c r="K21" s="208">
        <f t="shared" si="0"/>
        <v>0.4</v>
      </c>
      <c r="L21" s="86">
        <v>20</v>
      </c>
      <c r="M21" s="381"/>
      <c r="O21" s="15"/>
      <c r="P21" s="15"/>
    </row>
    <row r="22" spans="2:16" ht="12.75" customHeight="1">
      <c r="B22" s="419"/>
      <c r="C22" s="400"/>
      <c r="D22" s="136" t="s">
        <v>195</v>
      </c>
      <c r="E22" s="149">
        <v>30</v>
      </c>
      <c r="F22" s="244">
        <v>40</v>
      </c>
      <c r="G22" s="246">
        <v>80</v>
      </c>
      <c r="I22" s="385"/>
      <c r="J22" s="134">
        <v>40</v>
      </c>
      <c r="K22" s="208">
        <f t="shared" si="0"/>
        <v>0.5</v>
      </c>
      <c r="L22" s="86">
        <v>25</v>
      </c>
      <c r="M22" s="381"/>
      <c r="O22" s="15"/>
      <c r="P22" s="15"/>
    </row>
    <row r="23" spans="2:16" ht="12.75" customHeight="1">
      <c r="B23" s="419"/>
      <c r="C23" s="400"/>
      <c r="D23" s="136" t="s">
        <v>182</v>
      </c>
      <c r="E23" s="149">
        <v>40</v>
      </c>
      <c r="F23" s="244">
        <v>65</v>
      </c>
      <c r="G23" s="246">
        <v>100</v>
      </c>
      <c r="I23" s="385"/>
      <c r="J23" s="134">
        <v>50</v>
      </c>
      <c r="K23" s="208">
        <f t="shared" si="0"/>
        <v>0.9</v>
      </c>
      <c r="L23" s="86">
        <v>45</v>
      </c>
      <c r="M23" s="381"/>
      <c r="O23" s="15"/>
      <c r="P23" s="15"/>
    </row>
    <row r="24" spans="2:16" ht="12.75" customHeight="1">
      <c r="B24" s="419"/>
      <c r="C24" s="400"/>
      <c r="D24" s="136" t="s">
        <v>193</v>
      </c>
      <c r="E24" s="149">
        <v>50</v>
      </c>
      <c r="F24" s="244">
        <v>80</v>
      </c>
      <c r="G24" s="246">
        <v>125</v>
      </c>
      <c r="I24" s="385"/>
      <c r="J24" s="134">
        <v>65</v>
      </c>
      <c r="K24" s="208">
        <f t="shared" si="0"/>
        <v>1.44</v>
      </c>
      <c r="L24" s="86">
        <v>72</v>
      </c>
      <c r="M24" s="381"/>
      <c r="O24" s="15"/>
      <c r="P24" s="15"/>
    </row>
    <row r="25" spans="2:16" ht="12.75" customHeight="1">
      <c r="B25" s="419"/>
      <c r="C25" s="400"/>
      <c r="D25" s="136" t="s">
        <v>183</v>
      </c>
      <c r="E25" s="149">
        <v>50</v>
      </c>
      <c r="F25" s="244">
        <v>80</v>
      </c>
      <c r="G25" s="246">
        <v>150</v>
      </c>
      <c r="I25" s="385"/>
      <c r="J25" s="134">
        <v>80</v>
      </c>
      <c r="K25" s="208">
        <f t="shared" si="0"/>
        <v>2</v>
      </c>
      <c r="L25" s="86">
        <v>100</v>
      </c>
      <c r="M25" s="381"/>
      <c r="O25" s="15"/>
      <c r="P25" s="15"/>
    </row>
    <row r="26" spans="2:16" ht="12.75" customHeight="1">
      <c r="B26" s="419"/>
      <c r="C26" s="400"/>
      <c r="D26" s="136" t="s">
        <v>184</v>
      </c>
      <c r="E26" s="149">
        <v>70</v>
      </c>
      <c r="F26" s="244">
        <v>125</v>
      </c>
      <c r="G26" s="246">
        <v>200</v>
      </c>
      <c r="I26" s="385"/>
      <c r="J26" s="134">
        <v>100</v>
      </c>
      <c r="K26" s="208">
        <f t="shared" si="0"/>
        <v>3.5</v>
      </c>
      <c r="L26" s="86">
        <v>175</v>
      </c>
      <c r="M26" s="381"/>
      <c r="O26" s="15"/>
      <c r="P26" s="15"/>
    </row>
    <row r="27" spans="2:16" ht="12.75" customHeight="1">
      <c r="B27" s="419"/>
      <c r="C27" s="400" t="s">
        <v>63</v>
      </c>
      <c r="D27" s="136" t="s">
        <v>191</v>
      </c>
      <c r="E27" s="149">
        <v>20</v>
      </c>
      <c r="F27" s="245">
        <v>10</v>
      </c>
      <c r="G27" s="246">
        <v>15</v>
      </c>
      <c r="I27" s="385"/>
      <c r="J27" s="134">
        <v>125</v>
      </c>
      <c r="K27" s="208">
        <f t="shared" si="0"/>
        <v>5.6</v>
      </c>
      <c r="L27" s="86">
        <v>280</v>
      </c>
      <c r="M27" s="381"/>
      <c r="O27" s="15"/>
      <c r="P27" s="15"/>
    </row>
    <row r="28" spans="2:16" ht="12.75" customHeight="1">
      <c r="B28" s="419"/>
      <c r="C28" s="400"/>
      <c r="D28" s="390" t="s">
        <v>178</v>
      </c>
      <c r="E28" s="149">
        <v>12</v>
      </c>
      <c r="F28" s="244">
        <v>6</v>
      </c>
      <c r="G28" s="246">
        <v>8</v>
      </c>
      <c r="I28" s="385"/>
      <c r="J28" s="134">
        <v>150</v>
      </c>
      <c r="K28" s="208">
        <f t="shared" si="0"/>
        <v>7.3</v>
      </c>
      <c r="L28" s="86">
        <v>365</v>
      </c>
      <c r="M28" s="381"/>
      <c r="O28" s="15"/>
      <c r="P28" s="15"/>
    </row>
    <row r="29" spans="2:16" ht="12.75" customHeight="1" thickBot="1">
      <c r="B29" s="419"/>
      <c r="C29" s="400"/>
      <c r="D29" s="390"/>
      <c r="E29" s="149">
        <v>20</v>
      </c>
      <c r="F29" s="59">
        <v>10</v>
      </c>
      <c r="G29" s="86">
        <v>25</v>
      </c>
      <c r="I29" s="385"/>
      <c r="J29" s="133">
        <v>200</v>
      </c>
      <c r="K29" s="230">
        <f t="shared" si="0"/>
        <v>12.8</v>
      </c>
      <c r="L29" s="49">
        <v>640</v>
      </c>
      <c r="M29" s="381"/>
      <c r="O29" s="15"/>
      <c r="P29" s="15"/>
    </row>
    <row r="30" spans="2:16" ht="12.75" customHeight="1">
      <c r="B30" s="419"/>
      <c r="C30" s="400"/>
      <c r="D30" s="136" t="s">
        <v>179</v>
      </c>
      <c r="E30" s="149">
        <v>20</v>
      </c>
      <c r="F30" s="244">
        <v>15</v>
      </c>
      <c r="G30" s="246">
        <v>32</v>
      </c>
      <c r="I30" s="386" t="s">
        <v>151</v>
      </c>
      <c r="J30" s="137">
        <v>40</v>
      </c>
      <c r="K30" s="237">
        <f t="shared" si="0"/>
        <v>0.6</v>
      </c>
      <c r="L30" s="62">
        <v>30</v>
      </c>
      <c r="M30" s="205">
        <v>18</v>
      </c>
    </row>
    <row r="31" spans="2:16" ht="12.75" customHeight="1">
      <c r="B31" s="419"/>
      <c r="C31" s="400"/>
      <c r="D31" s="136" t="s">
        <v>180</v>
      </c>
      <c r="E31" s="149">
        <v>20</v>
      </c>
      <c r="F31" s="244">
        <v>20</v>
      </c>
      <c r="G31" s="246">
        <v>50</v>
      </c>
      <c r="I31" s="354"/>
      <c r="J31" s="134">
        <v>50</v>
      </c>
      <c r="K31" s="208">
        <f t="shared" si="0"/>
        <v>1</v>
      </c>
      <c r="L31" s="86">
        <v>50</v>
      </c>
      <c r="M31" s="206">
        <v>19</v>
      </c>
    </row>
    <row r="32" spans="2:16" ht="12.75" customHeight="1">
      <c r="B32" s="419"/>
      <c r="C32" s="400"/>
      <c r="D32" s="136" t="s">
        <v>195</v>
      </c>
      <c r="E32" s="149">
        <v>30</v>
      </c>
      <c r="F32" s="244">
        <v>40</v>
      </c>
      <c r="G32" s="246">
        <v>80</v>
      </c>
      <c r="I32" s="354"/>
      <c r="J32" s="134">
        <v>65</v>
      </c>
      <c r="K32" s="208">
        <f t="shared" si="0"/>
        <v>1.7</v>
      </c>
      <c r="L32" s="86">
        <v>85</v>
      </c>
      <c r="M32" s="206">
        <v>20</v>
      </c>
    </row>
    <row r="33" spans="2:19" ht="12.75" customHeight="1">
      <c r="B33" s="419"/>
      <c r="C33" s="400"/>
      <c r="D33" s="390" t="s">
        <v>182</v>
      </c>
      <c r="E33" s="149">
        <v>30</v>
      </c>
      <c r="F33" s="244">
        <v>50</v>
      </c>
      <c r="G33" s="246">
        <v>50</v>
      </c>
      <c r="I33" s="354"/>
      <c r="J33" s="134">
        <v>80</v>
      </c>
      <c r="K33" s="208">
        <f t="shared" si="0"/>
        <v>2.5</v>
      </c>
      <c r="L33" s="86">
        <v>125</v>
      </c>
      <c r="M33" s="206">
        <v>21</v>
      </c>
    </row>
    <row r="34" spans="2:19" ht="12.75" customHeight="1">
      <c r="B34" s="419"/>
      <c r="C34" s="400"/>
      <c r="D34" s="390"/>
      <c r="E34" s="149">
        <v>40</v>
      </c>
      <c r="F34" s="59">
        <v>65</v>
      </c>
      <c r="G34" s="86">
        <v>100</v>
      </c>
      <c r="I34" s="354"/>
      <c r="J34" s="134">
        <v>100</v>
      </c>
      <c r="K34" s="208">
        <f t="shared" si="0"/>
        <v>4</v>
      </c>
      <c r="L34" s="86">
        <v>200</v>
      </c>
      <c r="M34" s="206">
        <v>22</v>
      </c>
    </row>
    <row r="35" spans="2:19" ht="12.75" customHeight="1">
      <c r="B35" s="419"/>
      <c r="C35" s="400" t="s">
        <v>64</v>
      </c>
      <c r="D35" s="136" t="s">
        <v>179</v>
      </c>
      <c r="E35" s="149">
        <v>20</v>
      </c>
      <c r="F35" s="244">
        <v>15</v>
      </c>
      <c r="G35" s="246">
        <v>32</v>
      </c>
      <c r="I35" s="354"/>
      <c r="J35" s="134">
        <v>125</v>
      </c>
      <c r="K35" s="208">
        <f t="shared" si="0"/>
        <v>6.2</v>
      </c>
      <c r="L35" s="86">
        <v>310</v>
      </c>
      <c r="M35" s="206">
        <v>23</v>
      </c>
    </row>
    <row r="36" spans="2:19" ht="12.75" customHeight="1">
      <c r="B36" s="419"/>
      <c r="C36" s="400"/>
      <c r="D36" s="136" t="s">
        <v>180</v>
      </c>
      <c r="E36" s="149">
        <v>20</v>
      </c>
      <c r="F36" s="244">
        <v>20</v>
      </c>
      <c r="G36" s="246">
        <v>40</v>
      </c>
      <c r="I36" s="354"/>
      <c r="J36" s="134">
        <v>150</v>
      </c>
      <c r="K36" s="208">
        <f t="shared" si="0"/>
        <v>8.5</v>
      </c>
      <c r="L36" s="86">
        <v>425</v>
      </c>
      <c r="M36" s="206">
        <v>24</v>
      </c>
    </row>
    <row r="37" spans="2:19" ht="12.75" customHeight="1" thickBot="1">
      <c r="B37" s="419"/>
      <c r="C37" s="400"/>
      <c r="D37" s="136" t="s">
        <v>181</v>
      </c>
      <c r="E37" s="149">
        <v>30</v>
      </c>
      <c r="F37" s="244">
        <v>40</v>
      </c>
      <c r="G37" s="246">
        <v>65</v>
      </c>
      <c r="I37" s="355"/>
      <c r="J37" s="132">
        <v>200</v>
      </c>
      <c r="K37" s="209">
        <f t="shared" si="0"/>
        <v>14</v>
      </c>
      <c r="L37" s="94">
        <v>700</v>
      </c>
      <c r="M37" s="207">
        <v>25</v>
      </c>
    </row>
    <row r="38" spans="2:19" ht="12.75" customHeight="1">
      <c r="B38" s="419"/>
      <c r="C38" s="400"/>
      <c r="D38" s="390" t="s">
        <v>182</v>
      </c>
      <c r="E38" s="149">
        <v>30</v>
      </c>
      <c r="F38" s="244">
        <v>50</v>
      </c>
      <c r="G38" s="246">
        <v>50</v>
      </c>
      <c r="I38" s="403" t="s">
        <v>150</v>
      </c>
      <c r="J38" s="242">
        <v>15</v>
      </c>
      <c r="K38" s="247">
        <f t="shared" si="0"/>
        <v>0.14000000000000001</v>
      </c>
      <c r="L38" s="129">
        <v>7</v>
      </c>
      <c r="M38" s="380"/>
    </row>
    <row r="39" spans="2:19" ht="12.75" customHeight="1" thickBot="1">
      <c r="B39" s="420"/>
      <c r="C39" s="421"/>
      <c r="D39" s="393"/>
      <c r="E39" s="200">
        <v>40</v>
      </c>
      <c r="F39" s="263">
        <v>65</v>
      </c>
      <c r="G39" s="6">
        <v>80</v>
      </c>
      <c r="I39" s="404"/>
      <c r="J39" s="239">
        <v>20</v>
      </c>
      <c r="K39" s="248">
        <f t="shared" si="0"/>
        <v>0.2</v>
      </c>
      <c r="L39" s="127">
        <v>10</v>
      </c>
      <c r="M39" s="381"/>
    </row>
    <row r="40" spans="2:19" ht="12.75" customHeight="1">
      <c r="B40" s="406" t="s">
        <v>151</v>
      </c>
      <c r="C40" s="409" t="s">
        <v>149</v>
      </c>
      <c r="D40" s="228" t="s">
        <v>179</v>
      </c>
      <c r="E40" s="102">
        <v>20</v>
      </c>
      <c r="F40" s="210">
        <v>40</v>
      </c>
      <c r="G40" s="96">
        <v>40</v>
      </c>
      <c r="I40" s="404"/>
      <c r="J40" s="239">
        <v>25</v>
      </c>
      <c r="K40" s="248">
        <f t="shared" si="0"/>
        <v>0.3</v>
      </c>
      <c r="L40" s="127">
        <v>15</v>
      </c>
      <c r="M40" s="381"/>
    </row>
    <row r="41" spans="2:19" ht="12.75" customHeight="1">
      <c r="B41" s="407"/>
      <c r="C41" s="410"/>
      <c r="D41" s="250" t="s">
        <v>180</v>
      </c>
      <c r="E41" s="85">
        <v>20</v>
      </c>
      <c r="F41" s="149">
        <v>50</v>
      </c>
      <c r="G41" s="86">
        <v>50</v>
      </c>
      <c r="I41" s="404"/>
      <c r="J41" s="239">
        <v>40</v>
      </c>
      <c r="K41" s="248">
        <f t="shared" si="0"/>
        <v>0.7</v>
      </c>
      <c r="L41" s="127">
        <v>35</v>
      </c>
      <c r="M41" s="381"/>
    </row>
    <row r="42" spans="2:19" ht="12.75" customHeight="1">
      <c r="B42" s="407"/>
      <c r="C42" s="410"/>
      <c r="D42" s="250" t="s">
        <v>192</v>
      </c>
      <c r="E42" s="85">
        <v>30</v>
      </c>
      <c r="F42" s="149">
        <v>65</v>
      </c>
      <c r="G42" s="86">
        <v>65</v>
      </c>
      <c r="I42" s="404"/>
      <c r="J42" s="239">
        <v>50</v>
      </c>
      <c r="K42" s="248">
        <f t="shared" si="0"/>
        <v>1.1000000000000001</v>
      </c>
      <c r="L42" s="127">
        <v>55</v>
      </c>
      <c r="M42" s="381"/>
    </row>
    <row r="43" spans="2:19" ht="12.75" customHeight="1">
      <c r="B43" s="407"/>
      <c r="C43" s="410"/>
      <c r="D43" s="250" t="s">
        <v>195</v>
      </c>
      <c r="E43" s="85">
        <v>30</v>
      </c>
      <c r="F43" s="149">
        <v>80</v>
      </c>
      <c r="G43" s="86">
        <v>80</v>
      </c>
      <c r="I43" s="404"/>
      <c r="J43" s="239">
        <v>65</v>
      </c>
      <c r="K43" s="248">
        <f t="shared" si="0"/>
        <v>1.9</v>
      </c>
      <c r="L43" s="127">
        <v>95</v>
      </c>
      <c r="M43" s="381"/>
    </row>
    <row r="44" spans="2:19" ht="12.75" customHeight="1">
      <c r="B44" s="407"/>
      <c r="C44" s="410"/>
      <c r="D44" s="250" t="s">
        <v>182</v>
      </c>
      <c r="E44" s="85">
        <v>40</v>
      </c>
      <c r="F44" s="149">
        <v>100</v>
      </c>
      <c r="G44" s="86">
        <v>100</v>
      </c>
      <c r="I44" s="404"/>
      <c r="J44" s="239">
        <v>80</v>
      </c>
      <c r="K44" s="248">
        <f t="shared" si="0"/>
        <v>2.7</v>
      </c>
      <c r="L44" s="127">
        <v>135</v>
      </c>
      <c r="M44" s="381"/>
    </row>
    <row r="45" spans="2:19" ht="12.75" customHeight="1">
      <c r="B45" s="407"/>
      <c r="C45" s="410"/>
      <c r="D45" s="250" t="s">
        <v>193</v>
      </c>
      <c r="E45" s="85">
        <v>50</v>
      </c>
      <c r="F45" s="149">
        <v>125</v>
      </c>
      <c r="G45" s="86">
        <v>125</v>
      </c>
      <c r="I45" s="404"/>
      <c r="J45" s="239">
        <v>100</v>
      </c>
      <c r="K45" s="248">
        <f t="shared" si="0"/>
        <v>4.4000000000000004</v>
      </c>
      <c r="L45" s="127">
        <v>220</v>
      </c>
      <c r="M45" s="381"/>
    </row>
    <row r="46" spans="2:19" ht="12.75" customHeight="1">
      <c r="B46" s="407"/>
      <c r="C46" s="410"/>
      <c r="D46" s="250" t="s">
        <v>183</v>
      </c>
      <c r="E46" s="85">
        <v>50</v>
      </c>
      <c r="F46" s="149">
        <v>150</v>
      </c>
      <c r="G46" s="86">
        <v>150</v>
      </c>
      <c r="I46" s="404"/>
      <c r="J46" s="239">
        <v>125</v>
      </c>
      <c r="K46" s="248">
        <f t="shared" si="0"/>
        <v>6.6</v>
      </c>
      <c r="L46" s="127">
        <v>330</v>
      </c>
      <c r="M46" s="381"/>
    </row>
    <row r="47" spans="2:19" ht="12.75" customHeight="1" thickBot="1">
      <c r="B47" s="408"/>
      <c r="C47" s="411"/>
      <c r="D47" s="251" t="s">
        <v>184</v>
      </c>
      <c r="E47" s="87">
        <v>70</v>
      </c>
      <c r="F47" s="47">
        <v>200</v>
      </c>
      <c r="G47" s="49">
        <v>200</v>
      </c>
      <c r="I47" s="404"/>
      <c r="J47" s="239">
        <v>150</v>
      </c>
      <c r="K47" s="248">
        <v>9.1999999999999993</v>
      </c>
      <c r="L47" s="127">
        <v>460</v>
      </c>
      <c r="M47" s="381"/>
    </row>
    <row r="48" spans="2:19" ht="12.75" customHeight="1" thickBot="1">
      <c r="B48" s="412" t="s">
        <v>150</v>
      </c>
      <c r="C48" s="415" t="s">
        <v>149</v>
      </c>
      <c r="D48" s="252" t="s">
        <v>190</v>
      </c>
      <c r="E48" s="60">
        <v>16</v>
      </c>
      <c r="F48" s="131">
        <v>15</v>
      </c>
      <c r="G48" s="130">
        <v>15</v>
      </c>
      <c r="I48" s="405"/>
      <c r="J48" s="240">
        <v>200</v>
      </c>
      <c r="K48" s="249">
        <f>L48/50</f>
        <v>14.4</v>
      </c>
      <c r="L48" s="126">
        <v>720</v>
      </c>
      <c r="M48" s="382"/>
      <c r="R48" s="15"/>
      <c r="S48" s="15"/>
    </row>
    <row r="49" spans="2:23" ht="12.75" customHeight="1">
      <c r="B49" s="413"/>
      <c r="C49" s="416"/>
      <c r="D49" s="253" t="s">
        <v>191</v>
      </c>
      <c r="E49" s="85">
        <v>16</v>
      </c>
      <c r="F49" s="128">
        <v>20</v>
      </c>
      <c r="G49" s="127">
        <v>20</v>
      </c>
      <c r="R49" s="15"/>
      <c r="S49" s="15"/>
    </row>
    <row r="50" spans="2:23" ht="12.75" customHeight="1">
      <c r="B50" s="413"/>
      <c r="C50" s="416"/>
      <c r="D50" s="253" t="s">
        <v>178</v>
      </c>
      <c r="E50" s="85">
        <v>16</v>
      </c>
      <c r="F50" s="128">
        <v>25</v>
      </c>
      <c r="G50" s="127">
        <v>25</v>
      </c>
      <c r="R50" s="15"/>
      <c r="S50" s="15"/>
    </row>
    <row r="51" spans="2:23" ht="12.75" customHeight="1">
      <c r="B51" s="413"/>
      <c r="C51" s="416"/>
      <c r="D51" s="253" t="s">
        <v>179</v>
      </c>
      <c r="E51" s="85">
        <v>16</v>
      </c>
      <c r="F51" s="128">
        <v>40</v>
      </c>
      <c r="G51" s="127">
        <v>40</v>
      </c>
      <c r="R51" s="15"/>
      <c r="S51" s="15"/>
    </row>
    <row r="52" spans="2:23" ht="12.75" customHeight="1">
      <c r="B52" s="413"/>
      <c r="C52" s="416"/>
      <c r="D52" s="253" t="s">
        <v>180</v>
      </c>
      <c r="E52" s="85">
        <v>16</v>
      </c>
      <c r="F52" s="128">
        <v>50</v>
      </c>
      <c r="G52" s="127">
        <v>50</v>
      </c>
      <c r="R52" s="15"/>
      <c r="S52" s="15"/>
    </row>
    <row r="53" spans="2:23" ht="12.75" customHeight="1">
      <c r="B53" s="413"/>
      <c r="C53" s="416"/>
      <c r="D53" s="253" t="s">
        <v>192</v>
      </c>
      <c r="E53" s="85">
        <v>20</v>
      </c>
      <c r="F53" s="128">
        <v>65</v>
      </c>
      <c r="G53" s="127">
        <v>65</v>
      </c>
      <c r="I53" s="28"/>
      <c r="R53" s="15"/>
      <c r="S53" s="15"/>
    </row>
    <row r="54" spans="2:23" ht="12.75" customHeight="1">
      <c r="B54" s="413"/>
      <c r="C54" s="416"/>
      <c r="D54" s="253" t="s">
        <v>195</v>
      </c>
      <c r="E54" s="85">
        <v>20</v>
      </c>
      <c r="F54" s="128">
        <v>80</v>
      </c>
      <c r="G54" s="127">
        <v>80</v>
      </c>
      <c r="I54" s="28"/>
      <c r="R54" s="15"/>
      <c r="S54" s="15"/>
    </row>
    <row r="55" spans="2:23" ht="12.75" customHeight="1">
      <c r="B55" s="413"/>
      <c r="C55" s="416"/>
      <c r="D55" s="253" t="s">
        <v>182</v>
      </c>
      <c r="E55" s="85">
        <v>30</v>
      </c>
      <c r="F55" s="128">
        <v>100</v>
      </c>
      <c r="G55" s="127">
        <v>100</v>
      </c>
      <c r="I55" s="28"/>
      <c r="R55" s="15"/>
      <c r="S55" s="15"/>
    </row>
    <row r="56" spans="2:23" ht="12.75" customHeight="1">
      <c r="B56" s="413"/>
      <c r="C56" s="416"/>
      <c r="D56" s="253" t="s">
        <v>193</v>
      </c>
      <c r="E56" s="85">
        <v>40</v>
      </c>
      <c r="F56" s="128">
        <v>125</v>
      </c>
      <c r="G56" s="127">
        <v>125</v>
      </c>
      <c r="I56" s="28"/>
      <c r="R56" s="15"/>
      <c r="S56" s="15"/>
    </row>
    <row r="57" spans="2:23" ht="12.75" customHeight="1">
      <c r="B57" s="413"/>
      <c r="C57" s="416"/>
      <c r="D57" s="253" t="s">
        <v>183</v>
      </c>
      <c r="E57" s="85">
        <v>40</v>
      </c>
      <c r="F57" s="257">
        <v>150</v>
      </c>
      <c r="G57" s="127">
        <v>150</v>
      </c>
      <c r="I57" s="28"/>
      <c r="R57" s="15"/>
      <c r="S57" s="15"/>
    </row>
    <row r="58" spans="2:23" ht="12.75" customHeight="1" thickBot="1">
      <c r="B58" s="414"/>
      <c r="C58" s="417"/>
      <c r="D58" s="254" t="s">
        <v>184</v>
      </c>
      <c r="E58" s="258">
        <v>60</v>
      </c>
      <c r="F58" s="255">
        <v>200</v>
      </c>
      <c r="G58" s="256">
        <v>200</v>
      </c>
      <c r="I58" s="28"/>
      <c r="R58" s="15"/>
      <c r="S58" s="15"/>
    </row>
    <row r="59" spans="2:23" ht="12.75" customHeight="1">
      <c r="I59" s="28"/>
      <c r="R59" s="15"/>
      <c r="S59" s="15"/>
    </row>
    <row r="61" spans="2:23" ht="12.75" customHeight="1">
      <c r="B61" s="33" t="s">
        <v>94</v>
      </c>
    </row>
    <row r="62" spans="2:23" ht="12.75" customHeight="1">
      <c r="B62" s="34" t="s">
        <v>92</v>
      </c>
      <c r="D62" s="90" t="s">
        <v>235</v>
      </c>
      <c r="H62" s="15" t="e">
        <f>VLOOKUP(D64,N30:P37,1,0)</f>
        <v>#N/A</v>
      </c>
    </row>
    <row r="63" spans="2:23" ht="12.75" customHeight="1">
      <c r="B63" s="34" t="s">
        <v>148</v>
      </c>
      <c r="D63" s="90" t="s">
        <v>14</v>
      </c>
    </row>
    <row r="64" spans="2:23" s="28" customFormat="1" ht="12.75" customHeight="1">
      <c r="B64" s="34" t="s">
        <v>96</v>
      </c>
      <c r="C64" s="15"/>
      <c r="D64" s="59">
        <v>80</v>
      </c>
      <c r="E64" s="15"/>
      <c r="G64" s="15"/>
      <c r="H64" s="15"/>
      <c r="I64" s="15"/>
      <c r="J64" s="15"/>
      <c r="K64" s="15"/>
      <c r="L64" s="15"/>
      <c r="M64" s="15"/>
      <c r="N64" s="15"/>
      <c r="T64" s="15"/>
      <c r="U64" s="15"/>
      <c r="V64" s="15"/>
      <c r="W64" s="15"/>
    </row>
    <row r="65" spans="2:23" s="28" customFormat="1" ht="12.75" customHeight="1">
      <c r="B65" s="34" t="s">
        <v>176</v>
      </c>
      <c r="C65" s="15"/>
      <c r="D65" s="59" t="s">
        <v>161</v>
      </c>
      <c r="E65" s="15"/>
      <c r="F65" s="15"/>
      <c r="G65" s="15"/>
      <c r="H65" s="15"/>
      <c r="I65" s="15"/>
      <c r="J65" s="15"/>
      <c r="K65" s="15"/>
      <c r="L65" s="15"/>
      <c r="M65" s="15"/>
      <c r="N65" s="15"/>
      <c r="T65" s="15"/>
      <c r="U65" s="15"/>
      <c r="V65" s="15"/>
      <c r="W65" s="15"/>
    </row>
    <row r="66" spans="2:23" s="28" customFormat="1" ht="12.75" customHeight="1">
      <c r="B66" s="125" t="s">
        <v>146</v>
      </c>
      <c r="C66" s="124"/>
      <c r="D66" s="65">
        <f>IF(D62="Standard",VLOOKUP(D64,J13:L29,3),VLOOKUP(D64,J30:L37,3))</f>
        <v>125</v>
      </c>
      <c r="E66" s="15"/>
      <c r="F66" s="15"/>
      <c r="G66" s="15"/>
      <c r="H66" s="65">
        <v>2</v>
      </c>
      <c r="I66" s="65">
        <v>3</v>
      </c>
      <c r="J66" s="65">
        <v>4</v>
      </c>
      <c r="K66" s="65">
        <v>5</v>
      </c>
      <c r="L66" s="65">
        <v>6</v>
      </c>
      <c r="M66" s="65">
        <v>7</v>
      </c>
      <c r="N66" s="65">
        <v>8</v>
      </c>
      <c r="T66" s="15"/>
      <c r="U66" s="15"/>
      <c r="V66" s="15"/>
      <c r="W66" s="15"/>
    </row>
    <row r="67" spans="2:23" s="28" customFormat="1" ht="12.75" customHeight="1">
      <c r="E67" s="15"/>
      <c r="F67" s="15"/>
      <c r="G67" s="35" t="s">
        <v>72</v>
      </c>
      <c r="H67" s="28" t="s">
        <v>164</v>
      </c>
      <c r="I67" s="28" t="s">
        <v>53</v>
      </c>
      <c r="J67" s="28" t="s">
        <v>54</v>
      </c>
      <c r="K67" s="28" t="s">
        <v>55</v>
      </c>
      <c r="L67" s="28" t="s">
        <v>56</v>
      </c>
      <c r="M67" s="28" t="s">
        <v>57</v>
      </c>
      <c r="N67" s="28" t="s">
        <v>58</v>
      </c>
      <c r="T67" s="15"/>
      <c r="U67" s="15"/>
      <c r="V67" s="15"/>
      <c r="W67" s="15"/>
    </row>
    <row r="68" spans="2:23" s="28" customFormat="1" ht="12.75" customHeight="1">
      <c r="B68" s="33" t="s">
        <v>95</v>
      </c>
      <c r="C68" s="15"/>
      <c r="D68" s="15"/>
      <c r="E68" s="15"/>
      <c r="F68" s="15" t="s">
        <v>43</v>
      </c>
      <c r="G68" s="16">
        <f>IF(D62="Standard","Ln Eqn",
    VLOOKUP(D64,J30:M37,4,0))</f>
        <v>21</v>
      </c>
      <c r="H68" s="16">
        <f t="shared" ref="H68:N68" si="1">IF($D$62="Standard","",VLOOKUP($G$68,StkData,H66))</f>
        <v>0</v>
      </c>
      <c r="I68" s="16">
        <f t="shared" si="1"/>
        <v>0</v>
      </c>
      <c r="J68" s="16">
        <f t="shared" si="1"/>
        <v>-9.4730899999999995E-7</v>
      </c>
      <c r="K68" s="16">
        <f t="shared" si="1"/>
        <v>3.1840599999999997E-4</v>
      </c>
      <c r="L68" s="16">
        <f t="shared" si="1"/>
        <v>-3.6429800000000001E-3</v>
      </c>
      <c r="M68" s="16">
        <f t="shared" si="1"/>
        <v>2.1824499999999998</v>
      </c>
      <c r="N68" s="16">
        <f t="shared" si="1"/>
        <v>5.55213</v>
      </c>
      <c r="T68" s="15"/>
      <c r="U68" s="15"/>
      <c r="V68" s="15"/>
      <c r="W68" s="15"/>
    </row>
    <row r="69" spans="2:23" s="28" customFormat="1" ht="12.75" customHeight="1">
      <c r="E69" s="15"/>
      <c r="F69" s="15"/>
      <c r="G69" s="15"/>
      <c r="H69" s="91" t="s">
        <v>90</v>
      </c>
      <c r="I69" s="65"/>
      <c r="J69" s="65"/>
      <c r="K69" s="65"/>
      <c r="L69" s="65"/>
      <c r="M69" s="65"/>
      <c r="N69" s="65"/>
      <c r="T69" s="15"/>
      <c r="U69" s="15"/>
      <c r="V69" s="15"/>
      <c r="W69" s="15"/>
    </row>
    <row r="70" spans="2:23" s="28" customFormat="1" ht="12.75" customHeight="1">
      <c r="G70" s="16" t="s">
        <v>88</v>
      </c>
      <c r="H70" s="28">
        <f>IF($D$64&lt;=8,30,50)</f>
        <v>50</v>
      </c>
      <c r="I70" s="37" t="s">
        <v>91</v>
      </c>
      <c r="J70" s="15"/>
      <c r="K70" s="15"/>
      <c r="L70" s="15"/>
      <c r="M70" s="15"/>
      <c r="N70" s="15"/>
      <c r="T70" s="15"/>
      <c r="U70" s="15"/>
      <c r="V70" s="15"/>
      <c r="W70" s="15"/>
    </row>
    <row r="71" spans="2:23" s="28" customFormat="1" ht="12.75" customHeight="1">
      <c r="B71" s="15"/>
      <c r="C71" s="15"/>
      <c r="D71" s="15"/>
      <c r="E71" s="15"/>
      <c r="F71" s="34"/>
      <c r="G71" s="15"/>
      <c r="H71" s="28" t="s">
        <v>30</v>
      </c>
      <c r="I71" s="28" t="s">
        <v>31</v>
      </c>
      <c r="J71" s="28" t="s">
        <v>44</v>
      </c>
      <c r="K71" s="28" t="s">
        <v>45</v>
      </c>
      <c r="L71" s="28" t="s">
        <v>46</v>
      </c>
      <c r="M71" s="28" t="s">
        <v>47</v>
      </c>
      <c r="N71" s="28" t="s">
        <v>48</v>
      </c>
      <c r="T71" s="15"/>
      <c r="U71" s="15"/>
      <c r="V71" s="15"/>
      <c r="W71" s="15"/>
    </row>
    <row r="72" spans="2:23" s="28" customFormat="1" ht="12.75" customHeight="1">
      <c r="B72" s="33" t="s">
        <v>21</v>
      </c>
      <c r="C72" s="15"/>
      <c r="D72" s="15"/>
      <c r="E72" s="15"/>
      <c r="F72" s="15" t="s">
        <v>32</v>
      </c>
      <c r="G72" s="28">
        <f>IF($D$65="FTO",1,3)</f>
        <v>1</v>
      </c>
      <c r="H72" s="16">
        <f t="shared" ref="H72:N72" si="2">VLOOKUP($G$72,FLData,H66)</f>
        <v>0.9</v>
      </c>
      <c r="I72" s="16">
        <f t="shared" si="2"/>
        <v>0.96699999999999997</v>
      </c>
      <c r="J72" s="16">
        <f t="shared" si="2"/>
        <v>0</v>
      </c>
      <c r="K72" s="16">
        <f t="shared" si="2"/>
        <v>-8.1600000000000006E-2</v>
      </c>
      <c r="L72" s="16">
        <f t="shared" si="2"/>
        <v>0.20799999999999999</v>
      </c>
      <c r="M72" s="16">
        <f t="shared" si="2"/>
        <v>-0.21740000000000001</v>
      </c>
      <c r="N72" s="16">
        <f t="shared" si="2"/>
        <v>0.98629999999999995</v>
      </c>
      <c r="T72" s="15"/>
      <c r="U72" s="15"/>
      <c r="V72" s="15"/>
      <c r="W72" s="15"/>
    </row>
    <row r="73" spans="2:23" s="28" customFormat="1" ht="12.75" customHeight="1">
      <c r="B73" s="33" t="s">
        <v>33</v>
      </c>
      <c r="C73" s="15"/>
      <c r="D73" s="15"/>
      <c r="E73" s="15"/>
      <c r="F73" s="15" t="s">
        <v>34</v>
      </c>
      <c r="G73" s="28">
        <f>IF($D$65="FTO",1,3)</f>
        <v>1</v>
      </c>
      <c r="H73" s="16">
        <f t="shared" ref="H73:N73" si="3">VLOOKUP($G$73,KcData,H66)</f>
        <v>0.65</v>
      </c>
      <c r="I73" s="16">
        <f t="shared" si="3"/>
        <v>0.75</v>
      </c>
      <c r="J73" s="16">
        <f t="shared" si="3"/>
        <v>0</v>
      </c>
      <c r="K73" s="16">
        <f t="shared" si="3"/>
        <v>-0.29039999999999999</v>
      </c>
      <c r="L73" s="16">
        <f t="shared" si="3"/>
        <v>0.5605</v>
      </c>
      <c r="M73" s="16">
        <f t="shared" si="3"/>
        <v>-0.43509999999999999</v>
      </c>
      <c r="N73" s="16">
        <f t="shared" si="3"/>
        <v>0.78779999999999994</v>
      </c>
      <c r="T73" s="15"/>
      <c r="U73" s="15"/>
      <c r="V73" s="15"/>
      <c r="W73" s="15"/>
    </row>
    <row r="74" spans="2:23" s="28" customFormat="1" ht="12.75" customHeight="1">
      <c r="B74" s="33" t="s">
        <v>26</v>
      </c>
      <c r="C74" s="15"/>
      <c r="D74" s="15"/>
      <c r="E74" s="15"/>
      <c r="F74" s="15" t="s">
        <v>87</v>
      </c>
      <c r="G74" s="16" t="str">
        <f>IF($D$65="FTO","Eqn",3)</f>
        <v>Eqn</v>
      </c>
      <c r="H74" s="16" t="str">
        <f t="shared" ref="H74:N74" si="4">IF($D$65="FTO","",VLOOKUP($G$74,FdData,H66))</f>
        <v/>
      </c>
      <c r="I74" s="16" t="str">
        <f t="shared" si="4"/>
        <v/>
      </c>
      <c r="J74" s="16" t="str">
        <f t="shared" si="4"/>
        <v/>
      </c>
      <c r="K74" s="16" t="str">
        <f t="shared" si="4"/>
        <v/>
      </c>
      <c r="L74" s="16" t="str">
        <f t="shared" si="4"/>
        <v/>
      </c>
      <c r="M74" s="16" t="str">
        <f t="shared" si="4"/>
        <v/>
      </c>
      <c r="N74" s="16" t="str">
        <f t="shared" si="4"/>
        <v/>
      </c>
      <c r="T74" s="15"/>
      <c r="U74" s="15"/>
      <c r="V74" s="15"/>
      <c r="W74" s="15"/>
    </row>
    <row r="75" spans="2:23" ht="12.75" customHeight="1">
      <c r="H75" s="394" t="str">
        <f>IF($D$65="FTC","","Fd = 1.13*(17*CvReq'd*FL)^0.5/(2*Dp - (17*CvReq'd*FL)/Dp)")</f>
        <v>Fd = 1.13*(17*CvReq'd*FL)^0.5/(2*Dp - (17*CvReq'd*FL)/Dp)</v>
      </c>
      <c r="I75" s="395"/>
      <c r="J75" s="395"/>
      <c r="K75" s="395"/>
      <c r="L75" s="395"/>
    </row>
    <row r="76" spans="2:23" s="28" customFormat="1" ht="12.75" customHeight="1">
      <c r="B76" s="33" t="s">
        <v>24</v>
      </c>
      <c r="C76" s="15"/>
      <c r="D76" s="15"/>
      <c r="E76" s="15"/>
      <c r="F76" s="15" t="s">
        <v>68</v>
      </c>
      <c r="G76" s="28">
        <f>IF($D$65="FTO",0.68,0.54)</f>
        <v>0.68</v>
      </c>
      <c r="H76" s="36" t="s">
        <v>37</v>
      </c>
      <c r="I76" s="16"/>
      <c r="J76" s="16"/>
      <c r="K76" s="16"/>
      <c r="L76" s="16"/>
      <c r="M76" s="16"/>
      <c r="N76" s="16"/>
      <c r="T76" s="15"/>
      <c r="U76" s="15"/>
      <c r="V76" s="15"/>
      <c r="W76" s="15"/>
    </row>
    <row r="77" spans="2:23" s="28" customFormat="1" ht="12.75" customHeight="1">
      <c r="B77" s="33"/>
      <c r="C77" s="15"/>
      <c r="D77" s="15"/>
      <c r="E77" s="15"/>
      <c r="F77" s="15" t="s">
        <v>25</v>
      </c>
      <c r="G77" s="16" t="s">
        <v>29</v>
      </c>
      <c r="H77" s="36" t="s">
        <v>36</v>
      </c>
      <c r="I77" s="16"/>
      <c r="J77" s="16"/>
      <c r="K77" s="16"/>
      <c r="L77" s="16"/>
      <c r="M77" s="16"/>
      <c r="N77" s="16"/>
      <c r="T77" s="15"/>
      <c r="U77" s="15"/>
      <c r="V77" s="15"/>
      <c r="W77" s="15"/>
    </row>
    <row r="78" spans="2:23" s="28" customFormat="1" ht="12.75" customHeight="1">
      <c r="B78" s="33" t="s">
        <v>22</v>
      </c>
      <c r="C78" s="15"/>
      <c r="D78" s="15"/>
      <c r="E78" s="15"/>
      <c r="F78" s="15" t="s">
        <v>23</v>
      </c>
      <c r="G78" s="16" t="s">
        <v>29</v>
      </c>
      <c r="H78" s="36" t="s">
        <v>38</v>
      </c>
      <c r="I78" s="15"/>
      <c r="J78" s="15"/>
      <c r="K78" s="15"/>
      <c r="L78" s="15"/>
      <c r="M78" s="15"/>
      <c r="N78" s="15"/>
      <c r="T78" s="15"/>
      <c r="U78" s="15"/>
      <c r="V78" s="15"/>
      <c r="W78" s="15"/>
    </row>
    <row r="79" spans="2:23" ht="12.75" customHeight="1">
      <c r="B79" s="33" t="s">
        <v>28</v>
      </c>
      <c r="F79" s="15" t="s">
        <v>27</v>
      </c>
      <c r="G79" s="16" t="s">
        <v>29</v>
      </c>
      <c r="H79" s="16"/>
      <c r="I79" s="16"/>
    </row>
    <row r="81" spans="2:19" ht="12.75" customHeight="1">
      <c r="F81" s="16"/>
      <c r="G81" s="16"/>
      <c r="H81" s="16"/>
      <c r="I81" s="16"/>
      <c r="J81" s="16"/>
    </row>
    <row r="82" spans="2:19" ht="12.75" customHeight="1">
      <c r="B82" s="28" t="s">
        <v>60</v>
      </c>
      <c r="D82" s="16"/>
      <c r="E82" s="16"/>
      <c r="F82" s="16"/>
      <c r="G82" s="16"/>
      <c r="H82" s="16"/>
      <c r="I82" s="16"/>
      <c r="J82" s="16"/>
    </row>
    <row r="83" spans="2:19" ht="12.75" customHeight="1">
      <c r="B83" s="28" t="s">
        <v>35</v>
      </c>
      <c r="C83" s="28" t="s">
        <v>43</v>
      </c>
      <c r="D83" s="28" t="s">
        <v>32</v>
      </c>
      <c r="E83" s="28" t="s">
        <v>25</v>
      </c>
      <c r="F83" s="28" t="s">
        <v>34</v>
      </c>
      <c r="G83" s="16" t="s">
        <v>87</v>
      </c>
      <c r="H83" s="16"/>
      <c r="I83" s="16"/>
      <c r="J83" s="16"/>
    </row>
    <row r="84" spans="2:19" ht="12.75" customHeight="1">
      <c r="B84" s="29">
        <v>5.0000000000000001E-3</v>
      </c>
      <c r="C84" s="32">
        <f>IF($D$63="Linear",B84,
    IF($D$62="Standard",LN(B84)/LN($H$70)+1,
      ($H$68*($D$66*B84)^6+$I$68*($D$66*B84)^5+$J$68*($D$66*B84)^4+$K$68*($D$66*B84)^3+$L$68*($D$66*B84)^2+$M$68*($D$66*B84)+$N$68)/100))</f>
        <v>6.9148158022294612E-2</v>
      </c>
      <c r="D84" s="17">
        <f t="shared" ref="D84:D103" si="5">MIN(MAX($J$72*B84^4+$K$72*B84^3+$L$72*B84^2+$M$72*B84+$N$72,$H$72),$I$72)</f>
        <v>0.96699999999999997</v>
      </c>
      <c r="E84" s="17">
        <f t="shared" ref="E84:E103" si="6">0.84*D84^2</f>
        <v>0.78547475999999994</v>
      </c>
      <c r="F84" s="17">
        <f t="shared" ref="F84:F103" si="7">MIN(MAX($J$73*B84^4+$K$73*B84^3+$L$73*B84^2+$M$73*B84+$N$73,$H$73),$I$73)</f>
        <v>0.75</v>
      </c>
      <c r="G84" s="17">
        <f t="shared" ref="G84:G103" si="8">IF($D$65="FTO",1.13*(17*(B84*$D$66)*D84)^0.5/(2*$D$64-(17*B84*$D$66*D84)/$D$64),
    MIN(MAX($J$74*B84^4+$K$74*B84^3+$L$74*B84^2+$M$74*B84+$N$74,$H$74),$I$74))</f>
        <v>2.2656087281807343E-2</v>
      </c>
    </row>
    <row r="85" spans="2:19" ht="12.75" customHeight="1">
      <c r="B85" s="29">
        <v>0.01</v>
      </c>
      <c r="C85" s="32">
        <f t="shared" ref="C85:C103" si="9">IF($D$63="Linear",B85,
    IF($D$62="Standard",LN(B85)/LN($H$70)+1,
      ($H$68*($D$66*B85)^6+$I$68*($D$66*B85)^5+$J$68*($D$66*B85)^4+$K$68*($D$66*B85)^3+$L$68*($D$66*B85)^2+$M$68*($D$66*B85)+$N$68)/100))</f>
        <v>8.2751199177026363E-2</v>
      </c>
      <c r="D85" s="17">
        <f t="shared" si="5"/>
        <v>0.96699999999999997</v>
      </c>
      <c r="E85" s="17">
        <f t="shared" si="6"/>
        <v>0.78547475999999994</v>
      </c>
      <c r="F85" s="17">
        <f t="shared" si="7"/>
        <v>0.75</v>
      </c>
      <c r="G85" s="17">
        <f t="shared" si="8"/>
        <v>3.2066305741449891E-2</v>
      </c>
    </row>
    <row r="86" spans="2:19" ht="12.75" customHeight="1">
      <c r="B86" s="29">
        <v>0.02</v>
      </c>
      <c r="C86" s="32">
        <f t="shared" si="9"/>
        <v>0.10990424464492186</v>
      </c>
      <c r="D86" s="17">
        <f t="shared" si="5"/>
        <v>0.96699999999999997</v>
      </c>
      <c r="E86" s="17">
        <f t="shared" si="6"/>
        <v>0.78547475999999994</v>
      </c>
      <c r="F86" s="17">
        <f t="shared" si="7"/>
        <v>0.75</v>
      </c>
      <c r="G86" s="17">
        <f t="shared" si="8"/>
        <v>4.5421640312772668E-2</v>
      </c>
    </row>
    <row r="87" spans="2:19" ht="12.75" customHeight="1">
      <c r="B87" s="29">
        <v>0.04</v>
      </c>
      <c r="C87" s="32">
        <f t="shared" si="9"/>
        <v>0.16412514181874996</v>
      </c>
      <c r="D87" s="17">
        <f t="shared" si="5"/>
        <v>0.96699999999999997</v>
      </c>
      <c r="E87" s="17">
        <f t="shared" si="6"/>
        <v>0.78547475999999994</v>
      </c>
      <c r="F87" s="17">
        <f t="shared" si="7"/>
        <v>0.75</v>
      </c>
      <c r="G87" s="17">
        <f t="shared" si="8"/>
        <v>6.44434776269103E-2</v>
      </c>
    </row>
    <row r="88" spans="2:19" ht="12.75" customHeight="1">
      <c r="B88" s="29">
        <v>0.08</v>
      </c>
      <c r="C88" s="32">
        <f t="shared" si="9"/>
        <v>0.27321264909999998</v>
      </c>
      <c r="D88" s="17">
        <f t="shared" si="5"/>
        <v>0.96699999999999997</v>
      </c>
      <c r="E88" s="17">
        <f t="shared" si="6"/>
        <v>0.78547475999999994</v>
      </c>
      <c r="F88" s="17">
        <f t="shared" si="7"/>
        <v>0.75</v>
      </c>
      <c r="G88" s="17">
        <f t="shared" si="8"/>
        <v>9.1729687785668604E-2</v>
      </c>
      <c r="O88" s="15"/>
      <c r="P88" s="15"/>
      <c r="Q88" s="15"/>
      <c r="R88" s="15"/>
      <c r="S88" s="15"/>
    </row>
    <row r="89" spans="2:19" ht="12.75" customHeight="1">
      <c r="B89" s="29">
        <v>0.16</v>
      </c>
      <c r="C89" s="32">
        <f t="shared" si="9"/>
        <v>0.50139616559999989</v>
      </c>
      <c r="D89" s="17">
        <f t="shared" si="5"/>
        <v>0.95650656639999998</v>
      </c>
      <c r="E89" s="17">
        <f t="shared" si="6"/>
        <v>0.76852004171570665</v>
      </c>
      <c r="F89" s="17">
        <f t="shared" si="7"/>
        <v>0.73134332159999993</v>
      </c>
      <c r="G89" s="17">
        <f t="shared" si="8"/>
        <v>0.1306828812723119</v>
      </c>
      <c r="O89" s="15"/>
      <c r="P89" s="15"/>
      <c r="Q89" s="15"/>
      <c r="R89" s="15"/>
      <c r="S89" s="15"/>
    </row>
    <row r="90" spans="2:19" ht="12.75" customHeight="1">
      <c r="B90" s="29">
        <v>0.35</v>
      </c>
      <c r="C90" s="32">
        <f t="shared" si="9"/>
        <v>1.1725422451141356</v>
      </c>
      <c r="D90" s="17">
        <f t="shared" si="5"/>
        <v>0.9321914</v>
      </c>
      <c r="E90" s="17">
        <f t="shared" si="6"/>
        <v>0.72994387723652643</v>
      </c>
      <c r="F90" s="17">
        <f t="shared" si="7"/>
        <v>0.69172535000000002</v>
      </c>
      <c r="G90" s="17">
        <f t="shared" si="8"/>
        <v>0.19661167698388191</v>
      </c>
      <c r="O90" s="15"/>
      <c r="P90" s="15"/>
      <c r="Q90" s="15"/>
      <c r="R90" s="15"/>
      <c r="S90" s="15"/>
    </row>
    <row r="91" spans="2:19" ht="12.75" customHeight="1">
      <c r="B91" s="29">
        <v>0.4</v>
      </c>
      <c r="C91" s="32">
        <f t="shared" si="9"/>
        <v>1.3944724875000001</v>
      </c>
      <c r="D91" s="17">
        <f t="shared" si="5"/>
        <v>0.92739759999999993</v>
      </c>
      <c r="E91" s="17">
        <f t="shared" si="6"/>
        <v>0.7224556991280382</v>
      </c>
      <c r="F91" s="17">
        <f t="shared" si="7"/>
        <v>0.68485439999999997</v>
      </c>
      <c r="G91" s="17">
        <f t="shared" si="8"/>
        <v>0.2113031468983651</v>
      </c>
      <c r="O91" s="15"/>
      <c r="P91" s="15"/>
      <c r="Q91" s="15"/>
      <c r="R91" s="15"/>
      <c r="S91" s="15"/>
    </row>
    <row r="92" spans="2:19" ht="12.75" customHeight="1">
      <c r="B92" s="29">
        <v>0.45</v>
      </c>
      <c r="C92" s="32">
        <f t="shared" si="9"/>
        <v>1.6397396679656981</v>
      </c>
      <c r="D92" s="17">
        <f t="shared" si="5"/>
        <v>0.92315419999999992</v>
      </c>
      <c r="E92" s="17">
        <f t="shared" si="6"/>
        <v>0.7158594886612174</v>
      </c>
      <c r="F92" s="17">
        <f t="shared" si="7"/>
        <v>0.67904354999999994</v>
      </c>
      <c r="G92" s="17">
        <f t="shared" si="8"/>
        <v>0.22538023113985306</v>
      </c>
      <c r="O92" s="15"/>
      <c r="P92" s="15"/>
      <c r="Q92" s="15"/>
      <c r="R92" s="15"/>
      <c r="S92" s="15"/>
    </row>
    <row r="93" spans="2:19" ht="12.75" customHeight="1">
      <c r="B93" s="29">
        <v>0.5</v>
      </c>
      <c r="C93" s="32">
        <f t="shared" si="9"/>
        <v>1.9100591601074219</v>
      </c>
      <c r="D93" s="17">
        <f t="shared" si="5"/>
        <v>0.9194</v>
      </c>
      <c r="E93" s="17">
        <f t="shared" si="6"/>
        <v>0.71004894239999994</v>
      </c>
      <c r="F93" s="17">
        <f t="shared" si="7"/>
        <v>0.67407499999999998</v>
      </c>
      <c r="G93" s="17">
        <f t="shared" si="8"/>
        <v>0.23897496638942592</v>
      </c>
      <c r="O93" s="15"/>
      <c r="P93" s="15"/>
      <c r="Q93" s="15"/>
      <c r="R93" s="15"/>
      <c r="S93" s="15"/>
    </row>
    <row r="94" spans="2:19" ht="12.75" customHeight="1">
      <c r="B94" s="29">
        <v>0.55000000000000004</v>
      </c>
      <c r="C94" s="32">
        <f t="shared" si="9"/>
        <v>2.2067994226043699</v>
      </c>
      <c r="D94" s="17">
        <f t="shared" si="5"/>
        <v>0.91607379999999994</v>
      </c>
      <c r="E94" s="17">
        <f t="shared" si="6"/>
        <v>0.70492061391900951</v>
      </c>
      <c r="F94" s="17">
        <f t="shared" si="7"/>
        <v>0.66973094999999994</v>
      </c>
      <c r="G94" s="17">
        <f t="shared" si="8"/>
        <v>0.25218598337257547</v>
      </c>
      <c r="O94" s="15"/>
      <c r="P94" s="15"/>
      <c r="Q94" s="15"/>
      <c r="R94" s="15"/>
      <c r="S94" s="15"/>
    </row>
    <row r="95" spans="2:19" ht="12.75" customHeight="1">
      <c r="B95" s="29">
        <v>0.6</v>
      </c>
      <c r="C95" s="32">
        <f t="shared" si="9"/>
        <v>2.5309819992187497</v>
      </c>
      <c r="D95" s="17">
        <f t="shared" si="5"/>
        <v>0.91311439999999999</v>
      </c>
      <c r="E95" s="17">
        <f t="shared" si="6"/>
        <v>0.70037344228938236</v>
      </c>
      <c r="F95" s="17">
        <f t="shared" si="7"/>
        <v>0.66579359999999999</v>
      </c>
      <c r="G95" s="17">
        <f t="shared" si="8"/>
        <v>0.26508835459307034</v>
      </c>
      <c r="O95" s="15"/>
      <c r="P95" s="15"/>
      <c r="Q95" s="15"/>
      <c r="R95" s="15"/>
      <c r="S95" s="15"/>
    </row>
    <row r="96" spans="2:19" ht="12.75" customHeight="1">
      <c r="B96" s="29">
        <v>0.63600000000000001</v>
      </c>
      <c r="C96" s="32">
        <f t="shared" si="9"/>
        <v>2.7817781105700319</v>
      </c>
      <c r="D96" s="17">
        <f t="shared" si="5"/>
        <v>0.91117639639039993</v>
      </c>
      <c r="E96" s="17">
        <f t="shared" si="6"/>
        <v>0.69740363728475596</v>
      </c>
      <c r="F96" s="17">
        <f t="shared" si="7"/>
        <v>0.66308826197759996</v>
      </c>
      <c r="G96" s="17">
        <f t="shared" si="8"/>
        <v>0.27421988348371601</v>
      </c>
      <c r="O96" s="15"/>
      <c r="P96" s="15"/>
      <c r="Q96" s="15"/>
      <c r="R96" s="15"/>
      <c r="S96" s="15"/>
    </row>
    <row r="97" spans="2:19" ht="12.75" customHeight="1">
      <c r="B97" s="29">
        <v>0.7</v>
      </c>
      <c r="C97" s="32">
        <f t="shared" si="9"/>
        <v>3.2640256952636713</v>
      </c>
      <c r="D97" s="17">
        <f t="shared" si="5"/>
        <v>0.90805119999999995</v>
      </c>
      <c r="E97" s="17">
        <f t="shared" si="6"/>
        <v>0.69262786473000948</v>
      </c>
      <c r="F97" s="17">
        <f t="shared" si="7"/>
        <v>0.65826779999999996</v>
      </c>
      <c r="G97" s="17">
        <f t="shared" si="8"/>
        <v>0.29018445457751213</v>
      </c>
      <c r="O97" s="15"/>
      <c r="P97" s="15"/>
      <c r="Q97" s="15"/>
      <c r="R97" s="15"/>
      <c r="S97" s="15"/>
    </row>
    <row r="98" spans="2:19" ht="12.75" customHeight="1">
      <c r="B98" s="29">
        <v>0.75</v>
      </c>
      <c r="C98" s="32">
        <f t="shared" si="9"/>
        <v>3.6731953276336666</v>
      </c>
      <c r="D98" s="17">
        <f t="shared" si="5"/>
        <v>0.90582499999999988</v>
      </c>
      <c r="E98" s="17">
        <f t="shared" si="6"/>
        <v>0.68923590172499982</v>
      </c>
      <c r="F98" s="17">
        <f t="shared" si="7"/>
        <v>0.65424375000000001</v>
      </c>
      <c r="G98" s="17">
        <f t="shared" si="8"/>
        <v>0.30245602517317166</v>
      </c>
      <c r="O98" s="15"/>
      <c r="P98" s="15"/>
      <c r="Q98" s="15"/>
      <c r="R98" s="15"/>
      <c r="S98" s="15"/>
    </row>
    <row r="99" spans="2:19" ht="12.75" customHeight="1">
      <c r="B99" s="29">
        <v>0.8</v>
      </c>
      <c r="C99" s="32">
        <f t="shared" si="9"/>
        <v>4.1104242999999991</v>
      </c>
      <c r="D99" s="17">
        <f t="shared" si="5"/>
        <v>0.90372079999999988</v>
      </c>
      <c r="E99" s="17">
        <f t="shared" si="6"/>
        <v>0.68603747885621735</v>
      </c>
      <c r="F99" s="17">
        <f t="shared" si="7"/>
        <v>0.65</v>
      </c>
      <c r="G99" s="17">
        <f t="shared" si="8"/>
        <v>0.31457914894484884</v>
      </c>
      <c r="O99" s="15"/>
      <c r="P99" s="15"/>
      <c r="Q99" s="15"/>
      <c r="R99" s="15"/>
      <c r="S99" s="15"/>
    </row>
    <row r="100" spans="2:19" ht="12.75" customHeight="1">
      <c r="B100" s="29">
        <v>0.85</v>
      </c>
      <c r="C100" s="32">
        <f t="shared" si="9"/>
        <v>4.5749995815399158</v>
      </c>
      <c r="D100" s="17">
        <f t="shared" si="5"/>
        <v>0.90167739999999985</v>
      </c>
      <c r="E100" s="17">
        <f t="shared" si="6"/>
        <v>0.68293859228343812</v>
      </c>
      <c r="F100" s="17">
        <f t="shared" si="7"/>
        <v>0.65</v>
      </c>
      <c r="G100" s="17">
        <f t="shared" si="8"/>
        <v>0.32657089839386555</v>
      </c>
      <c r="O100" s="15"/>
      <c r="P100" s="15"/>
      <c r="Q100" s="15"/>
      <c r="R100" s="15"/>
      <c r="S100" s="15"/>
    </row>
    <row r="101" spans="2:19" ht="12.75" customHeight="1">
      <c r="B101" s="29">
        <v>0.9</v>
      </c>
      <c r="C101" s="32">
        <f t="shared" si="9"/>
        <v>5.0658612265136718</v>
      </c>
      <c r="D101" s="17">
        <f t="shared" si="5"/>
        <v>0.9</v>
      </c>
      <c r="E101" s="17">
        <f t="shared" si="6"/>
        <v>0.6804</v>
      </c>
      <c r="F101" s="17">
        <f t="shared" si="7"/>
        <v>0.65</v>
      </c>
      <c r="G101" s="17">
        <f t="shared" si="8"/>
        <v>0.33853193593381437</v>
      </c>
      <c r="O101" s="15"/>
      <c r="P101" s="15"/>
      <c r="Q101" s="15"/>
      <c r="R101" s="15"/>
      <c r="S101" s="15"/>
    </row>
    <row r="102" spans="2:19" ht="12.75" customHeight="1">
      <c r="B102" s="29">
        <v>0.95</v>
      </c>
      <c r="C102" s="32">
        <f t="shared" si="9"/>
        <v>5.5816023742645253</v>
      </c>
      <c r="D102" s="17">
        <f t="shared" si="5"/>
        <v>0.9</v>
      </c>
      <c r="E102" s="17">
        <f t="shared" si="6"/>
        <v>0.6804</v>
      </c>
      <c r="F102" s="17">
        <f t="shared" si="7"/>
        <v>0.65</v>
      </c>
      <c r="G102" s="17">
        <f t="shared" si="8"/>
        <v>0.35083670913782922</v>
      </c>
      <c r="O102" s="15"/>
      <c r="P102" s="15"/>
      <c r="Q102" s="15"/>
      <c r="R102" s="15"/>
      <c r="S102" s="15"/>
    </row>
    <row r="103" spans="2:19" ht="12.75" customHeight="1">
      <c r="B103" s="29">
        <v>1</v>
      </c>
      <c r="C103" s="32">
        <f t="shared" si="9"/>
        <v>6.1204692492187496</v>
      </c>
      <c r="D103" s="17">
        <f t="shared" si="5"/>
        <v>0.9</v>
      </c>
      <c r="E103" s="17">
        <f t="shared" si="6"/>
        <v>0.6804</v>
      </c>
      <c r="F103" s="17">
        <f t="shared" si="7"/>
        <v>0.65</v>
      </c>
      <c r="G103" s="17">
        <f t="shared" si="8"/>
        <v>0.36311232006476357</v>
      </c>
      <c r="O103" s="15"/>
      <c r="P103" s="15"/>
      <c r="Q103" s="15"/>
      <c r="R103" s="15"/>
      <c r="S103" s="15"/>
    </row>
    <row r="105" spans="2:19" ht="12.75" customHeight="1">
      <c r="F105" s="16"/>
      <c r="O105" s="15"/>
      <c r="P105" s="15"/>
      <c r="Q105" s="15"/>
      <c r="R105" s="15"/>
      <c r="S105" s="15"/>
    </row>
    <row r="106" spans="2:19" ht="12.75" customHeight="1">
      <c r="F106" s="16"/>
      <c r="O106" s="15"/>
      <c r="P106" s="15"/>
      <c r="Q106" s="15"/>
      <c r="R106" s="15"/>
      <c r="S106" s="15"/>
    </row>
    <row r="128" spans="6:19" ht="12.75" customHeight="1">
      <c r="F128" s="16"/>
      <c r="O128" s="15"/>
      <c r="P128" s="15"/>
      <c r="Q128" s="15"/>
      <c r="R128" s="15"/>
      <c r="S128" s="15"/>
    </row>
    <row r="129" spans="6:19" ht="12.75" customHeight="1">
      <c r="F129" s="16"/>
      <c r="O129" s="15"/>
      <c r="P129" s="15"/>
      <c r="Q129" s="15"/>
      <c r="R129" s="15"/>
      <c r="S129" s="15"/>
    </row>
    <row r="130" spans="6:19" ht="12.75" customHeight="1">
      <c r="F130" s="16"/>
      <c r="O130" s="15"/>
      <c r="P130" s="15"/>
      <c r="Q130" s="15"/>
      <c r="R130" s="15"/>
      <c r="S130" s="15"/>
    </row>
    <row r="131" spans="6:19" ht="12.75" customHeight="1">
      <c r="F131" s="16"/>
      <c r="O131" s="15"/>
      <c r="P131" s="15"/>
      <c r="Q131" s="15"/>
      <c r="R131" s="15"/>
      <c r="S131" s="15"/>
    </row>
    <row r="132" spans="6:19" ht="12.75" customHeight="1">
      <c r="F132" s="16"/>
      <c r="O132" s="15"/>
      <c r="P132" s="15"/>
      <c r="Q132" s="15"/>
      <c r="R132" s="15"/>
      <c r="S132" s="15"/>
    </row>
    <row r="133" spans="6:19" ht="12.75" customHeight="1">
      <c r="F133" s="16"/>
      <c r="O133" s="15"/>
      <c r="P133" s="15"/>
      <c r="Q133" s="15"/>
      <c r="R133" s="15"/>
      <c r="S133" s="15"/>
    </row>
    <row r="134" spans="6:19" ht="12.75" customHeight="1">
      <c r="F134" s="16"/>
      <c r="O134" s="15"/>
      <c r="P134" s="15"/>
      <c r="Q134" s="15"/>
      <c r="R134" s="15"/>
      <c r="S134" s="15"/>
    </row>
    <row r="135" spans="6:19" ht="12.75" customHeight="1">
      <c r="F135" s="16"/>
      <c r="O135" s="15"/>
      <c r="P135" s="15"/>
      <c r="Q135" s="15"/>
      <c r="R135" s="15"/>
      <c r="S135" s="15"/>
    </row>
    <row r="136" spans="6:19" ht="12.75" customHeight="1">
      <c r="F136" s="16"/>
      <c r="O136" s="15"/>
      <c r="P136" s="15"/>
      <c r="Q136" s="15"/>
      <c r="R136" s="15"/>
      <c r="S136" s="15"/>
    </row>
    <row r="137" spans="6:19" ht="12.75" customHeight="1">
      <c r="F137" s="16"/>
      <c r="O137" s="15"/>
      <c r="P137" s="15"/>
      <c r="Q137" s="15"/>
      <c r="R137" s="15"/>
      <c r="S137" s="15"/>
    </row>
    <row r="138" spans="6:19" ht="12.75" customHeight="1">
      <c r="F138" s="16"/>
      <c r="O138" s="15"/>
      <c r="P138" s="15"/>
      <c r="Q138" s="15"/>
      <c r="R138" s="15"/>
      <c r="S138" s="15"/>
    </row>
    <row r="139" spans="6:19" ht="12.75" customHeight="1">
      <c r="F139" s="16"/>
      <c r="O139" s="15"/>
      <c r="P139" s="15"/>
      <c r="Q139" s="15"/>
      <c r="R139" s="15"/>
      <c r="S139" s="15"/>
    </row>
    <row r="140" spans="6:19" ht="12.75" customHeight="1">
      <c r="F140" s="16"/>
      <c r="O140" s="15"/>
      <c r="P140" s="15"/>
      <c r="Q140" s="15"/>
      <c r="R140" s="15"/>
      <c r="S140" s="15"/>
    </row>
    <row r="141" spans="6:19" ht="12.75" customHeight="1">
      <c r="F141" s="16"/>
      <c r="O141" s="15"/>
      <c r="P141" s="15"/>
      <c r="Q141" s="15"/>
      <c r="R141" s="15"/>
      <c r="S141" s="15"/>
    </row>
    <row r="142" spans="6:19" ht="12.75" customHeight="1">
      <c r="F142" s="16"/>
      <c r="O142" s="15"/>
      <c r="P142" s="15"/>
      <c r="Q142" s="15"/>
      <c r="R142" s="15"/>
      <c r="S142" s="15"/>
    </row>
    <row r="143" spans="6:19" ht="12.75" customHeight="1">
      <c r="F143" s="16"/>
      <c r="O143" s="15"/>
      <c r="P143" s="15"/>
      <c r="Q143" s="15"/>
      <c r="R143" s="15"/>
      <c r="S143" s="15"/>
    </row>
    <row r="144" spans="6:19" ht="12.75" customHeight="1">
      <c r="F144" s="16"/>
      <c r="O144" s="15"/>
      <c r="P144" s="15"/>
      <c r="Q144" s="15"/>
      <c r="R144" s="15"/>
      <c r="S144" s="15"/>
    </row>
    <row r="145" spans="6:19" ht="12.75" customHeight="1">
      <c r="F145" s="16"/>
      <c r="O145" s="15"/>
      <c r="P145" s="15"/>
      <c r="Q145" s="15"/>
      <c r="R145" s="15"/>
      <c r="S145" s="15"/>
    </row>
    <row r="146" spans="6:19" ht="12.75" customHeight="1">
      <c r="F146" s="16"/>
      <c r="O146" s="15"/>
      <c r="P146" s="15"/>
      <c r="Q146" s="15"/>
      <c r="R146" s="15"/>
      <c r="S146" s="15"/>
    </row>
    <row r="147" spans="6:19" ht="12.75" customHeight="1">
      <c r="F147" s="16"/>
      <c r="O147" s="15"/>
      <c r="P147" s="15"/>
      <c r="Q147" s="15"/>
      <c r="R147" s="15"/>
      <c r="S147" s="15"/>
    </row>
    <row r="148" spans="6:19" ht="12.75" customHeight="1">
      <c r="F148" s="16"/>
      <c r="O148" s="15"/>
      <c r="P148" s="15"/>
      <c r="Q148" s="15"/>
      <c r="R148" s="15"/>
      <c r="S148" s="15"/>
    </row>
    <row r="149" spans="6:19" ht="12.75" customHeight="1">
      <c r="F149" s="16"/>
      <c r="O149" s="15"/>
      <c r="P149" s="15"/>
      <c r="Q149" s="15"/>
      <c r="R149" s="15"/>
      <c r="S149" s="15"/>
    </row>
  </sheetData>
  <mergeCells count="30">
    <mergeCell ref="H75:L75"/>
    <mergeCell ref="B10:B12"/>
    <mergeCell ref="C10:C12"/>
    <mergeCell ref="F10:G10"/>
    <mergeCell ref="K10:K11"/>
    <mergeCell ref="I38:I48"/>
    <mergeCell ref="B40:B47"/>
    <mergeCell ref="C40:C47"/>
    <mergeCell ref="B48:B58"/>
    <mergeCell ref="C48:C58"/>
    <mergeCell ref="B13:B39"/>
    <mergeCell ref="C27:C34"/>
    <mergeCell ref="C35:C39"/>
    <mergeCell ref="C13:C26"/>
    <mergeCell ref="M38:M48"/>
    <mergeCell ref="D10:D11"/>
    <mergeCell ref="L10:L11"/>
    <mergeCell ref="I13:I29"/>
    <mergeCell ref="I10:I12"/>
    <mergeCell ref="I30:I37"/>
    <mergeCell ref="E10:E11"/>
    <mergeCell ref="D13:D14"/>
    <mergeCell ref="D15:D16"/>
    <mergeCell ref="D17:D18"/>
    <mergeCell ref="J10:J11"/>
    <mergeCell ref="M10:M12"/>
    <mergeCell ref="M13:M29"/>
    <mergeCell ref="D28:D29"/>
    <mergeCell ref="D33:D34"/>
    <mergeCell ref="D38:D39"/>
  </mergeCells>
  <phoneticPr fontId="23"/>
  <dataValidations count="4">
    <dataValidation type="list" allowBlank="1" showInputMessage="1" showErrorMessage="1" sqref="D64" xr:uid="{00000000-0002-0000-0200-000000000000}">
      <formula1>IF(D62="Standard",$J$13:$J$29,$J$30:$J$37)</formula1>
    </dataValidation>
    <dataValidation type="list" allowBlank="1" showInputMessage="1" showErrorMessage="1" sqref="D62" xr:uid="{00000000-0002-0000-0200-000001000000}">
      <formula1>"Standard, Large Cv"</formula1>
    </dataValidation>
    <dataValidation type="list" allowBlank="1" showInputMessage="1" showErrorMessage="1" sqref="D65" xr:uid="{00000000-0002-0000-0200-000002000000}">
      <formula1>"FTO,FTC"</formula1>
    </dataValidation>
    <dataValidation type="list" allowBlank="1" showInputMessage="1" showErrorMessage="1" sqref="D63" xr:uid="{00000000-0002-0000-0200-000003000000}">
      <formula1>"Linear, =%"</formula1>
    </dataValidation>
  </dataValidations>
  <pageMargins left="0.7" right="0.7" top="0.75" bottom="0.75" header="0.3" footer="0.3"/>
  <pageSetup orientation="portrait" horizontalDpi="1200" verticalDpi="1200" r:id="rId1"/>
  <customProperties>
    <customPr name="BudgetSheetCodeName" r:id="rId2"/>
  </customProperties>
  <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6"/>
  <dimension ref="B1:N55"/>
  <sheetViews>
    <sheetView workbookViewId="0">
      <selection activeCell="F30" sqref="F30"/>
    </sheetView>
  </sheetViews>
  <sheetFormatPr defaultColWidth="8.84375" defaultRowHeight="12.75" customHeight="1"/>
  <cols>
    <col min="1" max="1" width="2.765625" style="15" customWidth="1"/>
    <col min="2" max="15" width="8.84375" style="15"/>
    <col min="16" max="16" width="9.3046875" style="15" bestFit="1" customWidth="1"/>
    <col min="17" max="16384" width="8.84375" style="15"/>
  </cols>
  <sheetData>
    <row r="1" spans="2:11" ht="16.5">
      <c r="B1" s="30" t="s">
        <v>239</v>
      </c>
      <c r="C1" s="30"/>
      <c r="D1" s="30"/>
      <c r="E1" s="30"/>
    </row>
    <row r="2" spans="2:11" ht="12.75" customHeight="1">
      <c r="E2" s="112"/>
    </row>
    <row r="3" spans="2:11" ht="12.75" customHeight="1">
      <c r="B3" s="33" t="s">
        <v>0</v>
      </c>
      <c r="C3" s="33"/>
      <c r="E3" s="112"/>
    </row>
    <row r="4" spans="2:11" ht="12.75" customHeight="1">
      <c r="B4" s="33"/>
      <c r="C4" s="33" t="s">
        <v>174</v>
      </c>
      <c r="E4" s="153" t="s">
        <v>172</v>
      </c>
    </row>
    <row r="5" spans="2:11" ht="12.75" customHeight="1">
      <c r="B5" s="33"/>
      <c r="C5" s="33" t="s">
        <v>173</v>
      </c>
      <c r="E5" s="15" t="s">
        <v>20</v>
      </c>
    </row>
    <row r="6" spans="2:11" ht="12.75" customHeight="1">
      <c r="B6" s="33"/>
      <c r="C6" s="33" t="s">
        <v>82</v>
      </c>
      <c r="E6" s="15" t="s">
        <v>15</v>
      </c>
    </row>
    <row r="7" spans="2:11" ht="12.75" customHeight="1">
      <c r="I7" s="33"/>
    </row>
    <row r="8" spans="2:11" ht="12.75" customHeight="1">
      <c r="B8" s="33" t="s">
        <v>159</v>
      </c>
      <c r="F8" s="33" t="s">
        <v>158</v>
      </c>
    </row>
    <row r="9" spans="2:11" ht="12.75" customHeight="1" thickBot="1">
      <c r="K9" s="144" t="s">
        <v>175</v>
      </c>
    </row>
    <row r="10" spans="2:11" ht="12.75" customHeight="1">
      <c r="B10" s="336" t="s">
        <v>12</v>
      </c>
      <c r="C10" s="402" t="s">
        <v>52</v>
      </c>
      <c r="D10" s="389"/>
      <c r="F10" s="423" t="s">
        <v>52</v>
      </c>
      <c r="G10" s="426" t="s">
        <v>13</v>
      </c>
      <c r="H10" s="332" t="s">
        <v>156</v>
      </c>
      <c r="I10" s="389" t="s">
        <v>155</v>
      </c>
      <c r="K10" s="425" t="s">
        <v>156</v>
      </c>
    </row>
    <row r="11" spans="2:11" ht="12.75" customHeight="1">
      <c r="B11" s="337"/>
      <c r="C11" s="197" t="s">
        <v>154</v>
      </c>
      <c r="D11" s="136" t="s">
        <v>153</v>
      </c>
      <c r="F11" s="424"/>
      <c r="G11" s="427"/>
      <c r="H11" s="333"/>
      <c r="I11" s="390"/>
      <c r="K11" s="425"/>
    </row>
    <row r="12" spans="2:11" ht="12.75" customHeight="1" thickBot="1">
      <c r="B12" s="212" t="s">
        <v>177</v>
      </c>
      <c r="C12" s="198" t="s">
        <v>17</v>
      </c>
      <c r="D12" s="135" t="s">
        <v>17</v>
      </c>
      <c r="F12" s="232" t="s">
        <v>17</v>
      </c>
      <c r="G12" s="235" t="s">
        <v>17</v>
      </c>
      <c r="H12" s="200" t="s">
        <v>18</v>
      </c>
      <c r="I12" s="233" t="s">
        <v>18</v>
      </c>
      <c r="K12" s="142" t="s">
        <v>18</v>
      </c>
    </row>
    <row r="13" spans="2:11" ht="12.75" customHeight="1">
      <c r="B13" s="201" t="s">
        <v>190</v>
      </c>
      <c r="C13" s="199">
        <v>1</v>
      </c>
      <c r="D13" s="62">
        <v>3</v>
      </c>
      <c r="F13" s="227">
        <v>1</v>
      </c>
      <c r="G13" s="236">
        <v>6</v>
      </c>
      <c r="H13" s="121">
        <f>I13/20</f>
        <v>1.5000000000000001E-4</v>
      </c>
      <c r="I13" s="96">
        <v>3.0000000000000001E-3</v>
      </c>
      <c r="K13" s="144">
        <v>4.4000000000000002E-4</v>
      </c>
    </row>
    <row r="14" spans="2:11" ht="12.75" customHeight="1">
      <c r="B14" s="211" t="s">
        <v>191</v>
      </c>
      <c r="C14" s="149">
        <v>1</v>
      </c>
      <c r="D14" s="86">
        <v>3</v>
      </c>
      <c r="F14" s="134">
        <v>1.6</v>
      </c>
      <c r="G14" s="231">
        <v>6</v>
      </c>
      <c r="H14" s="208">
        <f>I14/20</f>
        <v>7.5000000000000002E-4</v>
      </c>
      <c r="I14" s="86">
        <v>1.4999999999999999E-2</v>
      </c>
      <c r="K14" s="144">
        <v>1.6999999999999999E-3</v>
      </c>
    </row>
    <row r="15" spans="2:11" ht="12.75" customHeight="1" thickBot="1">
      <c r="B15" s="202" t="s">
        <v>178</v>
      </c>
      <c r="C15" s="200">
        <v>1</v>
      </c>
      <c r="D15" s="94">
        <v>3</v>
      </c>
      <c r="F15" s="132">
        <v>3</v>
      </c>
      <c r="G15" s="235">
        <v>12</v>
      </c>
      <c r="H15" s="209">
        <f>I15/20</f>
        <v>3.0000000000000001E-3</v>
      </c>
      <c r="I15" s="94">
        <v>0.06</v>
      </c>
      <c r="K15" s="144">
        <v>6.7999999999999996E-3</v>
      </c>
    </row>
    <row r="18" spans="2:14" ht="12.75" customHeight="1">
      <c r="B18" s="33" t="s">
        <v>94</v>
      </c>
    </row>
    <row r="19" spans="2:14" ht="12.75" customHeight="1">
      <c r="B19" s="34" t="s">
        <v>96</v>
      </c>
      <c r="D19" s="59">
        <v>3</v>
      </c>
      <c r="F19" s="28"/>
    </row>
    <row r="20" spans="2:14" ht="12.75" customHeight="1">
      <c r="B20" s="34" t="s">
        <v>176</v>
      </c>
      <c r="D20" s="59" t="s">
        <v>161</v>
      </c>
    </row>
    <row r="21" spans="2:14" ht="12.75" customHeight="1">
      <c r="B21" s="125" t="s">
        <v>146</v>
      </c>
      <c r="C21" s="124"/>
      <c r="D21" s="65">
        <f>INDEX(I13:I15,MATCH(D19,F13:F15,0))</f>
        <v>0.06</v>
      </c>
      <c r="H21" s="65">
        <v>2</v>
      </c>
      <c r="I21" s="65">
        <v>3</v>
      </c>
      <c r="J21" s="65">
        <v>4</v>
      </c>
      <c r="K21" s="65">
        <v>5</v>
      </c>
      <c r="L21" s="65">
        <v>6</v>
      </c>
      <c r="M21" s="65">
        <v>7</v>
      </c>
      <c r="N21" s="65">
        <v>8</v>
      </c>
    </row>
    <row r="22" spans="2:14" ht="12.75" customHeight="1">
      <c r="F22" s="34"/>
      <c r="G22" s="35" t="s">
        <v>72</v>
      </c>
      <c r="H22" s="28" t="s">
        <v>30</v>
      </c>
      <c r="I22" s="28" t="s">
        <v>31</v>
      </c>
      <c r="J22" s="28" t="s">
        <v>44</v>
      </c>
      <c r="K22" s="28" t="s">
        <v>45</v>
      </c>
      <c r="L22" s="28" t="s">
        <v>46</v>
      </c>
      <c r="M22" s="28" t="s">
        <v>47</v>
      </c>
      <c r="N22" s="28" t="s">
        <v>48</v>
      </c>
    </row>
    <row r="23" spans="2:14" ht="12.75" customHeight="1">
      <c r="B23" s="33" t="s">
        <v>21</v>
      </c>
      <c r="F23" s="15" t="s">
        <v>32</v>
      </c>
      <c r="G23" s="28">
        <f>IF($D$20="FTO",1,3)</f>
        <v>1</v>
      </c>
      <c r="H23" s="16">
        <f t="shared" ref="H23:N23" si="0">VLOOKUP($G$23,FLData,H21)</f>
        <v>0.9</v>
      </c>
      <c r="I23" s="16">
        <f t="shared" si="0"/>
        <v>0.96699999999999997</v>
      </c>
      <c r="J23" s="16">
        <f t="shared" si="0"/>
        <v>0</v>
      </c>
      <c r="K23" s="16">
        <f t="shared" si="0"/>
        <v>-8.1600000000000006E-2</v>
      </c>
      <c r="L23" s="16">
        <f t="shared" si="0"/>
        <v>0.20799999999999999</v>
      </c>
      <c r="M23" s="16">
        <f t="shared" si="0"/>
        <v>-0.21740000000000001</v>
      </c>
      <c r="N23" s="16">
        <f t="shared" si="0"/>
        <v>0.98629999999999995</v>
      </c>
    </row>
    <row r="24" spans="2:14" ht="12.75" customHeight="1">
      <c r="B24" s="33" t="s">
        <v>33</v>
      </c>
      <c r="F24" s="15" t="s">
        <v>34</v>
      </c>
      <c r="G24" s="28">
        <f>IF($D$20="FTO",1,3)</f>
        <v>1</v>
      </c>
      <c r="H24" s="16">
        <f t="shared" ref="H24:N24" si="1">VLOOKUP($G$24,KcData,H21)</f>
        <v>0.65</v>
      </c>
      <c r="I24" s="16">
        <f t="shared" si="1"/>
        <v>0.75</v>
      </c>
      <c r="J24" s="16">
        <f t="shared" si="1"/>
        <v>0</v>
      </c>
      <c r="K24" s="16">
        <f t="shared" si="1"/>
        <v>-0.29039999999999999</v>
      </c>
      <c r="L24" s="16">
        <f t="shared" si="1"/>
        <v>0.5605</v>
      </c>
      <c r="M24" s="16">
        <f t="shared" si="1"/>
        <v>-0.43509999999999999</v>
      </c>
      <c r="N24" s="16">
        <f t="shared" si="1"/>
        <v>0.78779999999999994</v>
      </c>
    </row>
    <row r="25" spans="2:14" ht="12.75" customHeight="1">
      <c r="B25" s="33" t="s">
        <v>26</v>
      </c>
      <c r="F25" s="15" t="s">
        <v>87</v>
      </c>
      <c r="G25" s="16" t="str">
        <f>IF($D$20="FTO","Eqn",3)</f>
        <v>Eqn</v>
      </c>
      <c r="H25" s="16" t="str">
        <f t="shared" ref="H25:N25" si="2">IF($D$20="FTO","",VLOOKUP($G$25,FdData,H21))</f>
        <v/>
      </c>
      <c r="I25" s="16" t="str">
        <f t="shared" si="2"/>
        <v/>
      </c>
      <c r="J25" s="16" t="str">
        <f t="shared" si="2"/>
        <v/>
      </c>
      <c r="K25" s="16" t="str">
        <f t="shared" si="2"/>
        <v/>
      </c>
      <c r="L25" s="16" t="str">
        <f t="shared" si="2"/>
        <v/>
      </c>
      <c r="M25" s="16" t="str">
        <f t="shared" si="2"/>
        <v/>
      </c>
      <c r="N25" s="16" t="str">
        <f t="shared" si="2"/>
        <v/>
      </c>
    </row>
    <row r="26" spans="2:14" ht="12.75" customHeight="1">
      <c r="H26" s="394" t="str">
        <f>IF($D$20="FTC","","Fd = 1.13*(17*CvReq'd*FL)^0.5/(2*Dp - (17*CvReq'd*FL)/Dp)")</f>
        <v>Fd = 1.13*(17*CvReq'd*FL)^0.5/(2*Dp - (17*CvReq'd*FL)/Dp)</v>
      </c>
      <c r="I26" s="395"/>
      <c r="J26" s="395"/>
      <c r="K26" s="395"/>
      <c r="L26" s="395"/>
    </row>
    <row r="27" spans="2:14" ht="12.75" customHeight="1">
      <c r="B27" s="140" t="s">
        <v>24</v>
      </c>
      <c r="C27" s="141"/>
      <c r="D27" s="141"/>
      <c r="E27" s="141"/>
      <c r="F27" s="141" t="s">
        <v>68</v>
      </c>
      <c r="G27" s="142">
        <f>IF($D$20="FTO",0.68,0.54)</f>
        <v>0.68</v>
      </c>
      <c r="H27" s="143" t="s">
        <v>37</v>
      </c>
      <c r="I27" s="144"/>
      <c r="J27" s="422" t="s">
        <v>162</v>
      </c>
      <c r="K27" s="422"/>
      <c r="L27" s="16"/>
      <c r="M27" s="16"/>
      <c r="N27" s="16"/>
    </row>
    <row r="28" spans="2:14" ht="12.75" customHeight="1">
      <c r="B28" s="140"/>
      <c r="C28" s="141"/>
      <c r="D28" s="141"/>
      <c r="E28" s="141"/>
      <c r="F28" s="141" t="s">
        <v>25</v>
      </c>
      <c r="G28" s="144" t="s">
        <v>29</v>
      </c>
      <c r="H28" s="143" t="s">
        <v>36</v>
      </c>
      <c r="I28" s="144"/>
      <c r="J28" s="422"/>
      <c r="K28" s="422"/>
      <c r="L28" s="16"/>
      <c r="M28" s="16"/>
      <c r="N28" s="16"/>
    </row>
    <row r="29" spans="2:14" ht="12.75" customHeight="1">
      <c r="B29" s="33" t="s">
        <v>22</v>
      </c>
      <c r="F29" s="15" t="s">
        <v>23</v>
      </c>
      <c r="G29" s="16" t="s">
        <v>29</v>
      </c>
      <c r="H29" s="36" t="s">
        <v>38</v>
      </c>
    </row>
    <row r="30" spans="2:14" ht="12.75" customHeight="1">
      <c r="B30" s="33" t="s">
        <v>28</v>
      </c>
      <c r="F30" s="15" t="s">
        <v>27</v>
      </c>
      <c r="G30" s="16" t="s">
        <v>29</v>
      </c>
      <c r="H30" s="16"/>
      <c r="I30" s="16"/>
    </row>
    <row r="34" spans="2:7" ht="12.75" customHeight="1">
      <c r="B34" s="28" t="s">
        <v>60</v>
      </c>
    </row>
    <row r="35" spans="2:7" ht="12.75" customHeight="1">
      <c r="B35" s="28" t="s">
        <v>35</v>
      </c>
      <c r="C35" s="28" t="s">
        <v>43</v>
      </c>
      <c r="D35" s="28" t="s">
        <v>32</v>
      </c>
      <c r="E35" s="28" t="s">
        <v>25</v>
      </c>
      <c r="F35" s="28" t="s">
        <v>34</v>
      </c>
      <c r="G35" s="16" t="s">
        <v>87</v>
      </c>
    </row>
    <row r="36" spans="2:7" ht="12.75" customHeight="1">
      <c r="B36" s="29">
        <v>5.0000000000000001E-3</v>
      </c>
      <c r="C36" s="32">
        <f t="shared" ref="C36:C55" si="3">B36</f>
        <v>5.0000000000000001E-3</v>
      </c>
      <c r="D36" s="17">
        <f t="shared" ref="D36:D55" si="4">MIN(MAX($J$23*B36^4+$K$23*B36^3+$L$23*B36^2+$M$23*B36+$N$23,$H$23),$I$23)</f>
        <v>0.96699999999999997</v>
      </c>
      <c r="E36" s="17">
        <f>0.84*D36^2</f>
        <v>0.78547475999999994</v>
      </c>
      <c r="F36" s="17">
        <f t="shared" ref="F36:F55" si="5">MIN(MAX($J$24*B36^4+$K$24*B36^3+$L$24*B36^2+$M$24*B36+$N$24,$H$24),$I$24)</f>
        <v>0.75</v>
      </c>
      <c r="G36" s="17">
        <f t="shared" ref="G36:G55" si="6">IF($D$20="FTO",1.13*(17*B36*$D$21*D36)^0.5/(2*$D$19-(17*B36*$D$21*D36)/$D$19),
MIN(MAX($J$25*B36^4+$K$25*B36^3+$L$25*B36^2+$M$25*B36+$N$25,$H$25),$I$25))</f>
        <v>1.3229533304565283E-2</v>
      </c>
    </row>
    <row r="37" spans="2:7" ht="12.75" customHeight="1">
      <c r="B37" s="29">
        <v>0.01</v>
      </c>
      <c r="C37" s="32">
        <f t="shared" si="3"/>
        <v>0.01</v>
      </c>
      <c r="D37" s="17">
        <f t="shared" si="4"/>
        <v>0.96699999999999997</v>
      </c>
      <c r="E37" s="17">
        <f t="shared" ref="E37:E55" si="7">0.84*D37^2</f>
        <v>0.78547475999999994</v>
      </c>
      <c r="F37" s="17">
        <f t="shared" si="5"/>
        <v>0.75</v>
      </c>
      <c r="G37" s="17">
        <f t="shared" si="6"/>
        <v>1.8714514293415557E-2</v>
      </c>
    </row>
    <row r="38" spans="2:7" ht="12.75" customHeight="1">
      <c r="B38" s="29">
        <v>0.02</v>
      </c>
      <c r="C38" s="32">
        <f t="shared" si="3"/>
        <v>0.02</v>
      </c>
      <c r="D38" s="17">
        <f t="shared" si="4"/>
        <v>0.96699999999999997</v>
      </c>
      <c r="E38" s="17">
        <f t="shared" si="7"/>
        <v>0.78547475999999994</v>
      </c>
      <c r="F38" s="17">
        <f t="shared" si="5"/>
        <v>0.75</v>
      </c>
      <c r="G38" s="17">
        <f t="shared" si="6"/>
        <v>2.6480838499470291E-2</v>
      </c>
    </row>
    <row r="39" spans="2:7" ht="12.75" customHeight="1">
      <c r="B39" s="29">
        <v>0.04</v>
      </c>
      <c r="C39" s="32">
        <f t="shared" si="3"/>
        <v>0.04</v>
      </c>
      <c r="D39" s="17">
        <f t="shared" si="4"/>
        <v>0.96699999999999997</v>
      </c>
      <c r="E39" s="17">
        <f t="shared" si="7"/>
        <v>0.78547475999999994</v>
      </c>
      <c r="F39" s="17">
        <f t="shared" si="5"/>
        <v>0.75</v>
      </c>
      <c r="G39" s="17">
        <f t="shared" si="6"/>
        <v>3.749069332781528E-2</v>
      </c>
    </row>
    <row r="40" spans="2:7" ht="12.75" customHeight="1">
      <c r="B40" s="29">
        <v>0.08</v>
      </c>
      <c r="C40" s="32">
        <f t="shared" si="3"/>
        <v>0.08</v>
      </c>
      <c r="D40" s="17">
        <f t="shared" si="4"/>
        <v>0.96699999999999997</v>
      </c>
      <c r="E40" s="17">
        <f t="shared" si="7"/>
        <v>0.78547475999999994</v>
      </c>
      <c r="F40" s="17">
        <f t="shared" si="5"/>
        <v>0.75</v>
      </c>
      <c r="G40" s="17">
        <f t="shared" si="6"/>
        <v>5.3136571089632871E-2</v>
      </c>
    </row>
    <row r="41" spans="2:7" ht="12.75" customHeight="1">
      <c r="B41" s="29">
        <v>0.16</v>
      </c>
      <c r="C41" s="32">
        <f t="shared" si="3"/>
        <v>0.16</v>
      </c>
      <c r="D41" s="17">
        <f t="shared" si="4"/>
        <v>0.95650656639999998</v>
      </c>
      <c r="E41" s="17">
        <f t="shared" si="7"/>
        <v>0.76852004171570665</v>
      </c>
      <c r="F41" s="17">
        <f t="shared" si="5"/>
        <v>0.73134332159999993</v>
      </c>
      <c r="G41" s="17">
        <f t="shared" si="6"/>
        <v>7.506094333426136E-2</v>
      </c>
    </row>
    <row r="42" spans="2:7" ht="12.75" customHeight="1">
      <c r="B42" s="29">
        <v>0.35</v>
      </c>
      <c r="C42" s="32">
        <f t="shared" si="3"/>
        <v>0.35</v>
      </c>
      <c r="D42" s="17">
        <f t="shared" si="4"/>
        <v>0.9321914</v>
      </c>
      <c r="E42" s="17">
        <f t="shared" si="7"/>
        <v>0.72994387723652643</v>
      </c>
      <c r="F42" s="17">
        <f t="shared" si="5"/>
        <v>0.69172535000000002</v>
      </c>
      <c r="G42" s="17">
        <f t="shared" si="6"/>
        <v>0.1106925617097155</v>
      </c>
    </row>
    <row r="43" spans="2:7" ht="12.75" customHeight="1">
      <c r="B43" s="29">
        <v>0.4</v>
      </c>
      <c r="C43" s="32">
        <f t="shared" si="3"/>
        <v>0.4</v>
      </c>
      <c r="D43" s="17">
        <f t="shared" si="4"/>
        <v>0.92739759999999993</v>
      </c>
      <c r="E43" s="17">
        <f t="shared" si="7"/>
        <v>0.7224556991280382</v>
      </c>
      <c r="F43" s="17">
        <f t="shared" si="5"/>
        <v>0.68485439999999997</v>
      </c>
      <c r="G43" s="17">
        <f t="shared" si="6"/>
        <v>0.1183360007859852</v>
      </c>
    </row>
    <row r="44" spans="2:7" ht="12.75" customHeight="1">
      <c r="B44" s="29">
        <v>0.45</v>
      </c>
      <c r="C44" s="32">
        <f t="shared" si="3"/>
        <v>0.45</v>
      </c>
      <c r="D44" s="17">
        <f t="shared" si="4"/>
        <v>0.92315419999999992</v>
      </c>
      <c r="E44" s="17">
        <f t="shared" si="7"/>
        <v>0.7158594886612174</v>
      </c>
      <c r="F44" s="17">
        <f t="shared" si="5"/>
        <v>0.67904354999999994</v>
      </c>
      <c r="G44" s="17">
        <f t="shared" si="6"/>
        <v>0.12554990706810404</v>
      </c>
    </row>
    <row r="45" spans="2:7" ht="12.75" customHeight="1">
      <c r="B45" s="29">
        <v>0.5</v>
      </c>
      <c r="C45" s="32">
        <f t="shared" si="3"/>
        <v>0.5</v>
      </c>
      <c r="D45" s="17">
        <f t="shared" si="4"/>
        <v>0.9194</v>
      </c>
      <c r="E45" s="17">
        <f t="shared" si="7"/>
        <v>0.71004894239999994</v>
      </c>
      <c r="F45" s="17">
        <f t="shared" si="5"/>
        <v>0.67407499999999998</v>
      </c>
      <c r="G45" s="17">
        <f t="shared" si="6"/>
        <v>0.1324121143133381</v>
      </c>
    </row>
    <row r="46" spans="2:7" ht="12.75" customHeight="1">
      <c r="B46" s="29">
        <v>0.55000000000000004</v>
      </c>
      <c r="C46" s="32">
        <f t="shared" si="3"/>
        <v>0.55000000000000004</v>
      </c>
      <c r="D46" s="17">
        <f t="shared" si="4"/>
        <v>0.91607379999999994</v>
      </c>
      <c r="E46" s="17">
        <f t="shared" si="7"/>
        <v>0.70492061391900951</v>
      </c>
      <c r="F46" s="17">
        <f t="shared" si="5"/>
        <v>0.66973094999999994</v>
      </c>
      <c r="G46" s="17">
        <f t="shared" si="6"/>
        <v>0.13898048871027832</v>
      </c>
    </row>
    <row r="47" spans="2:7" ht="12.75" customHeight="1">
      <c r="B47" s="29">
        <v>0.6</v>
      </c>
      <c r="C47" s="32">
        <f t="shared" si="3"/>
        <v>0.6</v>
      </c>
      <c r="D47" s="17">
        <f t="shared" si="4"/>
        <v>0.91311439999999999</v>
      </c>
      <c r="E47" s="17">
        <f t="shared" si="7"/>
        <v>0.70037344228938236</v>
      </c>
      <c r="F47" s="17">
        <f t="shared" si="5"/>
        <v>0.66579359999999999</v>
      </c>
      <c r="G47" s="17">
        <f t="shared" si="6"/>
        <v>0.14529888803096339</v>
      </c>
    </row>
    <row r="48" spans="2:7" ht="12.75" customHeight="1">
      <c r="B48" s="29">
        <v>0.65</v>
      </c>
      <c r="C48" s="32">
        <f t="shared" si="3"/>
        <v>0.65</v>
      </c>
      <c r="D48" s="17">
        <f t="shared" si="4"/>
        <v>0.91046059999999995</v>
      </c>
      <c r="E48" s="17">
        <f t="shared" si="7"/>
        <v>0.69630834348798232</v>
      </c>
      <c r="F48" s="17">
        <f t="shared" si="5"/>
        <v>0.66204514999999997</v>
      </c>
      <c r="G48" s="17">
        <f t="shared" si="6"/>
        <v>0.1514009286149206</v>
      </c>
    </row>
    <row r="49" spans="2:7" ht="12.75" customHeight="1">
      <c r="B49" s="29">
        <v>0.7</v>
      </c>
      <c r="C49" s="32">
        <f t="shared" si="3"/>
        <v>0.7</v>
      </c>
      <c r="D49" s="17">
        <f t="shared" si="4"/>
        <v>0.90805119999999995</v>
      </c>
      <c r="E49" s="17">
        <f t="shared" si="7"/>
        <v>0.69262786473000948</v>
      </c>
      <c r="F49" s="17">
        <f t="shared" si="5"/>
        <v>0.65826779999999996</v>
      </c>
      <c r="G49" s="17">
        <f t="shared" si="6"/>
        <v>0.15731247264268783</v>
      </c>
    </row>
    <row r="50" spans="2:7" ht="12.75" customHeight="1">
      <c r="B50" s="29">
        <v>0.75</v>
      </c>
      <c r="C50" s="32">
        <f t="shared" si="3"/>
        <v>0.75</v>
      </c>
      <c r="D50" s="17">
        <f t="shared" si="4"/>
        <v>0.90582499999999988</v>
      </c>
      <c r="E50" s="17">
        <f t="shared" si="7"/>
        <v>0.68923590172499982</v>
      </c>
      <c r="F50" s="17">
        <f t="shared" si="5"/>
        <v>0.65424375000000001</v>
      </c>
      <c r="G50" s="17">
        <f t="shared" si="6"/>
        <v>0.16305332989910018</v>
      </c>
    </row>
    <row r="51" spans="2:7" ht="12.75" customHeight="1">
      <c r="B51" s="29">
        <v>0.8</v>
      </c>
      <c r="C51" s="32">
        <f t="shared" si="3"/>
        <v>0.8</v>
      </c>
      <c r="D51" s="17">
        <f t="shared" si="4"/>
        <v>0.90372079999999988</v>
      </c>
      <c r="E51" s="17">
        <f t="shared" si="7"/>
        <v>0.68603747885621735</v>
      </c>
      <c r="F51" s="17">
        <f t="shared" si="5"/>
        <v>0.65</v>
      </c>
      <c r="G51" s="17">
        <f t="shared" si="6"/>
        <v>0.16863845676724654</v>
      </c>
    </row>
    <row r="52" spans="2:7" ht="12.75" customHeight="1">
      <c r="B52" s="29">
        <v>0.85</v>
      </c>
      <c r="C52" s="32">
        <f t="shared" si="3"/>
        <v>0.85</v>
      </c>
      <c r="D52" s="17">
        <f t="shared" si="4"/>
        <v>0.90167739999999985</v>
      </c>
      <c r="E52" s="17">
        <f t="shared" si="7"/>
        <v>0.68293859228343812</v>
      </c>
      <c r="F52" s="17">
        <f t="shared" si="5"/>
        <v>0.65</v>
      </c>
      <c r="G52" s="17">
        <f t="shared" si="6"/>
        <v>0.174078821757358</v>
      </c>
    </row>
    <row r="53" spans="2:7" ht="12.75" customHeight="1">
      <c r="B53" s="29">
        <v>0.9</v>
      </c>
      <c r="C53" s="32">
        <f t="shared" si="3"/>
        <v>0.9</v>
      </c>
      <c r="D53" s="17">
        <f t="shared" si="4"/>
        <v>0.9</v>
      </c>
      <c r="E53" s="17">
        <f t="shared" si="7"/>
        <v>0.6804</v>
      </c>
      <c r="F53" s="17">
        <f t="shared" si="5"/>
        <v>0.65</v>
      </c>
      <c r="G53" s="17">
        <f t="shared" si="6"/>
        <v>0.17942208228198009</v>
      </c>
    </row>
    <row r="54" spans="2:7" ht="12.75" customHeight="1">
      <c r="B54" s="29">
        <v>0.95</v>
      </c>
      <c r="C54" s="32">
        <f t="shared" si="3"/>
        <v>0.95</v>
      </c>
      <c r="D54" s="17">
        <f t="shared" si="4"/>
        <v>0.9</v>
      </c>
      <c r="E54" s="17">
        <f t="shared" si="7"/>
        <v>0.6804</v>
      </c>
      <c r="F54" s="17">
        <f t="shared" si="5"/>
        <v>0.65</v>
      </c>
      <c r="G54" s="17">
        <f t="shared" si="6"/>
        <v>0.18483266386830871</v>
      </c>
    </row>
    <row r="55" spans="2:7" ht="12.75" customHeight="1">
      <c r="B55" s="29">
        <v>1</v>
      </c>
      <c r="C55" s="32">
        <f t="shared" si="3"/>
        <v>1</v>
      </c>
      <c r="D55" s="17">
        <f t="shared" si="4"/>
        <v>0.9</v>
      </c>
      <c r="E55" s="17">
        <f t="shared" si="7"/>
        <v>0.6804</v>
      </c>
      <c r="F55" s="17">
        <f t="shared" si="5"/>
        <v>0.65</v>
      </c>
      <c r="G55" s="17">
        <f t="shared" si="6"/>
        <v>0.19014386667669739</v>
      </c>
    </row>
  </sheetData>
  <mergeCells count="9">
    <mergeCell ref="H26:L26"/>
    <mergeCell ref="J27:K28"/>
    <mergeCell ref="I10:I11"/>
    <mergeCell ref="F10:F11"/>
    <mergeCell ref="B10:B11"/>
    <mergeCell ref="C10:D10"/>
    <mergeCell ref="H10:H11"/>
    <mergeCell ref="K10:K11"/>
    <mergeCell ref="G10:G11"/>
  </mergeCells>
  <phoneticPr fontId="23"/>
  <dataValidations count="2">
    <dataValidation type="list" allowBlank="1" showInputMessage="1" showErrorMessage="1" sqref="D20" xr:uid="{00000000-0002-0000-0400-000000000000}">
      <formula1>"FTO,FTC"</formula1>
    </dataValidation>
    <dataValidation type="list" allowBlank="1" showInputMessage="1" showErrorMessage="1" sqref="D19" xr:uid="{00000000-0002-0000-0400-000001000000}">
      <formula1>$F$13:$F$15</formula1>
    </dataValidation>
  </dataValidations>
  <pageMargins left="0.7" right="0.7" top="0.75" bottom="0.75" header="0.3" footer="0.3"/>
  <pageSetup orientation="portrait" r:id="rId1"/>
  <customProperties>
    <customPr name="BudgetSheetCodeName" r:id="rId2"/>
  </customProperties>
  <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7"/>
  <dimension ref="B1:N65"/>
  <sheetViews>
    <sheetView workbookViewId="0">
      <selection activeCell="D27" sqref="D27"/>
    </sheetView>
  </sheetViews>
  <sheetFormatPr defaultColWidth="8.84375" defaultRowHeight="12.75" customHeight="1"/>
  <cols>
    <col min="1" max="1" width="2.765625" style="15" customWidth="1"/>
    <col min="2" max="16384" width="8.84375" style="15"/>
  </cols>
  <sheetData>
    <row r="1" spans="2:9" ht="16.5">
      <c r="B1" s="30" t="s">
        <v>240</v>
      </c>
      <c r="C1" s="30"/>
      <c r="D1" s="30"/>
      <c r="E1" s="30"/>
    </row>
    <row r="2" spans="2:9" ht="12.75" customHeight="1">
      <c r="F2" s="112"/>
    </row>
    <row r="3" spans="2:9" ht="12.75" customHeight="1">
      <c r="B3" s="33" t="s">
        <v>0</v>
      </c>
      <c r="F3" s="112"/>
    </row>
    <row r="4" spans="2:9" ht="12.75" customHeight="1">
      <c r="C4" s="33" t="s">
        <v>174</v>
      </c>
      <c r="E4" s="15" t="s">
        <v>194</v>
      </c>
    </row>
    <row r="5" spans="2:9" ht="12.75" customHeight="1">
      <c r="C5" s="33" t="s">
        <v>173</v>
      </c>
      <c r="E5" s="15" t="s">
        <v>20</v>
      </c>
    </row>
    <row r="6" spans="2:9" ht="12.75" customHeight="1">
      <c r="C6" s="33" t="s">
        <v>82</v>
      </c>
      <c r="E6" s="15" t="s">
        <v>19</v>
      </c>
    </row>
    <row r="8" spans="2:9" ht="12.75" customHeight="1">
      <c r="B8" s="33" t="s">
        <v>159</v>
      </c>
      <c r="F8" s="33" t="s">
        <v>158</v>
      </c>
    </row>
    <row r="9" spans="2:9" ht="12.75" customHeight="1" thickBot="1"/>
    <row r="10" spans="2:9" ht="12.75" customHeight="1">
      <c r="B10" s="336" t="s">
        <v>12</v>
      </c>
      <c r="C10" s="402" t="s">
        <v>52</v>
      </c>
      <c r="D10" s="389"/>
      <c r="F10" s="423" t="s">
        <v>52</v>
      </c>
      <c r="G10" s="426" t="s">
        <v>13</v>
      </c>
      <c r="H10" s="428" t="s">
        <v>156</v>
      </c>
      <c r="I10" s="389" t="s">
        <v>155</v>
      </c>
    </row>
    <row r="11" spans="2:9" ht="12.75" customHeight="1">
      <c r="B11" s="337"/>
      <c r="C11" s="197" t="s">
        <v>154</v>
      </c>
      <c r="D11" s="136" t="s">
        <v>153</v>
      </c>
      <c r="F11" s="424"/>
      <c r="G11" s="427"/>
      <c r="H11" s="429"/>
      <c r="I11" s="390"/>
    </row>
    <row r="12" spans="2:9" ht="12.75" customHeight="1" thickBot="1">
      <c r="B12" s="212" t="s">
        <v>177</v>
      </c>
      <c r="C12" s="198" t="s">
        <v>17</v>
      </c>
      <c r="D12" s="135" t="s">
        <v>17</v>
      </c>
      <c r="F12" s="232" t="s">
        <v>17</v>
      </c>
      <c r="G12" s="235" t="s">
        <v>17</v>
      </c>
      <c r="H12" s="93" t="s">
        <v>18</v>
      </c>
      <c r="I12" s="233" t="s">
        <v>18</v>
      </c>
    </row>
    <row r="13" spans="2:9" ht="12.75" customHeight="1">
      <c r="B13" s="213" t="s">
        <v>190</v>
      </c>
      <c r="C13" s="199">
        <v>6</v>
      </c>
      <c r="D13" s="62">
        <v>15</v>
      </c>
      <c r="F13" s="227">
        <v>6</v>
      </c>
      <c r="G13" s="236">
        <v>12</v>
      </c>
      <c r="H13" s="115">
        <f>I13/20</f>
        <v>1.0999999999999999E-2</v>
      </c>
      <c r="I13" s="96">
        <v>0.22</v>
      </c>
    </row>
    <row r="14" spans="2:9" ht="12.75" customHeight="1">
      <c r="B14" s="203" t="s">
        <v>191</v>
      </c>
      <c r="C14" s="149">
        <v>6</v>
      </c>
      <c r="D14" s="86">
        <v>20</v>
      </c>
      <c r="F14" s="134">
        <v>7</v>
      </c>
      <c r="G14" s="231">
        <v>12</v>
      </c>
      <c r="H14" s="229">
        <f t="shared" ref="H14:H21" si="0">I14/20</f>
        <v>0.02</v>
      </c>
      <c r="I14" s="86">
        <v>0.4</v>
      </c>
    </row>
    <row r="15" spans="2:9" ht="12.75" customHeight="1">
      <c r="B15" s="214" t="s">
        <v>178</v>
      </c>
      <c r="C15" s="149">
        <v>15</v>
      </c>
      <c r="D15" s="86">
        <v>25</v>
      </c>
      <c r="F15" s="134">
        <v>8</v>
      </c>
      <c r="G15" s="231">
        <v>12</v>
      </c>
      <c r="H15" s="229">
        <f t="shared" si="0"/>
        <v>3.7999999999999999E-2</v>
      </c>
      <c r="I15" s="86">
        <v>0.76</v>
      </c>
    </row>
    <row r="16" spans="2:9" ht="12.75" customHeight="1">
      <c r="B16" s="214" t="s">
        <v>179</v>
      </c>
      <c r="C16" s="149">
        <v>20</v>
      </c>
      <c r="D16" s="86">
        <v>40</v>
      </c>
      <c r="F16" s="134">
        <v>10</v>
      </c>
      <c r="G16" s="231">
        <v>12</v>
      </c>
      <c r="H16" s="229">
        <f t="shared" si="0"/>
        <v>8.3999999999999991E-2</v>
      </c>
      <c r="I16" s="86">
        <v>1.68</v>
      </c>
    </row>
    <row r="17" spans="2:14" ht="12.75" customHeight="1" thickBot="1">
      <c r="B17" s="204" t="s">
        <v>180</v>
      </c>
      <c r="C17" s="200">
        <v>25</v>
      </c>
      <c r="D17" s="94">
        <v>50</v>
      </c>
      <c r="F17" s="134">
        <v>15</v>
      </c>
      <c r="G17" s="231">
        <v>12</v>
      </c>
      <c r="H17" s="229">
        <f t="shared" si="0"/>
        <v>0.16</v>
      </c>
      <c r="I17" s="86">
        <v>3.2</v>
      </c>
    </row>
    <row r="18" spans="2:14" ht="12.75" customHeight="1">
      <c r="F18" s="134">
        <v>20</v>
      </c>
      <c r="G18" s="231">
        <v>16</v>
      </c>
      <c r="H18" s="229">
        <f t="shared" si="0"/>
        <v>0.35</v>
      </c>
      <c r="I18" s="86">
        <v>7</v>
      </c>
    </row>
    <row r="19" spans="2:14" ht="12.75" customHeight="1">
      <c r="F19" s="134">
        <v>25</v>
      </c>
      <c r="G19" s="231">
        <v>16</v>
      </c>
      <c r="H19" s="229">
        <f t="shared" si="0"/>
        <v>0.55000000000000004</v>
      </c>
      <c r="I19" s="86">
        <v>11</v>
      </c>
    </row>
    <row r="20" spans="2:14" ht="12.75" customHeight="1">
      <c r="F20" s="134">
        <v>40</v>
      </c>
      <c r="G20" s="231">
        <v>20</v>
      </c>
      <c r="H20" s="229">
        <f t="shared" si="0"/>
        <v>1.2250000000000001</v>
      </c>
      <c r="I20" s="86">
        <v>24.5</v>
      </c>
    </row>
    <row r="21" spans="2:14" ht="12.75" customHeight="1" thickBot="1">
      <c r="F21" s="132">
        <v>50</v>
      </c>
      <c r="G21" s="235">
        <v>25</v>
      </c>
      <c r="H21" s="234">
        <f t="shared" si="0"/>
        <v>2.1</v>
      </c>
      <c r="I21" s="94">
        <v>42</v>
      </c>
    </row>
    <row r="24" spans="2:14" ht="12.75" customHeight="1">
      <c r="B24" s="33" t="s">
        <v>94</v>
      </c>
    </row>
    <row r="25" spans="2:14" ht="12.75" customHeight="1">
      <c r="B25" s="34"/>
      <c r="D25" s="139"/>
    </row>
    <row r="26" spans="2:14" ht="12.75" customHeight="1">
      <c r="B26" s="34" t="s">
        <v>148</v>
      </c>
      <c r="D26" s="90" t="s">
        <v>14</v>
      </c>
    </row>
    <row r="27" spans="2:14" ht="12.75" customHeight="1">
      <c r="B27" s="34" t="s">
        <v>96</v>
      </c>
      <c r="D27" s="59">
        <v>20</v>
      </c>
      <c r="E27" s="145"/>
      <c r="F27" s="28"/>
    </row>
    <row r="28" spans="2:14" ht="12.75" customHeight="1">
      <c r="B28" s="34" t="s">
        <v>147</v>
      </c>
      <c r="D28" s="59" t="s">
        <v>161</v>
      </c>
    </row>
    <row r="29" spans="2:14" ht="12.75" customHeight="1">
      <c r="B29" s="125" t="s">
        <v>146</v>
      </c>
      <c r="C29" s="124"/>
      <c r="D29" s="65">
        <f>INDEX(I13:I21,MATCH(D27,F13:F21,0))</f>
        <v>7</v>
      </c>
      <c r="H29" s="65">
        <v>2</v>
      </c>
      <c r="I29" s="65">
        <v>3</v>
      </c>
      <c r="J29" s="65">
        <v>4</v>
      </c>
      <c r="K29" s="65">
        <v>5</v>
      </c>
      <c r="L29" s="65">
        <v>6</v>
      </c>
      <c r="M29" s="65">
        <v>7</v>
      </c>
      <c r="N29" s="65">
        <v>8</v>
      </c>
    </row>
    <row r="30" spans="2:14" ht="12.75" customHeight="1">
      <c r="B30" s="28"/>
      <c r="C30" s="28"/>
      <c r="D30" s="28"/>
      <c r="E30" s="28"/>
      <c r="H30" s="91" t="s">
        <v>90</v>
      </c>
    </row>
    <row r="31" spans="2:14" ht="12.75" customHeight="1">
      <c r="B31" s="430" t="s">
        <v>95</v>
      </c>
      <c r="C31" s="430"/>
      <c r="D31" s="28"/>
      <c r="E31" s="28"/>
      <c r="F31" s="15" t="s">
        <v>43</v>
      </c>
      <c r="G31" s="16" t="s">
        <v>88</v>
      </c>
      <c r="H31" s="28">
        <f>IF($D$27&lt;=8,20,30)</f>
        <v>30</v>
      </c>
      <c r="I31" s="15" t="s">
        <v>171</v>
      </c>
    </row>
    <row r="32" spans="2:14" ht="12.75" customHeight="1">
      <c r="F32" s="34"/>
      <c r="H32" s="28" t="s">
        <v>30</v>
      </c>
      <c r="I32" s="28" t="s">
        <v>31</v>
      </c>
      <c r="J32" s="28" t="s">
        <v>44</v>
      </c>
      <c r="K32" s="28" t="s">
        <v>45</v>
      </c>
      <c r="L32" s="28" t="s">
        <v>46</v>
      </c>
      <c r="M32" s="28" t="s">
        <v>47</v>
      </c>
      <c r="N32" s="28" t="s">
        <v>48</v>
      </c>
    </row>
    <row r="33" spans="2:14" ht="12.75" customHeight="1">
      <c r="B33" s="33" t="s">
        <v>21</v>
      </c>
      <c r="F33" s="15" t="s">
        <v>32</v>
      </c>
      <c r="G33" s="28">
        <f>IF($D$28="FTO",1,3)</f>
        <v>1</v>
      </c>
      <c r="H33" s="16">
        <f t="shared" ref="H33:N33" si="1">VLOOKUP($G$33,FLData,H29)</f>
        <v>0.9</v>
      </c>
      <c r="I33" s="16">
        <f t="shared" si="1"/>
        <v>0.96699999999999997</v>
      </c>
      <c r="J33" s="16">
        <f t="shared" si="1"/>
        <v>0</v>
      </c>
      <c r="K33" s="16">
        <f t="shared" si="1"/>
        <v>-8.1600000000000006E-2</v>
      </c>
      <c r="L33" s="16">
        <f t="shared" si="1"/>
        <v>0.20799999999999999</v>
      </c>
      <c r="M33" s="16">
        <f t="shared" si="1"/>
        <v>-0.21740000000000001</v>
      </c>
      <c r="N33" s="16">
        <f t="shared" si="1"/>
        <v>0.98629999999999995</v>
      </c>
    </row>
    <row r="34" spans="2:14" ht="12.75" customHeight="1">
      <c r="B34" s="33" t="s">
        <v>33</v>
      </c>
      <c r="F34" s="15" t="s">
        <v>34</v>
      </c>
      <c r="G34" s="28">
        <f>IF($D$28="FTO",1,3)</f>
        <v>1</v>
      </c>
      <c r="H34" s="16">
        <f t="shared" ref="H34:N34" si="2">VLOOKUP($G$34,KcData,H29)</f>
        <v>0.65</v>
      </c>
      <c r="I34" s="16">
        <f t="shared" si="2"/>
        <v>0.75</v>
      </c>
      <c r="J34" s="16">
        <f t="shared" si="2"/>
        <v>0</v>
      </c>
      <c r="K34" s="16">
        <f t="shared" si="2"/>
        <v>-0.29039999999999999</v>
      </c>
      <c r="L34" s="16">
        <f t="shared" si="2"/>
        <v>0.5605</v>
      </c>
      <c r="M34" s="16">
        <f t="shared" si="2"/>
        <v>-0.43509999999999999</v>
      </c>
      <c r="N34" s="16">
        <f t="shared" si="2"/>
        <v>0.78779999999999994</v>
      </c>
    </row>
    <row r="35" spans="2:14" ht="12.75" customHeight="1">
      <c r="B35" s="33" t="s">
        <v>26</v>
      </c>
      <c r="F35" s="15" t="s">
        <v>87</v>
      </c>
      <c r="G35" s="16" t="str">
        <f>IF($D$28="FTO","Eqn",3)</f>
        <v>Eqn</v>
      </c>
      <c r="H35" s="16" t="str">
        <f t="shared" ref="H35:N35" si="3">IF($D$28="FTO","",VLOOKUP($G$35,FdData,H29))</f>
        <v/>
      </c>
      <c r="I35" s="16" t="str">
        <f t="shared" si="3"/>
        <v/>
      </c>
      <c r="J35" s="16" t="str">
        <f t="shared" si="3"/>
        <v/>
      </c>
      <c r="K35" s="16" t="str">
        <f t="shared" si="3"/>
        <v/>
      </c>
      <c r="L35" s="16" t="str">
        <f t="shared" si="3"/>
        <v/>
      </c>
      <c r="M35" s="16" t="str">
        <f t="shared" si="3"/>
        <v/>
      </c>
      <c r="N35" s="16" t="str">
        <f t="shared" si="3"/>
        <v/>
      </c>
    </row>
    <row r="36" spans="2:14" ht="12.75" customHeight="1">
      <c r="H36" s="394" t="str">
        <f>IF($D$28="FTC","","Fd = 1.13*(17*CvReq'd*FL)^0.5/(2*Dp - (17*CvReq'd*FL)/Dp)")</f>
        <v>Fd = 1.13*(17*CvReq'd*FL)^0.5/(2*Dp - (17*CvReq'd*FL)/Dp)</v>
      </c>
      <c r="I36" s="395"/>
      <c r="J36" s="395"/>
      <c r="K36" s="395"/>
      <c r="L36" s="395"/>
    </row>
    <row r="37" spans="2:14" ht="12.75" customHeight="1">
      <c r="B37" s="33" t="s">
        <v>24</v>
      </c>
      <c r="F37" s="15" t="s">
        <v>68</v>
      </c>
      <c r="G37" s="28">
        <f>IF($D$28="FTO",0.68,0.54)</f>
        <v>0.68</v>
      </c>
      <c r="H37" s="36" t="s">
        <v>37</v>
      </c>
      <c r="I37" s="16"/>
      <c r="J37" s="16"/>
      <c r="K37" s="16"/>
      <c r="L37" s="16"/>
      <c r="M37" s="16"/>
      <c r="N37" s="16"/>
    </row>
    <row r="38" spans="2:14" ht="12.75" customHeight="1">
      <c r="B38" s="33"/>
      <c r="F38" s="15" t="s">
        <v>25</v>
      </c>
      <c r="G38" s="16" t="s">
        <v>241</v>
      </c>
      <c r="H38" s="36" t="s">
        <v>36</v>
      </c>
      <c r="I38" s="16"/>
      <c r="J38" s="16"/>
      <c r="K38" s="16"/>
      <c r="L38" s="16"/>
      <c r="M38" s="16"/>
      <c r="N38" s="16"/>
    </row>
    <row r="39" spans="2:14" ht="12.75" customHeight="1">
      <c r="B39" s="33" t="s">
        <v>22</v>
      </c>
      <c r="F39" s="15" t="s">
        <v>23</v>
      </c>
      <c r="G39" s="16" t="s">
        <v>29</v>
      </c>
      <c r="H39" s="36" t="s">
        <v>38</v>
      </c>
    </row>
    <row r="40" spans="2:14" ht="12.75" customHeight="1">
      <c r="B40" s="33" t="s">
        <v>28</v>
      </c>
      <c r="F40" s="15" t="s">
        <v>27</v>
      </c>
      <c r="G40" s="16" t="s">
        <v>29</v>
      </c>
      <c r="H40" s="16"/>
      <c r="I40" s="16"/>
    </row>
    <row r="41" spans="2:14" ht="12.75" customHeight="1">
      <c r="B41" s="34"/>
      <c r="C41" s="34"/>
      <c r="D41" s="28"/>
      <c r="E41" s="153"/>
      <c r="F41" s="153"/>
      <c r="G41" s="153"/>
      <c r="H41" s="153"/>
      <c r="I41" s="153"/>
      <c r="J41" s="153"/>
    </row>
    <row r="42" spans="2:14" ht="12.75" customHeight="1">
      <c r="B42" s="34"/>
      <c r="C42" s="34"/>
      <c r="D42" s="28"/>
      <c r="E42" s="153"/>
      <c r="F42" s="153"/>
      <c r="G42" s="153"/>
      <c r="H42" s="153"/>
      <c r="I42" s="153"/>
      <c r="J42" s="153"/>
    </row>
    <row r="44" spans="2:14" ht="12.75" customHeight="1">
      <c r="B44" s="28" t="s">
        <v>60</v>
      </c>
    </row>
    <row r="45" spans="2:14" ht="12.75" customHeight="1">
      <c r="B45" s="28" t="s">
        <v>35</v>
      </c>
      <c r="C45" s="28" t="s">
        <v>43</v>
      </c>
      <c r="D45" s="28" t="s">
        <v>32</v>
      </c>
      <c r="E45" s="28" t="s">
        <v>25</v>
      </c>
      <c r="F45" s="28" t="s">
        <v>34</v>
      </c>
      <c r="G45" s="16" t="s">
        <v>87</v>
      </c>
    </row>
    <row r="46" spans="2:14" ht="12.75" customHeight="1">
      <c r="B46" s="29">
        <v>5.0000000000000001E-3</v>
      </c>
      <c r="C46" s="32">
        <f>IF($D$26="Linear",B46,
    LN(B46)/LN(IF($D$27&lt;=8,20,30))+1)</f>
        <v>-0.55778003214819716</v>
      </c>
      <c r="D46" s="17">
        <f t="shared" ref="D46:D65" si="4">MIN(MAX($J$33*B46^4+$K$33*B46^3+$L$33*B46^2+$M$33*B46+$N$33,$H$33),$I$33)</f>
        <v>0.96699999999999997</v>
      </c>
      <c r="E46" s="17">
        <f xml:space="preserve"> 0.84 * D46^2</f>
        <v>0.78547475999999994</v>
      </c>
      <c r="F46" s="17">
        <f t="shared" ref="F46:F65" si="5">MIN(MAX($J$34*B46^4+$K$34*B46^3+$L$34*B46^2+$M$34*B46+$N$34,$H$34),$I$34)</f>
        <v>0.75</v>
      </c>
      <c r="G46" s="17">
        <f t="shared" ref="G46:G65" si="6">IF($D$28="FTO",1.13*(17*B46*$D$29*D46)^0.5/(2*$D$27-(17*B46*$D$29*D46)/$D$27),
MIN(MAX($J$35*B46^4+$K$35*B46^3+$L$35*B46^2+$M$35*B46+$N$35,$H$35),$I$35))</f>
        <v>2.1443843634082312E-2</v>
      </c>
    </row>
    <row r="47" spans="2:14" ht="12.75" customHeight="1">
      <c r="B47" s="29">
        <v>0.01</v>
      </c>
      <c r="C47" s="32">
        <f t="shared" ref="C47:C65" si="7">IF($D$26="Linear",B47,
    LN(B47)/LN(IF($D$27&lt;=8,20,30))+1)</f>
        <v>-0.35398498505769083</v>
      </c>
      <c r="D47" s="17">
        <f t="shared" si="4"/>
        <v>0.96699999999999997</v>
      </c>
      <c r="E47" s="17">
        <f t="shared" ref="E47:E65" si="8" xml:space="preserve"> 0.84 * D47^2</f>
        <v>0.78547475999999994</v>
      </c>
      <c r="F47" s="17">
        <f t="shared" si="5"/>
        <v>0.75</v>
      </c>
      <c r="G47" s="17">
        <f t="shared" si="6"/>
        <v>3.034801668904626E-2</v>
      </c>
    </row>
    <row r="48" spans="2:14" ht="12.75" customHeight="1">
      <c r="B48" s="29">
        <v>0.02</v>
      </c>
      <c r="C48" s="32">
        <f t="shared" si="7"/>
        <v>-0.15018993796718472</v>
      </c>
      <c r="D48" s="17">
        <f t="shared" si="4"/>
        <v>0.96699999999999997</v>
      </c>
      <c r="E48" s="17">
        <f t="shared" si="8"/>
        <v>0.78547475999999994</v>
      </c>
      <c r="F48" s="17">
        <f t="shared" si="5"/>
        <v>0.75</v>
      </c>
      <c r="G48" s="17">
        <f t="shared" si="6"/>
        <v>4.2980489522203034E-2</v>
      </c>
    </row>
    <row r="49" spans="2:7" ht="12.75" customHeight="1">
      <c r="B49" s="29">
        <v>0.04</v>
      </c>
      <c r="C49" s="32">
        <f t="shared" si="7"/>
        <v>5.3605109123321393E-2</v>
      </c>
      <c r="D49" s="17">
        <f t="shared" si="4"/>
        <v>0.96699999999999997</v>
      </c>
      <c r="E49" s="17">
        <f t="shared" si="8"/>
        <v>0.78547475999999994</v>
      </c>
      <c r="F49" s="17">
        <f t="shared" si="5"/>
        <v>0.75</v>
      </c>
      <c r="G49" s="17">
        <f t="shared" si="6"/>
        <v>6.0959466881604397E-2</v>
      </c>
    </row>
    <row r="50" spans="2:7" ht="12.75" customHeight="1">
      <c r="B50" s="29">
        <v>0.08</v>
      </c>
      <c r="C50" s="32">
        <f t="shared" si="7"/>
        <v>0.2574001562138275</v>
      </c>
      <c r="D50" s="17">
        <f t="shared" si="4"/>
        <v>0.96699999999999997</v>
      </c>
      <c r="E50" s="17">
        <f t="shared" si="8"/>
        <v>0.78547475999999994</v>
      </c>
      <c r="F50" s="17">
        <f t="shared" si="5"/>
        <v>0.75</v>
      </c>
      <c r="G50" s="17">
        <f t="shared" si="6"/>
        <v>8.67114995900998E-2</v>
      </c>
    </row>
    <row r="51" spans="2:7" ht="12.75" customHeight="1">
      <c r="B51" s="29">
        <v>0.16</v>
      </c>
      <c r="C51" s="32">
        <f t="shared" si="7"/>
        <v>0.46119520330433372</v>
      </c>
      <c r="D51" s="17">
        <f t="shared" si="4"/>
        <v>0.95650656639999998</v>
      </c>
      <c r="E51" s="17">
        <f t="shared" si="8"/>
        <v>0.76852004171570665</v>
      </c>
      <c r="F51" s="17">
        <f t="shared" si="5"/>
        <v>0.73134332159999993</v>
      </c>
      <c r="G51" s="17">
        <f t="shared" si="6"/>
        <v>0.12336638114164616</v>
      </c>
    </row>
    <row r="52" spans="2:7" ht="12.75" customHeight="1">
      <c r="B52" s="29">
        <v>0.35</v>
      </c>
      <c r="C52" s="32">
        <f t="shared" si="7"/>
        <v>0.691337488921142</v>
      </c>
      <c r="D52" s="17">
        <f t="shared" si="4"/>
        <v>0.9321914</v>
      </c>
      <c r="E52" s="17">
        <f t="shared" si="8"/>
        <v>0.72994387723652643</v>
      </c>
      <c r="F52" s="17">
        <f t="shared" si="5"/>
        <v>0.69172535000000002</v>
      </c>
      <c r="G52" s="17">
        <f t="shared" si="6"/>
        <v>0.18500540322049175</v>
      </c>
    </row>
    <row r="53" spans="2:7" ht="12.75" customHeight="1">
      <c r="B53" s="29">
        <v>0.4</v>
      </c>
      <c r="C53" s="32">
        <f t="shared" si="7"/>
        <v>0.73059760165216692</v>
      </c>
      <c r="D53" s="17">
        <f t="shared" si="4"/>
        <v>0.92739759999999993</v>
      </c>
      <c r="E53" s="17">
        <f t="shared" si="8"/>
        <v>0.7224556991280382</v>
      </c>
      <c r="F53" s="17">
        <f t="shared" si="5"/>
        <v>0.68485439999999997</v>
      </c>
      <c r="G53" s="17">
        <f t="shared" si="6"/>
        <v>0.1986579304051678</v>
      </c>
    </row>
    <row r="54" spans="2:7" ht="12.75" customHeight="1">
      <c r="B54" s="29">
        <v>0.45</v>
      </c>
      <c r="C54" s="32">
        <f t="shared" si="7"/>
        <v>0.76522747532295721</v>
      </c>
      <c r="D54" s="17">
        <f t="shared" si="4"/>
        <v>0.92315419999999992</v>
      </c>
      <c r="E54" s="17">
        <f t="shared" si="8"/>
        <v>0.7158594886612174</v>
      </c>
      <c r="F54" s="17">
        <f t="shared" si="5"/>
        <v>0.67904354999999994</v>
      </c>
      <c r="G54" s="17">
        <f t="shared" si="6"/>
        <v>0.2117078391209303</v>
      </c>
    </row>
    <row r="55" spans="2:7" ht="12.75" customHeight="1">
      <c r="B55" s="29">
        <v>0.5</v>
      </c>
      <c r="C55" s="32">
        <f t="shared" si="7"/>
        <v>0.79620495290949389</v>
      </c>
      <c r="D55" s="17">
        <f t="shared" si="4"/>
        <v>0.9194</v>
      </c>
      <c r="E55" s="17">
        <f t="shared" si="8"/>
        <v>0.71004894239999994</v>
      </c>
      <c r="F55" s="17">
        <f t="shared" si="5"/>
        <v>0.67407499999999998</v>
      </c>
      <c r="G55" s="17">
        <f t="shared" si="6"/>
        <v>0.22428000450656674</v>
      </c>
    </row>
    <row r="56" spans="2:7" ht="12.75" customHeight="1">
      <c r="B56" s="29">
        <v>0.55000000000000004</v>
      </c>
      <c r="C56" s="32">
        <f t="shared" si="7"/>
        <v>0.8242274900072224</v>
      </c>
      <c r="D56" s="17">
        <f t="shared" si="4"/>
        <v>0.91607379999999994</v>
      </c>
      <c r="E56" s="17">
        <f t="shared" si="8"/>
        <v>0.70492061391900951</v>
      </c>
      <c r="F56" s="17">
        <f t="shared" si="5"/>
        <v>0.66973094999999994</v>
      </c>
      <c r="G56" s="17">
        <f t="shared" si="6"/>
        <v>0.23646755366351088</v>
      </c>
    </row>
    <row r="57" spans="2:7" ht="12.75" customHeight="1">
      <c r="B57" s="29">
        <v>0.6</v>
      </c>
      <c r="C57" s="32">
        <f t="shared" si="7"/>
        <v>0.84981006203281517</v>
      </c>
      <c r="D57" s="17">
        <f t="shared" si="4"/>
        <v>0.91311439999999999</v>
      </c>
      <c r="E57" s="17">
        <f t="shared" si="8"/>
        <v>0.70037344228938236</v>
      </c>
      <c r="F57" s="17">
        <f t="shared" si="5"/>
        <v>0.66579359999999999</v>
      </c>
      <c r="G57" s="17">
        <f t="shared" si="6"/>
        <v>0.24834124082792647</v>
      </c>
    </row>
    <row r="58" spans="2:7" ht="12.75" customHeight="1">
      <c r="B58" s="29">
        <v>0.65</v>
      </c>
      <c r="C58" s="32">
        <f t="shared" si="7"/>
        <v>0.87334374699479156</v>
      </c>
      <c r="D58" s="17">
        <f t="shared" si="4"/>
        <v>0.91046059999999995</v>
      </c>
      <c r="E58" s="17">
        <f t="shared" si="8"/>
        <v>0.69630834348798232</v>
      </c>
      <c r="F58" s="17">
        <f t="shared" si="5"/>
        <v>0.66204514999999997</v>
      </c>
      <c r="G58" s="17">
        <f t="shared" si="6"/>
        <v>0.25995532207705985</v>
      </c>
    </row>
    <row r="59" spans="2:7" ht="12.75" customHeight="1">
      <c r="B59" s="29">
        <v>0.7</v>
      </c>
      <c r="C59" s="32">
        <f t="shared" si="7"/>
        <v>0.89513253601164822</v>
      </c>
      <c r="D59" s="17">
        <f t="shared" si="4"/>
        <v>0.90805119999999995</v>
      </c>
      <c r="E59" s="17">
        <f t="shared" si="8"/>
        <v>0.69262786473000948</v>
      </c>
      <c r="F59" s="17">
        <f t="shared" si="5"/>
        <v>0.65826779999999996</v>
      </c>
      <c r="G59" s="17">
        <f t="shared" si="6"/>
        <v>0.27135138763549338</v>
      </c>
    </row>
    <row r="60" spans="2:7" ht="12.75" customHeight="1">
      <c r="B60" s="29">
        <v>0.75</v>
      </c>
      <c r="C60" s="32">
        <f t="shared" si="7"/>
        <v>0.91541741329014215</v>
      </c>
      <c r="D60" s="17">
        <f t="shared" si="4"/>
        <v>0.90582499999999988</v>
      </c>
      <c r="E60" s="17">
        <f t="shared" si="8"/>
        <v>0.68923590172499982</v>
      </c>
      <c r="F60" s="17">
        <f t="shared" si="5"/>
        <v>0.65424375000000001</v>
      </c>
      <c r="G60" s="17">
        <f t="shared" si="6"/>
        <v>0.28256094013732924</v>
      </c>
    </row>
    <row r="61" spans="2:7" ht="12.75" customHeight="1">
      <c r="B61" s="29">
        <v>0.8</v>
      </c>
      <c r="C61" s="32">
        <f t="shared" si="7"/>
        <v>0.93439264874267303</v>
      </c>
      <c r="D61" s="17">
        <f t="shared" si="4"/>
        <v>0.90372079999999988</v>
      </c>
      <c r="E61" s="17">
        <f t="shared" si="8"/>
        <v>0.68603747885621735</v>
      </c>
      <c r="F61" s="17">
        <f t="shared" si="5"/>
        <v>0.65</v>
      </c>
      <c r="G61" s="17">
        <f t="shared" si="6"/>
        <v>0.29360716912334783</v>
      </c>
    </row>
    <row r="62" spans="2:7" ht="12.75" customHeight="1">
      <c r="B62" s="29">
        <v>0.85</v>
      </c>
      <c r="C62" s="32">
        <f t="shared" si="7"/>
        <v>0.9522171425939554</v>
      </c>
      <c r="D62" s="17">
        <f t="shared" si="4"/>
        <v>0.90167739999999985</v>
      </c>
      <c r="E62" s="17">
        <f t="shared" si="8"/>
        <v>0.68293859228343812</v>
      </c>
      <c r="F62" s="17">
        <f t="shared" si="5"/>
        <v>0.65</v>
      </c>
      <c r="G62" s="17">
        <f t="shared" si="6"/>
        <v>0.3045061910267457</v>
      </c>
    </row>
    <row r="63" spans="2:7" ht="12.75" customHeight="1">
      <c r="B63" s="29">
        <v>0.9</v>
      </c>
      <c r="C63" s="32">
        <f t="shared" si="7"/>
        <v>0.96902252241346343</v>
      </c>
      <c r="D63" s="17">
        <f t="shared" si="4"/>
        <v>0.9</v>
      </c>
      <c r="E63" s="17">
        <f t="shared" si="8"/>
        <v>0.6804</v>
      </c>
      <c r="F63" s="17">
        <f t="shared" si="5"/>
        <v>0.65</v>
      </c>
      <c r="G63" s="17">
        <f t="shared" si="6"/>
        <v>0.31534970283493757</v>
      </c>
    </row>
    <row r="64" spans="2:7" ht="12.75" customHeight="1">
      <c r="B64" s="29">
        <v>0.95</v>
      </c>
      <c r="C64" s="32">
        <f t="shared" si="7"/>
        <v>0.98491904801994068</v>
      </c>
      <c r="D64" s="17">
        <f t="shared" si="4"/>
        <v>0.9</v>
      </c>
      <c r="E64" s="17">
        <f t="shared" si="8"/>
        <v>0.6804</v>
      </c>
      <c r="F64" s="17">
        <f t="shared" si="5"/>
        <v>0.65</v>
      </c>
      <c r="G64" s="17">
        <f t="shared" si="6"/>
        <v>0.32647574603811219</v>
      </c>
    </row>
    <row r="65" spans="2:7" ht="12.75" customHeight="1">
      <c r="B65" s="29">
        <v>1</v>
      </c>
      <c r="C65" s="32">
        <f t="shared" si="7"/>
        <v>1</v>
      </c>
      <c r="D65" s="17">
        <f t="shared" si="4"/>
        <v>0.9</v>
      </c>
      <c r="E65" s="17">
        <f t="shared" si="8"/>
        <v>0.6804</v>
      </c>
      <c r="F65" s="17">
        <f t="shared" si="5"/>
        <v>0.65</v>
      </c>
      <c r="G65" s="17">
        <f t="shared" si="6"/>
        <v>0.33754572592373244</v>
      </c>
    </row>
  </sheetData>
  <mergeCells count="8">
    <mergeCell ref="F10:F11"/>
    <mergeCell ref="H10:H11"/>
    <mergeCell ref="I10:I11"/>
    <mergeCell ref="H36:L36"/>
    <mergeCell ref="C10:D10"/>
    <mergeCell ref="G10:G11"/>
    <mergeCell ref="B31:C31"/>
    <mergeCell ref="B10:B11"/>
  </mergeCells>
  <phoneticPr fontId="23"/>
  <dataValidations count="3">
    <dataValidation type="list" allowBlank="1" showInputMessage="1" showErrorMessage="1" sqref="D28" xr:uid="{00000000-0002-0000-0500-000000000000}">
      <formula1>"FTO,FTC"</formula1>
    </dataValidation>
    <dataValidation type="list" allowBlank="1" showInputMessage="1" showErrorMessage="1" sqref="D26" xr:uid="{00000000-0002-0000-0500-000001000000}">
      <formula1>"Linear, =%"</formula1>
    </dataValidation>
    <dataValidation type="list" allowBlank="1" showInputMessage="1" showErrorMessage="1" sqref="D27" xr:uid="{00000000-0002-0000-0500-000002000000}">
      <formula1>$F$13:$F$21</formula1>
    </dataValidation>
  </dataValidations>
  <pageMargins left="0.7" right="0.7" top="0.75" bottom="0.75" header="0.3" footer="0.3"/>
  <pageSetup orientation="portrait" horizontalDpi="1200" verticalDpi="1200" r:id="rId1"/>
  <customProperties>
    <customPr name="BudgetSheetCodeName" r:id="rId2"/>
  </customProperties>
  <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3"/>
  <dimension ref="B1:N61"/>
  <sheetViews>
    <sheetView workbookViewId="0">
      <selection activeCell="H33" sqref="H33"/>
    </sheetView>
  </sheetViews>
  <sheetFormatPr defaultColWidth="8.84375" defaultRowHeight="12.75" customHeight="1"/>
  <cols>
    <col min="1" max="1" width="2.765625" style="15" customWidth="1"/>
    <col min="2" max="16384" width="8.84375" style="15"/>
  </cols>
  <sheetData>
    <row r="1" spans="2:6" ht="16.5">
      <c r="B1" s="30" t="s">
        <v>242</v>
      </c>
      <c r="C1" s="264"/>
      <c r="D1" s="264"/>
      <c r="E1" s="264"/>
    </row>
    <row r="2" spans="2:6" ht="12.75" customHeight="1">
      <c r="E2" s="112"/>
    </row>
    <row r="3" spans="2:6" ht="12.75" customHeight="1">
      <c r="B3" s="33" t="s">
        <v>0</v>
      </c>
      <c r="C3" s="33"/>
      <c r="E3" s="112"/>
    </row>
    <row r="4" spans="2:6" ht="12.75" customHeight="1">
      <c r="B4" s="33"/>
      <c r="C4" s="33" t="s">
        <v>174</v>
      </c>
      <c r="E4" s="15" t="s">
        <v>194</v>
      </c>
    </row>
    <row r="5" spans="2:6" ht="12.75" customHeight="1">
      <c r="B5" s="33"/>
      <c r="C5" s="33" t="s">
        <v>135</v>
      </c>
      <c r="E5" s="15" t="s">
        <v>134</v>
      </c>
    </row>
    <row r="6" spans="2:6" ht="12.75" customHeight="1">
      <c r="C6" s="33"/>
    </row>
    <row r="7" spans="2:6" ht="12.75" customHeight="1">
      <c r="B7" s="33" t="s">
        <v>197</v>
      </c>
    </row>
    <row r="8" spans="2:6" ht="12.75" customHeight="1" thickBot="1"/>
    <row r="9" spans="2:6" ht="12.75" customHeight="1">
      <c r="B9" s="336" t="s">
        <v>12</v>
      </c>
      <c r="C9" s="418" t="s">
        <v>156</v>
      </c>
      <c r="D9" s="402" t="s">
        <v>155</v>
      </c>
      <c r="E9" s="389"/>
      <c r="F9" s="431" t="s">
        <v>80</v>
      </c>
    </row>
    <row r="10" spans="2:6" ht="12.75" customHeight="1">
      <c r="B10" s="337"/>
      <c r="C10" s="419"/>
      <c r="D10" s="277" t="s">
        <v>136</v>
      </c>
      <c r="E10" s="287" t="s">
        <v>137</v>
      </c>
      <c r="F10" s="431"/>
    </row>
    <row r="11" spans="2:6" ht="12.75" customHeight="1" thickBot="1">
      <c r="B11" s="202" t="s">
        <v>177</v>
      </c>
      <c r="C11" s="4" t="s">
        <v>18</v>
      </c>
      <c r="D11" s="196" t="s">
        <v>18</v>
      </c>
      <c r="E11" s="138" t="s">
        <v>18</v>
      </c>
      <c r="F11" s="431"/>
    </row>
    <row r="12" spans="2:6" ht="12.75" customHeight="1">
      <c r="B12" s="265" t="s">
        <v>178</v>
      </c>
      <c r="C12" s="102">
        <v>0.13</v>
      </c>
      <c r="D12" s="210">
        <v>32</v>
      </c>
      <c r="E12" s="96">
        <v>32</v>
      </c>
      <c r="F12" s="124">
        <v>26</v>
      </c>
    </row>
    <row r="13" spans="2:6" ht="12.75" customHeight="1">
      <c r="B13" s="214" t="s">
        <v>179</v>
      </c>
      <c r="C13" s="85">
        <v>0.24</v>
      </c>
      <c r="D13" s="149">
        <v>78</v>
      </c>
      <c r="E13" s="86">
        <v>78</v>
      </c>
      <c r="F13" s="124">
        <v>27</v>
      </c>
    </row>
    <row r="14" spans="2:6" ht="12.75" customHeight="1">
      <c r="B14" s="266" t="s">
        <v>180</v>
      </c>
      <c r="C14" s="85">
        <v>0.42799999999999999</v>
      </c>
      <c r="D14" s="149">
        <v>90</v>
      </c>
      <c r="E14" s="86">
        <v>90</v>
      </c>
      <c r="F14" s="124">
        <v>28</v>
      </c>
    </row>
    <row r="15" spans="2:6" ht="12.75" customHeight="1">
      <c r="B15" s="134" t="s">
        <v>192</v>
      </c>
      <c r="C15" s="85">
        <v>0.54700000000000004</v>
      </c>
      <c r="D15" s="149">
        <v>160</v>
      </c>
      <c r="E15" s="86">
        <v>150</v>
      </c>
      <c r="F15" s="124">
        <v>29</v>
      </c>
    </row>
    <row r="16" spans="2:6" ht="12.75" customHeight="1">
      <c r="B16" s="134" t="s">
        <v>195</v>
      </c>
      <c r="C16" s="85">
        <v>0.69</v>
      </c>
      <c r="D16" s="149">
        <v>250</v>
      </c>
      <c r="E16" s="86">
        <v>240</v>
      </c>
      <c r="F16" s="124">
        <v>30</v>
      </c>
    </row>
    <row r="17" spans="2:14" ht="12.75" customHeight="1">
      <c r="B17" s="134" t="s">
        <v>182</v>
      </c>
      <c r="C17" s="85">
        <v>0.92500000000000004</v>
      </c>
      <c r="D17" s="149">
        <v>360</v>
      </c>
      <c r="E17" s="86">
        <v>345</v>
      </c>
      <c r="F17" s="124">
        <v>31</v>
      </c>
    </row>
    <row r="18" spans="2:14" ht="12.75" customHeight="1">
      <c r="B18" s="134" t="s">
        <v>193</v>
      </c>
      <c r="C18" s="85">
        <v>1.3440000000000001</v>
      </c>
      <c r="D18" s="149">
        <v>610</v>
      </c>
      <c r="E18" s="86">
        <v>580</v>
      </c>
      <c r="F18" s="124">
        <v>32</v>
      </c>
    </row>
    <row r="19" spans="2:14" ht="12.75" customHeight="1">
      <c r="B19" s="134" t="s">
        <v>183</v>
      </c>
      <c r="C19" s="85">
        <v>2.64</v>
      </c>
      <c r="D19" s="149">
        <v>1120</v>
      </c>
      <c r="E19" s="86">
        <v>1080</v>
      </c>
      <c r="F19" s="124">
        <v>33</v>
      </c>
    </row>
    <row r="20" spans="2:14" ht="12.75" customHeight="1">
      <c r="B20" s="134" t="s">
        <v>184</v>
      </c>
      <c r="C20" s="85">
        <v>4.0599999999999996</v>
      </c>
      <c r="D20" s="149">
        <v>1850</v>
      </c>
      <c r="E20" s="86">
        <v>1800</v>
      </c>
      <c r="F20" s="124">
        <v>34</v>
      </c>
    </row>
    <row r="21" spans="2:14" ht="12.75" customHeight="1">
      <c r="B21" s="134" t="s">
        <v>185</v>
      </c>
      <c r="C21" s="85">
        <v>6.93</v>
      </c>
      <c r="D21" s="149">
        <v>2950</v>
      </c>
      <c r="E21" s="86">
        <v>2800</v>
      </c>
      <c r="F21" s="124">
        <v>35</v>
      </c>
    </row>
    <row r="22" spans="2:14" ht="12.75" customHeight="1" thickBot="1">
      <c r="B22" s="132" t="s">
        <v>186</v>
      </c>
      <c r="C22" s="92">
        <v>7.29</v>
      </c>
      <c r="D22" s="200">
        <v>3700</v>
      </c>
      <c r="E22" s="94">
        <v>3550</v>
      </c>
      <c r="F22" s="124">
        <v>36</v>
      </c>
    </row>
    <row r="25" spans="2:14" ht="12.75" customHeight="1">
      <c r="B25" s="33" t="s">
        <v>67</v>
      </c>
    </row>
    <row r="26" spans="2:14" ht="12.75" customHeight="1">
      <c r="B26" s="33" t="s">
        <v>196</v>
      </c>
      <c r="D26" s="59" t="s">
        <v>186</v>
      </c>
      <c r="H26" s="65">
        <v>2</v>
      </c>
      <c r="I26" s="65">
        <v>3</v>
      </c>
      <c r="J26" s="65">
        <v>4</v>
      </c>
      <c r="K26" s="65">
        <v>5</v>
      </c>
      <c r="L26" s="65">
        <v>6</v>
      </c>
      <c r="M26" s="65">
        <v>7</v>
      </c>
      <c r="N26" s="65">
        <v>8</v>
      </c>
    </row>
    <row r="27" spans="2:14" ht="12.75" customHeight="1">
      <c r="H27" s="91"/>
      <c r="I27" s="28" t="s">
        <v>53</v>
      </c>
      <c r="J27" s="28" t="s">
        <v>54</v>
      </c>
      <c r="K27" s="28" t="s">
        <v>55</v>
      </c>
      <c r="L27" s="28" t="s">
        <v>56</v>
      </c>
      <c r="M27" s="28" t="s">
        <v>57</v>
      </c>
      <c r="N27" s="28" t="s">
        <v>58</v>
      </c>
    </row>
    <row r="28" spans="2:14" ht="12.75" customHeight="1">
      <c r="B28" s="33" t="s">
        <v>95</v>
      </c>
      <c r="F28" s="15" t="s">
        <v>43</v>
      </c>
      <c r="G28" s="28">
        <f>INDEX(F12:F22,MATCH($D$26,B12:B22,0))</f>
        <v>36</v>
      </c>
      <c r="I28" s="116">
        <f t="shared" ref="I28:N28" si="0">VLOOKUP($G$28,StkData,I26)</f>
        <v>10.385</v>
      </c>
      <c r="J28" s="116">
        <f t="shared" si="0"/>
        <v>-28.288</v>
      </c>
      <c r="K28" s="116">
        <f t="shared" si="0"/>
        <v>28.59</v>
      </c>
      <c r="L28" s="116">
        <f t="shared" si="0"/>
        <v>-13.615</v>
      </c>
      <c r="M28" s="116">
        <f t="shared" si="0"/>
        <v>3.8544</v>
      </c>
      <c r="N28" s="116">
        <f t="shared" si="0"/>
        <v>7.4399999999999994E-2</v>
      </c>
    </row>
    <row r="29" spans="2:14" ht="12.75" customHeight="1">
      <c r="F29" s="34"/>
      <c r="H29" s="28" t="s">
        <v>30</v>
      </c>
      <c r="I29" s="28" t="s">
        <v>31</v>
      </c>
      <c r="J29" s="28" t="s">
        <v>44</v>
      </c>
      <c r="K29" s="28" t="s">
        <v>45</v>
      </c>
      <c r="L29" s="28" t="s">
        <v>46</v>
      </c>
      <c r="M29" s="28" t="s">
        <v>47</v>
      </c>
      <c r="N29" s="28" t="s">
        <v>48</v>
      </c>
    </row>
    <row r="30" spans="2:14" ht="12.75" customHeight="1">
      <c r="B30" s="33" t="s">
        <v>21</v>
      </c>
      <c r="F30" s="15" t="s">
        <v>32</v>
      </c>
      <c r="G30" s="28">
        <v>4</v>
      </c>
      <c r="H30" s="16">
        <f t="shared" ref="H30:N30" si="1">VLOOKUP($G$30,FLData,H26)</f>
        <v>0.60399999999999998</v>
      </c>
      <c r="I30" s="16">
        <f t="shared" si="1"/>
        <v>0.92</v>
      </c>
      <c r="J30" s="16">
        <f t="shared" si="1"/>
        <v>0</v>
      </c>
      <c r="K30" s="16">
        <f t="shared" si="1"/>
        <v>0</v>
      </c>
      <c r="L30" s="16">
        <f t="shared" si="1"/>
        <v>0.22650000000000001</v>
      </c>
      <c r="M30" s="16">
        <f t="shared" si="1"/>
        <v>-0.59630000000000005</v>
      </c>
      <c r="N30" s="16">
        <f t="shared" si="1"/>
        <v>0.97519999999999996</v>
      </c>
    </row>
    <row r="31" spans="2:14" ht="12.75" customHeight="1">
      <c r="B31" s="33" t="s">
        <v>33</v>
      </c>
      <c r="F31" s="15" t="s">
        <v>34</v>
      </c>
      <c r="G31" s="28">
        <v>4</v>
      </c>
      <c r="H31" s="16">
        <f t="shared" ref="H31:N31" si="2">VLOOKUP($G$31,KcData,H26)</f>
        <v>0.3</v>
      </c>
      <c r="I31" s="16">
        <f t="shared" si="2"/>
        <v>0.65500000000000003</v>
      </c>
      <c r="J31" s="16">
        <f t="shared" si="2"/>
        <v>0</v>
      </c>
      <c r="K31" s="16">
        <f t="shared" si="2"/>
        <v>0</v>
      </c>
      <c r="L31" s="16">
        <f t="shared" si="2"/>
        <v>0.36930000000000002</v>
      </c>
      <c r="M31" s="16">
        <f t="shared" si="2"/>
        <v>-0.78139999999999998</v>
      </c>
      <c r="N31" s="16">
        <f t="shared" si="2"/>
        <v>0.71860000000000002</v>
      </c>
    </row>
    <row r="32" spans="2:14" ht="12.75" customHeight="1">
      <c r="B32" s="33" t="s">
        <v>26</v>
      </c>
      <c r="F32" s="15" t="s">
        <v>87</v>
      </c>
      <c r="G32" s="16">
        <v>4</v>
      </c>
      <c r="H32" s="16">
        <f t="shared" ref="H32:N32" si="3">VLOOKUP($G$32,FdData,H26)</f>
        <v>0</v>
      </c>
      <c r="I32" s="16">
        <f t="shared" si="3"/>
        <v>10</v>
      </c>
      <c r="J32" s="16">
        <f t="shared" si="3"/>
        <v>-0.62729999999999997</v>
      </c>
      <c r="K32" s="16">
        <f t="shared" si="3"/>
        <v>1.4865999999999999</v>
      </c>
      <c r="L32" s="16">
        <f t="shared" si="3"/>
        <v>-1.3632</v>
      </c>
      <c r="M32" s="16">
        <f t="shared" si="3"/>
        <v>0.76659999999999995</v>
      </c>
      <c r="N32" s="16">
        <f t="shared" si="3"/>
        <v>0.53690000000000004</v>
      </c>
    </row>
    <row r="33" spans="2:14" ht="12.75" customHeight="1">
      <c r="B33" s="33" t="s">
        <v>24</v>
      </c>
      <c r="F33" s="15" t="s">
        <v>68</v>
      </c>
      <c r="G33" s="28">
        <v>0.3</v>
      </c>
      <c r="H33" s="36" t="s">
        <v>37</v>
      </c>
      <c r="I33" s="16"/>
      <c r="J33" s="16"/>
      <c r="K33" s="16"/>
      <c r="L33" s="16"/>
      <c r="M33" s="16"/>
      <c r="N33" s="16"/>
    </row>
    <row r="34" spans="2:14" ht="12.75" customHeight="1">
      <c r="B34" s="33"/>
      <c r="F34" s="15" t="s">
        <v>25</v>
      </c>
      <c r="G34" s="16" t="s">
        <v>29</v>
      </c>
      <c r="H34" s="36" t="s">
        <v>36</v>
      </c>
      <c r="I34" s="16"/>
      <c r="J34" s="16"/>
      <c r="K34" s="16"/>
      <c r="L34" s="16"/>
      <c r="M34" s="16"/>
      <c r="N34" s="16"/>
    </row>
    <row r="35" spans="2:14" ht="12.75" customHeight="1">
      <c r="B35" s="33" t="s">
        <v>22</v>
      </c>
      <c r="F35" s="15" t="s">
        <v>23</v>
      </c>
      <c r="G35" s="16" t="s">
        <v>29</v>
      </c>
      <c r="H35" s="36" t="s">
        <v>38</v>
      </c>
    </row>
    <row r="36" spans="2:14" ht="12.75" customHeight="1">
      <c r="B36" s="33" t="s">
        <v>28</v>
      </c>
      <c r="F36" s="15" t="s">
        <v>27</v>
      </c>
      <c r="G36" s="16" t="s">
        <v>29</v>
      </c>
      <c r="H36" s="16"/>
      <c r="I36" s="16"/>
    </row>
    <row r="40" spans="2:14" ht="12.75" customHeight="1">
      <c r="B40" s="28" t="s">
        <v>60</v>
      </c>
      <c r="C40" s="16"/>
      <c r="D40" s="16"/>
      <c r="E40" s="16"/>
      <c r="F40" s="16"/>
      <c r="G40" s="16"/>
    </row>
    <row r="41" spans="2:14" ht="12.75" customHeight="1">
      <c r="B41" s="28" t="s">
        <v>35</v>
      </c>
      <c r="C41" s="28" t="s">
        <v>43</v>
      </c>
      <c r="D41" s="28" t="s">
        <v>32</v>
      </c>
      <c r="E41" s="28" t="s">
        <v>25</v>
      </c>
      <c r="F41" s="28" t="s">
        <v>34</v>
      </c>
      <c r="G41" s="16" t="s">
        <v>87</v>
      </c>
    </row>
    <row r="42" spans="2:14" ht="12.75" customHeight="1">
      <c r="B42" s="29">
        <v>5.0000000000000001E-3</v>
      </c>
      <c r="C42" s="113">
        <f t="shared" ref="C42:C61" si="4">$I$28*B42^5+$J$28*B42^4+$K$28*B42^3+$L$28*B42^2+$M$28*B42+$N$28</f>
        <v>9.3335181102453119E-2</v>
      </c>
      <c r="D42" s="114">
        <f t="shared" ref="D42:D61" si="5">MIN(MAX($J$30*B42^4+$K$30*B42^3+$L$30*B42^2+$M$30*B42+$N$30,$H$30),$I$30)</f>
        <v>0.92</v>
      </c>
      <c r="E42" s="114">
        <f xml:space="preserve"> 0.84*D42^2</f>
        <v>0.71097600000000005</v>
      </c>
      <c r="F42" s="114">
        <f t="shared" ref="F42:F61" si="6">MIN(MAX($J$31*B42^4+$K$31*B42^3+$L$31*B42^2+$M$31*B42+$N$31,$H$31),$I$31)</f>
        <v>0.65500000000000003</v>
      </c>
      <c r="G42" s="114">
        <f t="shared" ref="G42:G61" si="7">MIN(MAX($J$32*B42^4+$K$32*B42^3+$L$32*B42^2+$M$32*B42+$N$32,$H$32),$I$32)</f>
        <v>0.54069910543293753</v>
      </c>
    </row>
    <row r="43" spans="2:14" ht="12.75" customHeight="1">
      <c r="B43" s="29">
        <v>0.01</v>
      </c>
      <c r="C43" s="113">
        <f t="shared" si="4"/>
        <v>0.1116108081585</v>
      </c>
      <c r="D43" s="114">
        <f t="shared" si="5"/>
        <v>0.92</v>
      </c>
      <c r="E43" s="114">
        <f t="shared" ref="E43:E61" si="8" xml:space="preserve"> 0.84*D43^2</f>
        <v>0.71097600000000005</v>
      </c>
      <c r="F43" s="114">
        <f t="shared" si="6"/>
        <v>0.65500000000000003</v>
      </c>
      <c r="G43" s="114">
        <f t="shared" si="7"/>
        <v>0.54443116032700001</v>
      </c>
    </row>
    <row r="44" spans="2:14" ht="12.75" customHeight="1">
      <c r="B44" s="29">
        <v>0.02</v>
      </c>
      <c r="C44" s="113">
        <f t="shared" si="4"/>
        <v>0.14626622715199999</v>
      </c>
      <c r="D44" s="114">
        <f t="shared" si="5"/>
        <v>0.92</v>
      </c>
      <c r="E44" s="114">
        <f t="shared" si="8"/>
        <v>0.71097600000000005</v>
      </c>
      <c r="F44" s="114">
        <f t="shared" si="6"/>
        <v>0.65500000000000003</v>
      </c>
      <c r="G44" s="114">
        <f t="shared" si="7"/>
        <v>0.55169851243200008</v>
      </c>
    </row>
    <row r="45" spans="2:14" ht="12.75" customHeight="1">
      <c r="B45" s="29">
        <v>0.04</v>
      </c>
      <c r="C45" s="113">
        <f>$I$28*B45^5+$J$28*B45^4+$K$28*B45^3+$L$28*B45^2+$M$28*B45+$N$28</f>
        <v>0.208550406144</v>
      </c>
      <c r="D45" s="114">
        <f t="shared" si="5"/>
        <v>0.92</v>
      </c>
      <c r="E45" s="114">
        <f t="shared" si="8"/>
        <v>0.71097600000000005</v>
      </c>
      <c r="F45" s="114">
        <f t="shared" si="6"/>
        <v>0.65500000000000003</v>
      </c>
      <c r="G45" s="114">
        <f t="shared" si="7"/>
        <v>0.56547641651200009</v>
      </c>
    </row>
    <row r="46" spans="2:14" ht="12.75" customHeight="1">
      <c r="B46" s="29">
        <v>0.08</v>
      </c>
      <c r="C46" s="113">
        <f t="shared" si="4"/>
        <v>0.30912943308800001</v>
      </c>
      <c r="D46" s="114">
        <f t="shared" si="5"/>
        <v>0.92</v>
      </c>
      <c r="E46" s="114">
        <f t="shared" si="8"/>
        <v>0.71097600000000005</v>
      </c>
      <c r="F46" s="114">
        <f t="shared" si="6"/>
        <v>0.65500000000000003</v>
      </c>
      <c r="G46" s="114">
        <f t="shared" si="7"/>
        <v>0.59023896499200001</v>
      </c>
    </row>
    <row r="47" spans="2:14" ht="12.75" customHeight="1">
      <c r="B47" s="29">
        <v>0.16</v>
      </c>
      <c r="C47" s="113">
        <f t="shared" si="4"/>
        <v>0.442214762496</v>
      </c>
      <c r="D47" s="114">
        <f t="shared" si="5"/>
        <v>0.88559039999999989</v>
      </c>
      <c r="E47" s="114">
        <f t="shared" si="8"/>
        <v>0.65878709952061421</v>
      </c>
      <c r="F47" s="114">
        <f t="shared" si="6"/>
        <v>0.60303008000000002</v>
      </c>
      <c r="G47" s="114">
        <f t="shared" si="7"/>
        <v>0.630336086272</v>
      </c>
    </row>
    <row r="48" spans="2:14" ht="12.75" customHeight="1">
      <c r="B48" s="29">
        <v>0.35</v>
      </c>
      <c r="C48" s="113">
        <f t="shared" si="4"/>
        <v>0.61144591718749997</v>
      </c>
      <c r="D48" s="114">
        <f t="shared" si="5"/>
        <v>0.79424125000000001</v>
      </c>
      <c r="E48" s="114">
        <f t="shared" si="8"/>
        <v>0.5298880970893125</v>
      </c>
      <c r="F48" s="114">
        <f t="shared" si="6"/>
        <v>0.49034925000000007</v>
      </c>
      <c r="G48" s="114">
        <f t="shared" si="7"/>
        <v>0.69254255437500001</v>
      </c>
    </row>
    <row r="49" spans="2:7" ht="12.75" customHeight="1">
      <c r="B49" s="29">
        <v>0.4</v>
      </c>
      <c r="C49" s="113">
        <f t="shared" si="4"/>
        <v>0.64968960000000009</v>
      </c>
      <c r="D49" s="114">
        <f t="shared" si="5"/>
        <v>0.77291999999999994</v>
      </c>
      <c r="E49" s="114">
        <f t="shared" si="8"/>
        <v>0.50182047417599984</v>
      </c>
      <c r="F49" s="114">
        <f t="shared" si="6"/>
        <v>0.46512800000000004</v>
      </c>
      <c r="G49" s="114">
        <f t="shared" si="7"/>
        <v>0.70451152000000006</v>
      </c>
    </row>
    <row r="50" spans="2:7" ht="12.75" customHeight="1">
      <c r="B50" s="29">
        <v>0.45</v>
      </c>
      <c r="C50" s="113">
        <f t="shared" si="4"/>
        <v>0.68875390781250023</v>
      </c>
      <c r="D50" s="114">
        <f t="shared" si="5"/>
        <v>0.75273124999999985</v>
      </c>
      <c r="E50" s="114">
        <f t="shared" si="8"/>
        <v>0.47594764117031224</v>
      </c>
      <c r="F50" s="114">
        <f t="shared" si="6"/>
        <v>0.44175325000000004</v>
      </c>
      <c r="G50" s="114">
        <f t="shared" si="7"/>
        <v>0.71556520437500004</v>
      </c>
    </row>
    <row r="51" spans="2:7" ht="12.75" customHeight="1">
      <c r="B51" s="29">
        <v>0.5</v>
      </c>
      <c r="C51" s="113">
        <f t="shared" si="4"/>
        <v>0.7281312499999999</v>
      </c>
      <c r="D51" s="114">
        <f t="shared" si="5"/>
        <v>0.73367499999999997</v>
      </c>
      <c r="E51" s="114">
        <f t="shared" si="8"/>
        <v>0.45215436472499998</v>
      </c>
      <c r="F51" s="114">
        <f t="shared" si="6"/>
        <v>0.42022500000000002</v>
      </c>
      <c r="G51" s="114">
        <f t="shared" si="7"/>
        <v>0.72601875000000005</v>
      </c>
    </row>
    <row r="52" spans="2:7" ht="12.75" customHeight="1">
      <c r="B52" s="29">
        <v>0.55000000000000004</v>
      </c>
      <c r="C52" s="113">
        <f t="shared" si="4"/>
        <v>0.7665757734375005</v>
      </c>
      <c r="D52" s="114">
        <f t="shared" si="5"/>
        <v>0.71575124999999984</v>
      </c>
      <c r="E52" s="114">
        <f t="shared" si="8"/>
        <v>0.43033187557631225</v>
      </c>
      <c r="F52" s="114">
        <f t="shared" si="6"/>
        <v>0.40054325000000002</v>
      </c>
      <c r="G52" s="114">
        <f t="shared" si="7"/>
        <v>0.73609320437500003</v>
      </c>
    </row>
    <row r="53" spans="2:7" ht="12.75" customHeight="1">
      <c r="B53" s="29">
        <v>0.6</v>
      </c>
      <c r="C53" s="113">
        <f t="shared" si="4"/>
        <v>0.80249280000000023</v>
      </c>
      <c r="D53" s="114">
        <f t="shared" si="5"/>
        <v>0.69895999999999991</v>
      </c>
      <c r="E53" s="114">
        <f t="shared" si="8"/>
        <v>0.41037786854399988</v>
      </c>
      <c r="F53" s="114">
        <f t="shared" si="6"/>
        <v>0.38270800000000005</v>
      </c>
      <c r="G53" s="114">
        <f t="shared" si="7"/>
        <v>0.74591552000000005</v>
      </c>
    </row>
    <row r="54" spans="2:7" ht="12.75" customHeight="1">
      <c r="B54" s="29">
        <v>0.65</v>
      </c>
      <c r="C54" s="113">
        <f t="shared" si="4"/>
        <v>0.83432826406250071</v>
      </c>
      <c r="D54" s="114">
        <f t="shared" si="5"/>
        <v>0.68330124999999997</v>
      </c>
      <c r="E54" s="114">
        <f t="shared" si="8"/>
        <v>0.39219650253131244</v>
      </c>
      <c r="F54" s="114">
        <f t="shared" si="6"/>
        <v>0.36671925000000005</v>
      </c>
      <c r="G54" s="114">
        <f t="shared" si="7"/>
        <v>0.75551855437500004</v>
      </c>
    </row>
    <row r="55" spans="2:7" ht="12.75" customHeight="1">
      <c r="B55" s="29">
        <v>0.7</v>
      </c>
      <c r="C55" s="113">
        <f t="shared" si="4"/>
        <v>0.86095814999999942</v>
      </c>
      <c r="D55" s="114">
        <f t="shared" si="5"/>
        <v>0.6687749999999999</v>
      </c>
      <c r="E55" s="114">
        <f t="shared" si="8"/>
        <v>0.37569840052499986</v>
      </c>
      <c r="F55" s="114">
        <f t="shared" si="6"/>
        <v>0.35257700000000008</v>
      </c>
      <c r="G55" s="114">
        <f t="shared" si="7"/>
        <v>0.7648410699999999</v>
      </c>
    </row>
    <row r="56" spans="2:7" ht="12.75" customHeight="1">
      <c r="B56" s="29">
        <v>0.75</v>
      </c>
      <c r="C56" s="113">
        <f t="shared" si="4"/>
        <v>0.88207792968749987</v>
      </c>
      <c r="D56" s="114">
        <f t="shared" si="5"/>
        <v>0.65538124999999992</v>
      </c>
      <c r="E56" s="114">
        <f t="shared" si="8"/>
        <v>0.36080064959531238</v>
      </c>
      <c r="F56" s="114">
        <f t="shared" si="6"/>
        <v>0.34028125000000009</v>
      </c>
      <c r="G56" s="114">
        <f t="shared" si="7"/>
        <v>0.77372773437500009</v>
      </c>
    </row>
    <row r="57" spans="2:7" ht="12.75" customHeight="1">
      <c r="B57" s="29">
        <v>0.8</v>
      </c>
      <c r="C57" s="113">
        <f t="shared" si="4"/>
        <v>0.89859200000000006</v>
      </c>
      <c r="D57" s="114">
        <f t="shared" si="5"/>
        <v>0.64311999999999991</v>
      </c>
      <c r="E57" s="114">
        <f t="shared" si="8"/>
        <v>0.34742680089599992</v>
      </c>
      <c r="F57" s="114">
        <f t="shared" si="6"/>
        <v>0.32983200000000007</v>
      </c>
      <c r="G57" s="114">
        <f t="shared" si="7"/>
        <v>0.78192911999999992</v>
      </c>
    </row>
    <row r="58" spans="2:7" ht="12.75" customHeight="1">
      <c r="B58" s="29">
        <v>0.85</v>
      </c>
      <c r="C58" s="113">
        <f t="shared" si="4"/>
        <v>0.91300312031249908</v>
      </c>
      <c r="D58" s="114">
        <f t="shared" si="5"/>
        <v>0.63199124999999989</v>
      </c>
      <c r="E58" s="114">
        <f t="shared" si="8"/>
        <v>0.33550686966431237</v>
      </c>
      <c r="F58" s="114">
        <f t="shared" si="6"/>
        <v>0.32122925000000008</v>
      </c>
      <c r="G58" s="114">
        <f t="shared" si="7"/>
        <v>0.78910170437499993</v>
      </c>
    </row>
    <row r="59" spans="2:7" ht="12.75" customHeight="1">
      <c r="B59" s="29">
        <v>0.9</v>
      </c>
      <c r="C59" s="113">
        <f t="shared" si="4"/>
        <v>0.92980185000000071</v>
      </c>
      <c r="D59" s="114">
        <f t="shared" si="5"/>
        <v>0.62199499999999985</v>
      </c>
      <c r="E59" s="114">
        <f t="shared" si="8"/>
        <v>0.32497733522099986</v>
      </c>
      <c r="F59" s="114">
        <f t="shared" si="6"/>
        <v>0.31447300000000006</v>
      </c>
      <c r="G59" s="114">
        <f t="shared" si="7"/>
        <v>0.79480786999999997</v>
      </c>
    </row>
    <row r="60" spans="2:7" ht="12.75" customHeight="1">
      <c r="B60" s="29">
        <v>0.95</v>
      </c>
      <c r="C60" s="113">
        <f t="shared" si="4"/>
        <v>0.9558559859374991</v>
      </c>
      <c r="D60" s="114">
        <f t="shared" si="5"/>
        <v>0.61313124999999991</v>
      </c>
      <c r="E60" s="114">
        <f t="shared" si="8"/>
        <v>0.31578114097031235</v>
      </c>
      <c r="F60" s="114">
        <f t="shared" si="6"/>
        <v>0.30956325000000007</v>
      </c>
      <c r="G60" s="114">
        <f t="shared" si="7"/>
        <v>0.79851590437499997</v>
      </c>
    </row>
    <row r="61" spans="2:7" ht="12.75" customHeight="1">
      <c r="B61" s="29">
        <v>1</v>
      </c>
      <c r="C61" s="113">
        <f t="shared" si="4"/>
        <v>1.000800000000001</v>
      </c>
      <c r="D61" s="114">
        <f t="shared" si="5"/>
        <v>0.60539999999999994</v>
      </c>
      <c r="E61" s="114">
        <f t="shared" si="8"/>
        <v>0.30786769439999995</v>
      </c>
      <c r="F61" s="114">
        <f t="shared" si="6"/>
        <v>0.30650000000000005</v>
      </c>
      <c r="G61" s="114">
        <f t="shared" si="7"/>
        <v>0.79959999999999998</v>
      </c>
    </row>
  </sheetData>
  <mergeCells count="4">
    <mergeCell ref="B9:B10"/>
    <mergeCell ref="F9:F11"/>
    <mergeCell ref="C9:C10"/>
    <mergeCell ref="D9:E9"/>
  </mergeCells>
  <phoneticPr fontId="23"/>
  <dataValidations count="1">
    <dataValidation type="list" allowBlank="1" showInputMessage="1" showErrorMessage="1" sqref="D26" xr:uid="{00000000-0002-0000-0700-000000000000}">
      <formula1>$B$12:$B$22</formula1>
    </dataValidation>
  </dataValidations>
  <pageMargins left="0.7" right="0.7" top="0.75" bottom="0.75" header="0.3" footer="0.3"/>
  <customProperties>
    <customPr name="BudgetSheetCodeName" r:id="rId1"/>
  </customProperties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1"/>
  <dimension ref="B1:N71"/>
  <sheetViews>
    <sheetView topLeftCell="A6" zoomScaleNormal="100" workbookViewId="0">
      <selection activeCell="H31" sqref="H31"/>
    </sheetView>
  </sheetViews>
  <sheetFormatPr defaultColWidth="8.84375" defaultRowHeight="12.75" customHeight="1"/>
  <cols>
    <col min="1" max="1" width="2.765625" style="15" customWidth="1"/>
    <col min="2" max="3" width="8.84375" style="15"/>
    <col min="4" max="4" width="9.53515625" style="15" customWidth="1"/>
    <col min="5" max="5" width="9.84375" style="15" customWidth="1"/>
    <col min="6" max="16384" width="8.84375" style="15"/>
  </cols>
  <sheetData>
    <row r="1" spans="2:8" ht="16.5">
      <c r="B1" s="30" t="s">
        <v>243</v>
      </c>
      <c r="C1" s="264"/>
      <c r="D1" s="264"/>
      <c r="E1" s="264"/>
    </row>
    <row r="3" spans="2:8" ht="12.75" customHeight="1">
      <c r="B3" s="33" t="s">
        <v>0</v>
      </c>
      <c r="C3" s="33"/>
    </row>
    <row r="4" spans="2:8" ht="12.75" customHeight="1">
      <c r="B4" s="33"/>
      <c r="C4" s="33" t="s">
        <v>174</v>
      </c>
      <c r="E4" s="15" t="s">
        <v>194</v>
      </c>
    </row>
    <row r="5" spans="2:8" ht="12.75" customHeight="1">
      <c r="B5" s="33"/>
      <c r="C5" s="33" t="s">
        <v>135</v>
      </c>
      <c r="E5" s="15" t="s">
        <v>134</v>
      </c>
    </row>
    <row r="7" spans="2:8" ht="12.75" customHeight="1">
      <c r="B7" s="33" t="s">
        <v>197</v>
      </c>
    </row>
    <row r="8" spans="2:8" ht="12.75" customHeight="1" thickBot="1"/>
    <row r="9" spans="2:8" ht="12.75" customHeight="1">
      <c r="B9" s="347" t="s">
        <v>12</v>
      </c>
      <c r="C9" s="370" t="s">
        <v>136</v>
      </c>
      <c r="D9" s="374"/>
      <c r="E9" s="374"/>
      <c r="F9" s="389"/>
      <c r="G9" s="402" t="s">
        <v>137</v>
      </c>
      <c r="H9" s="389"/>
    </row>
    <row r="10" spans="2:8" ht="12.75" customHeight="1">
      <c r="B10" s="348"/>
      <c r="C10" s="419" t="s">
        <v>156</v>
      </c>
      <c r="D10" s="375" t="s">
        <v>155</v>
      </c>
      <c r="E10" s="375"/>
      <c r="F10" s="390"/>
      <c r="G10" s="333" t="s">
        <v>156</v>
      </c>
      <c r="H10" s="432" t="s">
        <v>155</v>
      </c>
    </row>
    <row r="11" spans="2:8" ht="12.75" customHeight="1">
      <c r="B11" s="348"/>
      <c r="C11" s="419"/>
      <c r="D11" s="268" t="s">
        <v>198</v>
      </c>
      <c r="E11" s="268" t="s">
        <v>200</v>
      </c>
      <c r="F11" s="278" t="s">
        <v>199</v>
      </c>
      <c r="G11" s="333"/>
      <c r="H11" s="432"/>
    </row>
    <row r="12" spans="2:8" ht="12.75" customHeight="1" thickBot="1">
      <c r="B12" s="38" t="s">
        <v>177</v>
      </c>
      <c r="C12" s="4" t="s">
        <v>18</v>
      </c>
      <c r="D12" s="5" t="s">
        <v>18</v>
      </c>
      <c r="E12" s="5" t="s">
        <v>18</v>
      </c>
      <c r="F12" s="138" t="s">
        <v>18</v>
      </c>
      <c r="G12" s="196" t="s">
        <v>18</v>
      </c>
      <c r="H12" s="138" t="s">
        <v>18</v>
      </c>
    </row>
    <row r="13" spans="2:8" ht="12.75" customHeight="1">
      <c r="B13" s="280" t="s">
        <v>178</v>
      </c>
      <c r="C13" s="283">
        <f>D13/100</f>
        <v>0.14000000000000001</v>
      </c>
      <c r="D13" s="1">
        <v>14</v>
      </c>
      <c r="E13" s="1" t="s">
        <v>59</v>
      </c>
      <c r="F13" s="24">
        <v>6</v>
      </c>
      <c r="G13" s="121">
        <f>H13/100</f>
        <v>0.14000000000000001</v>
      </c>
      <c r="H13" s="24">
        <v>14</v>
      </c>
    </row>
    <row r="14" spans="2:8" ht="12.75" customHeight="1">
      <c r="B14" s="281" t="s">
        <v>179</v>
      </c>
      <c r="C14" s="275">
        <f t="shared" ref="C14:C23" si="0">D14/100</f>
        <v>0.3</v>
      </c>
      <c r="D14" s="2">
        <v>30</v>
      </c>
      <c r="E14" s="2" t="s">
        <v>59</v>
      </c>
      <c r="F14" s="11">
        <v>12</v>
      </c>
      <c r="G14" s="208">
        <f t="shared" ref="G14:G23" si="1">H14/100</f>
        <v>0.3</v>
      </c>
      <c r="H14" s="11">
        <v>30</v>
      </c>
    </row>
    <row r="15" spans="2:8" ht="12.75" customHeight="1">
      <c r="B15" s="269" t="s">
        <v>180</v>
      </c>
      <c r="C15" s="275">
        <f t="shared" si="0"/>
        <v>0.5</v>
      </c>
      <c r="D15" s="2">
        <v>50</v>
      </c>
      <c r="E15" s="2" t="s">
        <v>59</v>
      </c>
      <c r="F15" s="11">
        <v>20</v>
      </c>
      <c r="G15" s="208">
        <f t="shared" si="1"/>
        <v>0.5</v>
      </c>
      <c r="H15" s="11">
        <v>50</v>
      </c>
    </row>
    <row r="16" spans="2:8" ht="12.75" customHeight="1">
      <c r="B16" s="282" t="s">
        <v>192</v>
      </c>
      <c r="C16" s="275">
        <f t="shared" si="0"/>
        <v>1</v>
      </c>
      <c r="D16" s="2">
        <v>100</v>
      </c>
      <c r="E16" s="2" t="s">
        <v>59</v>
      </c>
      <c r="F16" s="11">
        <v>40</v>
      </c>
      <c r="G16" s="208">
        <f t="shared" si="1"/>
        <v>0.85</v>
      </c>
      <c r="H16" s="11">
        <v>85</v>
      </c>
    </row>
    <row r="17" spans="2:14" ht="12.75" customHeight="1">
      <c r="B17" s="282" t="s">
        <v>195</v>
      </c>
      <c r="C17" s="275">
        <f t="shared" si="0"/>
        <v>1.35</v>
      </c>
      <c r="D17" s="2">
        <v>135</v>
      </c>
      <c r="E17" s="2" t="s">
        <v>59</v>
      </c>
      <c r="F17" s="11">
        <v>54</v>
      </c>
      <c r="G17" s="208">
        <f t="shared" si="1"/>
        <v>1.2</v>
      </c>
      <c r="H17" s="11">
        <v>120</v>
      </c>
    </row>
    <row r="18" spans="2:14" ht="12.75" customHeight="1">
      <c r="B18" s="282" t="s">
        <v>182</v>
      </c>
      <c r="C18" s="275">
        <f t="shared" si="0"/>
        <v>2.2999999999999998</v>
      </c>
      <c r="D18" s="2">
        <v>230</v>
      </c>
      <c r="E18" s="2" t="s">
        <v>59</v>
      </c>
      <c r="F18" s="11">
        <v>92</v>
      </c>
      <c r="G18" s="208">
        <f t="shared" si="1"/>
        <v>1.95</v>
      </c>
      <c r="H18" s="11">
        <v>195</v>
      </c>
    </row>
    <row r="19" spans="2:14" ht="12.75" customHeight="1">
      <c r="B19" s="282" t="s">
        <v>193</v>
      </c>
      <c r="C19" s="275">
        <f t="shared" si="0"/>
        <v>3.2</v>
      </c>
      <c r="D19" s="2">
        <v>320</v>
      </c>
      <c r="E19" s="2" t="s">
        <v>59</v>
      </c>
      <c r="F19" s="11">
        <v>128</v>
      </c>
      <c r="G19" s="208">
        <f t="shared" si="1"/>
        <v>2.9</v>
      </c>
      <c r="H19" s="11">
        <v>290</v>
      </c>
    </row>
    <row r="20" spans="2:14" ht="12.75" customHeight="1">
      <c r="B20" s="282" t="s">
        <v>183</v>
      </c>
      <c r="C20" s="275">
        <f t="shared" si="0"/>
        <v>5</v>
      </c>
      <c r="D20" s="2">
        <v>500</v>
      </c>
      <c r="E20" s="2">
        <v>300</v>
      </c>
      <c r="F20" s="11">
        <v>200</v>
      </c>
      <c r="G20" s="208">
        <f t="shared" si="1"/>
        <v>4.8</v>
      </c>
      <c r="H20" s="11">
        <v>480</v>
      </c>
    </row>
    <row r="21" spans="2:14" ht="12.75" customHeight="1">
      <c r="B21" s="282" t="s">
        <v>184</v>
      </c>
      <c r="C21" s="275">
        <f t="shared" si="0"/>
        <v>8.5</v>
      </c>
      <c r="D21" s="2">
        <v>850</v>
      </c>
      <c r="E21" s="2">
        <v>510</v>
      </c>
      <c r="F21" s="11">
        <v>340</v>
      </c>
      <c r="G21" s="208">
        <f t="shared" si="1"/>
        <v>8</v>
      </c>
      <c r="H21" s="11">
        <v>800</v>
      </c>
    </row>
    <row r="22" spans="2:14" ht="12.75" customHeight="1">
      <c r="B22" s="282" t="s">
        <v>185</v>
      </c>
      <c r="C22" s="275">
        <f t="shared" si="0"/>
        <v>13</v>
      </c>
      <c r="D22" s="2">
        <v>1300</v>
      </c>
      <c r="E22" s="2">
        <v>780</v>
      </c>
      <c r="F22" s="11">
        <v>520</v>
      </c>
      <c r="G22" s="208">
        <f t="shared" si="1"/>
        <v>11.5</v>
      </c>
      <c r="H22" s="11">
        <v>1150</v>
      </c>
    </row>
    <row r="23" spans="2:14" ht="12.75" customHeight="1" thickBot="1">
      <c r="B23" s="284" t="s">
        <v>186</v>
      </c>
      <c r="C23" s="276">
        <f t="shared" si="0"/>
        <v>17.5</v>
      </c>
      <c r="D23" s="21">
        <v>1750</v>
      </c>
      <c r="E23" s="21">
        <v>1050</v>
      </c>
      <c r="F23" s="22">
        <v>700</v>
      </c>
      <c r="G23" s="209">
        <f t="shared" si="1"/>
        <v>15.5</v>
      </c>
      <c r="H23" s="22">
        <v>1550</v>
      </c>
    </row>
    <row r="24" spans="2:14" ht="12.75" customHeight="1">
      <c r="B24" s="285" t="s">
        <v>80</v>
      </c>
      <c r="C24" s="279"/>
      <c r="D24" s="124">
        <v>37</v>
      </c>
      <c r="E24" s="124">
        <v>38</v>
      </c>
      <c r="F24" s="124">
        <v>39</v>
      </c>
      <c r="G24" s="279"/>
      <c r="H24" s="124">
        <v>37</v>
      </c>
    </row>
    <row r="27" spans="2:14" ht="12.75" customHeight="1">
      <c r="B27" s="33" t="s">
        <v>67</v>
      </c>
    </row>
    <row r="28" spans="2:14" ht="12.75" customHeight="1">
      <c r="B28" s="28" t="s">
        <v>135</v>
      </c>
      <c r="D28" s="59" t="s">
        <v>136</v>
      </c>
    </row>
    <row r="29" spans="2:14" ht="12.75" customHeight="1">
      <c r="B29" s="28" t="s">
        <v>138</v>
      </c>
      <c r="D29" s="59" t="s">
        <v>199</v>
      </c>
      <c r="H29" s="65">
        <v>2</v>
      </c>
      <c r="I29" s="65">
        <v>3</v>
      </c>
      <c r="J29" s="65">
        <v>4</v>
      </c>
      <c r="K29" s="65">
        <v>5</v>
      </c>
      <c r="L29" s="65">
        <v>6</v>
      </c>
      <c r="M29" s="65">
        <v>7</v>
      </c>
      <c r="N29" s="65">
        <v>8</v>
      </c>
    </row>
    <row r="30" spans="2:14" ht="12.75" customHeight="1">
      <c r="H30" s="91"/>
      <c r="I30" s="28" t="s">
        <v>53</v>
      </c>
      <c r="J30" s="28" t="s">
        <v>54</v>
      </c>
      <c r="K30" s="28" t="s">
        <v>55</v>
      </c>
      <c r="L30" s="28" t="s">
        <v>56</v>
      </c>
      <c r="M30" s="28" t="s">
        <v>57</v>
      </c>
      <c r="N30" s="28" t="s">
        <v>58</v>
      </c>
    </row>
    <row r="31" spans="2:14" ht="12.75" customHeight="1">
      <c r="B31" s="33" t="s">
        <v>95</v>
      </c>
      <c r="F31" s="15" t="s">
        <v>43</v>
      </c>
      <c r="G31" s="16"/>
      <c r="H31" s="28">
        <f>IF($D$29="Full",37,IF($D$29="60% Red",38,39))</f>
        <v>39</v>
      </c>
      <c r="I31" s="116">
        <f t="shared" ref="I31:N31" si="2">VLOOKUP($H$31,StkData,I29)</f>
        <v>0</v>
      </c>
      <c r="J31" s="116">
        <f t="shared" si="2"/>
        <v>0</v>
      </c>
      <c r="K31" s="116">
        <f t="shared" si="2"/>
        <v>1.2559999999999999E-4</v>
      </c>
      <c r="L31" s="116">
        <f t="shared" si="2"/>
        <v>-2.2079999999999999E-2</v>
      </c>
      <c r="M31" s="116">
        <f t="shared" si="2"/>
        <v>1.9490000000000001</v>
      </c>
      <c r="N31" s="116">
        <f t="shared" si="2"/>
        <v>0.30130000000000001</v>
      </c>
    </row>
    <row r="32" spans="2:14" ht="12.75" customHeight="1">
      <c r="F32" s="34"/>
      <c r="H32" s="28" t="s">
        <v>30</v>
      </c>
      <c r="I32" s="28" t="s">
        <v>31</v>
      </c>
      <c r="J32" s="28" t="s">
        <v>44</v>
      </c>
      <c r="K32" s="28" t="s">
        <v>45</v>
      </c>
      <c r="L32" s="28" t="s">
        <v>46</v>
      </c>
      <c r="M32" s="28" t="s">
        <v>47</v>
      </c>
      <c r="N32" s="28" t="s">
        <v>48</v>
      </c>
    </row>
    <row r="33" spans="2:14" ht="12.75" customHeight="1">
      <c r="B33" s="33" t="s">
        <v>21</v>
      </c>
      <c r="F33" s="15" t="s">
        <v>32</v>
      </c>
      <c r="G33" s="28">
        <v>5</v>
      </c>
      <c r="H33" s="16">
        <f t="shared" ref="H33:N33" si="3">VLOOKUP($G$33,FLData,H29)</f>
        <v>0.85</v>
      </c>
      <c r="I33" s="16">
        <f t="shared" si="3"/>
        <v>0.95299999999999996</v>
      </c>
      <c r="J33" s="16">
        <f t="shared" si="3"/>
        <v>0</v>
      </c>
      <c r="K33" s="16">
        <f t="shared" si="3"/>
        <v>-6.9000000000000006E-2</v>
      </c>
      <c r="L33" s="16">
        <f t="shared" si="3"/>
        <v>0.26500000000000001</v>
      </c>
      <c r="M33" s="16">
        <f t="shared" si="3"/>
        <v>-0.33040000000000003</v>
      </c>
      <c r="N33" s="16">
        <f t="shared" si="3"/>
        <v>0.98260000000000003</v>
      </c>
    </row>
    <row r="34" spans="2:14" ht="12.75" customHeight="1">
      <c r="B34" s="33" t="s">
        <v>33</v>
      </c>
      <c r="F34" s="15" t="s">
        <v>34</v>
      </c>
      <c r="G34" s="28">
        <v>5</v>
      </c>
      <c r="H34" s="16">
        <f t="shared" ref="H34:N34" si="4">VLOOKUP($G$34,KcData,H29)</f>
        <v>0.6</v>
      </c>
      <c r="I34" s="16">
        <f t="shared" si="4"/>
        <v>0.76</v>
      </c>
      <c r="J34" s="16">
        <f t="shared" si="4"/>
        <v>0</v>
      </c>
      <c r="K34" s="16">
        <f t="shared" si="4"/>
        <v>0</v>
      </c>
      <c r="L34" s="16">
        <f t="shared" si="4"/>
        <v>0.29380000000000001</v>
      </c>
      <c r="M34" s="16">
        <f t="shared" si="4"/>
        <v>-0.47970000000000002</v>
      </c>
      <c r="N34" s="16">
        <f t="shared" si="4"/>
        <v>0.79849999999999999</v>
      </c>
    </row>
    <row r="35" spans="2:14" ht="12.75" customHeight="1">
      <c r="B35" s="33" t="s">
        <v>26</v>
      </c>
      <c r="F35" s="15" t="s">
        <v>87</v>
      </c>
      <c r="G35" s="16">
        <v>5</v>
      </c>
      <c r="H35" s="16">
        <f t="shared" ref="H35:N35" si="5">VLOOKUP($G$35,FdData,H29)</f>
        <v>0</v>
      </c>
      <c r="I35" s="16">
        <f t="shared" si="5"/>
        <v>10</v>
      </c>
      <c r="J35" s="16">
        <f t="shared" si="5"/>
        <v>-0.79100000000000004</v>
      </c>
      <c r="K35" s="16">
        <f t="shared" si="5"/>
        <v>1.9273</v>
      </c>
      <c r="L35" s="16">
        <f t="shared" si="5"/>
        <v>-1.5960000000000001</v>
      </c>
      <c r="M35" s="16">
        <f t="shared" si="5"/>
        <v>0.82299999999999995</v>
      </c>
      <c r="N35" s="16">
        <f t="shared" si="5"/>
        <v>5.5599999999999997E-2</v>
      </c>
    </row>
    <row r="36" spans="2:14" ht="12.75" customHeight="1">
      <c r="B36" s="33" t="s">
        <v>24</v>
      </c>
      <c r="F36" s="15" t="s">
        <v>68</v>
      </c>
      <c r="G36" s="28">
        <v>0.61</v>
      </c>
      <c r="H36" s="36" t="s">
        <v>37</v>
      </c>
      <c r="I36" s="16"/>
      <c r="J36" s="16"/>
      <c r="K36" s="16"/>
      <c r="L36" s="16"/>
      <c r="M36" s="16"/>
      <c r="N36" s="16"/>
    </row>
    <row r="37" spans="2:14" ht="12.75" customHeight="1">
      <c r="B37" s="33"/>
      <c r="F37" s="15" t="s">
        <v>25</v>
      </c>
      <c r="G37" s="16" t="s">
        <v>29</v>
      </c>
      <c r="H37" s="36" t="s">
        <v>36</v>
      </c>
      <c r="I37" s="16"/>
      <c r="J37" s="16"/>
      <c r="K37" s="16"/>
      <c r="L37" s="16"/>
      <c r="M37" s="16"/>
      <c r="N37" s="16"/>
    </row>
    <row r="38" spans="2:14" ht="12.75" customHeight="1">
      <c r="B38" s="33" t="s">
        <v>22</v>
      </c>
      <c r="F38" s="15" t="s">
        <v>23</v>
      </c>
      <c r="G38" s="16" t="s">
        <v>29</v>
      </c>
      <c r="H38" s="36" t="s">
        <v>38</v>
      </c>
    </row>
    <row r="39" spans="2:14" ht="12.75" customHeight="1">
      <c r="B39" s="33" t="s">
        <v>28</v>
      </c>
      <c r="F39" s="15" t="s">
        <v>27</v>
      </c>
      <c r="G39" s="16" t="s">
        <v>29</v>
      </c>
      <c r="H39" s="16"/>
      <c r="I39" s="16"/>
    </row>
    <row r="43" spans="2:14" ht="12.75" customHeight="1">
      <c r="B43" s="28" t="s">
        <v>60</v>
      </c>
      <c r="C43" s="16"/>
      <c r="D43" s="16"/>
      <c r="E43" s="16"/>
      <c r="F43" s="16"/>
      <c r="G43" s="16"/>
    </row>
    <row r="44" spans="2:14" ht="12.75" customHeight="1">
      <c r="B44" s="28" t="s">
        <v>35</v>
      </c>
      <c r="C44" s="28" t="s">
        <v>43</v>
      </c>
      <c r="D44" s="28" t="s">
        <v>32</v>
      </c>
      <c r="E44" s="28" t="s">
        <v>25</v>
      </c>
      <c r="F44" s="28" t="s">
        <v>34</v>
      </c>
      <c r="G44" s="16" t="s">
        <v>87</v>
      </c>
    </row>
    <row r="45" spans="2:14" ht="12.75" customHeight="1">
      <c r="B45" s="29">
        <v>5.0000000000000001E-3</v>
      </c>
      <c r="C45" s="32">
        <f>MIN(1,($I$31*(B45*100)^5+$J$31*(B45*100)^4+$K$31*(B45*100)^3+$L$31*(B45*100)^2+$M$31*(B45*100)+$N$31)/100)</f>
        <v>1.2702957000000001E-2</v>
      </c>
      <c r="D45" s="114">
        <f t="shared" ref="D45:D64" si="6">MIN(MAX($J$33*B45^4+$K$33*B45^3+$L$33*B45^2+$M$33*B45+$N$33,$H$33),$I$33)</f>
        <v>0.95299999999999996</v>
      </c>
      <c r="E45" s="114">
        <f xml:space="preserve"> 0.84*D45^2</f>
        <v>0.76289555999999992</v>
      </c>
      <c r="F45" s="114">
        <f t="shared" ref="F45:F64" si="7">MIN(MAX($J$34*B45^4+$K$34*B45^3+$L$34*B45^2+$M$34*B45+$N$34,$H$34),$I$34)</f>
        <v>0.76</v>
      </c>
      <c r="G45" s="114">
        <f t="shared" ref="G45:G64" si="8">MIN(MAX($J$35*B45^4+$K$35*B45^3+$L$35*B45^2+$M$35*B45+$N$35,$H$35),$I$35)</f>
        <v>5.9675340418125E-2</v>
      </c>
    </row>
    <row r="46" spans="2:14" ht="12.75" customHeight="1">
      <c r="B46" s="29">
        <v>0.01</v>
      </c>
      <c r="C46" s="32">
        <f t="shared" ref="C46:C64" si="9">MIN(1,($I$31*(B46*100)^5+$J$31*(B46*100)^4+$K$31*(B46*100)^3+$L$31*(B46*100)^2+$M$31*(B46*100)+$N$31)/100)</f>
        <v>2.2283456E-2</v>
      </c>
      <c r="D46" s="114">
        <f t="shared" si="6"/>
        <v>0.95299999999999996</v>
      </c>
      <c r="E46" s="114">
        <f t="shared" ref="E46:E64" si="10" xml:space="preserve"> 0.84*D46^2</f>
        <v>0.76289555999999992</v>
      </c>
      <c r="F46" s="114">
        <f t="shared" si="7"/>
        <v>0.76</v>
      </c>
      <c r="G46" s="114">
        <f t="shared" si="8"/>
        <v>6.3672319389999996E-2</v>
      </c>
    </row>
    <row r="47" spans="2:14" ht="12.75" customHeight="1">
      <c r="B47" s="29">
        <v>0.02</v>
      </c>
      <c r="C47" s="32">
        <f t="shared" si="9"/>
        <v>4.1119848000000001E-2</v>
      </c>
      <c r="D47" s="114">
        <f t="shared" si="6"/>
        <v>0.95299999999999996</v>
      </c>
      <c r="E47" s="114">
        <f t="shared" si="10"/>
        <v>0.76289555999999992</v>
      </c>
      <c r="F47" s="114">
        <f t="shared" si="7"/>
        <v>0.76</v>
      </c>
      <c r="G47" s="114">
        <f t="shared" si="8"/>
        <v>7.1436891839999989E-2</v>
      </c>
    </row>
    <row r="48" spans="2:14" ht="12.75" customHeight="1">
      <c r="B48" s="29">
        <v>0.04</v>
      </c>
      <c r="C48" s="32">
        <f t="shared" si="9"/>
        <v>7.7520584000000003E-2</v>
      </c>
      <c r="D48" s="114">
        <f t="shared" si="6"/>
        <v>0.95299999999999996</v>
      </c>
      <c r="E48" s="114">
        <f t="shared" si="10"/>
        <v>0.76289555999999992</v>
      </c>
      <c r="F48" s="114">
        <f t="shared" si="7"/>
        <v>0.76</v>
      </c>
      <c r="G48" s="114">
        <f t="shared" si="8"/>
        <v>8.6087722239999998E-2</v>
      </c>
    </row>
    <row r="49" spans="2:7" ht="12.75" customHeight="1">
      <c r="B49" s="29">
        <v>0.08</v>
      </c>
      <c r="C49" s="32">
        <f t="shared" si="9"/>
        <v>0.145444872</v>
      </c>
      <c r="D49" s="114">
        <f t="shared" si="6"/>
        <v>0.95299999999999996</v>
      </c>
      <c r="E49" s="114">
        <f t="shared" si="10"/>
        <v>0.76289555999999992</v>
      </c>
      <c r="F49" s="114">
        <f t="shared" si="7"/>
        <v>0.76</v>
      </c>
      <c r="G49" s="114">
        <f t="shared" si="8"/>
        <v>0.11217997823999999</v>
      </c>
    </row>
    <row r="50" spans="2:7" ht="12.75" customHeight="1">
      <c r="B50" s="29">
        <v>0.16</v>
      </c>
      <c r="C50" s="32">
        <f t="shared" si="9"/>
        <v>0.26347277600000002</v>
      </c>
      <c r="D50" s="114">
        <f t="shared" si="6"/>
        <v>0.93623737600000001</v>
      </c>
      <c r="E50" s="114">
        <f t="shared" si="10"/>
        <v>0.73629395634426686</v>
      </c>
      <c r="F50" s="114">
        <f t="shared" si="7"/>
        <v>0.72926928000000002</v>
      </c>
      <c r="G50" s="114">
        <f t="shared" si="8"/>
        <v>0.15379823104000001</v>
      </c>
    </row>
    <row r="51" spans="2:7" ht="12.75" customHeight="1">
      <c r="B51" s="29">
        <v>0.35</v>
      </c>
      <c r="C51" s="32">
        <f t="shared" si="9"/>
        <v>0.46853400000000001</v>
      </c>
      <c r="D51" s="114">
        <f t="shared" si="6"/>
        <v>0.89646412500000006</v>
      </c>
      <c r="E51" s="114">
        <f t="shared" si="10"/>
        <v>0.67506425902609324</v>
      </c>
      <c r="F51" s="114">
        <f t="shared" si="7"/>
        <v>0.66659550000000001</v>
      </c>
      <c r="G51" s="114">
        <f t="shared" si="8"/>
        <v>0.21890304374999997</v>
      </c>
    </row>
    <row r="52" spans="2:7" ht="12.75" customHeight="1">
      <c r="B52" s="29">
        <v>0.4</v>
      </c>
      <c r="C52" s="32">
        <f t="shared" si="9"/>
        <v>0.50971700000000009</v>
      </c>
      <c r="D52" s="114">
        <f t="shared" si="6"/>
        <v>0.88842399999999999</v>
      </c>
      <c r="E52" s="114">
        <f t="shared" si="10"/>
        <v>0.66300965117183996</v>
      </c>
      <c r="F52" s="114">
        <f t="shared" si="7"/>
        <v>0.65362799999999999</v>
      </c>
      <c r="G52" s="114">
        <f t="shared" si="8"/>
        <v>0.2325375999999999</v>
      </c>
    </row>
    <row r="53" spans="2:7" ht="12.75" customHeight="1">
      <c r="B53" s="29">
        <v>0.45</v>
      </c>
      <c r="C53" s="32">
        <f t="shared" si="9"/>
        <v>0.54739599999999999</v>
      </c>
      <c r="D53" s="114">
        <f t="shared" si="6"/>
        <v>0.88129487500000003</v>
      </c>
      <c r="E53" s="114">
        <f t="shared" si="10"/>
        <v>0.65241175162906317</v>
      </c>
      <c r="F53" s="114">
        <f t="shared" si="7"/>
        <v>0.64212950000000002</v>
      </c>
      <c r="G53" s="114">
        <f t="shared" si="8"/>
        <v>0.24594926875000001</v>
      </c>
    </row>
    <row r="54" spans="2:7" ht="12.75" customHeight="1">
      <c r="B54" s="29">
        <v>0.5</v>
      </c>
      <c r="C54" s="32">
        <f t="shared" si="9"/>
        <v>0.58251300000000006</v>
      </c>
      <c r="D54" s="114">
        <f t="shared" si="6"/>
        <v>0.87502500000000005</v>
      </c>
      <c r="E54" s="114">
        <f t="shared" si="10"/>
        <v>0.64316175052500002</v>
      </c>
      <c r="F54" s="114">
        <f t="shared" si="7"/>
        <v>0.6321</v>
      </c>
      <c r="G54" s="114">
        <f t="shared" si="8"/>
        <v>0.25957499999999994</v>
      </c>
    </row>
    <row r="55" spans="2:7" ht="12.75" customHeight="1">
      <c r="B55" s="29">
        <v>0.55000000000000004</v>
      </c>
      <c r="C55" s="32">
        <f t="shared" si="9"/>
        <v>0.61601000000000017</v>
      </c>
      <c r="D55" s="114">
        <f t="shared" si="6"/>
        <v>0.86956262500000003</v>
      </c>
      <c r="E55" s="114">
        <f t="shared" si="10"/>
        <v>0.63515689338938808</v>
      </c>
      <c r="F55" s="114">
        <f t="shared" si="7"/>
        <v>0.62353949999999991</v>
      </c>
      <c r="G55" s="114">
        <f t="shared" si="8"/>
        <v>0.27373309374999999</v>
      </c>
    </row>
    <row r="56" spans="2:7" ht="12.75" customHeight="1">
      <c r="B56" s="29">
        <v>0.6</v>
      </c>
      <c r="C56" s="32">
        <f t="shared" si="9"/>
        <v>0.64882899999999988</v>
      </c>
      <c r="D56" s="114">
        <f t="shared" si="6"/>
        <v>0.86485600000000007</v>
      </c>
      <c r="E56" s="114">
        <f t="shared" si="10"/>
        <v>0.62829975661824</v>
      </c>
      <c r="F56" s="114">
        <f t="shared" si="7"/>
        <v>0.616448</v>
      </c>
      <c r="G56" s="114">
        <f t="shared" si="8"/>
        <v>0.28862320000000002</v>
      </c>
    </row>
    <row r="57" spans="2:7" ht="12.75" customHeight="1">
      <c r="B57" s="29">
        <v>0.65</v>
      </c>
      <c r="C57" s="32">
        <f t="shared" si="9"/>
        <v>0.68191200000000007</v>
      </c>
      <c r="D57" s="114">
        <f t="shared" si="6"/>
        <v>0.86085337500000003</v>
      </c>
      <c r="E57" s="114">
        <f t="shared" si="10"/>
        <v>0.62249756792906819</v>
      </c>
      <c r="F57" s="114">
        <f t="shared" si="7"/>
        <v>0.61082550000000002</v>
      </c>
      <c r="G57" s="114">
        <f t="shared" si="8"/>
        <v>0.30432631875000005</v>
      </c>
    </row>
    <row r="58" spans="2:7" ht="12.75" customHeight="1">
      <c r="B58" s="29">
        <v>0.7</v>
      </c>
      <c r="C58" s="32">
        <f t="shared" si="9"/>
        <v>0.71620100000000009</v>
      </c>
      <c r="D58" s="114">
        <f t="shared" si="6"/>
        <v>0.85750300000000002</v>
      </c>
      <c r="E58" s="114">
        <f t="shared" si="10"/>
        <v>0.61766157180755998</v>
      </c>
      <c r="F58" s="114">
        <f t="shared" si="7"/>
        <v>0.60667199999999999</v>
      </c>
      <c r="G58" s="114">
        <f t="shared" si="8"/>
        <v>0.32080479999999983</v>
      </c>
    </row>
    <row r="59" spans="2:7" ht="12.75" customHeight="1">
      <c r="B59" s="29">
        <v>0.75</v>
      </c>
      <c r="C59" s="32">
        <f t="shared" si="9"/>
        <v>0.75263800000000014</v>
      </c>
      <c r="D59" s="114">
        <f t="shared" si="6"/>
        <v>0.854753125</v>
      </c>
      <c r="E59" s="114">
        <f t="shared" si="10"/>
        <v>0.61370643994570306</v>
      </c>
      <c r="F59" s="114">
        <f t="shared" si="7"/>
        <v>0.60398750000000001</v>
      </c>
      <c r="G59" s="114">
        <f t="shared" si="8"/>
        <v>0.33790234374999994</v>
      </c>
    </row>
    <row r="60" spans="2:7" ht="12.75" customHeight="1">
      <c r="B60" s="29">
        <v>0.8</v>
      </c>
      <c r="C60" s="32">
        <f t="shared" si="9"/>
        <v>0.79216500000000023</v>
      </c>
      <c r="D60" s="114">
        <f t="shared" si="6"/>
        <v>0.85255199999999998</v>
      </c>
      <c r="E60" s="114">
        <f t="shared" si="10"/>
        <v>0.61054972667135998</v>
      </c>
      <c r="F60" s="114">
        <f t="shared" si="7"/>
        <v>0.60277199999999997</v>
      </c>
      <c r="G60" s="114">
        <f t="shared" si="8"/>
        <v>0.35534399999999966</v>
      </c>
    </row>
    <row r="61" spans="2:7" ht="12.75" customHeight="1">
      <c r="B61" s="29">
        <v>0.85</v>
      </c>
      <c r="C61" s="32">
        <f t="shared" si="9"/>
        <v>0.83572399999999991</v>
      </c>
      <c r="D61" s="114">
        <f t="shared" si="6"/>
        <v>0.85084787499999992</v>
      </c>
      <c r="E61" s="114">
        <f t="shared" si="10"/>
        <v>0.608111369369293</v>
      </c>
      <c r="F61" s="114">
        <f t="shared" si="7"/>
        <v>0.60302549999999999</v>
      </c>
      <c r="G61" s="114">
        <f t="shared" si="8"/>
        <v>0.37273616875000004</v>
      </c>
    </row>
    <row r="62" spans="2:7" ht="12.75" customHeight="1">
      <c r="B62" s="29">
        <v>0.9</v>
      </c>
      <c r="C62" s="32">
        <f t="shared" si="9"/>
        <v>0.88425700000000007</v>
      </c>
      <c r="D62" s="114">
        <f t="shared" si="6"/>
        <v>0.85</v>
      </c>
      <c r="E62" s="114">
        <f t="shared" si="10"/>
        <v>0.60689999999999988</v>
      </c>
      <c r="F62" s="114">
        <f t="shared" si="7"/>
        <v>0.60474800000000006</v>
      </c>
      <c r="G62" s="114">
        <f t="shared" si="8"/>
        <v>0.38956659999999987</v>
      </c>
    </row>
    <row r="63" spans="2:7" ht="12.75" customHeight="1">
      <c r="B63" s="29">
        <v>0.95</v>
      </c>
      <c r="C63" s="32">
        <f t="shared" si="9"/>
        <v>0.93870599999999993</v>
      </c>
      <c r="D63" s="114">
        <f t="shared" si="6"/>
        <v>0.85</v>
      </c>
      <c r="E63" s="114">
        <f t="shared" si="10"/>
        <v>0.60689999999999988</v>
      </c>
      <c r="F63" s="114">
        <f t="shared" si="7"/>
        <v>0.60793950000000008</v>
      </c>
      <c r="G63" s="114">
        <f t="shared" si="8"/>
        <v>0.40520439374999973</v>
      </c>
    </row>
    <row r="64" spans="2:7" ht="12.75" customHeight="1">
      <c r="B64" s="29">
        <v>1</v>
      </c>
      <c r="C64" s="32">
        <f t="shared" si="9"/>
        <v>1</v>
      </c>
      <c r="D64" s="114">
        <f t="shared" si="6"/>
        <v>0.85</v>
      </c>
      <c r="E64" s="114">
        <f t="shared" si="10"/>
        <v>0.60689999999999988</v>
      </c>
      <c r="F64" s="114">
        <f t="shared" si="7"/>
        <v>0.61260000000000003</v>
      </c>
      <c r="G64" s="114">
        <f t="shared" si="8"/>
        <v>0.41889999999999972</v>
      </c>
    </row>
    <row r="65" spans="2:7" ht="12.75" customHeight="1">
      <c r="B65" s="16"/>
      <c r="C65" s="16"/>
      <c r="D65" s="16"/>
      <c r="E65" s="16"/>
      <c r="F65" s="16"/>
      <c r="G65" s="16"/>
    </row>
    <row r="66" spans="2:7" ht="12.75" customHeight="1">
      <c r="B66" s="16"/>
      <c r="C66" s="16"/>
      <c r="D66" s="16"/>
      <c r="E66" s="16"/>
      <c r="F66" s="16"/>
      <c r="G66" s="16"/>
    </row>
    <row r="67" spans="2:7" ht="12.75" customHeight="1">
      <c r="B67" s="16"/>
      <c r="C67" s="16"/>
      <c r="D67" s="16"/>
      <c r="E67" s="16"/>
      <c r="F67" s="16"/>
      <c r="G67" s="16"/>
    </row>
    <row r="68" spans="2:7" ht="12.75" customHeight="1">
      <c r="B68" s="16"/>
      <c r="C68" s="16"/>
      <c r="D68" s="16"/>
      <c r="E68" s="16"/>
      <c r="F68" s="16"/>
      <c r="G68" s="16"/>
    </row>
    <row r="69" spans="2:7" ht="12.75" customHeight="1">
      <c r="B69" s="16"/>
      <c r="C69" s="16"/>
      <c r="D69" s="16"/>
      <c r="E69" s="16"/>
      <c r="F69" s="16"/>
      <c r="G69" s="16"/>
    </row>
    <row r="70" spans="2:7" ht="12.75" customHeight="1">
      <c r="B70" s="16"/>
      <c r="C70" s="16"/>
      <c r="D70" s="16"/>
      <c r="E70" s="16"/>
      <c r="F70" s="16"/>
      <c r="G70" s="16"/>
    </row>
    <row r="71" spans="2:7" ht="12.75" customHeight="1">
      <c r="B71" s="16"/>
      <c r="C71" s="16"/>
      <c r="D71" s="16"/>
      <c r="E71" s="16"/>
      <c r="F71" s="16"/>
      <c r="G71" s="16"/>
    </row>
  </sheetData>
  <mergeCells count="7">
    <mergeCell ref="C9:F9"/>
    <mergeCell ref="B9:B11"/>
    <mergeCell ref="G10:G11"/>
    <mergeCell ref="H10:H11"/>
    <mergeCell ref="G9:H9"/>
    <mergeCell ref="D10:F10"/>
    <mergeCell ref="C10:C11"/>
  </mergeCells>
  <phoneticPr fontId="23"/>
  <dataValidations count="2">
    <dataValidation type="list" allowBlank="1" showInputMessage="1" showErrorMessage="1" sqref="D29" xr:uid="{00000000-0002-0000-0800-000000000000}">
      <formula1>IF($D$28="Metal Seat",D11:F11,H11:H11)</formula1>
    </dataValidation>
    <dataValidation type="list" allowBlank="1" showInputMessage="1" showErrorMessage="1" sqref="D28" xr:uid="{00000000-0002-0000-0800-000001000000}">
      <formula1>"Metal Seat,Soft Seat"</formula1>
    </dataValidation>
  </dataValidations>
  <pageMargins left="0.7" right="0.7" top="0.75" bottom="0.75" header="0.3" footer="0.3"/>
  <pageSetup orientation="portrait" horizontalDpi="1200" verticalDpi="1200" r:id="rId1"/>
  <customProperties>
    <customPr name="BudgetSheetCodeName" r:id="rId2"/>
  </customProperties>
  <drawing r:id="rId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3"/>
  <dimension ref="B1:N78"/>
  <sheetViews>
    <sheetView tabSelected="1" topLeftCell="A24" workbookViewId="0">
      <selection activeCell="G50" sqref="G50"/>
    </sheetView>
  </sheetViews>
  <sheetFormatPr defaultColWidth="8.84375" defaultRowHeight="12.75" customHeight="1"/>
  <cols>
    <col min="1" max="1" width="2.765625" style="15" customWidth="1"/>
    <col min="2" max="16384" width="8.84375" style="15"/>
  </cols>
  <sheetData>
    <row r="1" spans="2:7" ht="16.5">
      <c r="B1" s="30" t="s">
        <v>244</v>
      </c>
      <c r="C1" s="264"/>
      <c r="D1" s="264"/>
      <c r="E1" s="264"/>
    </row>
    <row r="3" spans="2:7" ht="12.75" customHeight="1">
      <c r="B3" s="33" t="s">
        <v>0</v>
      </c>
      <c r="C3" s="33"/>
    </row>
    <row r="4" spans="2:7" ht="12.75" customHeight="1">
      <c r="B4" s="33"/>
      <c r="C4" s="33" t="s">
        <v>174</v>
      </c>
      <c r="E4" s="118" t="s">
        <v>206</v>
      </c>
    </row>
    <row r="5" spans="2:7" ht="12.75" customHeight="1">
      <c r="C5" s="33" t="s">
        <v>142</v>
      </c>
      <c r="E5" s="15" t="s">
        <v>205</v>
      </c>
    </row>
    <row r="7" spans="2:7" ht="12.75" customHeight="1">
      <c r="B7" s="33" t="s">
        <v>197</v>
      </c>
    </row>
    <row r="8" spans="2:7" ht="12.75" customHeight="1" thickBot="1"/>
    <row r="9" spans="2:7" ht="12.75" customHeight="1">
      <c r="B9" s="341" t="s">
        <v>65</v>
      </c>
      <c r="C9" s="336" t="s">
        <v>12</v>
      </c>
      <c r="D9" s="332" t="s">
        <v>156</v>
      </c>
      <c r="E9" s="334" t="s">
        <v>155</v>
      </c>
      <c r="F9" s="335"/>
    </row>
    <row r="10" spans="2:7" ht="12.75" customHeight="1">
      <c r="B10" s="342"/>
      <c r="C10" s="337"/>
      <c r="D10" s="333"/>
      <c r="E10" s="59" t="s">
        <v>207</v>
      </c>
      <c r="F10" s="86" t="s">
        <v>208</v>
      </c>
    </row>
    <row r="11" spans="2:7" ht="12.75" customHeight="1" thickBot="1">
      <c r="B11" s="343"/>
      <c r="C11" s="202" t="s">
        <v>177</v>
      </c>
      <c r="D11" s="200" t="s">
        <v>18</v>
      </c>
      <c r="E11" s="93" t="s">
        <v>18</v>
      </c>
      <c r="F11" s="94" t="s">
        <v>18</v>
      </c>
      <c r="G11" s="293" t="s">
        <v>80</v>
      </c>
    </row>
    <row r="12" spans="2:7" ht="12.75" customHeight="1">
      <c r="B12" s="338" t="s">
        <v>141</v>
      </c>
      <c r="C12" s="292" t="s">
        <v>195</v>
      </c>
      <c r="D12" s="199">
        <v>10</v>
      </c>
      <c r="E12" s="61">
        <v>125</v>
      </c>
      <c r="F12" s="62">
        <v>235</v>
      </c>
      <c r="G12" s="294">
        <v>58</v>
      </c>
    </row>
    <row r="13" spans="2:7" ht="12.75" customHeight="1">
      <c r="B13" s="339"/>
      <c r="C13" s="267" t="s">
        <v>182</v>
      </c>
      <c r="D13" s="149">
        <v>16</v>
      </c>
      <c r="E13" s="59">
        <v>230</v>
      </c>
      <c r="F13" s="86">
        <v>480</v>
      </c>
      <c r="G13" s="294">
        <v>59</v>
      </c>
    </row>
    <row r="14" spans="2:7" ht="12.75" customHeight="1">
      <c r="B14" s="339"/>
      <c r="C14" s="267" t="s">
        <v>193</v>
      </c>
      <c r="D14" s="149">
        <v>24</v>
      </c>
      <c r="E14" s="59">
        <v>360</v>
      </c>
      <c r="F14" s="86">
        <v>750</v>
      </c>
      <c r="G14" s="294">
        <v>60</v>
      </c>
    </row>
    <row r="15" spans="2:7" ht="12.75" customHeight="1">
      <c r="B15" s="339"/>
      <c r="C15" s="267" t="s">
        <v>183</v>
      </c>
      <c r="D15" s="149">
        <v>40</v>
      </c>
      <c r="E15" s="59">
        <v>650</v>
      </c>
      <c r="F15" s="86">
        <v>1350</v>
      </c>
      <c r="G15" s="294">
        <v>61</v>
      </c>
    </row>
    <row r="16" spans="2:7" ht="12.75" customHeight="1">
      <c r="B16" s="339"/>
      <c r="C16" s="267" t="s">
        <v>184</v>
      </c>
      <c r="D16" s="149">
        <v>70</v>
      </c>
      <c r="E16" s="59">
        <v>1120</v>
      </c>
      <c r="F16" s="86">
        <v>2310</v>
      </c>
      <c r="G16" s="294">
        <v>62</v>
      </c>
    </row>
    <row r="17" spans="2:7" ht="12.75" customHeight="1">
      <c r="B17" s="339"/>
      <c r="C17" s="267" t="s">
        <v>185</v>
      </c>
      <c r="D17" s="149">
        <v>114</v>
      </c>
      <c r="E17" s="59">
        <v>1810</v>
      </c>
      <c r="F17" s="86">
        <v>3740</v>
      </c>
      <c r="G17" s="294">
        <v>63</v>
      </c>
    </row>
    <row r="18" spans="2:7" ht="12.75" customHeight="1">
      <c r="B18" s="339"/>
      <c r="C18" s="267" t="s">
        <v>186</v>
      </c>
      <c r="D18" s="149">
        <v>170</v>
      </c>
      <c r="E18" s="59">
        <v>2470</v>
      </c>
      <c r="F18" s="86">
        <v>5100</v>
      </c>
      <c r="G18" s="294">
        <v>64</v>
      </c>
    </row>
    <row r="19" spans="2:7" ht="12.75" customHeight="1">
      <c r="B19" s="339"/>
      <c r="C19" s="267" t="s">
        <v>187</v>
      </c>
      <c r="D19" s="149">
        <v>227</v>
      </c>
      <c r="E19" s="59">
        <v>3290</v>
      </c>
      <c r="F19" s="86">
        <v>6860</v>
      </c>
      <c r="G19" s="294">
        <v>65</v>
      </c>
    </row>
    <row r="20" spans="2:7" ht="12.75" customHeight="1">
      <c r="B20" s="339"/>
      <c r="C20" s="267" t="s">
        <v>188</v>
      </c>
      <c r="D20" s="149">
        <v>300</v>
      </c>
      <c r="E20" s="59">
        <v>4300</v>
      </c>
      <c r="F20" s="86">
        <v>8960</v>
      </c>
      <c r="G20" s="294">
        <v>66</v>
      </c>
    </row>
    <row r="21" spans="2:7" ht="12.75" customHeight="1">
      <c r="B21" s="339"/>
      <c r="C21" s="267" t="s">
        <v>189</v>
      </c>
      <c r="D21" s="149">
        <v>368</v>
      </c>
      <c r="E21" s="59">
        <v>5440</v>
      </c>
      <c r="F21" s="86">
        <v>11340</v>
      </c>
      <c r="G21" s="65">
        <v>67</v>
      </c>
    </row>
    <row r="22" spans="2:7" ht="12.75" customHeight="1">
      <c r="B22" s="339"/>
      <c r="C22" s="267" t="s">
        <v>201</v>
      </c>
      <c r="D22" s="149">
        <v>465</v>
      </c>
      <c r="E22" s="59">
        <v>6720</v>
      </c>
      <c r="F22" s="86">
        <v>14000</v>
      </c>
      <c r="G22" s="65">
        <v>68</v>
      </c>
    </row>
    <row r="23" spans="2:7" ht="12.75" customHeight="1" thickBot="1">
      <c r="B23" s="340"/>
      <c r="C23" s="291" t="s">
        <v>202</v>
      </c>
      <c r="D23" s="200">
        <v>620</v>
      </c>
      <c r="E23" s="93">
        <v>9670</v>
      </c>
      <c r="F23" s="94">
        <v>20160</v>
      </c>
      <c r="G23" s="65">
        <v>69</v>
      </c>
    </row>
    <row r="24" spans="2:7" ht="12.75" customHeight="1">
      <c r="B24" s="339" t="s">
        <v>139</v>
      </c>
      <c r="C24" s="290" t="s">
        <v>195</v>
      </c>
      <c r="D24" s="210">
        <v>10</v>
      </c>
      <c r="E24" s="95">
        <v>110</v>
      </c>
      <c r="F24" s="96">
        <v>240</v>
      </c>
      <c r="G24" s="65">
        <v>70</v>
      </c>
    </row>
    <row r="25" spans="2:7" ht="12.75" customHeight="1">
      <c r="B25" s="339"/>
      <c r="C25" s="267" t="s">
        <v>182</v>
      </c>
      <c r="D25" s="149">
        <v>15</v>
      </c>
      <c r="E25" s="59">
        <v>210</v>
      </c>
      <c r="F25" s="86">
        <v>430</v>
      </c>
      <c r="G25" s="65">
        <v>71</v>
      </c>
    </row>
    <row r="26" spans="2:7" ht="12.75" customHeight="1">
      <c r="B26" s="339"/>
      <c r="C26" s="267" t="s">
        <v>193</v>
      </c>
      <c r="D26" s="149">
        <v>22</v>
      </c>
      <c r="E26" s="59">
        <v>325</v>
      </c>
      <c r="F26" s="86">
        <v>670</v>
      </c>
      <c r="G26" s="65">
        <v>72</v>
      </c>
    </row>
    <row r="27" spans="2:7" ht="12.75" customHeight="1">
      <c r="B27" s="339"/>
      <c r="C27" s="267" t="s">
        <v>183</v>
      </c>
      <c r="D27" s="149">
        <v>38</v>
      </c>
      <c r="E27" s="59">
        <v>585</v>
      </c>
      <c r="F27" s="86">
        <v>1210</v>
      </c>
      <c r="G27" s="65">
        <v>73</v>
      </c>
    </row>
    <row r="28" spans="2:7" ht="12.75" customHeight="1">
      <c r="B28" s="339"/>
      <c r="C28" s="267" t="s">
        <v>184</v>
      </c>
      <c r="D28" s="149">
        <v>65</v>
      </c>
      <c r="E28" s="59">
        <v>1000</v>
      </c>
      <c r="F28" s="86">
        <v>2100</v>
      </c>
      <c r="G28" s="65">
        <v>74</v>
      </c>
    </row>
    <row r="29" spans="2:7" ht="12.75" customHeight="1">
      <c r="B29" s="339"/>
      <c r="C29" s="267" t="s">
        <v>185</v>
      </c>
      <c r="D29" s="149">
        <v>100</v>
      </c>
      <c r="E29" s="59">
        <v>1630</v>
      </c>
      <c r="F29" s="86">
        <v>3350</v>
      </c>
      <c r="G29" s="65">
        <v>75</v>
      </c>
    </row>
    <row r="30" spans="2:7" ht="12.75" customHeight="1">
      <c r="B30" s="339"/>
      <c r="C30" s="267" t="s">
        <v>186</v>
      </c>
      <c r="D30" s="149">
        <v>140</v>
      </c>
      <c r="E30" s="59">
        <v>2220</v>
      </c>
      <c r="F30" s="86">
        <v>4600</v>
      </c>
      <c r="G30" s="65">
        <v>76</v>
      </c>
    </row>
    <row r="31" spans="2:7" ht="12.75" customHeight="1">
      <c r="B31" s="339"/>
      <c r="C31" s="267" t="s">
        <v>187</v>
      </c>
      <c r="D31" s="149">
        <v>187</v>
      </c>
      <c r="E31" s="59">
        <v>2960</v>
      </c>
      <c r="F31" s="86">
        <v>6170</v>
      </c>
      <c r="G31" s="65">
        <v>77</v>
      </c>
    </row>
    <row r="32" spans="2:7" ht="12.75" customHeight="1">
      <c r="B32" s="339"/>
      <c r="C32" s="267" t="s">
        <v>188</v>
      </c>
      <c r="D32" s="149">
        <v>236</v>
      </c>
      <c r="E32" s="59">
        <v>3870</v>
      </c>
      <c r="F32" s="86">
        <v>8060</v>
      </c>
      <c r="G32" s="65">
        <v>78</v>
      </c>
    </row>
    <row r="33" spans="2:14" ht="12.75" customHeight="1">
      <c r="B33" s="339"/>
      <c r="C33" s="267" t="s">
        <v>189</v>
      </c>
      <c r="D33" s="149">
        <v>300</v>
      </c>
      <c r="E33" s="59">
        <v>4900</v>
      </c>
      <c r="F33" s="86">
        <v>10400</v>
      </c>
      <c r="G33" s="65">
        <v>79</v>
      </c>
    </row>
    <row r="34" spans="2:14" ht="12.75" customHeight="1">
      <c r="B34" s="339"/>
      <c r="C34" s="267" t="s">
        <v>201</v>
      </c>
      <c r="D34" s="149">
        <v>400</v>
      </c>
      <c r="E34" s="59">
        <v>6050</v>
      </c>
      <c r="F34" s="86">
        <v>12600</v>
      </c>
      <c r="G34" s="65">
        <v>80</v>
      </c>
    </row>
    <row r="35" spans="2:14" ht="12.75" customHeight="1" thickBot="1">
      <c r="B35" s="340"/>
      <c r="C35" s="291" t="s">
        <v>202</v>
      </c>
      <c r="D35" s="200">
        <v>560</v>
      </c>
      <c r="E35" s="93">
        <v>8700</v>
      </c>
      <c r="F35" s="94">
        <v>18200</v>
      </c>
      <c r="G35" s="65">
        <v>81</v>
      </c>
    </row>
    <row r="38" spans="2:14" ht="12.75" customHeight="1">
      <c r="B38" s="33" t="s">
        <v>67</v>
      </c>
    </row>
    <row r="39" spans="2:14" ht="12.75" customHeight="1">
      <c r="B39" s="33" t="s">
        <v>93</v>
      </c>
      <c r="D39" s="59" t="s">
        <v>139</v>
      </c>
      <c r="E39" s="112"/>
    </row>
    <row r="40" spans="2:14" ht="12.75" customHeight="1">
      <c r="B40" s="33" t="s">
        <v>196</v>
      </c>
      <c r="D40" s="59" t="s">
        <v>188</v>
      </c>
      <c r="E40" s="112"/>
      <c r="F40" s="112"/>
    </row>
    <row r="41" spans="2:14" ht="12.75" customHeight="1">
      <c r="B41" s="33" t="s">
        <v>209</v>
      </c>
      <c r="D41" s="59" t="s">
        <v>207</v>
      </c>
      <c r="E41" s="15" t="s">
        <v>247</v>
      </c>
      <c r="F41" s="15">
        <f>IF(D41=E41,,0)</f>
        <v>0</v>
      </c>
    </row>
    <row r="42" spans="2:14" ht="12.75" customHeight="1">
      <c r="B42" s="124" t="s">
        <v>140</v>
      </c>
      <c r="C42" s="279"/>
      <c r="D42" s="65">
        <f>IF(AND($D$39="150#",$D$41="60 Deg"),INDEX(E12:E23,MATCH($D$40,C12:C23,0)),
    IF(AND($D$39="150#",$D$41="90 Deg"),INDEX(F12:F23,MATCH($D$40,C12:C23,0)),
      IF(AND($D$39="300#",$D$41="60 Deg"),INDEX(E24:E35,MATCH($D$40,C24:C35,0)),
        INDEX(F24:F35,MATCH($D$40,C24:C35,0)))))</f>
        <v>3870</v>
      </c>
      <c r="H42" s="65">
        <v>2</v>
      </c>
      <c r="I42" s="65">
        <v>3</v>
      </c>
      <c r="J42" s="65">
        <v>4</v>
      </c>
      <c r="K42" s="65">
        <v>5</v>
      </c>
      <c r="L42" s="65">
        <v>6</v>
      </c>
      <c r="M42" s="65">
        <v>7</v>
      </c>
      <c r="N42" s="65">
        <v>8</v>
      </c>
    </row>
    <row r="43" spans="2:14" ht="12.75" customHeight="1">
      <c r="I43" s="28" t="s">
        <v>53</v>
      </c>
      <c r="J43" s="28" t="s">
        <v>54</v>
      </c>
      <c r="K43" s="28" t="s">
        <v>55</v>
      </c>
      <c r="L43" s="28" t="s">
        <v>56</v>
      </c>
      <c r="M43" s="28" t="s">
        <v>57</v>
      </c>
      <c r="N43" s="28" t="s">
        <v>58</v>
      </c>
    </row>
    <row r="44" spans="2:14" ht="12.75" customHeight="1">
      <c r="B44" s="33" t="s">
        <v>95</v>
      </c>
      <c r="F44" s="15" t="s">
        <v>43</v>
      </c>
      <c r="G44" s="16"/>
      <c r="H44" s="28">
        <f>IF($D$39="150#",INDEX(G12:G23,MATCH($D$40,C12:C23,0)),
    INDEX(G24:G35,MATCH($D$40,C24:C35,0)))</f>
        <v>78</v>
      </c>
      <c r="I44" s="116">
        <f t="shared" ref="I44:N44" si="0">VLOOKUP($H$44,StkData,I42)</f>
        <v>0</v>
      </c>
      <c r="J44" s="116">
        <f t="shared" si="0"/>
        <v>0.402341</v>
      </c>
      <c r="K44" s="116">
        <f t="shared" si="0"/>
        <v>2.4820700000000001E-5</v>
      </c>
      <c r="L44" s="116">
        <f t="shared" si="0"/>
        <v>-114.932</v>
      </c>
      <c r="M44" s="116">
        <f t="shared" si="0"/>
        <v>-67.9315</v>
      </c>
      <c r="N44" s="116">
        <f t="shared" si="0"/>
        <v>0.69156899999999999</v>
      </c>
    </row>
    <row r="45" spans="2:14" ht="12.75" customHeight="1">
      <c r="B45" s="33" t="s">
        <v>210</v>
      </c>
      <c r="G45" s="16"/>
      <c r="H45" s="15" t="str">
        <f>IF(D41="60 Deg","%Stk = Exp(A4*Log(Cv) + A3*Cv + A1/(Cv + A2) + A0)/60","%Stk = Exp(A4*Log(Cv) + A3*Cv + A1/(Cv + A2) + A0)/90")</f>
        <v>%Stk = Exp(A4*Log(Cv) + A3*Cv + A1/(Cv + A2) + A0)/60</v>
      </c>
      <c r="I45" s="116"/>
      <c r="J45" s="116"/>
      <c r="K45" s="116"/>
      <c r="L45" s="116"/>
      <c r="M45" s="116"/>
      <c r="N45" s="116"/>
    </row>
    <row r="46" spans="2:14" ht="12.75" customHeight="1">
      <c r="F46" s="34"/>
      <c r="H46" s="28" t="s">
        <v>30</v>
      </c>
      <c r="I46" s="28" t="s">
        <v>31</v>
      </c>
      <c r="J46" s="28" t="s">
        <v>44</v>
      </c>
      <c r="K46" s="28" t="s">
        <v>45</v>
      </c>
      <c r="L46" s="28" t="s">
        <v>46</v>
      </c>
      <c r="M46" s="28" t="s">
        <v>47</v>
      </c>
      <c r="N46" s="28" t="s">
        <v>48</v>
      </c>
    </row>
    <row r="47" spans="2:14" ht="12.75" customHeight="1">
      <c r="B47" s="33" t="s">
        <v>21</v>
      </c>
      <c r="F47" s="15" t="s">
        <v>32</v>
      </c>
      <c r="G47" s="28">
        <f>IF($D$41="60 Deg",6,7)</f>
        <v>6</v>
      </c>
      <c r="H47" s="16">
        <f t="shared" ref="H47:N47" si="1">VLOOKUP($G$47,FLData,H42)</f>
        <v>0.68</v>
      </c>
      <c r="I47" s="16">
        <f t="shared" si="1"/>
        <v>0.87</v>
      </c>
      <c r="J47" s="16">
        <f t="shared" si="1"/>
        <v>0</v>
      </c>
      <c r="K47" s="16">
        <f t="shared" si="1"/>
        <v>0</v>
      </c>
      <c r="L47" s="16">
        <f t="shared" si="1"/>
        <v>-0.27979999999999999</v>
      </c>
      <c r="M47" s="16">
        <f t="shared" si="1"/>
        <v>8.2000000000000003E-2</v>
      </c>
      <c r="N47" s="16">
        <f t="shared" si="1"/>
        <v>0.87709999999999999</v>
      </c>
    </row>
    <row r="48" spans="2:14" ht="12.75" customHeight="1">
      <c r="B48" s="33" t="s">
        <v>33</v>
      </c>
      <c r="F48" s="15" t="s">
        <v>34</v>
      </c>
      <c r="G48" s="28">
        <f>IF($D$41="60 Deg",6,7)</f>
        <v>6</v>
      </c>
      <c r="H48" s="16">
        <f t="shared" ref="H48:N48" si="2">VLOOKUP($G$48,KcData,H42)</f>
        <v>0.32</v>
      </c>
      <c r="I48" s="16">
        <f t="shared" si="2"/>
        <v>0.53500000000000003</v>
      </c>
      <c r="J48" s="16">
        <f t="shared" si="2"/>
        <v>0</v>
      </c>
      <c r="K48" s="16">
        <f t="shared" si="2"/>
        <v>0</v>
      </c>
      <c r="L48" s="16">
        <f t="shared" si="2"/>
        <v>-0.3125</v>
      </c>
      <c r="M48" s="16">
        <f t="shared" si="2"/>
        <v>9.2600000000000002E-2</v>
      </c>
      <c r="N48" s="16">
        <f t="shared" si="2"/>
        <v>0.53890000000000005</v>
      </c>
    </row>
    <row r="49" spans="2:14" ht="12.75" customHeight="1">
      <c r="B49" s="33" t="s">
        <v>26</v>
      </c>
      <c r="F49" s="15" t="s">
        <v>87</v>
      </c>
      <c r="G49" s="16">
        <f>IF($D$41="60 Deg",6,7)</f>
        <v>6</v>
      </c>
      <c r="H49" s="16">
        <f t="shared" ref="H49:N49" si="3">VLOOKUP($G$49,FdData,H42)</f>
        <v>0</v>
      </c>
      <c r="I49" s="16">
        <f t="shared" si="3"/>
        <v>10</v>
      </c>
      <c r="J49" s="16">
        <f t="shared" si="3"/>
        <v>-4.8779999999999997E-2</v>
      </c>
      <c r="K49" s="16">
        <f t="shared" si="3"/>
        <v>0.26790000000000003</v>
      </c>
      <c r="L49" s="16">
        <f t="shared" si="3"/>
        <v>-0.58150000000000002</v>
      </c>
      <c r="M49" s="16">
        <f t="shared" si="3"/>
        <v>0.7036</v>
      </c>
      <c r="N49" s="16">
        <f t="shared" si="3"/>
        <v>0.1744</v>
      </c>
    </row>
    <row r="50" spans="2:14" ht="12.75" customHeight="1">
      <c r="B50" s="33" t="s">
        <v>24</v>
      </c>
      <c r="F50" s="15" t="s">
        <v>68</v>
      </c>
      <c r="G50" s="28">
        <f>IF($D$41="60Deg",0.39,0.25)</f>
        <v>0.25</v>
      </c>
      <c r="H50" s="36" t="s">
        <v>37</v>
      </c>
      <c r="I50" s="16"/>
      <c r="J50" s="16"/>
      <c r="K50" s="16"/>
      <c r="L50" s="16"/>
      <c r="M50" s="16"/>
      <c r="N50" s="16"/>
    </row>
    <row r="51" spans="2:14" ht="12.75" customHeight="1">
      <c r="B51" s="33"/>
      <c r="F51" s="15" t="s">
        <v>25</v>
      </c>
      <c r="G51" s="16" t="s">
        <v>29</v>
      </c>
      <c r="H51" s="36" t="s">
        <v>36</v>
      </c>
      <c r="I51" s="16"/>
      <c r="J51" s="16"/>
      <c r="K51" s="16"/>
      <c r="L51" s="16"/>
      <c r="M51" s="16"/>
      <c r="N51" s="16"/>
    </row>
    <row r="52" spans="2:14" ht="12.75" customHeight="1">
      <c r="B52" s="33" t="s">
        <v>22</v>
      </c>
      <c r="F52" s="15" t="s">
        <v>23</v>
      </c>
      <c r="G52" s="16" t="s">
        <v>29</v>
      </c>
      <c r="H52" s="36" t="s">
        <v>38</v>
      </c>
    </row>
    <row r="53" spans="2:14" ht="12.75" customHeight="1">
      <c r="B53" s="33" t="s">
        <v>28</v>
      </c>
      <c r="F53" s="15" t="s">
        <v>27</v>
      </c>
      <c r="G53" s="16" t="s">
        <v>29</v>
      </c>
      <c r="H53" s="16"/>
      <c r="I53" s="16"/>
    </row>
    <row r="54" spans="2:14" ht="12.75" customHeight="1">
      <c r="D54" s="33"/>
    </row>
    <row r="57" spans="2:14" ht="12.75" customHeight="1">
      <c r="B57" s="28" t="s">
        <v>60</v>
      </c>
      <c r="C57" s="16"/>
      <c r="E57" s="16"/>
      <c r="F57" s="16"/>
      <c r="G57" s="16"/>
      <c r="H57" s="16"/>
    </row>
    <row r="58" spans="2:14" ht="12.75" customHeight="1">
      <c r="B58" s="28" t="s">
        <v>35</v>
      </c>
      <c r="C58" s="28" t="s">
        <v>43</v>
      </c>
      <c r="D58" s="28" t="s">
        <v>32</v>
      </c>
      <c r="E58" s="28" t="s">
        <v>25</v>
      </c>
      <c r="F58" s="28" t="s">
        <v>34</v>
      </c>
      <c r="G58" s="16" t="s">
        <v>87</v>
      </c>
    </row>
    <row r="59" spans="2:14" ht="12.75" customHeight="1">
      <c r="B59" s="29">
        <v>5.0000000000000001E-3</v>
      </c>
      <c r="C59" s="32">
        <f>EXP($J$44*LN($D$42*B59)+$K$44*$D$42*B59+$M$44/($D$42*B59+$L$44)+$N$44)/IF($D$41="60 Deg",60,90)</f>
        <v>0.22322650835662303</v>
      </c>
      <c r="D59" s="114">
        <f t="shared" ref="D59:D78" si="4">MIN(MAX($J$47*B59^4+$K$47*B59^3+$L$47*B59^2+$M$47*B59+$N$47,$H$47),$I$47)</f>
        <v>0.87</v>
      </c>
      <c r="E59" s="114">
        <f>0.84*D59^ 2</f>
        <v>0.63579600000000003</v>
      </c>
      <c r="F59" s="114">
        <f t="shared" ref="F59:F78" si="5">MIN(MAX($J$48*B59^4+$K$48*B59^3+$L$48*B59^2+$M$48*B59+$N$48,$H$48),$I$48)</f>
        <v>0.53500000000000003</v>
      </c>
      <c r="G59" s="114">
        <f t="shared" ref="G59:G78" si="6">MIN(MAX($J$49*B59^4+$K$49*B59^3+$L$49*B59^2+$M$49*B59+$N$49,$H$49),$I$49)</f>
        <v>0.17790349595701249</v>
      </c>
    </row>
    <row r="60" spans="2:14" ht="12.75" customHeight="1">
      <c r="B60" s="29">
        <v>0.01</v>
      </c>
      <c r="C60" s="32">
        <f t="shared" ref="C60:C78" si="7">EXP($J$44*LN($D$42*B60)+$K$44*$D$42*B60+$M$44/($D$42*B60+$L$44)+$N$44)/IF($D$41="60 Deg",60,90)</f>
        <v>0.35352341403623078</v>
      </c>
      <c r="D60" s="114">
        <f t="shared" si="4"/>
        <v>0.87</v>
      </c>
      <c r="E60" s="114">
        <f t="shared" ref="E60:E78" si="8">0.84*D60^ 2</f>
        <v>0.63579600000000003</v>
      </c>
      <c r="F60" s="114">
        <f t="shared" si="5"/>
        <v>0.53500000000000003</v>
      </c>
      <c r="G60" s="114">
        <f t="shared" si="6"/>
        <v>0.1813781174122</v>
      </c>
    </row>
    <row r="61" spans="2:14" ht="12.75" customHeight="1">
      <c r="B61" s="29">
        <v>0.02</v>
      </c>
      <c r="C61" s="32">
        <f t="shared" si="7"/>
        <v>1.1722012786458671</v>
      </c>
      <c r="D61" s="114">
        <f t="shared" si="4"/>
        <v>0.87</v>
      </c>
      <c r="E61" s="114">
        <f t="shared" si="8"/>
        <v>0.63579600000000003</v>
      </c>
      <c r="F61" s="114">
        <f t="shared" si="5"/>
        <v>0.53500000000000003</v>
      </c>
      <c r="G61" s="114">
        <f t="shared" si="6"/>
        <v>0.1882415353952</v>
      </c>
    </row>
    <row r="62" spans="2:14" ht="12.75" customHeight="1">
      <c r="B62" s="29">
        <v>0.04</v>
      </c>
      <c r="C62" s="32">
        <f t="shared" si="7"/>
        <v>4.6227218833737746E-2</v>
      </c>
      <c r="D62" s="114">
        <f t="shared" si="4"/>
        <v>0.87</v>
      </c>
      <c r="E62" s="114">
        <f t="shared" si="8"/>
        <v>0.63579600000000003</v>
      </c>
      <c r="F62" s="114">
        <f t="shared" si="5"/>
        <v>0.53500000000000003</v>
      </c>
      <c r="G62" s="114">
        <f t="shared" si="6"/>
        <v>0.20163062072320001</v>
      </c>
    </row>
    <row r="63" spans="2:14" ht="12.75" customHeight="1">
      <c r="B63" s="29">
        <v>0.08</v>
      </c>
      <c r="C63" s="32">
        <f t="shared" si="7"/>
        <v>0.23775533971204413</v>
      </c>
      <c r="D63" s="114">
        <f t="shared" si="4"/>
        <v>0.87</v>
      </c>
      <c r="E63" s="114">
        <f t="shared" si="8"/>
        <v>0.63579600000000003</v>
      </c>
      <c r="F63" s="114">
        <f t="shared" si="5"/>
        <v>0.53500000000000003</v>
      </c>
      <c r="G63" s="114">
        <f t="shared" si="6"/>
        <v>0.2271015667712</v>
      </c>
    </row>
    <row r="64" spans="2:14" ht="12.75" customHeight="1">
      <c r="B64" s="29">
        <v>0.16</v>
      </c>
      <c r="C64" s="32">
        <f t="shared" si="7"/>
        <v>0.39231138923277603</v>
      </c>
      <c r="D64" s="114">
        <f t="shared" si="4"/>
        <v>0.87</v>
      </c>
      <c r="E64" s="114">
        <f t="shared" si="8"/>
        <v>0.63579600000000003</v>
      </c>
      <c r="F64" s="114">
        <f t="shared" si="5"/>
        <v>0.53500000000000003</v>
      </c>
      <c r="G64" s="114">
        <f t="shared" si="6"/>
        <v>0.27315494993919998</v>
      </c>
    </row>
    <row r="65" spans="2:7" ht="12.75" customHeight="1">
      <c r="B65" s="29">
        <v>0.35</v>
      </c>
      <c r="C65" s="32">
        <f t="shared" si="7"/>
        <v>0.59297559890263352</v>
      </c>
      <c r="D65" s="114">
        <f t="shared" si="4"/>
        <v>0.87</v>
      </c>
      <c r="E65" s="114">
        <f t="shared" si="8"/>
        <v>0.63579600000000003</v>
      </c>
      <c r="F65" s="114">
        <f t="shared" si="5"/>
        <v>0.53302875000000005</v>
      </c>
      <c r="G65" s="114">
        <f t="shared" si="6"/>
        <v>0.36018045762499995</v>
      </c>
    </row>
    <row r="66" spans="2:7" ht="12.75" customHeight="1">
      <c r="B66" s="29">
        <v>0.4</v>
      </c>
      <c r="C66" s="32">
        <f t="shared" si="7"/>
        <v>0.63338656599160525</v>
      </c>
      <c r="D66" s="114">
        <f t="shared" si="4"/>
        <v>0.86513200000000001</v>
      </c>
      <c r="E66" s="114">
        <f t="shared" si="8"/>
        <v>0.62870083703615998</v>
      </c>
      <c r="F66" s="114">
        <f t="shared" si="5"/>
        <v>0.52594000000000007</v>
      </c>
      <c r="G66" s="114">
        <f t="shared" si="6"/>
        <v>0.37869683200000004</v>
      </c>
    </row>
    <row r="67" spans="2:7" ht="12.75" customHeight="1">
      <c r="B67" s="29">
        <v>0.45</v>
      </c>
      <c r="C67" s="32">
        <f t="shared" si="7"/>
        <v>0.67109574572241182</v>
      </c>
      <c r="D67" s="114">
        <f t="shared" si="4"/>
        <v>0.85734049999999995</v>
      </c>
      <c r="E67" s="114">
        <f t="shared" si="8"/>
        <v>0.61742749566980992</v>
      </c>
      <c r="F67" s="114">
        <f t="shared" si="5"/>
        <v>0.51728875000000007</v>
      </c>
      <c r="G67" s="114">
        <f t="shared" si="6"/>
        <v>0.39567835262500001</v>
      </c>
    </row>
    <row r="68" spans="2:7" ht="12.75" customHeight="1">
      <c r="B68" s="29">
        <v>0.5</v>
      </c>
      <c r="C68" s="32">
        <f t="shared" si="7"/>
        <v>0.70665712342063358</v>
      </c>
      <c r="D68" s="114">
        <f t="shared" si="4"/>
        <v>0.84814999999999996</v>
      </c>
      <c r="E68" s="114">
        <f t="shared" si="8"/>
        <v>0.60426107489999992</v>
      </c>
      <c r="F68" s="114">
        <f t="shared" si="5"/>
        <v>0.50707500000000005</v>
      </c>
      <c r="G68" s="114">
        <f t="shared" si="6"/>
        <v>0.41126374999999998</v>
      </c>
    </row>
    <row r="69" spans="2:7" ht="12.75" customHeight="1">
      <c r="B69" s="29">
        <v>0.55000000000000004</v>
      </c>
      <c r="C69" s="32">
        <f t="shared" si="7"/>
        <v>0.74046791156244596</v>
      </c>
      <c r="D69" s="114">
        <f t="shared" si="4"/>
        <v>0.83756050000000004</v>
      </c>
      <c r="E69" s="114">
        <f t="shared" si="8"/>
        <v>0.58926637657461001</v>
      </c>
      <c r="F69" s="114">
        <f t="shared" si="5"/>
        <v>0.49529875000000001</v>
      </c>
      <c r="G69" s="114">
        <f t="shared" si="6"/>
        <v>0.42558443762500003</v>
      </c>
    </row>
    <row r="70" spans="2:7" ht="12.75" customHeight="1">
      <c r="B70" s="29">
        <v>0.6</v>
      </c>
      <c r="C70" s="32">
        <f t="shared" si="7"/>
        <v>0.77282386095490641</v>
      </c>
      <c r="D70" s="114">
        <f t="shared" si="4"/>
        <v>0.82557199999999997</v>
      </c>
      <c r="E70" s="114">
        <f t="shared" si="8"/>
        <v>0.57251806683455997</v>
      </c>
      <c r="F70" s="114">
        <f t="shared" si="5"/>
        <v>0.48196000000000006</v>
      </c>
      <c r="G70" s="114">
        <f t="shared" si="6"/>
        <v>0.438764512</v>
      </c>
    </row>
    <row r="71" spans="2:7" ht="12.75" customHeight="1">
      <c r="B71" s="29">
        <v>0.65</v>
      </c>
      <c r="C71" s="32">
        <f t="shared" si="7"/>
        <v>0.80395186841709909</v>
      </c>
      <c r="D71" s="114">
        <f t="shared" si="4"/>
        <v>0.81218449999999998</v>
      </c>
      <c r="E71" s="114">
        <f t="shared" si="8"/>
        <v>0.55410067611380998</v>
      </c>
      <c r="F71" s="114">
        <f t="shared" si="5"/>
        <v>0.46705875000000002</v>
      </c>
      <c r="G71" s="114">
        <f t="shared" si="6"/>
        <v>0.45092075262499998</v>
      </c>
    </row>
    <row r="72" spans="2:7" ht="12.75" customHeight="1">
      <c r="B72" s="29">
        <v>0.7</v>
      </c>
      <c r="C72" s="32">
        <f t="shared" si="7"/>
        <v>0.83403029825990771</v>
      </c>
      <c r="D72" s="114">
        <f t="shared" si="4"/>
        <v>0.79739800000000005</v>
      </c>
      <c r="E72" s="114">
        <f t="shared" si="8"/>
        <v>0.53410859913936004</v>
      </c>
      <c r="F72" s="114">
        <f t="shared" si="5"/>
        <v>0.45059500000000008</v>
      </c>
      <c r="G72" s="114">
        <f t="shared" si="6"/>
        <v>0.46216262199999997</v>
      </c>
    </row>
    <row r="73" spans="2:7" ht="12.75" customHeight="1">
      <c r="B73" s="29">
        <v>0.75</v>
      </c>
      <c r="C73" s="32">
        <f t="shared" si="7"/>
        <v>0.86320222689728587</v>
      </c>
      <c r="D73" s="114">
        <f t="shared" si="4"/>
        <v>0.78121249999999998</v>
      </c>
      <c r="E73" s="114">
        <f t="shared" si="8"/>
        <v>0.51264609493124991</v>
      </c>
      <c r="F73" s="114">
        <f t="shared" si="5"/>
        <v>0.43256875000000006</v>
      </c>
      <c r="G73" s="114">
        <f t="shared" si="6"/>
        <v>0.47259226562500006</v>
      </c>
    </row>
    <row r="74" spans="2:7" ht="12.75" customHeight="1">
      <c r="B74" s="29">
        <v>0.8</v>
      </c>
      <c r="C74" s="32">
        <f t="shared" si="7"/>
        <v>0.89158439951121149</v>
      </c>
      <c r="D74" s="114">
        <f t="shared" si="4"/>
        <v>0.76362799999999997</v>
      </c>
      <c r="E74" s="114">
        <f t="shared" si="8"/>
        <v>0.48982728680255999</v>
      </c>
      <c r="F74" s="114">
        <f t="shared" si="5"/>
        <v>0.41298000000000001</v>
      </c>
      <c r="G74" s="114">
        <f t="shared" si="6"/>
        <v>0.48230451200000002</v>
      </c>
    </row>
    <row r="75" spans="2:7" ht="12.75" customHeight="1">
      <c r="B75" s="29">
        <v>0.85</v>
      </c>
      <c r="C75" s="32">
        <f t="shared" si="7"/>
        <v>0.91927347733538434</v>
      </c>
      <c r="D75" s="114">
        <f t="shared" si="4"/>
        <v>0.74464450000000004</v>
      </c>
      <c r="E75" s="114">
        <f t="shared" si="8"/>
        <v>0.46577616235941</v>
      </c>
      <c r="F75" s="114">
        <f t="shared" si="5"/>
        <v>0.39182875000000006</v>
      </c>
      <c r="G75" s="114">
        <f t="shared" si="6"/>
        <v>0.49138687262500008</v>
      </c>
    </row>
    <row r="76" spans="2:7" ht="12.75" customHeight="1">
      <c r="B76" s="29">
        <v>0.9</v>
      </c>
      <c r="C76" s="32">
        <f t="shared" si="7"/>
        <v>0.94635051141570359</v>
      </c>
      <c r="D76" s="114">
        <f t="shared" si="4"/>
        <v>0.72426199999999996</v>
      </c>
      <c r="E76" s="114">
        <f t="shared" si="8"/>
        <v>0.44062657350095996</v>
      </c>
      <c r="F76" s="114">
        <f t="shared" si="5"/>
        <v>0.36911499999999997</v>
      </c>
      <c r="G76" s="114">
        <f t="shared" si="6"/>
        <v>0.49991954200000005</v>
      </c>
    </row>
    <row r="77" spans="2:7" ht="12.75" customHeight="1">
      <c r="B77" s="29">
        <v>0.95</v>
      </c>
      <c r="C77" s="32">
        <f t="shared" si="7"/>
        <v>0.9728842198569807</v>
      </c>
      <c r="D77" s="114">
        <f t="shared" si="4"/>
        <v>0.70248049999999995</v>
      </c>
      <c r="E77" s="114">
        <f t="shared" si="8"/>
        <v>0.41452223641940994</v>
      </c>
      <c r="F77" s="114">
        <f t="shared" si="5"/>
        <v>0.34483875000000003</v>
      </c>
      <c r="G77" s="114">
        <f t="shared" si="6"/>
        <v>0.50797539762499999</v>
      </c>
    </row>
    <row r="78" spans="2:7" ht="12.75" customHeight="1">
      <c r="B78" s="29">
        <v>1</v>
      </c>
      <c r="C78" s="32">
        <f t="shared" si="7"/>
        <v>0.99893343648040189</v>
      </c>
      <c r="D78" s="114">
        <f t="shared" si="4"/>
        <v>0.68</v>
      </c>
      <c r="E78" s="114">
        <f t="shared" si="8"/>
        <v>0.38841600000000004</v>
      </c>
      <c r="F78" s="114">
        <f t="shared" si="5"/>
        <v>0.32</v>
      </c>
      <c r="G78" s="114">
        <f t="shared" si="6"/>
        <v>0.51561999999999997</v>
      </c>
    </row>
  </sheetData>
  <mergeCells count="6">
    <mergeCell ref="D9:D10"/>
    <mergeCell ref="E9:F9"/>
    <mergeCell ref="C9:C10"/>
    <mergeCell ref="B12:B23"/>
    <mergeCell ref="B24:B35"/>
    <mergeCell ref="B9:B11"/>
  </mergeCells>
  <phoneticPr fontId="23"/>
  <dataValidations count="3">
    <dataValidation type="list" allowBlank="1" showInputMessage="1" showErrorMessage="1" sqref="D40" xr:uid="{00000000-0002-0000-0A00-000000000000}">
      <formula1>$C$12:$C$23</formula1>
    </dataValidation>
    <dataValidation type="list" allowBlank="1" showInputMessage="1" showErrorMessage="1" sqref="D39" xr:uid="{00000000-0002-0000-0A00-000001000000}">
      <formula1>"150#, 300#"</formula1>
    </dataValidation>
    <dataValidation type="list" allowBlank="1" showInputMessage="1" showErrorMessage="1" sqref="D41" xr:uid="{00000000-0002-0000-0A00-000002000000}">
      <formula1>"60 Deg,90 Deg"</formula1>
    </dataValidation>
  </dataValidations>
  <pageMargins left="0.7" right="0.7" top="0.75" bottom="0.75" header="0.3" footer="0.3"/>
  <pageSetup orientation="portrait" r:id="rId1"/>
  <customProperties>
    <customPr name="BudgetSheetCodeName" r:id="rId2"/>
  </customProperties>
  <drawing r:id="rId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4"/>
  <dimension ref="B1:T82"/>
  <sheetViews>
    <sheetView topLeftCell="A30" workbookViewId="0">
      <selection activeCell="E45" sqref="E45"/>
    </sheetView>
  </sheetViews>
  <sheetFormatPr defaultColWidth="8.84375" defaultRowHeight="12.75" customHeight="1"/>
  <cols>
    <col min="1" max="1" width="2.765625" style="15" customWidth="1"/>
    <col min="2" max="4" width="8.84375" style="15"/>
    <col min="5" max="5" width="9.53515625" style="15" customWidth="1"/>
    <col min="6" max="16384" width="8.84375" style="15"/>
  </cols>
  <sheetData>
    <row r="1" spans="2:20" ht="16.5">
      <c r="B1" s="30" t="s">
        <v>245</v>
      </c>
      <c r="C1" s="30"/>
      <c r="D1" s="30"/>
      <c r="E1" s="30"/>
    </row>
    <row r="3" spans="2:20" ht="12.75" customHeight="1">
      <c r="B3" s="33" t="s">
        <v>0</v>
      </c>
      <c r="C3" s="33"/>
    </row>
    <row r="4" spans="2:20" ht="12.75" customHeight="1">
      <c r="B4" s="33"/>
      <c r="C4" s="33" t="s">
        <v>157</v>
      </c>
      <c r="E4" s="15" t="s">
        <v>229</v>
      </c>
    </row>
    <row r="5" spans="2:20" ht="12.75" customHeight="1">
      <c r="B5" s="33"/>
      <c r="C5" s="33" t="s">
        <v>231</v>
      </c>
      <c r="E5" s="118" t="s">
        <v>230</v>
      </c>
    </row>
    <row r="6" spans="2:20" ht="12.75" customHeight="1">
      <c r="B6" s="33"/>
      <c r="C6" s="33" t="s">
        <v>142</v>
      </c>
      <c r="E6" s="15" t="s">
        <v>228</v>
      </c>
      <c r="F6" s="28"/>
      <c r="G6" s="16"/>
    </row>
    <row r="7" spans="2:20" ht="12.75" customHeight="1">
      <c r="F7" s="28"/>
    </row>
    <row r="8" spans="2:20" ht="12.75" customHeight="1">
      <c r="D8" s="16"/>
      <c r="E8" s="28"/>
    </row>
    <row r="9" spans="2:20" ht="12.75" customHeight="1">
      <c r="B9" s="33" t="s">
        <v>197</v>
      </c>
      <c r="D9" s="16"/>
      <c r="E9" s="28"/>
    </row>
    <row r="10" spans="2:20" ht="12.75" customHeight="1" thickBot="1">
      <c r="D10" s="16"/>
      <c r="E10" s="28"/>
    </row>
    <row r="11" spans="2:20" ht="12.75" customHeight="1">
      <c r="B11" s="336" t="s">
        <v>12</v>
      </c>
      <c r="C11" s="426" t="s">
        <v>227</v>
      </c>
      <c r="D11" s="334"/>
      <c r="E11" s="441"/>
      <c r="F11" s="396" t="s">
        <v>144</v>
      </c>
      <c r="G11" s="334"/>
      <c r="H11" s="335"/>
      <c r="I11" s="396" t="s">
        <v>143</v>
      </c>
      <c r="J11" s="334"/>
      <c r="K11" s="335"/>
    </row>
    <row r="12" spans="2:20" ht="12.75" customHeight="1">
      <c r="B12" s="337"/>
      <c r="C12" s="333" t="s">
        <v>156</v>
      </c>
      <c r="D12" s="434" t="s">
        <v>155</v>
      </c>
      <c r="E12" s="442"/>
      <c r="F12" s="419" t="s">
        <v>156</v>
      </c>
      <c r="G12" s="434" t="s">
        <v>155</v>
      </c>
      <c r="H12" s="435"/>
      <c r="I12" s="419" t="s">
        <v>156</v>
      </c>
      <c r="J12" s="434" t="s">
        <v>155</v>
      </c>
      <c r="K12" s="435"/>
      <c r="M12" s="433" t="s">
        <v>80</v>
      </c>
      <c r="N12" s="433"/>
      <c r="O12" s="433"/>
    </row>
    <row r="13" spans="2:20" ht="12.75" customHeight="1">
      <c r="B13" s="337"/>
      <c r="C13" s="333"/>
      <c r="D13" s="105" t="s">
        <v>207</v>
      </c>
      <c r="E13" s="297" t="s">
        <v>208</v>
      </c>
      <c r="F13" s="419"/>
      <c r="G13" s="105" t="s">
        <v>233</v>
      </c>
      <c r="H13" s="106" t="s">
        <v>232</v>
      </c>
      <c r="I13" s="419"/>
      <c r="J13" s="105" t="s">
        <v>207</v>
      </c>
      <c r="K13" s="106" t="s">
        <v>208</v>
      </c>
      <c r="M13" s="65" t="s">
        <v>224</v>
      </c>
      <c r="N13" s="296" t="s">
        <v>225</v>
      </c>
      <c r="O13" s="296" t="s">
        <v>226</v>
      </c>
      <c r="T13" s="279"/>
    </row>
    <row r="14" spans="2:20" ht="12.75" customHeight="1" thickBot="1">
      <c r="B14" s="202" t="s">
        <v>177</v>
      </c>
      <c r="C14" s="200" t="s">
        <v>18</v>
      </c>
      <c r="D14" s="93" t="s">
        <v>18</v>
      </c>
      <c r="E14" s="99" t="s">
        <v>18</v>
      </c>
      <c r="F14" s="92" t="s">
        <v>18</v>
      </c>
      <c r="G14" s="93" t="s">
        <v>18</v>
      </c>
      <c r="H14" s="94" t="s">
        <v>18</v>
      </c>
      <c r="I14" s="92" t="s">
        <v>18</v>
      </c>
      <c r="J14" s="93" t="s">
        <v>18</v>
      </c>
      <c r="K14" s="94" t="s">
        <v>18</v>
      </c>
      <c r="M14" s="293"/>
      <c r="N14" s="293"/>
      <c r="O14" s="293"/>
      <c r="T14" s="279"/>
    </row>
    <row r="15" spans="2:20" ht="12.75" customHeight="1">
      <c r="B15" s="290" t="s">
        <v>195</v>
      </c>
      <c r="C15" s="210">
        <v>14</v>
      </c>
      <c r="D15" s="95">
        <v>158</v>
      </c>
      <c r="E15" s="286">
        <v>320</v>
      </c>
      <c r="F15" s="102">
        <v>26</v>
      </c>
      <c r="G15" s="95">
        <v>150</v>
      </c>
      <c r="H15" s="96">
        <v>320</v>
      </c>
      <c r="I15" s="210"/>
      <c r="J15" s="95"/>
      <c r="K15" s="96"/>
      <c r="M15" s="65">
        <v>82</v>
      </c>
      <c r="N15" s="65">
        <v>107</v>
      </c>
      <c r="O15" s="279"/>
      <c r="T15" s="279"/>
    </row>
    <row r="16" spans="2:20" ht="12.75" customHeight="1">
      <c r="B16" s="267" t="s">
        <v>182</v>
      </c>
      <c r="C16" s="149">
        <v>18</v>
      </c>
      <c r="D16" s="59">
        <v>278</v>
      </c>
      <c r="E16" s="148">
        <v>560</v>
      </c>
      <c r="F16" s="85">
        <v>42</v>
      </c>
      <c r="G16" s="59">
        <v>265</v>
      </c>
      <c r="H16" s="86">
        <v>560</v>
      </c>
      <c r="I16" s="149"/>
      <c r="J16" s="59"/>
      <c r="K16" s="86"/>
      <c r="M16" s="65">
        <v>83</v>
      </c>
      <c r="N16" s="65">
        <v>108</v>
      </c>
      <c r="O16" s="279"/>
      <c r="T16" s="279"/>
    </row>
    <row r="17" spans="2:20" ht="12.75" customHeight="1">
      <c r="B17" s="267" t="s">
        <v>193</v>
      </c>
      <c r="C17" s="149">
        <v>22</v>
      </c>
      <c r="D17" s="59">
        <v>425</v>
      </c>
      <c r="E17" s="148">
        <v>900</v>
      </c>
      <c r="F17" s="85">
        <v>56</v>
      </c>
      <c r="G17" s="59">
        <v>420</v>
      </c>
      <c r="H17" s="86">
        <v>900</v>
      </c>
      <c r="I17" s="149">
        <v>24</v>
      </c>
      <c r="J17" s="59">
        <v>295</v>
      </c>
      <c r="K17" s="86">
        <v>585</v>
      </c>
      <c r="M17" s="65">
        <v>84</v>
      </c>
      <c r="N17" s="65">
        <v>109</v>
      </c>
      <c r="O17" s="65">
        <v>127</v>
      </c>
      <c r="T17" s="279"/>
    </row>
    <row r="18" spans="2:20" ht="12.75" customHeight="1">
      <c r="B18" s="267" t="s">
        <v>183</v>
      </c>
      <c r="C18" s="149">
        <v>28</v>
      </c>
      <c r="D18" s="59">
        <v>610</v>
      </c>
      <c r="E18" s="148">
        <v>1280</v>
      </c>
      <c r="F18" s="85">
        <v>67</v>
      </c>
      <c r="G18" s="59">
        <v>585</v>
      </c>
      <c r="H18" s="86">
        <v>1280</v>
      </c>
      <c r="I18" s="149">
        <v>32</v>
      </c>
      <c r="J18" s="59">
        <v>430</v>
      </c>
      <c r="K18" s="86">
        <v>845</v>
      </c>
      <c r="M18" s="65">
        <v>85</v>
      </c>
      <c r="N18" s="65">
        <v>110</v>
      </c>
      <c r="O18" s="65">
        <v>128</v>
      </c>
      <c r="T18" s="279"/>
    </row>
    <row r="19" spans="2:20" ht="12.75" customHeight="1">
      <c r="B19" s="267" t="s">
        <v>184</v>
      </c>
      <c r="C19" s="149">
        <v>40</v>
      </c>
      <c r="D19" s="59">
        <v>1040</v>
      </c>
      <c r="E19" s="148">
        <v>2300</v>
      </c>
      <c r="F19" s="85">
        <v>100</v>
      </c>
      <c r="G19" s="59">
        <v>1010</v>
      </c>
      <c r="H19" s="86">
        <v>2300</v>
      </c>
      <c r="I19" s="149">
        <v>53</v>
      </c>
      <c r="J19" s="59">
        <v>750</v>
      </c>
      <c r="K19" s="86">
        <v>1500</v>
      </c>
      <c r="M19" s="65">
        <v>86</v>
      </c>
      <c r="N19" s="65">
        <v>111</v>
      </c>
      <c r="O19" s="65">
        <v>129</v>
      </c>
      <c r="T19" s="279"/>
    </row>
    <row r="20" spans="2:20" ht="12.75" customHeight="1">
      <c r="B20" s="267" t="s">
        <v>185</v>
      </c>
      <c r="C20" s="149">
        <v>78</v>
      </c>
      <c r="D20" s="59">
        <v>1700</v>
      </c>
      <c r="E20" s="148">
        <v>3500</v>
      </c>
      <c r="F20" s="85">
        <v>185</v>
      </c>
      <c r="G20" s="59">
        <v>1630</v>
      </c>
      <c r="H20" s="86">
        <v>3500</v>
      </c>
      <c r="I20" s="149">
        <v>95</v>
      </c>
      <c r="J20" s="59">
        <v>1375</v>
      </c>
      <c r="K20" s="86">
        <v>2550</v>
      </c>
      <c r="M20" s="65">
        <v>87</v>
      </c>
      <c r="N20" s="65">
        <v>112</v>
      </c>
      <c r="O20" s="65">
        <v>130</v>
      </c>
      <c r="T20" s="279"/>
    </row>
    <row r="21" spans="2:20" ht="12.75" customHeight="1">
      <c r="B21" s="267" t="s">
        <v>186</v>
      </c>
      <c r="C21" s="149">
        <v>110</v>
      </c>
      <c r="D21" s="59">
        <v>2480</v>
      </c>
      <c r="E21" s="148">
        <v>5200</v>
      </c>
      <c r="F21" s="85">
        <v>265</v>
      </c>
      <c r="G21" s="59">
        <v>2400</v>
      </c>
      <c r="H21" s="86">
        <v>5200</v>
      </c>
      <c r="I21" s="149">
        <v>115</v>
      </c>
      <c r="J21" s="59">
        <v>1980</v>
      </c>
      <c r="K21" s="86">
        <v>3900</v>
      </c>
      <c r="M21" s="65">
        <v>88</v>
      </c>
      <c r="N21" s="65">
        <v>113</v>
      </c>
      <c r="O21" s="65">
        <v>131</v>
      </c>
      <c r="T21" s="279"/>
    </row>
    <row r="22" spans="2:20" ht="12.75" customHeight="1">
      <c r="B22" s="267" t="s">
        <v>187</v>
      </c>
      <c r="C22" s="149">
        <v>140</v>
      </c>
      <c r="D22" s="59">
        <v>3300</v>
      </c>
      <c r="E22" s="148">
        <v>6800</v>
      </c>
      <c r="F22" s="85">
        <v>365</v>
      </c>
      <c r="G22" s="59">
        <v>3200</v>
      </c>
      <c r="H22" s="86">
        <v>6800</v>
      </c>
      <c r="I22" s="149">
        <v>137</v>
      </c>
      <c r="J22" s="59">
        <v>2690</v>
      </c>
      <c r="K22" s="86">
        <v>5500</v>
      </c>
      <c r="M22" s="65">
        <v>89</v>
      </c>
      <c r="N22" s="65">
        <v>114</v>
      </c>
      <c r="O22" s="65">
        <v>132</v>
      </c>
      <c r="T22" s="279"/>
    </row>
    <row r="23" spans="2:20" ht="12.75" customHeight="1">
      <c r="B23" s="267" t="s">
        <v>188</v>
      </c>
      <c r="C23" s="149">
        <v>210</v>
      </c>
      <c r="D23" s="59">
        <v>4350</v>
      </c>
      <c r="E23" s="148">
        <v>9000</v>
      </c>
      <c r="F23" s="85">
        <v>460</v>
      </c>
      <c r="G23" s="59">
        <v>4200</v>
      </c>
      <c r="H23" s="86">
        <v>9000</v>
      </c>
      <c r="I23" s="149">
        <v>170</v>
      </c>
      <c r="J23" s="59">
        <v>3600</v>
      </c>
      <c r="K23" s="86">
        <v>7400</v>
      </c>
      <c r="M23" s="65">
        <v>90</v>
      </c>
      <c r="N23" s="65">
        <v>115</v>
      </c>
      <c r="O23" s="65">
        <v>133</v>
      </c>
      <c r="T23" s="279"/>
    </row>
    <row r="24" spans="2:20" ht="12.75" customHeight="1">
      <c r="B24" s="267" t="s">
        <v>189</v>
      </c>
      <c r="C24" s="149">
        <v>250</v>
      </c>
      <c r="D24" s="59">
        <v>5500</v>
      </c>
      <c r="E24" s="148">
        <v>11000</v>
      </c>
      <c r="F24" s="85">
        <v>560</v>
      </c>
      <c r="G24" s="59">
        <v>5300</v>
      </c>
      <c r="H24" s="86">
        <v>11000</v>
      </c>
      <c r="I24" s="149">
        <v>235</v>
      </c>
      <c r="J24" s="59">
        <v>4450</v>
      </c>
      <c r="K24" s="86">
        <v>9100</v>
      </c>
      <c r="M24" s="65">
        <v>91</v>
      </c>
      <c r="N24" s="65">
        <v>116</v>
      </c>
      <c r="O24" s="65">
        <v>134</v>
      </c>
      <c r="T24" s="279"/>
    </row>
    <row r="25" spans="2:20" ht="12.75" customHeight="1">
      <c r="B25" s="267" t="s">
        <v>201</v>
      </c>
      <c r="C25" s="149">
        <v>260</v>
      </c>
      <c r="D25" s="59">
        <v>6800</v>
      </c>
      <c r="E25" s="148">
        <v>14000</v>
      </c>
      <c r="F25" s="85">
        <v>710</v>
      </c>
      <c r="G25" s="59">
        <v>6500</v>
      </c>
      <c r="H25" s="86">
        <v>14000</v>
      </c>
      <c r="I25" s="149">
        <v>270</v>
      </c>
      <c r="J25" s="59">
        <v>5500</v>
      </c>
      <c r="K25" s="86">
        <v>11500</v>
      </c>
      <c r="M25" s="65">
        <v>92</v>
      </c>
      <c r="N25" s="65">
        <v>117</v>
      </c>
      <c r="O25" s="65">
        <v>135</v>
      </c>
      <c r="T25" s="279"/>
    </row>
    <row r="26" spans="2:20" ht="12.75" customHeight="1">
      <c r="B26" s="134" t="s">
        <v>211</v>
      </c>
      <c r="C26" s="149">
        <v>280</v>
      </c>
      <c r="D26" s="59">
        <v>8200</v>
      </c>
      <c r="E26" s="148">
        <v>17500</v>
      </c>
      <c r="F26" s="85">
        <v>810</v>
      </c>
      <c r="G26" s="59">
        <v>7800</v>
      </c>
      <c r="H26" s="86">
        <v>17500</v>
      </c>
      <c r="I26" s="149">
        <v>370</v>
      </c>
      <c r="J26" s="59">
        <v>6900</v>
      </c>
      <c r="K26" s="86">
        <v>14000</v>
      </c>
      <c r="M26" s="65">
        <v>93</v>
      </c>
      <c r="N26" s="65">
        <v>118</v>
      </c>
      <c r="O26" s="65">
        <v>136</v>
      </c>
      <c r="T26" s="279"/>
    </row>
    <row r="27" spans="2:20" ht="12.75" customHeight="1">
      <c r="B27" s="134" t="s">
        <v>202</v>
      </c>
      <c r="C27" s="149">
        <v>360</v>
      </c>
      <c r="D27" s="59">
        <v>9800</v>
      </c>
      <c r="E27" s="148">
        <v>20500</v>
      </c>
      <c r="F27" s="85">
        <v>960</v>
      </c>
      <c r="G27" s="59">
        <v>9300</v>
      </c>
      <c r="H27" s="86">
        <v>20500</v>
      </c>
      <c r="I27" s="149">
        <v>440</v>
      </c>
      <c r="J27" s="59">
        <v>8300</v>
      </c>
      <c r="K27" s="86">
        <v>17000</v>
      </c>
      <c r="M27" s="65">
        <v>94</v>
      </c>
      <c r="N27" s="65">
        <v>119</v>
      </c>
      <c r="O27" s="65">
        <v>137</v>
      </c>
      <c r="T27" s="279"/>
    </row>
    <row r="28" spans="2:20" ht="12.75" customHeight="1">
      <c r="B28" s="134" t="s">
        <v>212</v>
      </c>
      <c r="C28" s="149">
        <v>440</v>
      </c>
      <c r="D28" s="59">
        <v>12000</v>
      </c>
      <c r="E28" s="148">
        <v>24000</v>
      </c>
      <c r="F28" s="85">
        <v>1100</v>
      </c>
      <c r="G28" s="59">
        <v>10900</v>
      </c>
      <c r="H28" s="86">
        <v>24000</v>
      </c>
      <c r="I28" s="149">
        <v>480</v>
      </c>
      <c r="J28" s="59">
        <v>10000</v>
      </c>
      <c r="K28" s="86">
        <v>20500</v>
      </c>
      <c r="M28" s="65">
        <v>95</v>
      </c>
      <c r="N28" s="65">
        <v>120</v>
      </c>
      <c r="O28" s="65">
        <v>138</v>
      </c>
      <c r="T28" s="279"/>
    </row>
    <row r="29" spans="2:20" ht="12.75" customHeight="1">
      <c r="B29" s="134" t="s">
        <v>213</v>
      </c>
      <c r="C29" s="149">
        <v>475</v>
      </c>
      <c r="D29" s="59">
        <v>14000</v>
      </c>
      <c r="E29" s="148">
        <v>28000</v>
      </c>
      <c r="F29" s="85">
        <v>1250</v>
      </c>
      <c r="G29" s="59">
        <v>12600</v>
      </c>
      <c r="H29" s="86">
        <v>28000</v>
      </c>
      <c r="I29" s="149">
        <v>535</v>
      </c>
      <c r="J29" s="59">
        <v>11300</v>
      </c>
      <c r="K29" s="86">
        <v>23900</v>
      </c>
      <c r="M29" s="65">
        <v>96</v>
      </c>
      <c r="N29" s="65">
        <v>121</v>
      </c>
      <c r="O29" s="65">
        <v>139</v>
      </c>
      <c r="T29" s="279"/>
    </row>
    <row r="30" spans="2:20" ht="12.75" customHeight="1">
      <c r="B30" s="134" t="s">
        <v>214</v>
      </c>
      <c r="C30" s="149">
        <v>580</v>
      </c>
      <c r="D30" s="59">
        <v>16200</v>
      </c>
      <c r="E30" s="148">
        <v>32000</v>
      </c>
      <c r="F30" s="85">
        <v>1470</v>
      </c>
      <c r="G30" s="59">
        <v>14500</v>
      </c>
      <c r="H30" s="86">
        <v>32000</v>
      </c>
      <c r="I30" s="149">
        <v>615</v>
      </c>
      <c r="J30" s="59">
        <v>13100</v>
      </c>
      <c r="K30" s="86">
        <v>27800</v>
      </c>
      <c r="M30" s="65">
        <v>97</v>
      </c>
      <c r="N30" s="65">
        <v>122</v>
      </c>
      <c r="O30" s="65">
        <v>140</v>
      </c>
      <c r="T30" s="279"/>
    </row>
    <row r="31" spans="2:20" ht="12.75" customHeight="1">
      <c r="B31" s="134" t="s">
        <v>215</v>
      </c>
      <c r="C31" s="149">
        <v>650</v>
      </c>
      <c r="D31" s="59">
        <v>17300</v>
      </c>
      <c r="E31" s="148">
        <v>36400</v>
      </c>
      <c r="F31" s="85">
        <v>2000</v>
      </c>
      <c r="G31" s="59">
        <v>16500</v>
      </c>
      <c r="H31" s="86">
        <v>36400</v>
      </c>
      <c r="I31" s="149">
        <v>650</v>
      </c>
      <c r="J31" s="59">
        <v>14600</v>
      </c>
      <c r="K31" s="86">
        <v>31900</v>
      </c>
      <c r="M31" s="65">
        <v>98</v>
      </c>
      <c r="N31" s="65">
        <v>123</v>
      </c>
      <c r="O31" s="65">
        <v>141</v>
      </c>
      <c r="T31" s="279"/>
    </row>
    <row r="32" spans="2:20" ht="12.75" customHeight="1">
      <c r="B32" s="134" t="s">
        <v>216</v>
      </c>
      <c r="C32" s="149">
        <v>730</v>
      </c>
      <c r="D32" s="59">
        <v>19500</v>
      </c>
      <c r="E32" s="148">
        <v>41000</v>
      </c>
      <c r="F32" s="85">
        <v>2350</v>
      </c>
      <c r="G32" s="59">
        <v>18600</v>
      </c>
      <c r="H32" s="86">
        <v>41000</v>
      </c>
      <c r="I32" s="149">
        <v>740</v>
      </c>
      <c r="J32" s="59">
        <v>16600</v>
      </c>
      <c r="K32" s="86">
        <v>36000</v>
      </c>
      <c r="M32" s="65">
        <v>99</v>
      </c>
      <c r="N32" s="65">
        <v>124</v>
      </c>
      <c r="O32" s="65">
        <v>142</v>
      </c>
      <c r="T32" s="279"/>
    </row>
    <row r="33" spans="2:20" ht="12.75" customHeight="1">
      <c r="B33" s="134" t="s">
        <v>217</v>
      </c>
      <c r="C33" s="149">
        <v>880</v>
      </c>
      <c r="D33" s="59">
        <v>23000</v>
      </c>
      <c r="E33" s="148">
        <v>46000</v>
      </c>
      <c r="F33" s="85">
        <v>2600</v>
      </c>
      <c r="G33" s="59">
        <v>20900</v>
      </c>
      <c r="H33" s="86">
        <v>46000</v>
      </c>
      <c r="I33" s="149">
        <v>825</v>
      </c>
      <c r="J33" s="59">
        <v>19000</v>
      </c>
      <c r="K33" s="86">
        <v>41000</v>
      </c>
      <c r="M33" s="65">
        <v>100</v>
      </c>
      <c r="N33" s="65">
        <v>125</v>
      </c>
      <c r="O33" s="65">
        <v>143</v>
      </c>
      <c r="T33" s="279"/>
    </row>
    <row r="34" spans="2:20" ht="12.75" customHeight="1">
      <c r="B34" s="134" t="s">
        <v>218</v>
      </c>
      <c r="C34" s="149">
        <v>960</v>
      </c>
      <c r="D34" s="59">
        <v>27000</v>
      </c>
      <c r="E34" s="148">
        <v>57000</v>
      </c>
      <c r="F34" s="85">
        <v>3500</v>
      </c>
      <c r="G34" s="59">
        <v>25000</v>
      </c>
      <c r="H34" s="86">
        <v>57000</v>
      </c>
      <c r="I34" s="149">
        <v>1090</v>
      </c>
      <c r="J34" s="59">
        <v>23400</v>
      </c>
      <c r="K34" s="86">
        <v>49000</v>
      </c>
      <c r="M34" s="65">
        <v>101</v>
      </c>
      <c r="N34" s="65">
        <v>126</v>
      </c>
      <c r="O34" s="65">
        <v>144</v>
      </c>
      <c r="T34" s="279"/>
    </row>
    <row r="35" spans="2:20" ht="12.75" customHeight="1">
      <c r="B35" s="134" t="s">
        <v>219</v>
      </c>
      <c r="C35" s="149">
        <v>1400</v>
      </c>
      <c r="D35" s="59">
        <v>34000</v>
      </c>
      <c r="E35" s="148">
        <v>68000</v>
      </c>
      <c r="F35" s="85"/>
      <c r="G35" s="59"/>
      <c r="H35" s="86"/>
      <c r="I35" s="149">
        <v>1440</v>
      </c>
      <c r="J35" s="59">
        <v>28300</v>
      </c>
      <c r="K35" s="86">
        <v>61000</v>
      </c>
      <c r="M35" s="65">
        <v>102</v>
      </c>
      <c r="N35" s="279"/>
      <c r="O35" s="65">
        <v>145</v>
      </c>
      <c r="T35" s="279"/>
    </row>
    <row r="36" spans="2:20" ht="12.75" customHeight="1">
      <c r="B36" s="134" t="s">
        <v>220</v>
      </c>
      <c r="C36" s="149">
        <v>2050</v>
      </c>
      <c r="D36" s="59">
        <v>39000</v>
      </c>
      <c r="E36" s="148">
        <v>81000</v>
      </c>
      <c r="F36" s="85"/>
      <c r="G36" s="59"/>
      <c r="H36" s="86"/>
      <c r="I36" s="149">
        <v>1820</v>
      </c>
      <c r="J36" s="59">
        <v>33600</v>
      </c>
      <c r="K36" s="86">
        <v>73000</v>
      </c>
      <c r="M36" s="65">
        <v>103</v>
      </c>
      <c r="N36" s="279"/>
      <c r="O36" s="65">
        <v>146</v>
      </c>
      <c r="T36" s="279"/>
    </row>
    <row r="37" spans="2:20" ht="12.75" customHeight="1">
      <c r="B37" s="134" t="s">
        <v>221</v>
      </c>
      <c r="C37" s="149">
        <v>2650</v>
      </c>
      <c r="D37" s="59">
        <v>46000</v>
      </c>
      <c r="E37" s="148">
        <v>95000</v>
      </c>
      <c r="F37" s="85"/>
      <c r="G37" s="59"/>
      <c r="H37" s="86"/>
      <c r="I37" s="149">
        <v>2250</v>
      </c>
      <c r="J37" s="59">
        <v>39400</v>
      </c>
      <c r="K37" s="86">
        <v>85600</v>
      </c>
      <c r="M37" s="65">
        <v>104</v>
      </c>
      <c r="N37" s="279"/>
      <c r="O37" s="65">
        <v>147</v>
      </c>
      <c r="T37" s="279"/>
    </row>
    <row r="38" spans="2:20" ht="12.75" customHeight="1">
      <c r="B38" s="134" t="s">
        <v>222</v>
      </c>
      <c r="C38" s="149">
        <v>3100</v>
      </c>
      <c r="D38" s="59">
        <v>49200</v>
      </c>
      <c r="E38" s="148">
        <v>103500</v>
      </c>
      <c r="F38" s="85"/>
      <c r="G38" s="59"/>
      <c r="H38" s="86"/>
      <c r="I38" s="149">
        <v>2520</v>
      </c>
      <c r="J38" s="59">
        <v>42400</v>
      </c>
      <c r="K38" s="86">
        <v>92300</v>
      </c>
      <c r="M38" s="65">
        <v>105</v>
      </c>
      <c r="N38" s="279"/>
      <c r="O38" s="65">
        <v>148</v>
      </c>
      <c r="T38" s="279"/>
    </row>
    <row r="39" spans="2:20" ht="12.75" customHeight="1" thickBot="1">
      <c r="B39" s="132" t="s">
        <v>223</v>
      </c>
      <c r="C39" s="200">
        <v>4100</v>
      </c>
      <c r="D39" s="93">
        <v>61000</v>
      </c>
      <c r="E39" s="99">
        <v>125000</v>
      </c>
      <c r="F39" s="92"/>
      <c r="G39" s="93"/>
      <c r="H39" s="94"/>
      <c r="I39" s="200">
        <v>3200</v>
      </c>
      <c r="J39" s="93">
        <v>52300</v>
      </c>
      <c r="K39" s="94">
        <v>115000</v>
      </c>
      <c r="M39" s="65">
        <v>106</v>
      </c>
      <c r="N39" s="279"/>
      <c r="O39" s="65">
        <v>149</v>
      </c>
      <c r="T39" s="279"/>
    </row>
    <row r="40" spans="2:20" ht="12.75" customHeight="1">
      <c r="Q40" s="279"/>
      <c r="R40" s="279"/>
      <c r="S40" s="279"/>
      <c r="T40" s="279"/>
    </row>
    <row r="42" spans="2:20" ht="12.75" customHeight="1">
      <c r="C42" s="33" t="s">
        <v>67</v>
      </c>
    </row>
    <row r="43" spans="2:20" ht="12.75" customHeight="1">
      <c r="C43" s="28" t="s">
        <v>92</v>
      </c>
      <c r="E43" s="298" t="s">
        <v>227</v>
      </c>
      <c r="F43" s="112"/>
      <c r="G43" s="436" t="s">
        <v>145</v>
      </c>
      <c r="H43" s="436"/>
    </row>
    <row r="44" spans="2:20" ht="12.75" customHeight="1">
      <c r="C44" s="33" t="s">
        <v>196</v>
      </c>
      <c r="E44" s="59" t="s">
        <v>202</v>
      </c>
      <c r="F44" s="112"/>
      <c r="G44" s="437">
        <f>IFERROR(E46,"Check Plug Size or Deg. Opening")</f>
        <v>9800</v>
      </c>
      <c r="H44" s="438"/>
    </row>
    <row r="45" spans="2:20" ht="12.75" customHeight="1">
      <c r="C45" s="33" t="s">
        <v>209</v>
      </c>
      <c r="E45" s="59" t="s">
        <v>207</v>
      </c>
      <c r="G45" s="439"/>
      <c r="H45" s="440"/>
    </row>
    <row r="46" spans="2:20" ht="12.75" customHeight="1">
      <c r="C46" s="124" t="s">
        <v>140</v>
      </c>
      <c r="D46" s="279"/>
      <c r="E46" s="65">
        <f>IF(AND($E$43="Damper",$E$45="60 Deg"),INDEX(D15:D39,MATCH($E$44,B15:B39,0)),
    IF(AND($E$43="Damper",$E$45="90 Deg"),INDEX(E15:E39,MATCH($E$44,B15:B39,0)),
      IF(AND($E$43="15 Deg Sealed",$E$45="45 Deg"),INDEX(G15:G34,MATCH($E$44,B15:B34,0)),
        IF(AND($E$43="15 Deg Sealed",$E$45="75 Deg"),INDEX(H15:H34,MATCH($E$44,B15:B34,0)),
          IF(AND($E$43="Back Seat",$E$45="60 Deg"),INDEX(J17:J39,MATCH($E$44,B17:B39,0)),
            IF(AND($E$43="Back Seat",$E$45="90 Deg"),INDEX(K17:K39,MATCH($E$44,B17:B39,0)),"Check Options"))))))</f>
        <v>9800</v>
      </c>
      <c r="H46" s="65">
        <v>2</v>
      </c>
      <c r="I46" s="65">
        <v>3</v>
      </c>
      <c r="J46" s="65">
        <v>4</v>
      </c>
      <c r="K46" s="65">
        <v>5</v>
      </c>
      <c r="L46" s="65">
        <v>6</v>
      </c>
      <c r="M46" s="65">
        <v>7</v>
      </c>
      <c r="N46" s="65">
        <v>8</v>
      </c>
    </row>
    <row r="47" spans="2:20" ht="12.75" customHeight="1">
      <c r="I47" s="28" t="s">
        <v>53</v>
      </c>
      <c r="J47" s="28" t="s">
        <v>54</v>
      </c>
      <c r="K47" s="28" t="s">
        <v>55</v>
      </c>
      <c r="L47" s="28" t="s">
        <v>56</v>
      </c>
      <c r="M47" s="28" t="s">
        <v>57</v>
      </c>
      <c r="N47" s="28" t="s">
        <v>58</v>
      </c>
    </row>
    <row r="48" spans="2:20" ht="12.75" customHeight="1">
      <c r="C48" s="33" t="s">
        <v>95</v>
      </c>
      <c r="F48" s="15" t="s">
        <v>43</v>
      </c>
      <c r="G48" s="16"/>
      <c r="H48" s="28">
        <f>IF($E$43="Damper",INDEX(M15:M39,MATCH($E$44,B15:B39,0)),
    IF($E$43="15 Deg Sealed",INDEX(N15:N34,MATCH($E$44,B15:B34,0)),
      INDEX(O17:O39,MATCH($E$44,B17:B39,0))))</f>
        <v>94</v>
      </c>
      <c r="I48" s="116">
        <f t="shared" ref="I48:N48" si="0">VLOOKUP($H$48,StkData,I46)</f>
        <v>0</v>
      </c>
      <c r="J48" s="116">
        <f t="shared" si="0"/>
        <v>0.20474700000000001</v>
      </c>
      <c r="K48" s="116">
        <f t="shared" si="0"/>
        <v>1.7817700000000001E-5</v>
      </c>
      <c r="L48" s="116">
        <f t="shared" si="0"/>
        <v>322.25099999999998</v>
      </c>
      <c r="M48" s="116">
        <f t="shared" si="0"/>
        <v>-675.07799999999997</v>
      </c>
      <c r="N48" s="116">
        <f t="shared" si="0"/>
        <v>2.0994199999999998</v>
      </c>
    </row>
    <row r="49" spans="2:14" ht="12.75" customHeight="1">
      <c r="C49" s="33"/>
      <c r="G49" s="16"/>
      <c r="H49" s="15" t="str">
        <f>IF(E45="45 Deg","%Stk = Exp(A4*Log(Cv) + A3*Cv + A1/(Cv + A2) + A0)/45",
    IF(E45="60 Deg","%Stk = Exp(A4*Log(Cv) + A3*Cv + A1/(Cv + A2) + A0)/60",
      IF(E45="75 Deg","%Stk = Exp(A4*Log(Cv) + A3*Cv + A1/(Cv + A2) + A0)/75",
        "%Stk = Exp(A4*Log(Cv) + A3*Cv + A1/(Cv + A2) + A0)/90")))</f>
        <v>%Stk = Exp(A4*Log(Cv) + A3*Cv + A1/(Cv + A2) + A0)/60</v>
      </c>
      <c r="I49" s="116"/>
      <c r="J49" s="116"/>
      <c r="K49" s="116"/>
      <c r="L49" s="116"/>
      <c r="M49" s="116"/>
      <c r="N49" s="116"/>
    </row>
    <row r="50" spans="2:14" ht="12.75" customHeight="1">
      <c r="F50" s="34"/>
      <c r="H50" s="28" t="s">
        <v>30</v>
      </c>
      <c r="I50" s="28" t="s">
        <v>31</v>
      </c>
      <c r="J50" s="28" t="s">
        <v>44</v>
      </c>
      <c r="K50" s="28" t="s">
        <v>45</v>
      </c>
      <c r="L50" s="28" t="s">
        <v>46</v>
      </c>
      <c r="M50" s="28" t="s">
        <v>47</v>
      </c>
      <c r="N50" s="28" t="s">
        <v>48</v>
      </c>
    </row>
    <row r="51" spans="2:14" ht="12.75" customHeight="1">
      <c r="C51" s="33" t="s">
        <v>21</v>
      </c>
      <c r="F51" s="15" t="s">
        <v>32</v>
      </c>
      <c r="G51" s="28">
        <f>IF($E$45="60 Deg",6,IF($E$45="45 Deg",6,7))</f>
        <v>6</v>
      </c>
      <c r="H51" s="16">
        <f t="shared" ref="H51:N51" si="1">VLOOKUP($G$51,FLData,H46)</f>
        <v>0.68</v>
      </c>
      <c r="I51" s="16">
        <f t="shared" si="1"/>
        <v>0.87</v>
      </c>
      <c r="J51" s="16">
        <f t="shared" si="1"/>
        <v>0</v>
      </c>
      <c r="K51" s="16">
        <f t="shared" si="1"/>
        <v>0</v>
      </c>
      <c r="L51" s="16">
        <f t="shared" si="1"/>
        <v>-0.27979999999999999</v>
      </c>
      <c r="M51" s="16">
        <f t="shared" si="1"/>
        <v>8.2000000000000003E-2</v>
      </c>
      <c r="N51" s="16">
        <f t="shared" si="1"/>
        <v>0.87709999999999999</v>
      </c>
    </row>
    <row r="52" spans="2:14" ht="12.75" customHeight="1">
      <c r="C52" s="33" t="s">
        <v>33</v>
      </c>
      <c r="F52" s="15" t="s">
        <v>34</v>
      </c>
      <c r="G52" s="28">
        <f>IF($E$45="60 Deg",6,IF($E$45="45 Deg",6,7))</f>
        <v>6</v>
      </c>
      <c r="H52" s="16">
        <f t="shared" ref="H52:N52" si="2">VLOOKUP($G$52,KcData,H46)</f>
        <v>0.32</v>
      </c>
      <c r="I52" s="16">
        <f t="shared" si="2"/>
        <v>0.53500000000000003</v>
      </c>
      <c r="J52" s="16">
        <f t="shared" si="2"/>
        <v>0</v>
      </c>
      <c r="K52" s="16">
        <f t="shared" si="2"/>
        <v>0</v>
      </c>
      <c r="L52" s="16">
        <f t="shared" si="2"/>
        <v>-0.3125</v>
      </c>
      <c r="M52" s="16">
        <f t="shared" si="2"/>
        <v>9.2600000000000002E-2</v>
      </c>
      <c r="N52" s="16">
        <f t="shared" si="2"/>
        <v>0.53890000000000005</v>
      </c>
    </row>
    <row r="53" spans="2:14" ht="12.75" customHeight="1">
      <c r="C53" s="33" t="s">
        <v>26</v>
      </c>
      <c r="F53" s="15" t="s">
        <v>87</v>
      </c>
      <c r="G53" s="16">
        <f>IF($E$45="60 Deg",6,IF($E$45="45 Deg",6,7))</f>
        <v>6</v>
      </c>
      <c r="H53" s="16">
        <f t="shared" ref="H53:N53" si="3">VLOOKUP($G$53,FdData,H46)</f>
        <v>0</v>
      </c>
      <c r="I53" s="16">
        <f t="shared" si="3"/>
        <v>10</v>
      </c>
      <c r="J53" s="16">
        <f t="shared" si="3"/>
        <v>-4.8779999999999997E-2</v>
      </c>
      <c r="K53" s="16">
        <f t="shared" si="3"/>
        <v>0.26790000000000003</v>
      </c>
      <c r="L53" s="16">
        <f t="shared" si="3"/>
        <v>-0.58150000000000002</v>
      </c>
      <c r="M53" s="16">
        <f t="shared" si="3"/>
        <v>0.7036</v>
      </c>
      <c r="N53" s="16">
        <f t="shared" si="3"/>
        <v>0.1744</v>
      </c>
    </row>
    <row r="54" spans="2:14" ht="12.75" customHeight="1">
      <c r="C54" s="33" t="s">
        <v>24</v>
      </c>
      <c r="F54" s="15" t="s">
        <v>68</v>
      </c>
      <c r="G54" s="28">
        <f>IF($E$45="60 Deg",0.39,IF($E$45="45 Deg",0.39,0.25))</f>
        <v>0.39</v>
      </c>
      <c r="H54" s="36" t="s">
        <v>37</v>
      </c>
      <c r="I54" s="16"/>
      <c r="J54" s="16"/>
      <c r="K54" s="16"/>
      <c r="L54" s="16"/>
      <c r="M54" s="16"/>
      <c r="N54" s="16"/>
    </row>
    <row r="55" spans="2:14" ht="12.75" customHeight="1">
      <c r="C55" s="33"/>
      <c r="F55" s="15" t="s">
        <v>25</v>
      </c>
      <c r="G55" s="16" t="s">
        <v>29</v>
      </c>
      <c r="H55" s="36" t="s">
        <v>36</v>
      </c>
      <c r="I55" s="16"/>
      <c r="J55" s="16"/>
      <c r="K55" s="16"/>
      <c r="L55" s="16"/>
      <c r="M55" s="16"/>
      <c r="N55" s="16"/>
    </row>
    <row r="56" spans="2:14" ht="12.75" customHeight="1">
      <c r="C56" s="33" t="s">
        <v>22</v>
      </c>
      <c r="F56" s="15" t="s">
        <v>23</v>
      </c>
      <c r="G56" s="16" t="s">
        <v>29</v>
      </c>
      <c r="H56" s="36" t="s">
        <v>38</v>
      </c>
    </row>
    <row r="57" spans="2:14" ht="12.75" customHeight="1">
      <c r="C57" s="33" t="s">
        <v>28</v>
      </c>
      <c r="F57" s="15" t="s">
        <v>27</v>
      </c>
      <c r="G57" s="16" t="s">
        <v>29</v>
      </c>
      <c r="H57" s="16"/>
      <c r="I57" s="16"/>
    </row>
    <row r="61" spans="2:14" ht="12.75" customHeight="1">
      <c r="B61" s="28" t="s">
        <v>60</v>
      </c>
    </row>
    <row r="62" spans="2:14" ht="12.75" customHeight="1">
      <c r="B62" s="28" t="s">
        <v>35</v>
      </c>
      <c r="C62" s="28" t="s">
        <v>43</v>
      </c>
      <c r="D62" s="28" t="s">
        <v>32</v>
      </c>
      <c r="E62" s="28" t="s">
        <v>25</v>
      </c>
      <c r="F62" s="28" t="s">
        <v>34</v>
      </c>
      <c r="G62" s="16" t="s">
        <v>87</v>
      </c>
    </row>
    <row r="63" spans="2:14" ht="12.75" customHeight="1">
      <c r="B63" s="29">
        <v>5.0000000000000001E-3</v>
      </c>
      <c r="C63" s="32">
        <f>EXP($J$48*LN(B63*$E$46)+$K$48*B63*$E$46+$M$48/(B63*$E$46+$L$48)+$N$48)/
    IF($E$45="45 Deg",45,IF($E$45="60 Deg",60,IF($E$45="75 Deg",75,90)))</f>
        <v>4.9016417521742496E-2</v>
      </c>
      <c r="D63" s="17">
        <f t="shared" ref="D63:D82" si="4">MIN(MAX($J$51*B63^4+$K$51*B63^3+$L$51*B63^2+$M$51*B63+$N$51,$H$51),$I$51)</f>
        <v>0.87</v>
      </c>
      <c r="E63" s="17">
        <f>0.84*D63^2</f>
        <v>0.63579600000000003</v>
      </c>
      <c r="F63" s="17">
        <f t="shared" ref="F63:F82" si="5">MIN(MAX($J$52*B63^4+$K$52*B63^3+$L$52*B63^2+$M$52*B63+$N$52,$H$52),$I$52)</f>
        <v>0.53500000000000003</v>
      </c>
      <c r="G63" s="17">
        <f t="shared" ref="G63:G82" si="6">MIN(MAX($J$53*B63^4+$K$53*B63^3+$L$53*B63^2+$M$53*B63+$N$53,$H$53),$I$53)</f>
        <v>0.17790349595701249</v>
      </c>
    </row>
    <row r="64" spans="2:14" ht="12.75" customHeight="1">
      <c r="B64" s="29">
        <v>0.01</v>
      </c>
      <c r="C64" s="32">
        <f t="shared" ref="C64:C82" si="7">EXP($J$48*LN(B64*$E$46)+$K$48*B64*$E$46+$M$48/(B64*$E$46+$L$48)+$N$48)/
    IF($E$45="45 Deg",45,IF($E$45="60 Deg",60,IF($E$45="75 Deg",75,90)))</f>
        <v>6.9893077691783129E-2</v>
      </c>
      <c r="D64" s="17">
        <f t="shared" si="4"/>
        <v>0.87</v>
      </c>
      <c r="E64" s="17">
        <f t="shared" ref="E64:E82" si="8">0.84*D64^2</f>
        <v>0.63579600000000003</v>
      </c>
      <c r="F64" s="17">
        <f t="shared" si="5"/>
        <v>0.53500000000000003</v>
      </c>
      <c r="G64" s="17">
        <f t="shared" si="6"/>
        <v>0.1813781174122</v>
      </c>
    </row>
    <row r="65" spans="2:7" ht="12.75" customHeight="1">
      <c r="B65" s="29">
        <v>0.02</v>
      </c>
      <c r="C65" s="32">
        <f t="shared" si="7"/>
        <v>0.10933241632951934</v>
      </c>
      <c r="D65" s="17">
        <f t="shared" si="4"/>
        <v>0.87</v>
      </c>
      <c r="E65" s="17">
        <f t="shared" si="8"/>
        <v>0.63579600000000003</v>
      </c>
      <c r="F65" s="17">
        <f t="shared" si="5"/>
        <v>0.53500000000000003</v>
      </c>
      <c r="G65" s="17">
        <f t="shared" si="6"/>
        <v>0.1882415353952</v>
      </c>
    </row>
    <row r="66" spans="2:7" ht="12.75" customHeight="1">
      <c r="B66" s="29">
        <v>0.04</v>
      </c>
      <c r="C66" s="32">
        <f t="shared" si="7"/>
        <v>0.18077588660793006</v>
      </c>
      <c r="D66" s="17">
        <f t="shared" si="4"/>
        <v>0.87</v>
      </c>
      <c r="E66" s="17">
        <f t="shared" si="8"/>
        <v>0.63579600000000003</v>
      </c>
      <c r="F66" s="17">
        <f t="shared" si="5"/>
        <v>0.53500000000000003</v>
      </c>
      <c r="G66" s="17">
        <f t="shared" si="6"/>
        <v>0.20163062072320001</v>
      </c>
    </row>
    <row r="67" spans="2:7" ht="12.75" customHeight="1">
      <c r="B67" s="29">
        <v>0.08</v>
      </c>
      <c r="C67" s="32">
        <f t="shared" si="7"/>
        <v>0.29326542868278432</v>
      </c>
      <c r="D67" s="17">
        <f t="shared" si="4"/>
        <v>0.87</v>
      </c>
      <c r="E67" s="17">
        <f t="shared" si="8"/>
        <v>0.63579600000000003</v>
      </c>
      <c r="F67" s="17">
        <f t="shared" si="5"/>
        <v>0.53500000000000003</v>
      </c>
      <c r="G67" s="17">
        <f t="shared" si="6"/>
        <v>0.2271015667712</v>
      </c>
    </row>
    <row r="68" spans="2:7" ht="12.75" customHeight="1">
      <c r="B68" s="29">
        <v>0.16</v>
      </c>
      <c r="C68" s="32">
        <f t="shared" si="7"/>
        <v>0.44145219346510622</v>
      </c>
      <c r="D68" s="17">
        <f t="shared" si="4"/>
        <v>0.87</v>
      </c>
      <c r="E68" s="17">
        <f t="shared" si="8"/>
        <v>0.63579600000000003</v>
      </c>
      <c r="F68" s="17">
        <f t="shared" si="5"/>
        <v>0.53500000000000003</v>
      </c>
      <c r="G68" s="17">
        <f t="shared" si="6"/>
        <v>0.27315494993919998</v>
      </c>
    </row>
    <row r="69" spans="2:7" ht="12.75" customHeight="1">
      <c r="B69" s="29">
        <v>0.35</v>
      </c>
      <c r="C69" s="32">
        <f t="shared" si="7"/>
        <v>0.63953273575672775</v>
      </c>
      <c r="D69" s="17">
        <f t="shared" si="4"/>
        <v>0.87</v>
      </c>
      <c r="E69" s="17">
        <f t="shared" si="8"/>
        <v>0.63579600000000003</v>
      </c>
      <c r="F69" s="17">
        <f t="shared" si="5"/>
        <v>0.53302875000000005</v>
      </c>
      <c r="G69" s="17">
        <f t="shared" si="6"/>
        <v>0.36018045762499995</v>
      </c>
    </row>
    <row r="70" spans="2:7" ht="12.75" customHeight="1">
      <c r="B70" s="29">
        <v>0.4</v>
      </c>
      <c r="C70" s="32">
        <f t="shared" si="7"/>
        <v>0.67694458233960808</v>
      </c>
      <c r="D70" s="17">
        <f t="shared" si="4"/>
        <v>0.86513200000000001</v>
      </c>
      <c r="E70" s="17">
        <f t="shared" si="8"/>
        <v>0.62870083703615998</v>
      </c>
      <c r="F70" s="17">
        <f t="shared" si="5"/>
        <v>0.52594000000000007</v>
      </c>
      <c r="G70" s="17">
        <f t="shared" si="6"/>
        <v>0.37869683200000004</v>
      </c>
    </row>
    <row r="71" spans="2:7" ht="12.75" customHeight="1">
      <c r="B71" s="29">
        <v>0.45</v>
      </c>
      <c r="C71" s="32">
        <f t="shared" si="7"/>
        <v>0.7111711388949844</v>
      </c>
      <c r="D71" s="17">
        <f t="shared" si="4"/>
        <v>0.85734049999999995</v>
      </c>
      <c r="E71" s="17">
        <f t="shared" si="8"/>
        <v>0.61742749566980992</v>
      </c>
      <c r="F71" s="17">
        <f t="shared" si="5"/>
        <v>0.51728875000000007</v>
      </c>
      <c r="G71" s="17">
        <f t="shared" si="6"/>
        <v>0.39567835262500001</v>
      </c>
    </row>
    <row r="72" spans="2:7" ht="12.75" customHeight="1">
      <c r="B72" s="29">
        <v>0.5</v>
      </c>
      <c r="C72" s="32">
        <f t="shared" si="7"/>
        <v>0.74292954444904935</v>
      </c>
      <c r="D72" s="17">
        <f t="shared" si="4"/>
        <v>0.84814999999999996</v>
      </c>
      <c r="E72" s="17">
        <f t="shared" si="8"/>
        <v>0.60426107489999992</v>
      </c>
      <c r="F72" s="17">
        <f t="shared" si="5"/>
        <v>0.50707500000000005</v>
      </c>
      <c r="G72" s="17">
        <f t="shared" si="6"/>
        <v>0.41126374999999998</v>
      </c>
    </row>
    <row r="73" spans="2:7" ht="12.75" customHeight="1">
      <c r="B73" s="29">
        <v>0.55000000000000004</v>
      </c>
      <c r="C73" s="32">
        <f t="shared" si="7"/>
        <v>0.7727342295513594</v>
      </c>
      <c r="D73" s="17">
        <f t="shared" si="4"/>
        <v>0.83756050000000004</v>
      </c>
      <c r="E73" s="17">
        <f t="shared" si="8"/>
        <v>0.58926637657461001</v>
      </c>
      <c r="F73" s="17">
        <f t="shared" si="5"/>
        <v>0.49529875000000001</v>
      </c>
      <c r="G73" s="17">
        <f t="shared" si="6"/>
        <v>0.42558443762500003</v>
      </c>
    </row>
    <row r="74" spans="2:7" ht="12.75" customHeight="1">
      <c r="B74" s="29">
        <v>0.6</v>
      </c>
      <c r="C74" s="32">
        <f t="shared" si="7"/>
        <v>0.80096549137785589</v>
      </c>
      <c r="D74" s="17">
        <f t="shared" si="4"/>
        <v>0.82557199999999997</v>
      </c>
      <c r="E74" s="17">
        <f t="shared" si="8"/>
        <v>0.57251806683455997</v>
      </c>
      <c r="F74" s="17">
        <f t="shared" si="5"/>
        <v>0.48196000000000006</v>
      </c>
      <c r="G74" s="17">
        <f t="shared" si="6"/>
        <v>0.438764512</v>
      </c>
    </row>
    <row r="75" spans="2:7" ht="12.75" customHeight="1">
      <c r="B75" s="29">
        <v>0.65</v>
      </c>
      <c r="C75" s="32">
        <f t="shared" si="7"/>
        <v>0.82791168973811835</v>
      </c>
      <c r="D75" s="17">
        <f t="shared" si="4"/>
        <v>0.81218449999999998</v>
      </c>
      <c r="E75" s="17">
        <f t="shared" si="8"/>
        <v>0.55410067611380998</v>
      </c>
      <c r="F75" s="17">
        <f t="shared" si="5"/>
        <v>0.46705875000000002</v>
      </c>
      <c r="G75" s="17">
        <f t="shared" si="6"/>
        <v>0.45092075262499998</v>
      </c>
    </row>
    <row r="76" spans="2:7" ht="12.75" customHeight="1">
      <c r="B76" s="29">
        <v>0.7</v>
      </c>
      <c r="C76" s="32">
        <f t="shared" si="7"/>
        <v>0.85379625876025722</v>
      </c>
      <c r="D76" s="17">
        <f t="shared" si="4"/>
        <v>0.79739800000000005</v>
      </c>
      <c r="E76" s="17">
        <f t="shared" si="8"/>
        <v>0.53410859913936004</v>
      </c>
      <c r="F76" s="17">
        <f t="shared" si="5"/>
        <v>0.45059500000000008</v>
      </c>
      <c r="G76" s="17">
        <f t="shared" si="6"/>
        <v>0.46216262199999997</v>
      </c>
    </row>
    <row r="77" spans="2:7" ht="12.75" customHeight="1">
      <c r="B77" s="29">
        <v>0.75</v>
      </c>
      <c r="C77" s="32">
        <f t="shared" si="7"/>
        <v>0.87879559286825082</v>
      </c>
      <c r="D77" s="17">
        <f t="shared" si="4"/>
        <v>0.78121249999999998</v>
      </c>
      <c r="E77" s="17">
        <f t="shared" si="8"/>
        <v>0.51264609493124991</v>
      </c>
      <c r="F77" s="17">
        <f t="shared" si="5"/>
        <v>0.43256875000000006</v>
      </c>
      <c r="G77" s="17">
        <f t="shared" si="6"/>
        <v>0.47259226562500006</v>
      </c>
    </row>
    <row r="78" spans="2:7" ht="12.75" customHeight="1">
      <c r="B78" s="29">
        <v>0.8</v>
      </c>
      <c r="C78" s="32">
        <f t="shared" si="7"/>
        <v>0.90305124081194477</v>
      </c>
      <c r="D78" s="17">
        <f t="shared" si="4"/>
        <v>0.76362799999999997</v>
      </c>
      <c r="E78" s="17">
        <f t="shared" si="8"/>
        <v>0.48982728680255999</v>
      </c>
      <c r="F78" s="17">
        <f t="shared" si="5"/>
        <v>0.41298000000000001</v>
      </c>
      <c r="G78" s="17">
        <f t="shared" si="6"/>
        <v>0.48230451200000002</v>
      </c>
    </row>
    <row r="79" spans="2:7" ht="12.75" customHeight="1">
      <c r="B79" s="29">
        <v>0.85</v>
      </c>
      <c r="C79" s="32">
        <f t="shared" si="7"/>
        <v>0.92667843319548482</v>
      </c>
      <c r="D79" s="17">
        <f t="shared" si="4"/>
        <v>0.74464450000000004</v>
      </c>
      <c r="E79" s="17">
        <f t="shared" si="8"/>
        <v>0.46577616235941</v>
      </c>
      <c r="F79" s="17">
        <f t="shared" si="5"/>
        <v>0.39182875000000006</v>
      </c>
      <c r="G79" s="17">
        <f t="shared" si="6"/>
        <v>0.49138687262500008</v>
      </c>
    </row>
    <row r="80" spans="2:7" ht="12.75" customHeight="1">
      <c r="B80" s="29">
        <v>0.9</v>
      </c>
      <c r="C80" s="32">
        <f t="shared" si="7"/>
        <v>0.94977218062994428</v>
      </c>
      <c r="D80" s="17">
        <f t="shared" si="4"/>
        <v>0.72426199999999996</v>
      </c>
      <c r="E80" s="17">
        <f t="shared" si="8"/>
        <v>0.44062657350095996</v>
      </c>
      <c r="F80" s="17">
        <f t="shared" si="5"/>
        <v>0.36911499999999997</v>
      </c>
      <c r="G80" s="17">
        <f t="shared" si="6"/>
        <v>0.49991954200000005</v>
      </c>
    </row>
    <row r="81" spans="2:7" ht="12.75" customHeight="1">
      <c r="B81" s="29">
        <v>0.95</v>
      </c>
      <c r="C81" s="32">
        <f t="shared" si="7"/>
        <v>0.97241172165672651</v>
      </c>
      <c r="D81" s="17">
        <f t="shared" si="4"/>
        <v>0.70248049999999995</v>
      </c>
      <c r="E81" s="17">
        <f t="shared" si="8"/>
        <v>0.41452223641940994</v>
      </c>
      <c r="F81" s="17">
        <f t="shared" si="5"/>
        <v>0.34483875000000003</v>
      </c>
      <c r="G81" s="17">
        <f t="shared" si="6"/>
        <v>0.50797539762499999</v>
      </c>
    </row>
    <row r="82" spans="2:7" ht="12.75" customHeight="1">
      <c r="B82" s="29">
        <v>1</v>
      </c>
      <c r="C82" s="32">
        <f t="shared" si="7"/>
        <v>0.99466382465003356</v>
      </c>
      <c r="D82" s="17">
        <f t="shared" si="4"/>
        <v>0.68</v>
      </c>
      <c r="E82" s="17">
        <f t="shared" si="8"/>
        <v>0.38841600000000004</v>
      </c>
      <c r="F82" s="17">
        <f t="shared" si="5"/>
        <v>0.32</v>
      </c>
      <c r="G82" s="17">
        <f t="shared" si="6"/>
        <v>0.51561999999999997</v>
      </c>
    </row>
  </sheetData>
  <mergeCells count="13">
    <mergeCell ref="B11:B13"/>
    <mergeCell ref="G43:H43"/>
    <mergeCell ref="G44:H45"/>
    <mergeCell ref="C11:E11"/>
    <mergeCell ref="D12:E12"/>
    <mergeCell ref="F11:H11"/>
    <mergeCell ref="F12:F13"/>
    <mergeCell ref="G12:H12"/>
    <mergeCell ref="M12:O12"/>
    <mergeCell ref="I11:K11"/>
    <mergeCell ref="I12:I13"/>
    <mergeCell ref="J12:K12"/>
    <mergeCell ref="C12:C13"/>
  </mergeCells>
  <phoneticPr fontId="23"/>
  <dataValidations count="3">
    <dataValidation type="list" allowBlank="1" showInputMessage="1" showErrorMessage="1" sqref="E44" xr:uid="{00000000-0002-0000-0B00-000000000000}">
      <formula1>IF($E$43="Damper",$B$15:$B$39,IF($E$43="15 Deg Sealed",$B$15:$B$34,$B$17:$B$39))</formula1>
    </dataValidation>
    <dataValidation type="list" allowBlank="1" showInputMessage="1" showErrorMessage="1" sqref="E43" xr:uid="{00000000-0002-0000-0B00-000001000000}">
      <formula1>"Damper, 15 Deg Sealed, Back Seat"</formula1>
    </dataValidation>
    <dataValidation type="list" allowBlank="1" showInputMessage="1" showErrorMessage="1" sqref="E45" xr:uid="{00000000-0002-0000-0B00-000002000000}">
      <formula1>IF($E$43="15 Deg Sealed",$G$13:$H$13,$D$13:$E$13)</formula1>
    </dataValidation>
  </dataValidations>
  <pageMargins left="0.7" right="0.7" top="0.75" bottom="0.75" header="0.3" footer="0.3"/>
  <pageSetup orientation="portrait" r:id="rId1"/>
  <customProperties>
    <customPr name="BudgetSheetCodeName" r:id="rId2"/>
  </customProperties>
  <drawing r:id="rId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9"/>
  <dimension ref="A1:N78"/>
  <sheetViews>
    <sheetView topLeftCell="A18" workbookViewId="0">
      <selection activeCell="D41" sqref="D41"/>
    </sheetView>
  </sheetViews>
  <sheetFormatPr defaultColWidth="8.84375" defaultRowHeight="12.75" customHeight="1"/>
  <cols>
    <col min="1" max="1" width="2.53515625" style="15" customWidth="1"/>
    <col min="2" max="16384" width="8.84375" style="123"/>
  </cols>
  <sheetData>
    <row r="1" spans="2:7" ht="16.5">
      <c r="B1" s="30" t="s">
        <v>246</v>
      </c>
      <c r="C1" s="30"/>
      <c r="D1" s="30"/>
      <c r="E1" s="30"/>
    </row>
    <row r="3" spans="2:7" ht="12.75" customHeight="1">
      <c r="B3" s="33" t="s">
        <v>0</v>
      </c>
      <c r="C3" s="33"/>
      <c r="D3" s="15"/>
      <c r="E3" s="15"/>
      <c r="F3" s="15"/>
    </row>
    <row r="4" spans="2:7" ht="12.75" customHeight="1">
      <c r="B4" s="33"/>
      <c r="C4" s="33" t="s">
        <v>231</v>
      </c>
      <c r="E4" s="118" t="s">
        <v>194</v>
      </c>
      <c r="F4" s="15"/>
    </row>
    <row r="5" spans="2:7" ht="12.75" customHeight="1">
      <c r="B5" s="33"/>
      <c r="C5" s="33" t="s">
        <v>142</v>
      </c>
      <c r="E5" s="15" t="s">
        <v>234</v>
      </c>
      <c r="F5" s="15"/>
    </row>
    <row r="6" spans="2:7" ht="12.75" customHeight="1">
      <c r="B6" s="33"/>
      <c r="C6" s="33"/>
      <c r="E6" s="15"/>
      <c r="F6" s="15"/>
    </row>
    <row r="7" spans="2:7" ht="12.75" customHeight="1">
      <c r="B7" s="33"/>
      <c r="C7" s="33"/>
      <c r="E7" s="15"/>
      <c r="F7" s="15"/>
    </row>
    <row r="8" spans="2:7" ht="12.75" customHeight="1" thickBot="1">
      <c r="B8" s="33"/>
      <c r="C8" s="33"/>
      <c r="E8" s="15"/>
      <c r="F8" s="15"/>
    </row>
    <row r="9" spans="2:7" ht="12" customHeight="1">
      <c r="B9" s="341" t="s">
        <v>65</v>
      </c>
      <c r="C9" s="370" t="s">
        <v>12</v>
      </c>
      <c r="D9" s="445" t="s">
        <v>156</v>
      </c>
      <c r="E9" s="334" t="s">
        <v>155</v>
      </c>
      <c r="F9" s="335"/>
    </row>
    <row r="10" spans="2:7" ht="12.75" customHeight="1">
      <c r="B10" s="342"/>
      <c r="C10" s="371"/>
      <c r="D10" s="446"/>
      <c r="E10" s="59" t="s">
        <v>207</v>
      </c>
      <c r="F10" s="86" t="s">
        <v>208</v>
      </c>
    </row>
    <row r="11" spans="2:7" ht="12.75" customHeight="1" thickBot="1">
      <c r="B11" s="343"/>
      <c r="C11" s="4" t="s">
        <v>177</v>
      </c>
      <c r="D11" s="93" t="s">
        <v>18</v>
      </c>
      <c r="E11" s="93" t="s">
        <v>18</v>
      </c>
      <c r="F11" s="94" t="s">
        <v>18</v>
      </c>
      <c r="G11" s="295" t="s">
        <v>80</v>
      </c>
    </row>
    <row r="12" spans="2:7" ht="12.75" customHeight="1">
      <c r="B12" s="447" t="s">
        <v>141</v>
      </c>
      <c r="C12" s="301" t="s">
        <v>195</v>
      </c>
      <c r="D12" s="302">
        <v>4.5</v>
      </c>
      <c r="E12" s="61">
        <v>125</v>
      </c>
      <c r="F12" s="62">
        <v>260</v>
      </c>
      <c r="G12" s="294">
        <v>159</v>
      </c>
    </row>
    <row r="13" spans="2:7" ht="12.75" customHeight="1">
      <c r="B13" s="443"/>
      <c r="C13" s="288" t="s">
        <v>182</v>
      </c>
      <c r="D13" s="122">
        <v>8</v>
      </c>
      <c r="E13" s="59">
        <v>230</v>
      </c>
      <c r="F13" s="86">
        <v>470</v>
      </c>
      <c r="G13" s="294">
        <v>160</v>
      </c>
    </row>
    <row r="14" spans="2:7" ht="12.75" customHeight="1">
      <c r="B14" s="443"/>
      <c r="C14" s="288" t="s">
        <v>193</v>
      </c>
      <c r="D14" s="122">
        <v>13</v>
      </c>
      <c r="E14" s="59">
        <v>365</v>
      </c>
      <c r="F14" s="86">
        <v>760</v>
      </c>
      <c r="G14" s="294">
        <v>161</v>
      </c>
    </row>
    <row r="15" spans="2:7" ht="12.75" customHeight="1">
      <c r="B15" s="443"/>
      <c r="C15" s="288" t="s">
        <v>183</v>
      </c>
      <c r="D15" s="122">
        <v>23</v>
      </c>
      <c r="E15" s="59">
        <v>630</v>
      </c>
      <c r="F15" s="86">
        <v>1300</v>
      </c>
      <c r="G15" s="294">
        <v>162</v>
      </c>
    </row>
    <row r="16" spans="2:7" ht="12.75" customHeight="1">
      <c r="B16" s="443"/>
      <c r="C16" s="288" t="s">
        <v>184</v>
      </c>
      <c r="D16" s="122">
        <v>39</v>
      </c>
      <c r="E16" s="59">
        <v>1100</v>
      </c>
      <c r="F16" s="86">
        <v>2250</v>
      </c>
      <c r="G16" s="294">
        <v>163</v>
      </c>
    </row>
    <row r="17" spans="2:10" ht="12.75" customHeight="1">
      <c r="B17" s="443"/>
      <c r="C17" s="288" t="s">
        <v>185</v>
      </c>
      <c r="D17" s="122">
        <v>60</v>
      </c>
      <c r="E17" s="59">
        <v>1760</v>
      </c>
      <c r="F17" s="86">
        <v>3600</v>
      </c>
      <c r="G17" s="294">
        <v>164</v>
      </c>
    </row>
    <row r="18" spans="2:10" ht="12.75" customHeight="1">
      <c r="B18" s="443"/>
      <c r="C18" s="288" t="s">
        <v>186</v>
      </c>
      <c r="D18" s="122">
        <v>100</v>
      </c>
      <c r="E18" s="59">
        <v>2450</v>
      </c>
      <c r="F18" s="86">
        <v>5000</v>
      </c>
      <c r="G18" s="294">
        <v>165</v>
      </c>
    </row>
    <row r="19" spans="2:10" ht="12.75" customHeight="1">
      <c r="B19" s="443"/>
      <c r="C19" s="288" t="s">
        <v>187</v>
      </c>
      <c r="D19" s="122">
        <v>130</v>
      </c>
      <c r="E19" s="59">
        <v>3250</v>
      </c>
      <c r="F19" s="86">
        <v>6700</v>
      </c>
      <c r="G19" s="294">
        <v>166</v>
      </c>
    </row>
    <row r="20" spans="2:10" ht="12.75" customHeight="1">
      <c r="B20" s="443"/>
      <c r="C20" s="288" t="s">
        <v>188</v>
      </c>
      <c r="D20" s="122">
        <v>180</v>
      </c>
      <c r="E20" s="59">
        <v>4270</v>
      </c>
      <c r="F20" s="86">
        <v>8700</v>
      </c>
      <c r="G20" s="294">
        <v>167</v>
      </c>
    </row>
    <row r="21" spans="2:10" ht="12.75" customHeight="1">
      <c r="B21" s="443"/>
      <c r="C21" s="288" t="s">
        <v>189</v>
      </c>
      <c r="D21" s="122">
        <v>210</v>
      </c>
      <c r="E21" s="59">
        <v>5350</v>
      </c>
      <c r="F21" s="86">
        <v>11000</v>
      </c>
      <c r="G21" s="65">
        <v>168</v>
      </c>
    </row>
    <row r="22" spans="2:10" ht="12.75" customHeight="1">
      <c r="B22" s="443"/>
      <c r="C22" s="288" t="s">
        <v>201</v>
      </c>
      <c r="D22" s="122">
        <v>290</v>
      </c>
      <c r="E22" s="59">
        <v>7000</v>
      </c>
      <c r="F22" s="86">
        <v>14400</v>
      </c>
      <c r="G22" s="65">
        <v>169</v>
      </c>
    </row>
    <row r="23" spans="2:10" ht="12.75" customHeight="1" thickBot="1">
      <c r="B23" s="444"/>
      <c r="C23" s="92" t="s">
        <v>202</v>
      </c>
      <c r="D23" s="299">
        <v>400</v>
      </c>
      <c r="E23" s="93">
        <v>10100</v>
      </c>
      <c r="F23" s="94">
        <v>21000</v>
      </c>
      <c r="G23" s="65">
        <v>170</v>
      </c>
    </row>
    <row r="24" spans="2:10" ht="12.75" customHeight="1">
      <c r="B24" s="443" t="s">
        <v>139</v>
      </c>
      <c r="C24" s="289" t="s">
        <v>195</v>
      </c>
      <c r="D24" s="300">
        <v>4.5</v>
      </c>
      <c r="E24" s="95">
        <v>110</v>
      </c>
      <c r="F24" s="96">
        <v>185</v>
      </c>
      <c r="G24" s="65">
        <v>171</v>
      </c>
      <c r="J24" s="16"/>
    </row>
    <row r="25" spans="2:10" ht="12.75" customHeight="1">
      <c r="B25" s="443"/>
      <c r="C25" s="288" t="s">
        <v>182</v>
      </c>
      <c r="D25" s="122">
        <v>8</v>
      </c>
      <c r="E25" s="59">
        <v>210</v>
      </c>
      <c r="F25" s="86">
        <v>330</v>
      </c>
      <c r="G25" s="65">
        <v>172</v>
      </c>
      <c r="J25" s="16"/>
    </row>
    <row r="26" spans="2:10" ht="12.75" customHeight="1">
      <c r="B26" s="443"/>
      <c r="C26" s="288" t="s">
        <v>193</v>
      </c>
      <c r="D26" s="122">
        <v>12</v>
      </c>
      <c r="E26" s="59">
        <v>325</v>
      </c>
      <c r="F26" s="86">
        <v>530</v>
      </c>
      <c r="G26" s="65">
        <v>173</v>
      </c>
      <c r="J26" s="16"/>
    </row>
    <row r="27" spans="2:10" ht="12.75" customHeight="1">
      <c r="B27" s="443"/>
      <c r="C27" s="288" t="s">
        <v>183</v>
      </c>
      <c r="D27" s="122">
        <v>21</v>
      </c>
      <c r="E27" s="59">
        <v>550</v>
      </c>
      <c r="F27" s="86">
        <v>910</v>
      </c>
      <c r="G27" s="65">
        <v>174</v>
      </c>
      <c r="J27" s="16"/>
    </row>
    <row r="28" spans="2:10" ht="12.75" customHeight="1">
      <c r="B28" s="443"/>
      <c r="C28" s="288" t="s">
        <v>184</v>
      </c>
      <c r="D28" s="122">
        <v>40</v>
      </c>
      <c r="E28" s="59">
        <v>1000</v>
      </c>
      <c r="F28" s="86">
        <v>1690</v>
      </c>
      <c r="G28" s="65">
        <v>175</v>
      </c>
      <c r="J28" s="16"/>
    </row>
    <row r="29" spans="2:10" ht="12.75" customHeight="1">
      <c r="B29" s="443"/>
      <c r="C29" s="288" t="s">
        <v>185</v>
      </c>
      <c r="D29" s="122">
        <v>60</v>
      </c>
      <c r="E29" s="59">
        <v>1630</v>
      </c>
      <c r="F29" s="86">
        <v>2700</v>
      </c>
      <c r="G29" s="65">
        <v>176</v>
      </c>
      <c r="J29" s="16"/>
    </row>
    <row r="30" spans="2:10" ht="12.75" customHeight="1">
      <c r="B30" s="443"/>
      <c r="C30" s="288" t="s">
        <v>186</v>
      </c>
      <c r="D30" s="122">
        <v>90</v>
      </c>
      <c r="E30" s="59">
        <v>2220</v>
      </c>
      <c r="F30" s="86">
        <v>3750</v>
      </c>
      <c r="G30" s="65">
        <v>177</v>
      </c>
      <c r="J30" s="16"/>
    </row>
    <row r="31" spans="2:10" ht="12.75" customHeight="1">
      <c r="B31" s="443"/>
      <c r="C31" s="288" t="s">
        <v>187</v>
      </c>
      <c r="D31" s="122">
        <v>110</v>
      </c>
      <c r="E31" s="59">
        <v>2960</v>
      </c>
      <c r="F31" s="86">
        <v>5360</v>
      </c>
      <c r="G31" s="65">
        <v>178</v>
      </c>
      <c r="J31" s="16"/>
    </row>
    <row r="32" spans="2:10" ht="12.75" customHeight="1">
      <c r="B32" s="443"/>
      <c r="C32" s="288" t="s">
        <v>188</v>
      </c>
      <c r="D32" s="122">
        <v>140</v>
      </c>
      <c r="E32" s="59">
        <v>3870</v>
      </c>
      <c r="F32" s="86">
        <v>7000</v>
      </c>
      <c r="G32" s="65">
        <v>179</v>
      </c>
      <c r="J32" s="16"/>
    </row>
    <row r="33" spans="2:14" ht="12.75" customHeight="1">
      <c r="B33" s="443"/>
      <c r="C33" s="288" t="s">
        <v>189</v>
      </c>
      <c r="D33" s="122">
        <v>200</v>
      </c>
      <c r="E33" s="59">
        <v>4900</v>
      </c>
      <c r="F33" s="86">
        <v>8800</v>
      </c>
      <c r="G33" s="65">
        <v>180</v>
      </c>
      <c r="J33" s="16"/>
    </row>
    <row r="34" spans="2:14" ht="12.75" customHeight="1">
      <c r="B34" s="443"/>
      <c r="C34" s="288" t="s">
        <v>201</v>
      </c>
      <c r="D34" s="122">
        <v>240</v>
      </c>
      <c r="E34" s="59">
        <v>6300</v>
      </c>
      <c r="F34" s="86">
        <v>11500</v>
      </c>
      <c r="G34" s="65">
        <v>181</v>
      </c>
      <c r="J34" s="16"/>
    </row>
    <row r="35" spans="2:14" ht="12.75" customHeight="1" thickBot="1">
      <c r="B35" s="444"/>
      <c r="C35" s="92" t="s">
        <v>202</v>
      </c>
      <c r="D35" s="299">
        <v>380</v>
      </c>
      <c r="E35" s="93">
        <v>9240</v>
      </c>
      <c r="F35" s="94">
        <v>16800</v>
      </c>
      <c r="G35" s="65">
        <v>182</v>
      </c>
      <c r="J35" s="16"/>
    </row>
    <row r="36" spans="2:14" ht="12.75" customHeight="1">
      <c r="B36" s="28"/>
      <c r="C36" s="16"/>
      <c r="D36" s="16"/>
      <c r="E36" s="16"/>
      <c r="F36" s="16"/>
      <c r="H36" s="16"/>
      <c r="I36" s="65"/>
    </row>
    <row r="37" spans="2:14" ht="12.75" customHeight="1">
      <c r="B37" s="28"/>
      <c r="C37" s="16"/>
      <c r="D37" s="16"/>
      <c r="E37" s="16"/>
      <c r="F37" s="16"/>
      <c r="H37" s="16"/>
      <c r="I37" s="16"/>
    </row>
    <row r="38" spans="2:14" ht="12.75" customHeight="1">
      <c r="B38" s="33" t="s">
        <v>67</v>
      </c>
      <c r="C38" s="15"/>
      <c r="D38" s="15"/>
      <c r="E38" s="15"/>
      <c r="F38" s="15"/>
      <c r="G38" s="15"/>
      <c r="H38" s="15"/>
      <c r="I38" s="15"/>
      <c r="J38" s="15"/>
      <c r="K38" s="15"/>
      <c r="L38" s="15"/>
      <c r="M38" s="15"/>
      <c r="N38" s="15"/>
    </row>
    <row r="39" spans="2:14" ht="12.75" customHeight="1">
      <c r="B39" s="33" t="s">
        <v>93</v>
      </c>
      <c r="C39" s="15"/>
      <c r="D39" s="59" t="s">
        <v>139</v>
      </c>
      <c r="E39" s="112"/>
      <c r="I39" s="15"/>
      <c r="J39" s="15"/>
      <c r="K39" s="15"/>
      <c r="L39" s="15"/>
      <c r="M39" s="15"/>
      <c r="N39" s="15"/>
    </row>
    <row r="40" spans="2:14" ht="12.75" customHeight="1">
      <c r="B40" s="33" t="s">
        <v>196</v>
      </c>
      <c r="C40" s="15"/>
      <c r="D40" s="59" t="s">
        <v>185</v>
      </c>
      <c r="E40" s="112"/>
      <c r="F40" s="112"/>
      <c r="G40" s="15"/>
      <c r="H40" s="15"/>
      <c r="I40" s="15"/>
      <c r="J40" s="15"/>
      <c r="K40" s="15"/>
      <c r="L40" s="15"/>
      <c r="M40" s="15"/>
      <c r="N40" s="15"/>
    </row>
    <row r="41" spans="2:14" ht="12.75" customHeight="1">
      <c r="B41" s="33" t="s">
        <v>209</v>
      </c>
      <c r="C41" s="15"/>
      <c r="D41" s="59" t="s">
        <v>208</v>
      </c>
      <c r="E41" s="15"/>
      <c r="F41" s="15"/>
      <c r="G41" s="15"/>
      <c r="I41" s="15"/>
      <c r="J41" s="15"/>
      <c r="K41" s="15"/>
      <c r="L41" s="15"/>
      <c r="M41" s="15"/>
      <c r="N41" s="15"/>
    </row>
    <row r="42" spans="2:14" ht="12.75" customHeight="1">
      <c r="B42" s="285" t="s">
        <v>146</v>
      </c>
      <c r="C42" s="279"/>
      <c r="D42" s="65">
        <f>IF(AND($D$39="150#",$D$41="60 Deg"),INDEX(E12:E23,MATCH($D$40,C12:C23,0)),
    IF(AND($D$39="150#",$D$41="90 Deg"),INDEX(F12:F23,MATCH($D$40,C12:C23,0)),
      IF(AND($D$39="300#",$D$41="60 Deg"),INDEX(E24:E35,MATCH($D$40,C24:C35,0)),
        IF(AND($D$39="300#",$D$41="90 Deg"),INDEX(F24:F35,MATCH($D$40,C24:C35,0)),"Check Options"))))</f>
        <v>2700</v>
      </c>
      <c r="E42" s="15"/>
      <c r="F42" s="15"/>
      <c r="G42" s="15"/>
      <c r="H42" s="65">
        <v>2</v>
      </c>
      <c r="I42" s="65">
        <v>3</v>
      </c>
      <c r="J42" s="65">
        <v>4</v>
      </c>
      <c r="K42" s="65">
        <v>5</v>
      </c>
      <c r="L42" s="65">
        <v>6</v>
      </c>
      <c r="M42" s="65">
        <v>7</v>
      </c>
      <c r="N42" s="65">
        <v>8</v>
      </c>
    </row>
    <row r="43" spans="2:14" ht="12.75" customHeight="1">
      <c r="B43" s="15"/>
      <c r="C43" s="15"/>
      <c r="D43" s="15"/>
      <c r="E43" s="15"/>
      <c r="F43" s="15"/>
      <c r="G43" s="16" t="s">
        <v>163</v>
      </c>
      <c r="H43" s="15"/>
      <c r="I43" s="28" t="s">
        <v>53</v>
      </c>
      <c r="J43" s="28" t="s">
        <v>54</v>
      </c>
      <c r="K43" s="28" t="s">
        <v>55</v>
      </c>
      <c r="L43" s="28" t="s">
        <v>56</v>
      </c>
      <c r="M43" s="28" t="s">
        <v>57</v>
      </c>
      <c r="N43" s="28" t="s">
        <v>58</v>
      </c>
    </row>
    <row r="44" spans="2:14" ht="12.75" customHeight="1">
      <c r="B44" s="33" t="s">
        <v>95</v>
      </c>
      <c r="C44" s="15"/>
      <c r="D44" s="15"/>
      <c r="E44" s="15"/>
      <c r="F44" s="15" t="s">
        <v>43</v>
      </c>
      <c r="G44" s="151">
        <f>IF($D$41="60Deg",10/6,10/9)</f>
        <v>1.1111111111111112</v>
      </c>
      <c r="H44" s="28">
        <f>IF($D$39="150#",INDEX(G12:G23,MATCH($D$40,C12:C23,0)),
    INDEX(G24:G35,MATCH($D$40,C24:C35,0)))</f>
        <v>176</v>
      </c>
      <c r="I44" s="116">
        <f t="shared" ref="I44:N44" si="0">VLOOKUP($H$44,StkData,I42)</f>
        <v>2.0279999999999998E-15</v>
      </c>
      <c r="J44" s="116">
        <f t="shared" si="0"/>
        <v>-1.7709999999999999E-11</v>
      </c>
      <c r="K44" s="116">
        <f t="shared" si="0"/>
        <v>6.3040000000000001E-8</v>
      </c>
      <c r="L44" s="116">
        <f t="shared" si="0"/>
        <v>-1.093E-4</v>
      </c>
      <c r="M44" s="116">
        <f t="shared" si="0"/>
        <v>0.1095</v>
      </c>
      <c r="N44" s="116">
        <f t="shared" si="0"/>
        <v>0.53590000000000004</v>
      </c>
    </row>
    <row r="45" spans="2:14" ht="12.75" customHeight="1">
      <c r="B45" s="33"/>
      <c r="C45" s="15"/>
      <c r="D45" s="15"/>
      <c r="E45" s="15"/>
      <c r="F45" s="15"/>
      <c r="G45" s="151"/>
      <c r="H45" s="15" t="str">
        <f>IF(D41="60 Deg","%Stk = (A5*Cv^5 + A4*Cv^4 + A3*Cv^3 + A2*Cv^2 + A1*Cv + A0)/60",
    "%Stk = (A5*Cv^5 + A4*Cv^4 + A3*Cv^3 + A2*Cv^2 + A1*Cv + A0)/90")</f>
        <v>%Stk = (A5*Cv^5 + A4*Cv^4 + A3*Cv^3 + A2*Cv^2 + A1*Cv + A0)/90</v>
      </c>
      <c r="I45" s="116"/>
      <c r="J45" s="116"/>
      <c r="K45" s="116"/>
      <c r="L45" s="116"/>
      <c r="M45" s="116"/>
      <c r="N45" s="116"/>
    </row>
    <row r="46" spans="2:14" ht="12.75" customHeight="1">
      <c r="B46" s="15"/>
      <c r="C46" s="15"/>
      <c r="D46" s="15"/>
      <c r="E46" s="15"/>
      <c r="F46" s="34"/>
      <c r="G46" s="15"/>
      <c r="H46" s="28" t="s">
        <v>30</v>
      </c>
      <c r="I46" s="28" t="s">
        <v>31</v>
      </c>
      <c r="J46" s="28" t="s">
        <v>44</v>
      </c>
      <c r="K46" s="28" t="s">
        <v>45</v>
      </c>
      <c r="L46" s="28" t="s">
        <v>46</v>
      </c>
      <c r="M46" s="28" t="s">
        <v>47</v>
      </c>
      <c r="N46" s="28" t="s">
        <v>48</v>
      </c>
    </row>
    <row r="47" spans="2:14" ht="12.75" customHeight="1">
      <c r="B47" s="33" t="s">
        <v>21</v>
      </c>
      <c r="C47" s="15"/>
      <c r="D47" s="15"/>
      <c r="E47" s="15"/>
      <c r="F47" s="15" t="s">
        <v>32</v>
      </c>
      <c r="G47" s="28">
        <f>IF($D$41="60 Deg",6,7)</f>
        <v>7</v>
      </c>
      <c r="H47" s="16">
        <f t="shared" ref="H47:N47" si="1">VLOOKUP($G$47,FLData,H42)</f>
        <v>0.55000000000000004</v>
      </c>
      <c r="I47" s="16">
        <f t="shared" si="1"/>
        <v>0.87</v>
      </c>
      <c r="J47" s="16">
        <f t="shared" si="1"/>
        <v>1.2311000000000001</v>
      </c>
      <c r="K47" s="16">
        <f t="shared" si="1"/>
        <v>-1.6794</v>
      </c>
      <c r="L47" s="16">
        <f t="shared" si="1"/>
        <v>0.1104</v>
      </c>
      <c r="M47" s="16">
        <f t="shared" si="1"/>
        <v>1.2200000000000001E-2</v>
      </c>
      <c r="N47" s="16">
        <f t="shared" si="1"/>
        <v>0.87790000000000001</v>
      </c>
    </row>
    <row r="48" spans="2:14" ht="12.75" customHeight="1">
      <c r="B48" s="33" t="s">
        <v>33</v>
      </c>
      <c r="C48" s="15"/>
      <c r="D48" s="15"/>
      <c r="E48" s="15"/>
      <c r="F48" s="15" t="s">
        <v>34</v>
      </c>
      <c r="G48" s="28">
        <f t="shared" ref="G48:G49" si="2">IF($D$41="60 Deg",6,7)</f>
        <v>7</v>
      </c>
      <c r="H48" s="16">
        <f t="shared" ref="H48:N48" si="3">VLOOKUP($G$48,KcData,H42)</f>
        <v>0.21</v>
      </c>
      <c r="I48" s="16">
        <f t="shared" si="3"/>
        <v>0.54500000000000004</v>
      </c>
      <c r="J48" s="16">
        <f t="shared" si="3"/>
        <v>1.2675000000000001</v>
      </c>
      <c r="K48" s="16">
        <f t="shared" si="3"/>
        <v>-1.6268</v>
      </c>
      <c r="L48" s="16">
        <f t="shared" si="3"/>
        <v>-2.2000000000000001E-3</v>
      </c>
      <c r="M48" s="16">
        <f t="shared" si="3"/>
        <v>2.92E-2</v>
      </c>
      <c r="N48" s="16">
        <f t="shared" si="3"/>
        <v>0.54759999999999998</v>
      </c>
    </row>
    <row r="49" spans="2:14" ht="12.75" customHeight="1">
      <c r="B49" s="33" t="s">
        <v>26</v>
      </c>
      <c r="C49" s="15"/>
      <c r="D49" s="15"/>
      <c r="E49" s="15"/>
      <c r="F49" s="15" t="s">
        <v>87</v>
      </c>
      <c r="G49" s="28">
        <f t="shared" si="2"/>
        <v>7</v>
      </c>
      <c r="H49" s="16">
        <f t="shared" ref="H49:N49" si="4">VLOOKUP($G$49,FdData,H42)</f>
        <v>0</v>
      </c>
      <c r="I49" s="16">
        <f t="shared" si="4"/>
        <v>10</v>
      </c>
      <c r="J49" s="16">
        <f t="shared" si="4"/>
        <v>-0.78039999999999998</v>
      </c>
      <c r="K49" s="16">
        <f t="shared" si="4"/>
        <v>2.1429999999999998</v>
      </c>
      <c r="L49" s="16">
        <f t="shared" si="4"/>
        <v>-2.3260000000000001</v>
      </c>
      <c r="M49" s="16">
        <f t="shared" si="4"/>
        <v>1.4071</v>
      </c>
      <c r="N49" s="16">
        <f t="shared" si="4"/>
        <v>0.1744</v>
      </c>
    </row>
    <row r="50" spans="2:14" ht="12.75" customHeight="1">
      <c r="B50" s="33" t="s">
        <v>24</v>
      </c>
      <c r="C50" s="15"/>
      <c r="D50" s="15"/>
      <c r="E50" s="15"/>
      <c r="F50" s="15" t="s">
        <v>68</v>
      </c>
      <c r="G50" s="28">
        <f>IF($D$41="60Deg",0.39,0.25)</f>
        <v>0.25</v>
      </c>
      <c r="H50" s="36" t="s">
        <v>37</v>
      </c>
      <c r="I50" s="16"/>
      <c r="J50" s="16"/>
      <c r="K50" s="16"/>
      <c r="L50" s="16"/>
      <c r="M50" s="16"/>
      <c r="N50" s="16"/>
    </row>
    <row r="51" spans="2:14" ht="12.75" customHeight="1">
      <c r="B51" s="33"/>
      <c r="C51" s="15"/>
      <c r="D51" s="15"/>
      <c r="E51" s="15"/>
      <c r="F51" s="15" t="s">
        <v>25</v>
      </c>
      <c r="G51" s="16" t="s">
        <v>29</v>
      </c>
      <c r="H51" s="36" t="s">
        <v>36</v>
      </c>
      <c r="I51" s="16"/>
      <c r="J51" s="16"/>
      <c r="K51" s="16"/>
      <c r="L51" s="16"/>
      <c r="M51" s="16"/>
      <c r="N51" s="16"/>
    </row>
    <row r="52" spans="2:14" ht="12.75" customHeight="1">
      <c r="B52" s="33" t="s">
        <v>22</v>
      </c>
      <c r="C52" s="15"/>
      <c r="D52" s="15"/>
      <c r="E52" s="15"/>
      <c r="F52" s="15" t="s">
        <v>23</v>
      </c>
      <c r="G52" s="16" t="s">
        <v>29</v>
      </c>
      <c r="H52" s="36" t="s">
        <v>38</v>
      </c>
      <c r="I52" s="15"/>
      <c r="J52" s="15"/>
      <c r="K52" s="15"/>
      <c r="L52" s="15"/>
      <c r="M52" s="15"/>
      <c r="N52" s="15"/>
    </row>
    <row r="53" spans="2:14" ht="12.75" customHeight="1">
      <c r="B53" s="33" t="s">
        <v>28</v>
      </c>
      <c r="C53" s="15"/>
      <c r="D53" s="15"/>
      <c r="E53" s="15"/>
      <c r="F53" s="15" t="s">
        <v>27</v>
      </c>
      <c r="G53" s="16" t="s">
        <v>29</v>
      </c>
      <c r="H53" s="16"/>
      <c r="I53" s="16"/>
      <c r="J53" s="15"/>
      <c r="K53" s="15"/>
      <c r="L53" s="15"/>
      <c r="M53" s="15"/>
      <c r="N53" s="15"/>
    </row>
    <row r="57" spans="2:14" ht="12.75" customHeight="1">
      <c r="B57" s="28" t="s">
        <v>60</v>
      </c>
    </row>
    <row r="58" spans="2:14" ht="12.75" customHeight="1">
      <c r="B58" s="28" t="s">
        <v>35</v>
      </c>
      <c r="C58" s="28" t="s">
        <v>43</v>
      </c>
      <c r="D58" s="28" t="s">
        <v>32</v>
      </c>
      <c r="E58" s="28" t="s">
        <v>25</v>
      </c>
      <c r="F58" s="28" t="s">
        <v>34</v>
      </c>
      <c r="G58" s="16" t="s">
        <v>87</v>
      </c>
    </row>
    <row r="59" spans="2:14" ht="12.75" customHeight="1">
      <c r="B59" s="29">
        <v>5.0000000000000001E-3</v>
      </c>
      <c r="C59" s="303">
        <f t="shared" ref="C59:C78" si="5">($I$44*(B59*$D$42)^5+$J$44*(B59*$D$42)^4+$K$44*(B59*$D$42)^3+$L$44*(B59*$D$42)^2+$M$44*B59*$D$42+$N$44)/
    IF($D$41="60 Deg",60,90)</f>
        <v>2.2159828774562278E-2</v>
      </c>
      <c r="D59" s="150">
        <f t="shared" ref="D59:D78" si="6">MIN(MAX($J$47*B59^4+$K$47*B59^3+$L$47*B59^2+$M$47*B59+$N$47,$H$47),$I$47)</f>
        <v>0.87</v>
      </c>
      <c r="E59" s="150">
        <f>0.84*D59^2</f>
        <v>0.63579600000000003</v>
      </c>
      <c r="F59" s="150">
        <f t="shared" ref="F59:F78" si="7">MIN(MAX($J$48*B59^4+$K$48*B59^3+$L$48*B59^2+$M$48*B59+$N$48,$H$48),$I$48)</f>
        <v>0.54500000000000004</v>
      </c>
      <c r="G59" s="150">
        <f t="shared" ref="G59:G78" si="8">MIN(MAX($J$49*B59^4+$K$49*B59^3+$L$49*B59^2+$M$49*B59+$N$49,$H$49),$I$49)</f>
        <v>0.18137761738725</v>
      </c>
    </row>
    <row r="60" spans="2:14" ht="12.75" customHeight="1">
      <c r="B60" s="29">
        <v>0.01</v>
      </c>
      <c r="C60" s="303">
        <f t="shared" si="5"/>
        <v>3.7932797039994151E-2</v>
      </c>
      <c r="D60" s="150">
        <f t="shared" si="6"/>
        <v>0.87</v>
      </c>
      <c r="E60" s="150">
        <f t="shared" ref="E60:E78" si="9">0.84*D60^2</f>
        <v>0.63579600000000003</v>
      </c>
      <c r="F60" s="150">
        <f t="shared" si="7"/>
        <v>0.54500000000000004</v>
      </c>
      <c r="G60" s="150">
        <f t="shared" si="8"/>
        <v>0.18824053519600001</v>
      </c>
    </row>
    <row r="61" spans="2:14" ht="12.75" customHeight="1">
      <c r="B61" s="29">
        <v>0.02</v>
      </c>
      <c r="C61" s="303">
        <f t="shared" si="5"/>
        <v>6.8221756362498984E-2</v>
      </c>
      <c r="D61" s="150">
        <f t="shared" si="6"/>
        <v>0.87</v>
      </c>
      <c r="E61" s="150">
        <f t="shared" si="9"/>
        <v>0.63579600000000003</v>
      </c>
      <c r="F61" s="150">
        <f t="shared" si="7"/>
        <v>0.54500000000000004</v>
      </c>
      <c r="G61" s="150">
        <f t="shared" si="8"/>
        <v>0.201628619136</v>
      </c>
    </row>
    <row r="62" spans="2:14" ht="12.75" customHeight="1">
      <c r="B62" s="29">
        <v>0.04</v>
      </c>
      <c r="C62" s="303">
        <f t="shared" si="5"/>
        <v>0.12404508240561375</v>
      </c>
      <c r="D62" s="150">
        <f t="shared" si="6"/>
        <v>0.87</v>
      </c>
      <c r="E62" s="150">
        <f t="shared" si="9"/>
        <v>0.63579600000000003</v>
      </c>
      <c r="F62" s="150">
        <f t="shared" si="7"/>
        <v>0.54500000000000004</v>
      </c>
      <c r="G62" s="150">
        <f t="shared" si="8"/>
        <v>0.227097554176</v>
      </c>
    </row>
    <row r="63" spans="2:14" ht="12.75" customHeight="1">
      <c r="B63" s="29">
        <v>0.08</v>
      </c>
      <c r="C63" s="303">
        <f t="shared" si="5"/>
        <v>0.21873444306464623</v>
      </c>
      <c r="D63" s="150">
        <f t="shared" si="6"/>
        <v>0.87</v>
      </c>
      <c r="E63" s="150">
        <f t="shared" si="9"/>
        <v>0.63579600000000003</v>
      </c>
      <c r="F63" s="150">
        <f t="shared" si="7"/>
        <v>0.54500000000000004</v>
      </c>
      <c r="G63" s="150">
        <f t="shared" si="8"/>
        <v>0.27314685081599999</v>
      </c>
    </row>
    <row r="64" spans="2:14" ht="12.75" customHeight="1">
      <c r="B64" s="29">
        <v>0.16</v>
      </c>
      <c r="C64" s="303">
        <f t="shared" si="5"/>
        <v>0.35486645031944541</v>
      </c>
      <c r="D64" s="150">
        <f t="shared" si="6"/>
        <v>0.87</v>
      </c>
      <c r="E64" s="150">
        <f t="shared" si="9"/>
        <v>0.63579600000000003</v>
      </c>
      <c r="F64" s="150">
        <f t="shared" si="7"/>
        <v>0.54500000000000004</v>
      </c>
      <c r="G64" s="150">
        <f t="shared" si="8"/>
        <v>0.34825668505599999</v>
      </c>
    </row>
    <row r="65" spans="2:7" ht="12.75" customHeight="1">
      <c r="B65" s="29">
        <v>0.35</v>
      </c>
      <c r="C65" s="303">
        <f t="shared" si="5"/>
        <v>0.52233910387897819</v>
      </c>
      <c r="D65" s="150">
        <f t="shared" si="6"/>
        <v>0.84216391937500001</v>
      </c>
      <c r="E65" s="150">
        <f t="shared" si="9"/>
        <v>0.59576165636153167</v>
      </c>
      <c r="F65" s="150">
        <f t="shared" si="7"/>
        <v>0.50682187187499994</v>
      </c>
      <c r="G65" s="150">
        <f t="shared" si="8"/>
        <v>0.46212024749999991</v>
      </c>
    </row>
    <row r="66" spans="2:7" ht="12.75" customHeight="1">
      <c r="B66" s="29">
        <v>0.4</v>
      </c>
      <c r="C66" s="303">
        <f t="shared" si="5"/>
        <v>0.55117958153500457</v>
      </c>
      <c r="D66" s="150">
        <f t="shared" si="6"/>
        <v>0.82447855999999997</v>
      </c>
      <c r="E66" s="150">
        <f t="shared" si="9"/>
        <v>0.57100251255572576</v>
      </c>
      <c r="F66" s="150">
        <f t="shared" si="7"/>
        <v>0.48726079999999994</v>
      </c>
      <c r="G66" s="150">
        <f t="shared" si="8"/>
        <v>0.48225375999999992</v>
      </c>
    </row>
    <row r="67" spans="2:7" ht="12.75" customHeight="1">
      <c r="B67" s="29">
        <v>0.45</v>
      </c>
      <c r="C67" s="303">
        <f t="shared" si="5"/>
        <v>0.57857490426418046</v>
      </c>
      <c r="D67" s="150">
        <f t="shared" si="6"/>
        <v>0.80319346937500002</v>
      </c>
      <c r="E67" s="150">
        <f t="shared" si="9"/>
        <v>0.54190058936718521</v>
      </c>
      <c r="F67" s="150">
        <f t="shared" si="7"/>
        <v>0.46402777187499999</v>
      </c>
      <c r="G67" s="150">
        <f t="shared" si="8"/>
        <v>0.49985959750000003</v>
      </c>
    </row>
    <row r="68" spans="2:7" ht="12.75" customHeight="1">
      <c r="B68" s="29">
        <v>0.5</v>
      </c>
      <c r="C68" s="303">
        <f t="shared" si="5"/>
        <v>0.60592704581944412</v>
      </c>
      <c r="D68" s="150">
        <f t="shared" si="6"/>
        <v>0.77861875000000003</v>
      </c>
      <c r="E68" s="150">
        <f t="shared" si="9"/>
        <v>0.50924761259531259</v>
      </c>
      <c r="F68" s="150">
        <f t="shared" si="7"/>
        <v>0.43751874999999996</v>
      </c>
      <c r="G68" s="150">
        <f t="shared" si="8"/>
        <v>0.51554999999999995</v>
      </c>
    </row>
    <row r="69" spans="2:7" ht="12.75" customHeight="1">
      <c r="B69" s="29">
        <v>0.55000000000000004</v>
      </c>
      <c r="C69" s="303">
        <f t="shared" si="5"/>
        <v>0.63416057764608336</v>
      </c>
      <c r="D69" s="150">
        <f t="shared" si="6"/>
        <v>0.75124916937499997</v>
      </c>
      <c r="E69" s="150">
        <f t="shared" si="9"/>
        <v>0.474075264168767</v>
      </c>
      <c r="F69" s="150">
        <f t="shared" si="7"/>
        <v>0.40831982187499993</v>
      </c>
      <c r="G69" s="150">
        <f t="shared" si="8"/>
        <v>0.52982014750000006</v>
      </c>
    </row>
    <row r="70" spans="2:7" ht="12.75" customHeight="1">
      <c r="B70" s="29">
        <v>0.6</v>
      </c>
      <c r="C70" s="303">
        <f t="shared" si="5"/>
        <v>0.66384391714588398</v>
      </c>
      <c r="D70" s="150">
        <f t="shared" si="6"/>
        <v>0.72176415999999999</v>
      </c>
      <c r="E70" s="150">
        <f t="shared" si="9"/>
        <v>0.43759254223482469</v>
      </c>
      <c r="F70" s="150">
        <f t="shared" si="7"/>
        <v>0.37720719999999996</v>
      </c>
      <c r="G70" s="150">
        <f t="shared" si="8"/>
        <v>0.54304816</v>
      </c>
    </row>
    <row r="71" spans="2:7" ht="12.75" customHeight="1">
      <c r="B71" s="29">
        <v>0.65</v>
      </c>
      <c r="C71" s="303">
        <f t="shared" si="5"/>
        <v>0.69531057594128642</v>
      </c>
      <c r="D71" s="150">
        <f t="shared" si="6"/>
        <v>0.69102781937499991</v>
      </c>
      <c r="E71" s="150">
        <f t="shared" si="9"/>
        <v>0.40111633560614068</v>
      </c>
      <c r="F71" s="150">
        <f t="shared" si="7"/>
        <v>0.34514722187499991</v>
      </c>
      <c r="G71" s="150">
        <f t="shared" si="8"/>
        <v>0.55549509750000003</v>
      </c>
    </row>
    <row r="72" spans="2:7" ht="12.75" customHeight="1">
      <c r="B72" s="29">
        <v>0.7</v>
      </c>
      <c r="C72" s="303">
        <f t="shared" si="5"/>
        <v>0.72878040813952449</v>
      </c>
      <c r="D72" s="150">
        <f t="shared" si="6"/>
        <v>0.66008891000000003</v>
      </c>
      <c r="E72" s="150">
        <f t="shared" si="9"/>
        <v>0.36600259004819002</v>
      </c>
      <c r="F72" s="150">
        <f t="shared" si="7"/>
        <v>0.31329635000000006</v>
      </c>
      <c r="G72" s="150">
        <f t="shared" si="8"/>
        <v>0.56730495999999975</v>
      </c>
    </row>
    <row r="73" spans="2:7" ht="12.75" customHeight="1">
      <c r="B73" s="29">
        <v>0.75</v>
      </c>
      <c r="C73" s="303">
        <f t="shared" si="5"/>
        <v>0.76448085859678849</v>
      </c>
      <c r="D73" s="150">
        <f t="shared" si="6"/>
        <v>0.63018085937500001</v>
      </c>
      <c r="E73" s="150">
        <f t="shared" si="9"/>
        <v>0.3335874490389954</v>
      </c>
      <c r="F73" s="150">
        <f t="shared" si="7"/>
        <v>0.28300117187499996</v>
      </c>
      <c r="G73" s="150">
        <f t="shared" si="8"/>
        <v>0.57850468749999995</v>
      </c>
    </row>
    <row r="74" spans="2:7" ht="12.75" customHeight="1">
      <c r="B74" s="29">
        <v>0.8</v>
      </c>
      <c r="C74" s="303">
        <f t="shared" si="5"/>
        <v>0.80276821118236485</v>
      </c>
      <c r="D74" s="150">
        <f t="shared" si="6"/>
        <v>0.60272176000000011</v>
      </c>
      <c r="E74" s="150">
        <f t="shared" si="9"/>
        <v>0.30514975678109807</v>
      </c>
      <c r="F74" s="150">
        <f t="shared" si="7"/>
        <v>0.25579839999999998</v>
      </c>
      <c r="G74" s="150">
        <f t="shared" si="8"/>
        <v>0.58900415999999967</v>
      </c>
    </row>
    <row r="75" spans="2:7" ht="12.75" customHeight="1">
      <c r="B75" s="29">
        <v>0.85</v>
      </c>
      <c r="C75" s="303">
        <f t="shared" si="5"/>
        <v>0.84424883704279086</v>
      </c>
      <c r="D75" s="150">
        <f t="shared" si="6"/>
        <v>0.57931436937500003</v>
      </c>
      <c r="E75" s="150">
        <f t="shared" si="9"/>
        <v>0.28190831639405733</v>
      </c>
      <c r="F75" s="150">
        <f t="shared" si="7"/>
        <v>0.23341487187500004</v>
      </c>
      <c r="G75" s="150">
        <f t="shared" si="8"/>
        <v>0.59859619749999993</v>
      </c>
    </row>
    <row r="76" spans="2:7" ht="12.75" customHeight="1">
      <c r="B76" s="29">
        <v>0.9</v>
      </c>
      <c r="C76" s="303">
        <f t="shared" si="5"/>
        <v>0.88990044286600367</v>
      </c>
      <c r="D76" s="150">
        <f t="shared" si="6"/>
        <v>0.56174611000000008</v>
      </c>
      <c r="E76" s="150">
        <f t="shared" si="9"/>
        <v>0.26506930136411105</v>
      </c>
      <c r="F76" s="150">
        <f t="shared" si="7"/>
        <v>0.21776755000000003</v>
      </c>
      <c r="G76" s="150">
        <f t="shared" si="8"/>
        <v>0.60695655999999987</v>
      </c>
    </row>
    <row r="77" spans="2:7" ht="12.75" customHeight="1">
      <c r="B77" s="29">
        <v>0.95</v>
      </c>
      <c r="C77" s="303">
        <f t="shared" si="5"/>
        <v>0.94119331914549242</v>
      </c>
      <c r="D77" s="150">
        <f t="shared" si="6"/>
        <v>0.55198906937500025</v>
      </c>
      <c r="E77" s="150">
        <f t="shared" si="9"/>
        <v>0.25594122347596221</v>
      </c>
      <c r="F77" s="150">
        <f t="shared" si="7"/>
        <v>0.21096352187500034</v>
      </c>
      <c r="G77" s="150">
        <f t="shared" si="8"/>
        <v>0.6136439474999994</v>
      </c>
    </row>
    <row r="78" spans="2:7" ht="12.75" customHeight="1">
      <c r="B78" s="29">
        <v>1</v>
      </c>
      <c r="C78" s="303">
        <f t="shared" si="5"/>
        <v>1.000211588444442</v>
      </c>
      <c r="D78" s="150">
        <f t="shared" si="6"/>
        <v>0.55220000000000002</v>
      </c>
      <c r="E78" s="150">
        <f t="shared" si="9"/>
        <v>0.25613686560000004</v>
      </c>
      <c r="F78" s="150">
        <f t="shared" si="7"/>
        <v>0.21530000000000005</v>
      </c>
      <c r="G78" s="150">
        <f t="shared" si="8"/>
        <v>0.61809999999999976</v>
      </c>
    </row>
  </sheetData>
  <mergeCells count="6">
    <mergeCell ref="B24:B35"/>
    <mergeCell ref="D9:D10"/>
    <mergeCell ref="C9:C10"/>
    <mergeCell ref="E9:F9"/>
    <mergeCell ref="B9:B11"/>
    <mergeCell ref="B12:B23"/>
  </mergeCells>
  <phoneticPr fontId="23"/>
  <dataValidations count="3">
    <dataValidation type="list" allowBlank="1" showInputMessage="1" showErrorMessage="1" sqref="D40" xr:uid="{00000000-0002-0000-0C00-000000000000}">
      <formula1>IF($D$39="150#",$C$12:$C$23,$C$24:$C$35)</formula1>
    </dataValidation>
    <dataValidation type="list" allowBlank="1" showInputMessage="1" showErrorMessage="1" sqref="D39" xr:uid="{00000000-0002-0000-0C00-000001000000}">
      <formula1>"150#, 300#"</formula1>
    </dataValidation>
    <dataValidation type="list" allowBlank="1" showInputMessage="1" showErrorMessage="1" sqref="D41" xr:uid="{00000000-0002-0000-0C00-000002000000}">
      <formula1>"60 Deg, 90 Deg"</formula1>
    </dataValidation>
  </dataValidations>
  <pageMargins left="0.7" right="0.7" top="0.75" bottom="0.75" header="0.3" footer="0.3"/>
  <pageSetup orientation="portrait" r:id="rId1"/>
  <customProperties>
    <customPr name="BudgetSheetCodeName" r:id="rId2"/>
  </customProperties>
  <drawing r:id="rId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4"/>
  <dimension ref="A1:N222"/>
  <sheetViews>
    <sheetView zoomScaleNormal="100" workbookViewId="0">
      <pane ySplit="5" topLeftCell="A162" activePane="bottomLeft" state="frozen"/>
      <selection pane="bottomLeft" activeCell="G214" sqref="G214"/>
    </sheetView>
  </sheetViews>
  <sheetFormatPr defaultColWidth="8.84375" defaultRowHeight="12.75" customHeight="1"/>
  <cols>
    <col min="1" max="1" width="8.84375" style="15"/>
    <col min="2" max="4" width="12.765625" style="15" customWidth="1"/>
    <col min="5" max="5" width="12.765625" style="16" customWidth="1"/>
    <col min="6" max="8" width="12.765625" style="15" customWidth="1"/>
    <col min="9" max="10" width="8.84375" style="33"/>
    <col min="11" max="11" width="10.765625" style="33" customWidth="1"/>
    <col min="12" max="16384" width="8.84375" style="15"/>
  </cols>
  <sheetData>
    <row r="1" spans="1:14" ht="15.5">
      <c r="A1" s="30" t="s">
        <v>71</v>
      </c>
      <c r="B1" s="30"/>
      <c r="C1" s="30"/>
      <c r="D1" s="30"/>
      <c r="E1" s="30"/>
    </row>
    <row r="2" spans="1:14" ht="12.75" customHeight="1" thickBot="1"/>
    <row r="3" spans="1:14" ht="12.75" customHeight="1">
      <c r="A3" s="357" t="s">
        <v>70</v>
      </c>
      <c r="B3" s="396" t="s">
        <v>74</v>
      </c>
      <c r="C3" s="334"/>
      <c r="D3" s="334"/>
      <c r="E3" s="334"/>
      <c r="F3" s="334"/>
      <c r="G3" s="334"/>
      <c r="H3" s="441"/>
      <c r="I3" s="418"/>
      <c r="J3" s="428"/>
      <c r="K3" s="335"/>
    </row>
    <row r="4" spans="1:14" ht="12.75" customHeight="1">
      <c r="A4" s="358"/>
      <c r="B4" s="397"/>
      <c r="C4" s="451"/>
      <c r="D4" s="451"/>
      <c r="E4" s="451"/>
      <c r="F4" s="451"/>
      <c r="G4" s="451"/>
      <c r="H4" s="452"/>
      <c r="I4" s="419"/>
      <c r="J4" s="429"/>
      <c r="K4" s="453"/>
    </row>
    <row r="5" spans="1:14" ht="12.75" customHeight="1" thickBot="1">
      <c r="A5" s="448"/>
      <c r="B5" s="87" t="s">
        <v>164</v>
      </c>
      <c r="C5" s="48" t="s">
        <v>53</v>
      </c>
      <c r="D5" s="47" t="s">
        <v>54</v>
      </c>
      <c r="E5" s="48" t="s">
        <v>55</v>
      </c>
      <c r="F5" s="47" t="s">
        <v>56</v>
      </c>
      <c r="G5" s="48" t="s">
        <v>57</v>
      </c>
      <c r="H5" s="312" t="s">
        <v>58</v>
      </c>
      <c r="I5" s="454"/>
      <c r="J5" s="48"/>
      <c r="K5" s="49"/>
    </row>
    <row r="6" spans="1:14" ht="12.75" customHeight="1">
      <c r="A6" s="161">
        <v>1</v>
      </c>
      <c r="B6" s="154">
        <v>-4.5980429999999997</v>
      </c>
      <c r="C6" s="155">
        <v>17.548559999999998</v>
      </c>
      <c r="D6" s="155">
        <v>-27.127268000000001</v>
      </c>
      <c r="E6" s="155">
        <v>22.576025999999999</v>
      </c>
      <c r="F6" s="155">
        <v>-11.217143999999999</v>
      </c>
      <c r="G6" s="155">
        <v>3.8447019999999998</v>
      </c>
      <c r="H6" s="305">
        <v>-2.6884999999999999E-2</v>
      </c>
      <c r="I6" s="418"/>
      <c r="J6" s="334"/>
      <c r="K6" s="62"/>
      <c r="M6" s="304"/>
      <c r="N6" s="16"/>
    </row>
    <row r="7" spans="1:14" ht="12.75" customHeight="1">
      <c r="A7" s="53">
        <v>2</v>
      </c>
      <c r="B7" s="156">
        <v>-3.5130240000000001</v>
      </c>
      <c r="C7" s="157">
        <v>14.120010000000001</v>
      </c>
      <c r="D7" s="157">
        <v>-23.005193999999999</v>
      </c>
      <c r="E7" s="157">
        <v>20.247931000000001</v>
      </c>
      <c r="F7" s="157">
        <v>-10.601665000000001</v>
      </c>
      <c r="G7" s="157">
        <v>3.7767430000000002</v>
      </c>
      <c r="H7" s="306">
        <v>-2.4766E-2</v>
      </c>
      <c r="I7" s="419"/>
      <c r="J7" s="451"/>
      <c r="K7" s="86"/>
      <c r="M7" s="304"/>
      <c r="N7" s="16"/>
    </row>
    <row r="8" spans="1:14" ht="12.75" customHeight="1">
      <c r="A8" s="53">
        <v>3</v>
      </c>
      <c r="B8" s="156">
        <v>-4.810384</v>
      </c>
      <c r="C8" s="157">
        <v>17.409789</v>
      </c>
      <c r="D8" s="157">
        <v>-26.097117999999998</v>
      </c>
      <c r="E8" s="157">
        <v>21.739664000000001</v>
      </c>
      <c r="F8" s="157">
        <v>-11.065901999999999</v>
      </c>
      <c r="G8" s="157">
        <v>3.8483589999999999</v>
      </c>
      <c r="H8" s="306">
        <v>-2.4451000000000001E-2</v>
      </c>
      <c r="I8" s="419"/>
      <c r="J8" s="451"/>
      <c r="K8" s="86"/>
      <c r="M8" s="304"/>
      <c r="N8" s="16"/>
    </row>
    <row r="9" spans="1:14" ht="12.75" customHeight="1">
      <c r="A9" s="53">
        <v>4</v>
      </c>
      <c r="B9" s="156">
        <v>-6.7327060000000003</v>
      </c>
      <c r="C9" s="157">
        <v>22.558786999999999</v>
      </c>
      <c r="D9" s="157">
        <v>-31.23696</v>
      </c>
      <c r="E9" s="157">
        <v>24.251066000000002</v>
      </c>
      <c r="F9" s="157">
        <v>-11.753531000000001</v>
      </c>
      <c r="G9" s="157">
        <v>3.9375589999999998</v>
      </c>
      <c r="H9" s="306">
        <v>-2.4344999999999999E-2</v>
      </c>
      <c r="I9" s="419"/>
      <c r="J9" s="451"/>
      <c r="K9" s="86"/>
      <c r="M9" s="304"/>
      <c r="N9" s="16"/>
    </row>
    <row r="10" spans="1:14" ht="12.75" customHeight="1">
      <c r="A10" s="53">
        <v>5</v>
      </c>
      <c r="B10" s="156">
        <v>0</v>
      </c>
      <c r="C10" s="157">
        <v>9.1850229999999993</v>
      </c>
      <c r="D10" s="157">
        <v>-26.801922999999999</v>
      </c>
      <c r="E10" s="157">
        <v>29.762274999999999</v>
      </c>
      <c r="F10" s="157">
        <v>-15.939823000000001</v>
      </c>
      <c r="G10" s="157">
        <v>4.8195160000000001</v>
      </c>
      <c r="H10" s="306">
        <v>-2.4750000000000001E-2</v>
      </c>
      <c r="I10" s="419"/>
      <c r="J10" s="451"/>
      <c r="K10" s="86"/>
      <c r="M10" s="304"/>
      <c r="N10" s="16"/>
    </row>
    <row r="11" spans="1:14" ht="12.75" customHeight="1">
      <c r="A11" s="53">
        <v>6</v>
      </c>
      <c r="B11" s="156">
        <v>0</v>
      </c>
      <c r="C11" s="157">
        <v>11.737473</v>
      </c>
      <c r="D11" s="157">
        <v>-33.075381999999998</v>
      </c>
      <c r="E11" s="157">
        <v>35.073413000000002</v>
      </c>
      <c r="F11" s="157">
        <v>-17.740570000000002</v>
      </c>
      <c r="G11" s="157">
        <v>5.0359740000000004</v>
      </c>
      <c r="H11" s="306">
        <v>-3.0589999999999999E-2</v>
      </c>
      <c r="I11" s="419"/>
      <c r="J11" s="451"/>
      <c r="K11" s="86"/>
      <c r="M11" s="304"/>
      <c r="N11" s="16"/>
    </row>
    <row r="12" spans="1:14" ht="12.75" customHeight="1">
      <c r="A12" s="53">
        <v>7</v>
      </c>
      <c r="B12" s="156">
        <v>0</v>
      </c>
      <c r="C12" s="157">
        <v>14.487655999999999</v>
      </c>
      <c r="D12" s="157">
        <v>-39.788482999999999</v>
      </c>
      <c r="E12" s="157">
        <v>40.711418000000002</v>
      </c>
      <c r="F12" s="157">
        <v>-19.636025</v>
      </c>
      <c r="G12" s="157">
        <v>5.2624190000000004</v>
      </c>
      <c r="H12" s="306">
        <v>-3.6676E-2</v>
      </c>
      <c r="I12" s="419"/>
      <c r="J12" s="451"/>
      <c r="K12" s="86"/>
      <c r="M12" s="304"/>
      <c r="N12" s="16"/>
    </row>
    <row r="13" spans="1:14" ht="12.75" customHeight="1">
      <c r="A13" s="53">
        <v>8</v>
      </c>
      <c r="B13" s="156">
        <v>-12.855098999999999</v>
      </c>
      <c r="C13" s="157">
        <v>44.053331</v>
      </c>
      <c r="D13" s="157">
        <v>-60.130808000000002</v>
      </c>
      <c r="E13" s="157">
        <v>42.336568</v>
      </c>
      <c r="F13" s="157">
        <v>-16.912451999999998</v>
      </c>
      <c r="G13" s="157">
        <v>4.5432009999999998</v>
      </c>
      <c r="H13" s="306">
        <v>-3.4771999999999997E-2</v>
      </c>
      <c r="I13" s="419"/>
      <c r="J13" s="451"/>
      <c r="K13" s="86"/>
      <c r="M13" s="304"/>
      <c r="N13" s="16"/>
    </row>
    <row r="14" spans="1:14" ht="12.75" customHeight="1">
      <c r="A14" s="53">
        <v>9</v>
      </c>
      <c r="B14" s="156">
        <v>-2.3512369999999998</v>
      </c>
      <c r="C14" s="157">
        <v>9.499117</v>
      </c>
      <c r="D14" s="157">
        <v>-15.605661</v>
      </c>
      <c r="E14" s="157">
        <v>14.153064000000001</v>
      </c>
      <c r="F14" s="157">
        <v>-7.9727829999999997</v>
      </c>
      <c r="G14" s="157">
        <v>3.2917740000000002</v>
      </c>
      <c r="H14" s="306">
        <v>-1.4312999999999999E-2</v>
      </c>
      <c r="I14" s="419"/>
      <c r="J14" s="451"/>
      <c r="K14" s="86"/>
      <c r="M14" s="304"/>
      <c r="N14" s="16"/>
    </row>
    <row r="15" spans="1:14" ht="12.75" customHeight="1">
      <c r="A15" s="53">
        <v>10</v>
      </c>
      <c r="B15" s="156">
        <v>12.050735</v>
      </c>
      <c r="C15" s="157">
        <v>-35.134408999999998</v>
      </c>
      <c r="D15" s="157">
        <v>36.705148000000001</v>
      </c>
      <c r="E15" s="157">
        <v>-14.191565000000001</v>
      </c>
      <c r="F15" s="157">
        <v>-1.1763479999999999</v>
      </c>
      <c r="G15" s="157">
        <v>2.7576390000000002</v>
      </c>
      <c r="H15" s="306">
        <v>-1.1109000000000001E-2</v>
      </c>
      <c r="I15" s="419"/>
      <c r="J15" s="451"/>
      <c r="K15" s="11"/>
      <c r="M15" s="304"/>
      <c r="N15" s="16"/>
    </row>
    <row r="16" spans="1:14" ht="12.75" customHeight="1">
      <c r="A16" s="53">
        <v>11</v>
      </c>
      <c r="B16" s="156">
        <v>-0.54621299999999995</v>
      </c>
      <c r="C16" s="157">
        <v>5.7482810000000004</v>
      </c>
      <c r="D16" s="157">
        <v>-15.025255</v>
      </c>
      <c r="E16" s="157">
        <v>18.068418000000001</v>
      </c>
      <c r="F16" s="157">
        <v>-11.425814000000001</v>
      </c>
      <c r="G16" s="157">
        <v>4.21915</v>
      </c>
      <c r="H16" s="306">
        <v>-3.8462999999999997E-2</v>
      </c>
      <c r="I16" s="397"/>
      <c r="J16" s="451"/>
      <c r="K16" s="11"/>
      <c r="M16" s="304"/>
      <c r="N16" s="16"/>
    </row>
    <row r="17" spans="1:14" ht="12.75" customHeight="1">
      <c r="A17" s="53">
        <v>12</v>
      </c>
      <c r="B17" s="156">
        <v>-6.8311700000000002</v>
      </c>
      <c r="C17" s="157">
        <v>27.865563000000002</v>
      </c>
      <c r="D17" s="157">
        <v>-44.992600000000003</v>
      </c>
      <c r="E17" s="157">
        <v>37.588721</v>
      </c>
      <c r="F17" s="157">
        <v>-17.565376000000001</v>
      </c>
      <c r="G17" s="157">
        <v>4.9860600000000002</v>
      </c>
      <c r="H17" s="306">
        <v>-5.1161999999999999E-2</v>
      </c>
      <c r="I17" s="397"/>
      <c r="J17" s="451"/>
      <c r="K17" s="11"/>
      <c r="M17" s="304"/>
      <c r="N17" s="16"/>
    </row>
    <row r="18" spans="1:14" ht="12.75" customHeight="1">
      <c r="A18" s="53">
        <v>13</v>
      </c>
      <c r="B18" s="156">
        <v>-13.32099</v>
      </c>
      <c r="C18" s="157">
        <v>50.827195000000003</v>
      </c>
      <c r="D18" s="157">
        <v>-76.162977999999995</v>
      </c>
      <c r="E18" s="157">
        <v>57.828232999999997</v>
      </c>
      <c r="F18" s="157">
        <v>-23.862314000000001</v>
      </c>
      <c r="G18" s="157">
        <v>5.7527980000000003</v>
      </c>
      <c r="H18" s="306">
        <v>-6.2073999999999997E-2</v>
      </c>
      <c r="I18" s="397"/>
      <c r="J18" s="451"/>
      <c r="K18" s="11"/>
      <c r="M18" s="304"/>
      <c r="N18" s="16"/>
    </row>
    <row r="19" spans="1:14" ht="12.75" customHeight="1">
      <c r="A19" s="53">
        <v>14</v>
      </c>
      <c r="B19" s="156">
        <v>-16.975397000000001</v>
      </c>
      <c r="C19" s="157">
        <v>61.563952</v>
      </c>
      <c r="D19" s="157">
        <v>-88.082144999999997</v>
      </c>
      <c r="E19" s="157">
        <v>64.022705999999999</v>
      </c>
      <c r="F19" s="157">
        <v>-25.368141999999999</v>
      </c>
      <c r="G19" s="157">
        <v>5.8949350000000003</v>
      </c>
      <c r="H19" s="306">
        <v>-5.6065999999999998E-2</v>
      </c>
      <c r="I19" s="397"/>
      <c r="J19" s="451"/>
      <c r="K19" s="11"/>
      <c r="N19" s="16"/>
    </row>
    <row r="20" spans="1:14" ht="12.75" customHeight="1">
      <c r="A20" s="53">
        <v>15</v>
      </c>
      <c r="B20" s="156">
        <v>-16.583725999999999</v>
      </c>
      <c r="C20" s="157">
        <v>60.248998</v>
      </c>
      <c r="D20" s="157">
        <v>-86.236552000000003</v>
      </c>
      <c r="E20" s="157">
        <v>62.714747000000003</v>
      </c>
      <c r="F20" s="157">
        <v>-24.942981</v>
      </c>
      <c r="G20" s="157">
        <v>5.853192</v>
      </c>
      <c r="H20" s="306">
        <v>-5.3810999999999998E-2</v>
      </c>
      <c r="I20" s="397"/>
      <c r="J20" s="451"/>
      <c r="K20" s="11"/>
      <c r="N20" s="16"/>
    </row>
    <row r="21" spans="1:14" ht="12.75" customHeight="1">
      <c r="A21" s="53">
        <v>16</v>
      </c>
      <c r="B21" s="156">
        <v>-15.99823</v>
      </c>
      <c r="C21" s="157">
        <v>58.296633999999997</v>
      </c>
      <c r="D21" s="157">
        <v>-83.597909999999999</v>
      </c>
      <c r="E21" s="157">
        <v>60.947966999999998</v>
      </c>
      <c r="F21" s="157">
        <v>-24.396571000000002</v>
      </c>
      <c r="G21" s="157">
        <v>5.7992119999999998</v>
      </c>
      <c r="H21" s="306">
        <v>-5.1213000000000002E-2</v>
      </c>
      <c r="I21" s="397"/>
      <c r="J21" s="451"/>
      <c r="K21" s="11"/>
      <c r="N21" s="16"/>
    </row>
    <row r="22" spans="1:14" ht="12.75" customHeight="1" thickBot="1">
      <c r="A22" s="162">
        <v>17</v>
      </c>
      <c r="B22" s="313">
        <v>-21.874952</v>
      </c>
      <c r="C22" s="314">
        <v>71.619523999999998</v>
      </c>
      <c r="D22" s="314">
        <v>-92.510856000000004</v>
      </c>
      <c r="E22" s="314">
        <v>60.823729</v>
      </c>
      <c r="F22" s="314">
        <v>-21.898534000000001</v>
      </c>
      <c r="G22" s="314">
        <v>4.8733659999999999</v>
      </c>
      <c r="H22" s="315">
        <v>-3.2513E-2</v>
      </c>
      <c r="I22" s="449"/>
      <c r="J22" s="461"/>
      <c r="K22" s="22"/>
      <c r="N22" s="16"/>
    </row>
    <row r="23" spans="1:14" ht="12.75" customHeight="1">
      <c r="A23" s="165">
        <v>18</v>
      </c>
      <c r="B23" s="102">
        <v>0</v>
      </c>
      <c r="C23" s="95">
        <v>0</v>
      </c>
      <c r="D23" s="95">
        <v>-6.6833099999999998E-4</v>
      </c>
      <c r="E23" s="95">
        <v>4.4703800000000002E-2</v>
      </c>
      <c r="F23" s="95">
        <v>-1.0120800000000001</v>
      </c>
      <c r="G23" s="95">
        <v>11.3935</v>
      </c>
      <c r="H23" s="286">
        <v>3.3948299999999998</v>
      </c>
      <c r="I23" s="450"/>
      <c r="J23" s="455"/>
      <c r="K23" s="329"/>
      <c r="N23" s="16"/>
    </row>
    <row r="24" spans="1:14" ht="12.75" customHeight="1">
      <c r="A24" s="53">
        <v>19</v>
      </c>
      <c r="B24" s="85">
        <v>0</v>
      </c>
      <c r="C24" s="59">
        <v>0</v>
      </c>
      <c r="D24" s="59">
        <v>-5.4090299999999999E-5</v>
      </c>
      <c r="E24" s="59">
        <v>3.80525E-3</v>
      </c>
      <c r="F24" s="59">
        <v>-0.29539500000000002</v>
      </c>
      <c r="G24" s="59">
        <v>6.4416799999999999</v>
      </c>
      <c r="H24" s="148">
        <v>3.6380400000000002</v>
      </c>
      <c r="I24" s="397"/>
      <c r="J24" s="434"/>
      <c r="K24" s="330"/>
      <c r="N24" s="16"/>
    </row>
    <row r="25" spans="1:14" ht="12.75" customHeight="1">
      <c r="A25" s="53">
        <v>20</v>
      </c>
      <c r="B25" s="85">
        <v>0</v>
      </c>
      <c r="C25" s="59">
        <v>0</v>
      </c>
      <c r="D25" s="59">
        <v>-5.5768100000000004E-6</v>
      </c>
      <c r="E25" s="59">
        <v>1.2271700000000001E-3</v>
      </c>
      <c r="F25" s="59">
        <v>-9.3784699999999999E-2</v>
      </c>
      <c r="G25" s="59">
        <v>3.63462</v>
      </c>
      <c r="H25" s="148">
        <v>4.9683299999999999</v>
      </c>
      <c r="I25" s="397"/>
      <c r="J25" s="434"/>
      <c r="K25" s="330"/>
      <c r="N25" s="16"/>
    </row>
    <row r="26" spans="1:14" ht="12.75" customHeight="1">
      <c r="A26" s="53">
        <v>21</v>
      </c>
      <c r="B26" s="85">
        <v>0</v>
      </c>
      <c r="C26" s="59">
        <v>0</v>
      </c>
      <c r="D26" s="59">
        <v>-9.4730899999999995E-7</v>
      </c>
      <c r="E26" s="59">
        <v>3.1840599999999997E-4</v>
      </c>
      <c r="F26" s="59">
        <v>-3.6429800000000001E-3</v>
      </c>
      <c r="G26" s="59">
        <v>2.1824499999999998</v>
      </c>
      <c r="H26" s="148">
        <v>5.55213</v>
      </c>
      <c r="I26" s="397"/>
      <c r="J26" s="434"/>
      <c r="K26" s="330"/>
      <c r="N26" s="16"/>
    </row>
    <row r="27" spans="1:14" ht="12.75" customHeight="1">
      <c r="A27" s="53">
        <v>22</v>
      </c>
      <c r="B27" s="85">
        <v>0</v>
      </c>
      <c r="C27" s="59">
        <v>0</v>
      </c>
      <c r="D27" s="59">
        <v>-1.4319E-7</v>
      </c>
      <c r="E27" s="59">
        <v>6.9909700000000006E-5</v>
      </c>
      <c r="F27" s="59">
        <v>-1.22116E-2</v>
      </c>
      <c r="G27" s="59">
        <v>1.2729999999999999</v>
      </c>
      <c r="H27" s="148">
        <v>3.68329</v>
      </c>
      <c r="I27" s="397"/>
      <c r="J27" s="434"/>
      <c r="K27" s="330"/>
    </row>
    <row r="28" spans="1:14" ht="12.75" customHeight="1">
      <c r="A28" s="53">
        <v>23</v>
      </c>
      <c r="B28" s="85">
        <v>0</v>
      </c>
      <c r="C28" s="59">
        <v>0</v>
      </c>
      <c r="D28" s="59">
        <v>-2.96298E-8</v>
      </c>
      <c r="E28" s="59">
        <v>2.2023900000000001E-5</v>
      </c>
      <c r="F28" s="59">
        <v>-5.7240499999999996E-3</v>
      </c>
      <c r="G28" s="59">
        <v>0.848194</v>
      </c>
      <c r="H28" s="148">
        <v>3.4972799999999999</v>
      </c>
      <c r="I28" s="397"/>
      <c r="J28" s="434"/>
      <c r="K28" s="330"/>
    </row>
    <row r="29" spans="1:14" ht="12.75" customHeight="1">
      <c r="A29" s="53">
        <v>24</v>
      </c>
      <c r="B29" s="85">
        <v>0</v>
      </c>
      <c r="C29" s="59">
        <v>0</v>
      </c>
      <c r="D29" s="59">
        <v>-4.2229499999999999E-10</v>
      </c>
      <c r="E29" s="59">
        <v>2.5504499999999999E-6</v>
      </c>
      <c r="F29" s="59">
        <v>-1.70067E-3</v>
      </c>
      <c r="G29" s="59">
        <v>0.51835900000000001</v>
      </c>
      <c r="H29" s="148">
        <v>3.8691200000000001</v>
      </c>
      <c r="I29" s="397"/>
      <c r="J29" s="434"/>
      <c r="K29" s="330"/>
    </row>
    <row r="30" spans="1:14" ht="12.75" customHeight="1" thickBot="1">
      <c r="A30" s="83">
        <v>25</v>
      </c>
      <c r="B30" s="87">
        <v>0</v>
      </c>
      <c r="C30" s="48">
        <v>0</v>
      </c>
      <c r="D30" s="48">
        <v>-1.3411299999999999E-10</v>
      </c>
      <c r="E30" s="48">
        <v>7.03925E-7</v>
      </c>
      <c r="F30" s="48">
        <v>-6.6869800000000001E-4</v>
      </c>
      <c r="G30" s="48">
        <v>0.30574099999999999</v>
      </c>
      <c r="H30" s="307">
        <v>3.9591699999999999</v>
      </c>
      <c r="I30" s="398"/>
      <c r="J30" s="456"/>
      <c r="K30" s="331"/>
    </row>
    <row r="31" spans="1:14" ht="12.75" customHeight="1">
      <c r="A31" s="161">
        <v>26</v>
      </c>
      <c r="B31" s="60">
        <v>0</v>
      </c>
      <c r="C31" s="61">
        <v>11.343</v>
      </c>
      <c r="D31" s="61">
        <v>-30.361999999999998</v>
      </c>
      <c r="E31" s="61">
        <v>29.564</v>
      </c>
      <c r="F31" s="61">
        <v>-13.000999999999999</v>
      </c>
      <c r="G31" s="61">
        <v>3.2563</v>
      </c>
      <c r="H31" s="98">
        <v>0.20030000000000001</v>
      </c>
      <c r="I31" s="396"/>
      <c r="J31" s="318"/>
      <c r="K31" s="457"/>
    </row>
    <row r="32" spans="1:14" ht="12.75" customHeight="1">
      <c r="A32" s="53">
        <v>27</v>
      </c>
      <c r="B32" s="85">
        <v>0</v>
      </c>
      <c r="C32" s="59">
        <v>8.6753</v>
      </c>
      <c r="D32" s="59">
        <v>-22.882999999999999</v>
      </c>
      <c r="E32" s="59">
        <v>22.082999999999998</v>
      </c>
      <c r="F32" s="59">
        <v>-10.016999999999999</v>
      </c>
      <c r="G32" s="59">
        <v>2.9923000000000002</v>
      </c>
      <c r="H32" s="148">
        <v>0.14960000000000001</v>
      </c>
      <c r="I32" s="397"/>
      <c r="J32" s="90"/>
      <c r="K32" s="435"/>
    </row>
    <row r="33" spans="1:12" ht="12.75" customHeight="1">
      <c r="A33" s="53">
        <v>28</v>
      </c>
      <c r="B33" s="85">
        <v>0</v>
      </c>
      <c r="C33" s="59">
        <v>6.2752999999999997</v>
      </c>
      <c r="D33" s="59">
        <v>-17.201000000000001</v>
      </c>
      <c r="E33" s="59">
        <v>17.594999999999999</v>
      </c>
      <c r="F33" s="59">
        <v>-8.7018000000000004</v>
      </c>
      <c r="G33" s="59">
        <v>2.9201999999999999</v>
      </c>
      <c r="H33" s="148">
        <v>0.1129</v>
      </c>
      <c r="I33" s="397"/>
      <c r="J33" s="311"/>
      <c r="K33" s="435"/>
    </row>
    <row r="34" spans="1:12" ht="12.75" customHeight="1">
      <c r="A34" s="53">
        <v>29</v>
      </c>
      <c r="B34" s="85">
        <v>0</v>
      </c>
      <c r="C34" s="59">
        <v>10.218</v>
      </c>
      <c r="D34" s="59">
        <v>-27.074999999999999</v>
      </c>
      <c r="E34" s="59">
        <v>26.327000000000002</v>
      </c>
      <c r="F34" s="59">
        <v>-12.04</v>
      </c>
      <c r="G34" s="59">
        <v>3.4882</v>
      </c>
      <c r="H34" s="148">
        <v>8.1900000000000001E-2</v>
      </c>
      <c r="I34" s="397"/>
      <c r="J34" s="59"/>
      <c r="K34" s="435"/>
    </row>
    <row r="35" spans="1:12" ht="12.75" customHeight="1">
      <c r="A35" s="53">
        <v>30</v>
      </c>
      <c r="B35" s="85">
        <v>0</v>
      </c>
      <c r="C35" s="59">
        <v>9.2359000000000009</v>
      </c>
      <c r="D35" s="59">
        <v>-25.646999999999998</v>
      </c>
      <c r="E35" s="59">
        <v>26.635000000000002</v>
      </c>
      <c r="F35" s="59">
        <v>-13.099</v>
      </c>
      <c r="G35" s="59">
        <v>3.794</v>
      </c>
      <c r="H35" s="148">
        <v>8.1600000000000006E-2</v>
      </c>
      <c r="I35" s="397"/>
      <c r="J35" s="59"/>
      <c r="K35" s="435"/>
    </row>
    <row r="36" spans="1:12" ht="12.75" customHeight="1">
      <c r="A36" s="53">
        <v>31</v>
      </c>
      <c r="B36" s="85">
        <v>0</v>
      </c>
      <c r="C36" s="59">
        <v>11.099</v>
      </c>
      <c r="D36" s="59">
        <v>-29.858000000000001</v>
      </c>
      <c r="E36" s="59">
        <v>29.620999999999999</v>
      </c>
      <c r="F36" s="59">
        <v>-13.744</v>
      </c>
      <c r="G36" s="59">
        <v>3.7988</v>
      </c>
      <c r="H36" s="148">
        <v>8.4199999999999997E-2</v>
      </c>
      <c r="I36" s="397"/>
      <c r="J36" s="59"/>
      <c r="K36" s="435"/>
    </row>
    <row r="37" spans="1:12" ht="12.75" customHeight="1">
      <c r="A37" s="53">
        <v>32</v>
      </c>
      <c r="B37" s="85">
        <v>0</v>
      </c>
      <c r="C37" s="59">
        <v>9.2128999999999994</v>
      </c>
      <c r="D37" s="59">
        <v>-25.207999999999998</v>
      </c>
      <c r="E37" s="59">
        <v>25.629000000000001</v>
      </c>
      <c r="F37" s="59">
        <v>-12.348000000000001</v>
      </c>
      <c r="G37" s="59">
        <v>3.6316999999999999</v>
      </c>
      <c r="H37" s="148">
        <v>8.3000000000000004E-2</v>
      </c>
      <c r="I37" s="397"/>
      <c r="J37" s="59"/>
      <c r="K37" s="435"/>
    </row>
    <row r="38" spans="1:12" ht="12.75" customHeight="1">
      <c r="A38" s="53">
        <v>33</v>
      </c>
      <c r="B38" s="85">
        <v>0</v>
      </c>
      <c r="C38" s="59">
        <v>8.3706999999999994</v>
      </c>
      <c r="D38" s="59">
        <v>-23.044</v>
      </c>
      <c r="E38" s="59">
        <v>23.734000000000002</v>
      </c>
      <c r="F38" s="59">
        <v>-11.702999999999999</v>
      </c>
      <c r="G38" s="59">
        <v>3.5594999999999999</v>
      </c>
      <c r="H38" s="148">
        <v>8.3400000000000002E-2</v>
      </c>
      <c r="I38" s="397"/>
      <c r="J38" s="59"/>
      <c r="K38" s="435"/>
    </row>
    <row r="39" spans="1:12" ht="12.75" customHeight="1">
      <c r="A39" s="53">
        <v>34</v>
      </c>
      <c r="B39" s="85">
        <v>0</v>
      </c>
      <c r="C39" s="59">
        <v>7.6029999999999998</v>
      </c>
      <c r="D39" s="59">
        <v>-20.879000000000001</v>
      </c>
      <c r="E39" s="59">
        <v>21.536999999999999</v>
      </c>
      <c r="F39" s="59">
        <v>-10.787000000000001</v>
      </c>
      <c r="G39" s="59">
        <v>3.4417</v>
      </c>
      <c r="H39" s="148">
        <v>8.5400000000000004E-2</v>
      </c>
      <c r="I39" s="397"/>
      <c r="J39" s="59"/>
      <c r="K39" s="435"/>
    </row>
    <row r="40" spans="1:12" ht="12.75" customHeight="1">
      <c r="A40" s="53">
        <v>35</v>
      </c>
      <c r="B40" s="85">
        <v>0</v>
      </c>
      <c r="C40" s="59">
        <v>9.9993999999999996</v>
      </c>
      <c r="D40" s="59">
        <v>-27.274000000000001</v>
      </c>
      <c r="E40" s="59">
        <v>27.556999999999999</v>
      </c>
      <c r="F40" s="59">
        <v>-13.12</v>
      </c>
      <c r="G40" s="59">
        <v>3.758</v>
      </c>
      <c r="H40" s="148">
        <v>8.0399999999999999E-2</v>
      </c>
      <c r="I40" s="397"/>
      <c r="J40" s="59"/>
      <c r="K40" s="435"/>
    </row>
    <row r="41" spans="1:12" s="16" customFormat="1" ht="12.75" customHeight="1" thickBot="1">
      <c r="A41" s="162">
        <v>36</v>
      </c>
      <c r="B41" s="92">
        <v>0</v>
      </c>
      <c r="C41" s="93">
        <v>10.385</v>
      </c>
      <c r="D41" s="93">
        <v>-28.288</v>
      </c>
      <c r="E41" s="93">
        <v>28.59</v>
      </c>
      <c r="F41" s="93">
        <v>-13.615</v>
      </c>
      <c r="G41" s="93">
        <v>3.8544</v>
      </c>
      <c r="H41" s="99">
        <v>7.4399999999999994E-2</v>
      </c>
      <c r="I41" s="449"/>
      <c r="J41" s="93"/>
      <c r="K41" s="458"/>
      <c r="L41" s="15"/>
    </row>
    <row r="42" spans="1:12" s="16" customFormat="1" ht="12.75" customHeight="1">
      <c r="A42" s="165">
        <v>37</v>
      </c>
      <c r="B42" s="102">
        <v>0</v>
      </c>
      <c r="C42" s="316">
        <v>0</v>
      </c>
      <c r="D42" s="316">
        <v>0</v>
      </c>
      <c r="E42" s="316">
        <v>1.373E-4</v>
      </c>
      <c r="F42" s="316">
        <v>-2.053E-2</v>
      </c>
      <c r="G42" s="316">
        <v>1.6819999999999999</v>
      </c>
      <c r="H42" s="317">
        <v>0.56830000000000003</v>
      </c>
      <c r="I42" s="328"/>
      <c r="J42" s="455"/>
      <c r="K42" s="459"/>
      <c r="L42" s="15"/>
    </row>
    <row r="43" spans="1:12" s="16" customFormat="1" ht="12.75" customHeight="1">
      <c r="A43" s="53">
        <v>38</v>
      </c>
      <c r="B43" s="85">
        <v>0</v>
      </c>
      <c r="C43" s="31">
        <v>0</v>
      </c>
      <c r="D43" s="31">
        <v>0</v>
      </c>
      <c r="E43" s="31">
        <v>1.582E-4</v>
      </c>
      <c r="F43" s="31">
        <v>-2.9940000000000001E-2</v>
      </c>
      <c r="G43" s="31">
        <v>2.4159999999999999</v>
      </c>
      <c r="H43" s="309">
        <v>0.85260000000000002</v>
      </c>
      <c r="I43" s="108"/>
      <c r="J43" s="434"/>
      <c r="K43" s="435"/>
      <c r="L43" s="15"/>
    </row>
    <row r="44" spans="1:12" s="16" customFormat="1" ht="12.75" customHeight="1" thickBot="1">
      <c r="A44" s="83">
        <v>39</v>
      </c>
      <c r="B44" s="87">
        <v>0</v>
      </c>
      <c r="C44" s="319">
        <v>0</v>
      </c>
      <c r="D44" s="319">
        <v>0</v>
      </c>
      <c r="E44" s="319">
        <v>1.2559999999999999E-4</v>
      </c>
      <c r="F44" s="319">
        <v>-2.2079999999999999E-2</v>
      </c>
      <c r="G44" s="319">
        <v>1.9490000000000001</v>
      </c>
      <c r="H44" s="320">
        <v>0.30130000000000001</v>
      </c>
      <c r="I44" s="327"/>
      <c r="J44" s="456"/>
      <c r="K44" s="460"/>
      <c r="L44" s="15"/>
    </row>
    <row r="45" spans="1:12" s="16" customFormat="1" ht="12.75" customHeight="1">
      <c r="A45" s="161">
        <v>40</v>
      </c>
      <c r="B45" s="60">
        <v>0</v>
      </c>
      <c r="C45" s="61">
        <v>0</v>
      </c>
      <c r="D45" s="61">
        <v>-1.1194900000000001</v>
      </c>
      <c r="E45" s="61">
        <v>2.0951199999999998E-3</v>
      </c>
      <c r="F45" s="61">
        <v>67.134799999999998</v>
      </c>
      <c r="G45" s="61">
        <v>-471.81</v>
      </c>
      <c r="H45" s="98">
        <v>10.9</v>
      </c>
      <c r="I45" s="418"/>
      <c r="J45" s="322"/>
      <c r="K45" s="457"/>
      <c r="L45" s="15"/>
    </row>
    <row r="46" spans="1:12" s="16" customFormat="1" ht="12.75" customHeight="1">
      <c r="A46" s="53">
        <v>41</v>
      </c>
      <c r="B46" s="85">
        <v>0</v>
      </c>
      <c r="C46" s="59">
        <v>0</v>
      </c>
      <c r="D46" s="59">
        <v>0.75947600000000004</v>
      </c>
      <c r="E46" s="59">
        <v>9.1674400000000007E-3</v>
      </c>
      <c r="F46" s="59">
        <v>53763.3</v>
      </c>
      <c r="G46" s="59">
        <v>27614000</v>
      </c>
      <c r="H46" s="148">
        <v>-514.32100000000003</v>
      </c>
      <c r="I46" s="397"/>
      <c r="J46" s="268"/>
      <c r="K46" s="435"/>
    </row>
    <row r="47" spans="1:12" s="16" customFormat="1" ht="12.75" customHeight="1">
      <c r="A47" s="53">
        <v>42</v>
      </c>
      <c r="B47" s="85">
        <v>0</v>
      </c>
      <c r="C47" s="59">
        <v>0</v>
      </c>
      <c r="D47" s="59">
        <v>-0.77261000000000002</v>
      </c>
      <c r="E47" s="59">
        <v>6.3498299999999999E-4</v>
      </c>
      <c r="F47" s="59">
        <v>163.03100000000001</v>
      </c>
      <c r="G47" s="59">
        <v>-1006.58</v>
      </c>
      <c r="H47" s="148">
        <v>9.5321800000000003</v>
      </c>
      <c r="I47" s="397"/>
      <c r="J47" s="268"/>
      <c r="K47" s="435"/>
    </row>
    <row r="48" spans="1:12" s="16" customFormat="1" ht="12.75" customHeight="1">
      <c r="A48" s="53">
        <v>43</v>
      </c>
      <c r="B48" s="85">
        <v>0</v>
      </c>
      <c r="C48" s="59">
        <v>0</v>
      </c>
      <c r="D48" s="59">
        <v>-0.64726499999999998</v>
      </c>
      <c r="E48" s="59">
        <v>4.3799799999999999E-4</v>
      </c>
      <c r="F48" s="59">
        <v>205.666</v>
      </c>
      <c r="G48" s="59">
        <v>-1172.6400000000001</v>
      </c>
      <c r="H48" s="148">
        <v>8.8599300000000003</v>
      </c>
      <c r="I48" s="397"/>
      <c r="J48" s="268"/>
      <c r="K48" s="435"/>
    </row>
    <row r="49" spans="1:11" s="16" customFormat="1" ht="12.75" customHeight="1">
      <c r="A49" s="53">
        <v>44</v>
      </c>
      <c r="B49" s="85">
        <v>0</v>
      </c>
      <c r="C49" s="59">
        <v>0</v>
      </c>
      <c r="D49" s="59">
        <v>-0.91619399999999995</v>
      </c>
      <c r="E49" s="59">
        <v>3.5703800000000001E-4</v>
      </c>
      <c r="F49" s="59">
        <v>327.428</v>
      </c>
      <c r="G49" s="59">
        <v>-2114.96</v>
      </c>
      <c r="H49" s="148">
        <v>11.145799999999999</v>
      </c>
      <c r="I49" s="397"/>
      <c r="J49" s="268"/>
      <c r="K49" s="435"/>
    </row>
    <row r="50" spans="1:11" s="16" customFormat="1" ht="12.75" customHeight="1">
      <c r="A50" s="53">
        <v>45</v>
      </c>
      <c r="B50" s="85">
        <v>0</v>
      </c>
      <c r="C50" s="59">
        <v>0</v>
      </c>
      <c r="D50" s="59">
        <v>-0.79915499999999995</v>
      </c>
      <c r="E50" s="59">
        <v>2.8259800000000001E-4</v>
      </c>
      <c r="F50" s="59">
        <v>336.57</v>
      </c>
      <c r="G50" s="59">
        <v>-2108.46</v>
      </c>
      <c r="H50" s="148">
        <v>10.262700000000001</v>
      </c>
      <c r="I50" s="397"/>
      <c r="J50" s="268"/>
      <c r="K50" s="435"/>
    </row>
    <row r="51" spans="1:11" s="16" customFormat="1" ht="12.75" customHeight="1">
      <c r="A51" s="53">
        <v>46</v>
      </c>
      <c r="B51" s="85">
        <v>0</v>
      </c>
      <c r="C51" s="59">
        <v>0</v>
      </c>
      <c r="D51" s="59">
        <v>-0.45904400000000001</v>
      </c>
      <c r="E51" s="59">
        <v>1.74513E-4</v>
      </c>
      <c r="F51" s="59">
        <v>346.37799999999999</v>
      </c>
      <c r="G51" s="59">
        <v>-1795.75</v>
      </c>
      <c r="H51" s="148">
        <v>7.6547000000000001</v>
      </c>
      <c r="I51" s="397"/>
      <c r="J51" s="268"/>
      <c r="K51" s="435"/>
    </row>
    <row r="52" spans="1:11" s="16" customFormat="1" ht="12.75" customHeight="1">
      <c r="A52" s="53">
        <v>47</v>
      </c>
      <c r="B52" s="85">
        <v>0</v>
      </c>
      <c r="C52" s="59">
        <v>0</v>
      </c>
      <c r="D52" s="59">
        <v>-0.63676200000000005</v>
      </c>
      <c r="E52" s="59">
        <v>1.6611100000000001E-4</v>
      </c>
      <c r="F52" s="59">
        <v>439.97</v>
      </c>
      <c r="G52" s="59">
        <v>-2681.52</v>
      </c>
      <c r="H52" s="148">
        <v>9.2010699999999996</v>
      </c>
      <c r="I52" s="397"/>
      <c r="J52" s="268"/>
      <c r="K52" s="435"/>
    </row>
    <row r="53" spans="1:11" s="16" customFormat="1" ht="12.75" customHeight="1" thickBot="1">
      <c r="A53" s="162">
        <v>48</v>
      </c>
      <c r="B53" s="92">
        <v>0</v>
      </c>
      <c r="C53" s="93">
        <v>0</v>
      </c>
      <c r="D53" s="93">
        <v>0.154697</v>
      </c>
      <c r="E53" s="93">
        <v>4.9690200000000001E-5</v>
      </c>
      <c r="F53" s="93">
        <v>299.81299999999999</v>
      </c>
      <c r="G53" s="93">
        <v>-1107.68</v>
      </c>
      <c r="H53" s="99">
        <v>2.5791200000000001</v>
      </c>
      <c r="I53" s="449"/>
      <c r="J53" s="323"/>
      <c r="K53" s="458"/>
    </row>
    <row r="54" spans="1:11" s="16" customFormat="1" ht="12.75" customHeight="1">
      <c r="A54" s="120">
        <v>49</v>
      </c>
      <c r="B54" s="102">
        <v>0</v>
      </c>
      <c r="C54" s="95">
        <v>0</v>
      </c>
      <c r="D54" s="95">
        <v>0.71661699999999995</v>
      </c>
      <c r="E54" s="95">
        <v>4.6437100000000002E-2</v>
      </c>
      <c r="F54" s="95">
        <v>25974.5</v>
      </c>
      <c r="G54" s="95">
        <v>32099800</v>
      </c>
      <c r="H54" s="286">
        <v>-1235.6099999999999</v>
      </c>
      <c r="I54" s="450"/>
      <c r="J54" s="321"/>
      <c r="K54" s="459"/>
    </row>
    <row r="55" spans="1:11" s="16" customFormat="1" ht="12.75" customHeight="1">
      <c r="A55" s="117">
        <v>50</v>
      </c>
      <c r="B55" s="85">
        <v>0</v>
      </c>
      <c r="C55" s="59">
        <v>0</v>
      </c>
      <c r="D55" s="59">
        <v>-0.67649700000000001</v>
      </c>
      <c r="E55" s="59">
        <v>1.3157500000000001E-3</v>
      </c>
      <c r="F55" s="59">
        <v>78.870099999999994</v>
      </c>
      <c r="G55" s="59">
        <v>-414.28199999999998</v>
      </c>
      <c r="H55" s="148">
        <v>8.2924600000000002</v>
      </c>
      <c r="I55" s="397"/>
      <c r="J55" s="268"/>
      <c r="K55" s="435"/>
    </row>
    <row r="56" spans="1:11" s="16" customFormat="1" ht="12.75" customHeight="1">
      <c r="A56" s="117">
        <v>51</v>
      </c>
      <c r="B56" s="85">
        <v>0</v>
      </c>
      <c r="C56" s="59">
        <v>0</v>
      </c>
      <c r="D56" s="59">
        <v>-0.44029400000000002</v>
      </c>
      <c r="E56" s="59">
        <v>6.5519799999999996E-4</v>
      </c>
      <c r="F56" s="59">
        <v>101.562</v>
      </c>
      <c r="G56" s="59">
        <v>-498.93400000000003</v>
      </c>
      <c r="H56" s="148">
        <v>6.9683299999999999</v>
      </c>
      <c r="I56" s="397"/>
      <c r="J56" s="268"/>
      <c r="K56" s="435"/>
    </row>
    <row r="57" spans="1:11" s="16" customFormat="1" ht="12.75" customHeight="1">
      <c r="A57" s="117">
        <v>52</v>
      </c>
      <c r="B57" s="85">
        <v>0</v>
      </c>
      <c r="C57" s="59">
        <v>0</v>
      </c>
      <c r="D57" s="59">
        <v>-0.73163500000000004</v>
      </c>
      <c r="E57" s="59">
        <v>5.9201399999999997E-4</v>
      </c>
      <c r="F57" s="59">
        <v>166.99100000000001</v>
      </c>
      <c r="G57" s="59">
        <v>-974.08199999999999</v>
      </c>
      <c r="H57" s="148">
        <v>9.1960499999999996</v>
      </c>
      <c r="I57" s="397"/>
      <c r="J57" s="268"/>
      <c r="K57" s="435"/>
    </row>
    <row r="58" spans="1:11" s="16" customFormat="1" ht="12.75" customHeight="1">
      <c r="A58" s="117">
        <v>53</v>
      </c>
      <c r="B58" s="85">
        <v>0</v>
      </c>
      <c r="C58" s="59">
        <v>0</v>
      </c>
      <c r="D58" s="59">
        <v>-1.5048999999999999</v>
      </c>
      <c r="E58" s="59">
        <v>6.9637799999999999E-4</v>
      </c>
      <c r="F58" s="59">
        <v>239.245</v>
      </c>
      <c r="G58" s="59">
        <v>-2067.5300000000002</v>
      </c>
      <c r="H58" s="148">
        <v>15.132199999999999</v>
      </c>
      <c r="I58" s="397"/>
      <c r="J58" s="268"/>
      <c r="K58" s="435"/>
    </row>
    <row r="59" spans="1:11" s="16" customFormat="1" ht="12.75" customHeight="1">
      <c r="A59" s="117">
        <v>54</v>
      </c>
      <c r="B59" s="85">
        <v>0</v>
      </c>
      <c r="C59" s="59">
        <v>0</v>
      </c>
      <c r="D59" s="59">
        <v>-0.39795999999999998</v>
      </c>
      <c r="E59" s="59">
        <v>2.5420500000000002E-4</v>
      </c>
      <c r="F59" s="59">
        <v>293.072</v>
      </c>
      <c r="G59" s="59">
        <v>-1315.82</v>
      </c>
      <c r="H59" s="148">
        <v>7.17218</v>
      </c>
      <c r="I59" s="397"/>
      <c r="J59" s="268"/>
      <c r="K59" s="435"/>
    </row>
    <row r="60" spans="1:11" s="16" customFormat="1" ht="12.75" customHeight="1">
      <c r="A60" s="117">
        <v>55</v>
      </c>
      <c r="B60" s="85">
        <v>0</v>
      </c>
      <c r="C60" s="59">
        <v>0</v>
      </c>
      <c r="D60" s="59">
        <v>-0.53484699999999996</v>
      </c>
      <c r="E60" s="59">
        <v>2.5542400000000003E-4</v>
      </c>
      <c r="F60" s="59">
        <v>323.53500000000003</v>
      </c>
      <c r="G60" s="59">
        <v>-1645.99</v>
      </c>
      <c r="H60" s="148">
        <v>8.0673300000000001</v>
      </c>
      <c r="I60" s="397"/>
      <c r="J60" s="268"/>
      <c r="K60" s="435"/>
    </row>
    <row r="61" spans="1:11" s="16" customFormat="1" ht="12.75" customHeight="1">
      <c r="A61" s="117">
        <v>56</v>
      </c>
      <c r="B61" s="85">
        <v>0</v>
      </c>
      <c r="C61" s="59">
        <v>0</v>
      </c>
      <c r="D61" s="59">
        <v>-0.52295000000000003</v>
      </c>
      <c r="E61" s="59">
        <v>1.84439E-4</v>
      </c>
      <c r="F61" s="59">
        <v>477.15499999999997</v>
      </c>
      <c r="G61" s="59">
        <v>-2341.36</v>
      </c>
      <c r="H61" s="148">
        <v>8.2307699999999997</v>
      </c>
      <c r="I61" s="397"/>
      <c r="J61" s="268"/>
      <c r="K61" s="435"/>
    </row>
    <row r="62" spans="1:11" s="16" customFormat="1" ht="12.75" customHeight="1" thickBot="1">
      <c r="A62" s="119">
        <v>57</v>
      </c>
      <c r="B62" s="87">
        <v>0</v>
      </c>
      <c r="C62" s="48">
        <v>0</v>
      </c>
      <c r="D62" s="48">
        <v>-0.42760199999999998</v>
      </c>
      <c r="E62" s="48">
        <v>1.4162499999999999E-4</v>
      </c>
      <c r="F62" s="48">
        <v>522.553</v>
      </c>
      <c r="G62" s="48">
        <v>-2460.11</v>
      </c>
      <c r="H62" s="307">
        <v>7.57402</v>
      </c>
      <c r="I62" s="398"/>
      <c r="J62" s="324"/>
      <c r="K62" s="460"/>
    </row>
    <row r="63" spans="1:11" s="16" customFormat="1" ht="12.75" customHeight="1">
      <c r="A63" s="161">
        <v>58</v>
      </c>
      <c r="B63" s="60">
        <v>0</v>
      </c>
      <c r="C63" s="61">
        <v>0</v>
      </c>
      <c r="D63" s="61">
        <v>-0.23907200000000001</v>
      </c>
      <c r="E63" s="61">
        <v>2.98417E-3</v>
      </c>
      <c r="F63" s="61">
        <v>12.8818</v>
      </c>
      <c r="G63" s="61">
        <v>-45.066899999999997</v>
      </c>
      <c r="H63" s="98">
        <v>5.1897500000000001</v>
      </c>
      <c r="I63" s="418"/>
      <c r="J63" s="322"/>
      <c r="K63" s="457"/>
    </row>
    <row r="64" spans="1:11" s="16" customFormat="1" ht="12.75" customHeight="1">
      <c r="A64" s="53">
        <v>59</v>
      </c>
      <c r="B64" s="85">
        <v>0</v>
      </c>
      <c r="C64" s="59">
        <v>0</v>
      </c>
      <c r="D64" s="59">
        <v>0.35303600000000002</v>
      </c>
      <c r="E64" s="59">
        <v>4.2255199999999998E-4</v>
      </c>
      <c r="F64" s="59">
        <v>1.84392</v>
      </c>
      <c r="G64" s="59">
        <v>-10.2478</v>
      </c>
      <c r="H64" s="148">
        <v>2.1228199999999999</v>
      </c>
      <c r="I64" s="397"/>
      <c r="J64" s="268"/>
      <c r="K64" s="435"/>
    </row>
    <row r="65" spans="1:11" s="16" customFormat="1" ht="12.75" customHeight="1">
      <c r="A65" s="53">
        <v>60</v>
      </c>
      <c r="B65" s="85">
        <v>0</v>
      </c>
      <c r="C65" s="59">
        <v>0</v>
      </c>
      <c r="D65" s="59">
        <v>0.21579699999999999</v>
      </c>
      <c r="E65" s="59">
        <v>4.9788999999999996E-4</v>
      </c>
      <c r="F65" s="59">
        <v>3.2443900000000001</v>
      </c>
      <c r="G65" s="59">
        <v>-27.987100000000002</v>
      </c>
      <c r="H65" s="148">
        <v>2.7308599999999998</v>
      </c>
      <c r="I65" s="397"/>
      <c r="J65" s="268"/>
      <c r="K65" s="435"/>
    </row>
    <row r="66" spans="1:11" s="16" customFormat="1" ht="12.75" customHeight="1">
      <c r="A66" s="53">
        <v>61</v>
      </c>
      <c r="B66" s="85">
        <v>0</v>
      </c>
      <c r="C66" s="59">
        <v>0</v>
      </c>
      <c r="D66" s="59">
        <v>0.19112000000000001</v>
      </c>
      <c r="E66" s="59">
        <v>3.0268599999999998E-4</v>
      </c>
      <c r="F66" s="59">
        <v>15.5002</v>
      </c>
      <c r="G66" s="59">
        <v>-63.9009</v>
      </c>
      <c r="H66" s="148">
        <v>2.7455799999999999</v>
      </c>
      <c r="I66" s="397"/>
      <c r="J66" s="268"/>
      <c r="K66" s="435"/>
    </row>
    <row r="67" spans="1:11" s="16" customFormat="1" ht="12.75" customHeight="1">
      <c r="A67" s="53">
        <v>62</v>
      </c>
      <c r="B67" s="85">
        <v>0</v>
      </c>
      <c r="C67" s="59">
        <v>0</v>
      </c>
      <c r="D67" s="59">
        <v>0.26692100000000002</v>
      </c>
      <c r="E67" s="59">
        <v>1.36095E-4</v>
      </c>
      <c r="F67" s="59">
        <v>-8.3775700000000004</v>
      </c>
      <c r="G67" s="59">
        <v>-61.558199999999999</v>
      </c>
      <c r="H67" s="148">
        <v>2.1297999999999999</v>
      </c>
      <c r="I67" s="397"/>
      <c r="J67" s="268"/>
      <c r="K67" s="435"/>
    </row>
    <row r="68" spans="1:11" s="16" customFormat="1" ht="12.75" customHeight="1">
      <c r="A68" s="53">
        <v>63</v>
      </c>
      <c r="B68" s="85">
        <v>0</v>
      </c>
      <c r="C68" s="59">
        <v>0</v>
      </c>
      <c r="D68" s="59">
        <v>0.21901999999999999</v>
      </c>
      <c r="E68" s="59">
        <v>9.4956299999999998E-5</v>
      </c>
      <c r="F68" s="59">
        <v>23.393599999999999</v>
      </c>
      <c r="G68" s="59">
        <v>-148.29900000000001</v>
      </c>
      <c r="H68" s="148">
        <v>2.3674499999999998</v>
      </c>
      <c r="I68" s="397"/>
      <c r="J68" s="268"/>
      <c r="K68" s="435"/>
    </row>
    <row r="69" spans="1:11" s="16" customFormat="1" ht="12.75" customHeight="1">
      <c r="A69" s="53">
        <v>64</v>
      </c>
      <c r="B69" s="85">
        <v>0</v>
      </c>
      <c r="C69" s="59">
        <v>0</v>
      </c>
      <c r="D69" s="59">
        <v>0.13100000000000001</v>
      </c>
      <c r="E69" s="59">
        <v>9.07977E-5</v>
      </c>
      <c r="F69" s="59">
        <v>63.562600000000003</v>
      </c>
      <c r="G69" s="59">
        <v>-312.95299999999997</v>
      </c>
      <c r="H69" s="148">
        <v>2.9585400000000002</v>
      </c>
      <c r="I69" s="397"/>
      <c r="J69" s="268"/>
      <c r="K69" s="435"/>
    </row>
    <row r="70" spans="1:11" s="16" customFormat="1" ht="12.75" customHeight="1">
      <c r="A70" s="53">
        <v>65</v>
      </c>
      <c r="B70" s="85">
        <v>0</v>
      </c>
      <c r="C70" s="59">
        <v>0</v>
      </c>
      <c r="D70" s="59">
        <v>0.13677</v>
      </c>
      <c r="E70" s="59">
        <v>6.7583599999999994E-5</v>
      </c>
      <c r="F70" s="59">
        <v>57.561999999999998</v>
      </c>
      <c r="G70" s="59">
        <v>-365.88799999999998</v>
      </c>
      <c r="H70" s="148">
        <v>2.8765499999999999</v>
      </c>
      <c r="I70" s="397"/>
      <c r="J70" s="268"/>
      <c r="K70" s="435"/>
    </row>
    <row r="71" spans="1:11" s="16" customFormat="1" ht="12.75" customHeight="1">
      <c r="A71" s="53">
        <v>66</v>
      </c>
      <c r="B71" s="85">
        <v>0</v>
      </c>
      <c r="C71" s="59">
        <v>0</v>
      </c>
      <c r="D71" s="59">
        <v>0.19189999999999999</v>
      </c>
      <c r="E71" s="59">
        <v>4.2836300000000002E-5</v>
      </c>
      <c r="F71" s="59">
        <v>21.526</v>
      </c>
      <c r="G71" s="59">
        <v>-393.43299999999999</v>
      </c>
      <c r="H71" s="148">
        <v>2.3939499999999998</v>
      </c>
      <c r="I71" s="397"/>
      <c r="J71" s="268"/>
      <c r="K71" s="435"/>
    </row>
    <row r="72" spans="1:11" s="16" customFormat="1" ht="12.75" customHeight="1">
      <c r="A72" s="53">
        <v>67</v>
      </c>
      <c r="B72" s="85">
        <v>0</v>
      </c>
      <c r="C72" s="59">
        <v>0</v>
      </c>
      <c r="D72" s="59">
        <v>0.109613</v>
      </c>
      <c r="E72" s="59">
        <v>4.0282399999999999E-5</v>
      </c>
      <c r="F72" s="59">
        <v>163.113</v>
      </c>
      <c r="G72" s="59">
        <v>-736.24900000000002</v>
      </c>
      <c r="H72" s="148">
        <v>3.06488</v>
      </c>
      <c r="I72" s="397"/>
      <c r="J72" s="268"/>
      <c r="K72" s="435"/>
    </row>
    <row r="73" spans="1:11" s="16" customFormat="1" ht="12.75" customHeight="1">
      <c r="A73" s="53">
        <v>68</v>
      </c>
      <c r="B73" s="85">
        <v>0</v>
      </c>
      <c r="C73" s="59">
        <v>0</v>
      </c>
      <c r="D73" s="59">
        <v>7.1163500000000005E-2</v>
      </c>
      <c r="E73" s="59">
        <v>3.7233300000000001E-5</v>
      </c>
      <c r="F73" s="59">
        <v>195.73699999999999</v>
      </c>
      <c r="G73" s="59">
        <v>-970.01400000000001</v>
      </c>
      <c r="H73" s="148">
        <v>3.3539699999999999</v>
      </c>
      <c r="I73" s="397"/>
      <c r="J73" s="268"/>
      <c r="K73" s="435"/>
    </row>
    <row r="74" spans="1:11" s="16" customFormat="1" ht="12.75" customHeight="1" thickBot="1">
      <c r="A74" s="162">
        <v>69</v>
      </c>
      <c r="B74" s="92">
        <v>0</v>
      </c>
      <c r="C74" s="93">
        <v>0</v>
      </c>
      <c r="D74" s="93">
        <v>2.6019E-2</v>
      </c>
      <c r="E74" s="93">
        <v>2.62201E-5</v>
      </c>
      <c r="F74" s="93">
        <v>416.60399999999998</v>
      </c>
      <c r="G74" s="93">
        <v>-1659.25</v>
      </c>
      <c r="H74" s="99">
        <v>3.7627899999999999</v>
      </c>
      <c r="I74" s="449"/>
      <c r="J74" s="323"/>
      <c r="K74" s="458"/>
    </row>
    <row r="75" spans="1:11" s="16" customFormat="1" ht="12.75" customHeight="1">
      <c r="A75" s="120">
        <v>70</v>
      </c>
      <c r="B75" s="102">
        <v>0</v>
      </c>
      <c r="C75" s="95">
        <v>0</v>
      </c>
      <c r="D75" s="95">
        <v>0.43351899999999999</v>
      </c>
      <c r="E75" s="95">
        <v>3.0870499999999999E-4</v>
      </c>
      <c r="F75" s="95">
        <v>-0.57590200000000003</v>
      </c>
      <c r="G75" s="95">
        <v>-4.0742700000000003</v>
      </c>
      <c r="H75" s="286">
        <v>2.0548700000000002</v>
      </c>
      <c r="I75" s="450"/>
      <c r="J75" s="321"/>
      <c r="K75" s="459"/>
    </row>
    <row r="76" spans="1:11" s="16" customFormat="1" ht="12.75" customHeight="1">
      <c r="A76" s="117">
        <v>71</v>
      </c>
      <c r="B76" s="85">
        <v>0</v>
      </c>
      <c r="C76" s="59">
        <v>0</v>
      </c>
      <c r="D76" s="59">
        <v>0.32029000000000002</v>
      </c>
      <c r="E76" s="59">
        <v>6.7669599999999996E-4</v>
      </c>
      <c r="F76" s="59">
        <v>-3.3168700000000002</v>
      </c>
      <c r="G76" s="59">
        <v>-7.4219999999999997</v>
      </c>
      <c r="H76" s="148">
        <v>2.2659400000000001</v>
      </c>
      <c r="I76" s="397"/>
      <c r="J76" s="268"/>
      <c r="K76" s="435"/>
    </row>
    <row r="77" spans="1:11" s="16" customFormat="1" ht="12.75" customHeight="1">
      <c r="A77" s="117">
        <v>72</v>
      </c>
      <c r="B77" s="85">
        <v>0</v>
      </c>
      <c r="C77" s="59">
        <v>0</v>
      </c>
      <c r="D77" s="59">
        <v>0.39216899999999999</v>
      </c>
      <c r="E77" s="59">
        <v>3.31174E-4</v>
      </c>
      <c r="F77" s="59">
        <v>-7.2272800000000004</v>
      </c>
      <c r="G77" s="59">
        <v>-9.0317799999999995</v>
      </c>
      <c r="H77" s="148">
        <v>1.74715</v>
      </c>
      <c r="I77" s="397"/>
      <c r="J77" s="268"/>
      <c r="K77" s="435"/>
    </row>
    <row r="78" spans="1:11" s="16" customFormat="1" ht="12.75" customHeight="1">
      <c r="A78" s="117">
        <v>73</v>
      </c>
      <c r="B78" s="85">
        <v>0</v>
      </c>
      <c r="C78" s="59">
        <v>0</v>
      </c>
      <c r="D78" s="59">
        <v>0.36024800000000001</v>
      </c>
      <c r="E78" s="59">
        <v>2.15847E-4</v>
      </c>
      <c r="F78" s="59">
        <v>-8.2893799999999995</v>
      </c>
      <c r="G78" s="59">
        <v>-21.656600000000001</v>
      </c>
      <c r="H78" s="148">
        <v>1.71285</v>
      </c>
      <c r="I78" s="397"/>
      <c r="J78" s="268"/>
      <c r="K78" s="435"/>
    </row>
    <row r="79" spans="1:11" s="16" customFormat="1" ht="12.75" customHeight="1">
      <c r="A79" s="117">
        <v>74</v>
      </c>
      <c r="B79" s="85">
        <v>0</v>
      </c>
      <c r="C79" s="59">
        <v>0</v>
      </c>
      <c r="D79" s="59">
        <v>0.249254</v>
      </c>
      <c r="E79" s="59">
        <v>1.8897799999999999E-4</v>
      </c>
      <c r="F79" s="59">
        <v>-12.099600000000001</v>
      </c>
      <c r="G79" s="59">
        <v>-52.339300000000001</v>
      </c>
      <c r="H79" s="148">
        <v>2.2361200000000001</v>
      </c>
      <c r="I79" s="397"/>
      <c r="J79" s="268"/>
      <c r="K79" s="435"/>
    </row>
    <row r="80" spans="1:11" s="16" customFormat="1" ht="12.75" customHeight="1">
      <c r="A80" s="117">
        <v>75</v>
      </c>
      <c r="B80" s="85">
        <v>0</v>
      </c>
      <c r="C80" s="59">
        <v>0</v>
      </c>
      <c r="D80" s="59">
        <v>0.33006999999999997</v>
      </c>
      <c r="E80" s="59">
        <v>8.2782399999999995E-5</v>
      </c>
      <c r="F80" s="59">
        <v>-40.346899999999998</v>
      </c>
      <c r="G80" s="59">
        <v>-49.663600000000002</v>
      </c>
      <c r="H80" s="148">
        <v>1.5607</v>
      </c>
      <c r="I80" s="397"/>
      <c r="J80" s="268"/>
      <c r="K80" s="435"/>
    </row>
    <row r="81" spans="1:11" s="16" customFormat="1" ht="12.75" customHeight="1">
      <c r="A81" s="117">
        <v>76</v>
      </c>
      <c r="B81" s="85">
        <v>0</v>
      </c>
      <c r="C81" s="59">
        <v>0</v>
      </c>
      <c r="D81" s="59">
        <v>0.33302700000000002</v>
      </c>
      <c r="E81" s="59">
        <v>6.1120199999999998E-5</v>
      </c>
      <c r="F81" s="59">
        <v>-35.943600000000004</v>
      </c>
      <c r="G81" s="59">
        <v>-78.0364</v>
      </c>
      <c r="H81" s="148">
        <v>1.42293</v>
      </c>
      <c r="I81" s="397"/>
      <c r="J81" s="268"/>
      <c r="K81" s="435"/>
    </row>
    <row r="82" spans="1:11" s="16" customFormat="1" ht="12.75" customHeight="1">
      <c r="A82" s="117">
        <v>77</v>
      </c>
      <c r="B82" s="85">
        <v>0</v>
      </c>
      <c r="C82" s="59">
        <v>0</v>
      </c>
      <c r="D82" s="59">
        <v>0.43071599999999999</v>
      </c>
      <c r="E82" s="59">
        <v>2.63389E-5</v>
      </c>
      <c r="F82" s="59">
        <v>-76.61</v>
      </c>
      <c r="G82" s="59">
        <v>-61.940600000000003</v>
      </c>
      <c r="H82" s="148">
        <v>0.59669700000000003</v>
      </c>
      <c r="I82" s="397"/>
      <c r="J82" s="268"/>
      <c r="K82" s="435"/>
    </row>
    <row r="83" spans="1:11" s="16" customFormat="1" ht="12.75" customHeight="1">
      <c r="A83" s="117">
        <v>78</v>
      </c>
      <c r="B83" s="85">
        <v>0</v>
      </c>
      <c r="C83" s="59">
        <v>0</v>
      </c>
      <c r="D83" s="59">
        <v>0.402341</v>
      </c>
      <c r="E83" s="59">
        <v>2.4820700000000001E-5</v>
      </c>
      <c r="F83" s="59">
        <v>-114.932</v>
      </c>
      <c r="G83" s="59">
        <v>-67.9315</v>
      </c>
      <c r="H83" s="148">
        <v>0.69156899999999999</v>
      </c>
      <c r="I83" s="397"/>
      <c r="J83" s="268"/>
      <c r="K83" s="435"/>
    </row>
    <row r="84" spans="1:11" s="16" customFormat="1" ht="12.75" customHeight="1">
      <c r="A84" s="117">
        <v>79</v>
      </c>
      <c r="B84" s="85">
        <v>0</v>
      </c>
      <c r="C84" s="59">
        <v>0</v>
      </c>
      <c r="D84" s="59">
        <v>0.37952599999999997</v>
      </c>
      <c r="E84" s="59">
        <v>1.8754500000000001E-5</v>
      </c>
      <c r="F84" s="59">
        <v>-97.8489</v>
      </c>
      <c r="G84" s="59">
        <v>-132.08799999999999</v>
      </c>
      <c r="H84" s="148">
        <v>0.807975</v>
      </c>
      <c r="I84" s="397"/>
      <c r="J84" s="268"/>
      <c r="K84" s="435"/>
    </row>
    <row r="85" spans="1:11" s="16" customFormat="1" ht="12.75" customHeight="1">
      <c r="A85" s="117">
        <v>80</v>
      </c>
      <c r="B85" s="85">
        <v>0</v>
      </c>
      <c r="C85" s="59">
        <v>0</v>
      </c>
      <c r="D85" s="59">
        <v>0.411165</v>
      </c>
      <c r="E85" s="59">
        <v>1.3183999999999999E-5</v>
      </c>
      <c r="F85" s="59">
        <v>-173.881</v>
      </c>
      <c r="G85" s="59">
        <v>-146.55600000000001</v>
      </c>
      <c r="H85" s="148">
        <v>0.46564800000000001</v>
      </c>
      <c r="I85" s="397"/>
      <c r="J85" s="268"/>
      <c r="K85" s="435"/>
    </row>
    <row r="86" spans="1:11" s="16" customFormat="1" ht="12.75" customHeight="1" thickBot="1">
      <c r="A86" s="119">
        <v>81</v>
      </c>
      <c r="B86" s="87">
        <v>0</v>
      </c>
      <c r="C86" s="48">
        <v>0</v>
      </c>
      <c r="D86" s="48">
        <v>0.42207800000000001</v>
      </c>
      <c r="E86" s="48">
        <v>8.2349400000000008E-6</v>
      </c>
      <c r="F86" s="48">
        <v>-210.54400000000001</v>
      </c>
      <c r="G86" s="48">
        <v>-206.70400000000001</v>
      </c>
      <c r="H86" s="307">
        <v>0.22337000000000001</v>
      </c>
      <c r="I86" s="398"/>
      <c r="J86" s="324"/>
      <c r="K86" s="460"/>
    </row>
    <row r="87" spans="1:11" s="16" customFormat="1" ht="12.75" customHeight="1">
      <c r="A87" s="161">
        <v>82</v>
      </c>
      <c r="B87" s="60">
        <v>0</v>
      </c>
      <c r="C87" s="163">
        <v>0</v>
      </c>
      <c r="D87" s="166">
        <v>-0.27182600000000001</v>
      </c>
      <c r="E87" s="166">
        <v>2.8922000000000002E-3</v>
      </c>
      <c r="F87" s="163">
        <v>12.5373</v>
      </c>
      <c r="G87" s="163">
        <v>-46.960700000000003</v>
      </c>
      <c r="H87" s="308">
        <v>5.2553700000000001</v>
      </c>
      <c r="I87" s="418"/>
      <c r="J87" s="322"/>
      <c r="K87" s="457"/>
    </row>
    <row r="88" spans="1:11" s="16" customFormat="1" ht="12.75" customHeight="1">
      <c r="A88" s="53">
        <v>83</v>
      </c>
      <c r="B88" s="85">
        <v>0</v>
      </c>
      <c r="C88" s="31">
        <v>0</v>
      </c>
      <c r="D88" s="158">
        <v>-8.4661500000000001E-2</v>
      </c>
      <c r="E88" s="158">
        <v>1.28166E-3</v>
      </c>
      <c r="F88" s="31">
        <v>18.957999999999998</v>
      </c>
      <c r="G88" s="31">
        <v>-54.066299999999998</v>
      </c>
      <c r="H88" s="309">
        <v>4.3849099999999996</v>
      </c>
      <c r="I88" s="397"/>
      <c r="J88" s="268"/>
      <c r="K88" s="435"/>
    </row>
    <row r="89" spans="1:11" s="16" customFormat="1" ht="12.75" customHeight="1">
      <c r="A89" s="53">
        <v>84</v>
      </c>
      <c r="B89" s="85">
        <v>0</v>
      </c>
      <c r="C89" s="31">
        <v>0</v>
      </c>
      <c r="D89" s="158">
        <v>-9.7446500000000005E-3</v>
      </c>
      <c r="E89" s="158">
        <v>7.0452399999999999E-4</v>
      </c>
      <c r="F89" s="31">
        <v>27.337399999999999</v>
      </c>
      <c r="G89" s="31">
        <v>-63.774799999999999</v>
      </c>
      <c r="H89" s="309">
        <v>3.98169</v>
      </c>
      <c r="I89" s="397"/>
      <c r="J89" s="268"/>
      <c r="K89" s="435"/>
    </row>
    <row r="90" spans="1:11" s="16" customFormat="1" ht="12.75" customHeight="1">
      <c r="A90" s="53">
        <v>85</v>
      </c>
      <c r="B90" s="85">
        <v>0</v>
      </c>
      <c r="C90" s="31">
        <v>0</v>
      </c>
      <c r="D90" s="158">
        <v>-2.0276700000000002E-2</v>
      </c>
      <c r="E90" s="158">
        <v>4.8958300000000003E-4</v>
      </c>
      <c r="F90" s="31">
        <v>38.716999999999999</v>
      </c>
      <c r="G90" s="31">
        <v>-99.071100000000001</v>
      </c>
      <c r="H90" s="309">
        <v>4.0694400000000002</v>
      </c>
      <c r="I90" s="397"/>
      <c r="J90" s="268"/>
      <c r="K90" s="435"/>
    </row>
    <row r="91" spans="1:11" s="16" customFormat="1" ht="12.75" customHeight="1">
      <c r="A91" s="53">
        <v>86</v>
      </c>
      <c r="B91" s="85">
        <v>0</v>
      </c>
      <c r="C91" s="31">
        <v>0</v>
      </c>
      <c r="D91" s="158">
        <v>0.103385</v>
      </c>
      <c r="E91" s="158">
        <v>1.8579100000000001E-4</v>
      </c>
      <c r="F91" s="31">
        <v>74.5976</v>
      </c>
      <c r="G91" s="31">
        <v>-139.43100000000001</v>
      </c>
      <c r="H91" s="309">
        <v>3.29955</v>
      </c>
      <c r="I91" s="397"/>
      <c r="J91" s="268"/>
      <c r="K91" s="435"/>
    </row>
    <row r="92" spans="1:11" s="16" customFormat="1" ht="12.75" customHeight="1">
      <c r="A92" s="53">
        <v>87</v>
      </c>
      <c r="B92" s="85">
        <v>0</v>
      </c>
      <c r="C92" s="31">
        <v>0</v>
      </c>
      <c r="D92" s="158">
        <v>-6.3333399999999998E-2</v>
      </c>
      <c r="E92" s="158">
        <v>1.9029299999999999E-4</v>
      </c>
      <c r="F92" s="31">
        <v>111.002</v>
      </c>
      <c r="G92" s="31">
        <v>-342.94099999999997</v>
      </c>
      <c r="H92" s="309">
        <v>4.4141700000000004</v>
      </c>
      <c r="I92" s="397"/>
      <c r="J92" s="268"/>
      <c r="K92" s="435"/>
    </row>
    <row r="93" spans="1:11" s="16" customFormat="1" ht="12.75" customHeight="1">
      <c r="A93" s="53">
        <v>88</v>
      </c>
      <c r="B93" s="85">
        <v>0</v>
      </c>
      <c r="C93" s="31">
        <v>0</v>
      </c>
      <c r="D93" s="158">
        <v>6.7807500000000007E-2</v>
      </c>
      <c r="E93" s="158">
        <v>9.4940799999999997E-5</v>
      </c>
      <c r="F93" s="31">
        <v>152.36099999999999</v>
      </c>
      <c r="G93" s="31">
        <v>-374.18799999999999</v>
      </c>
      <c r="H93" s="309">
        <v>3.46468</v>
      </c>
      <c r="I93" s="397"/>
      <c r="J93" s="268"/>
      <c r="K93" s="435"/>
    </row>
    <row r="94" spans="1:11" s="16" customFormat="1" ht="12.75" customHeight="1">
      <c r="A94" s="53">
        <v>89</v>
      </c>
      <c r="B94" s="85">
        <v>0</v>
      </c>
      <c r="C94" s="31">
        <v>0</v>
      </c>
      <c r="D94" s="158">
        <v>5.0024600000000002E-2</v>
      </c>
      <c r="E94" s="158">
        <v>8.0177299999999996E-5</v>
      </c>
      <c r="F94" s="31">
        <v>182.04499999999999</v>
      </c>
      <c r="G94" s="31">
        <v>-469.178</v>
      </c>
      <c r="H94" s="309">
        <v>3.5569999999999999</v>
      </c>
      <c r="I94" s="397"/>
      <c r="J94" s="268"/>
      <c r="K94" s="435"/>
    </row>
    <row r="95" spans="1:11" s="16" customFormat="1" ht="12.75" customHeight="1">
      <c r="A95" s="53">
        <v>90</v>
      </c>
      <c r="B95" s="85">
        <v>0</v>
      </c>
      <c r="C95" s="31">
        <v>0</v>
      </c>
      <c r="D95" s="158">
        <v>3.10438E-2</v>
      </c>
      <c r="E95" s="158">
        <v>6.0828000000000001E-5</v>
      </c>
      <c r="F95" s="31">
        <v>260.91300000000001</v>
      </c>
      <c r="G95" s="31">
        <v>-723.17700000000002</v>
      </c>
      <c r="H95" s="309">
        <v>3.7189299999999998</v>
      </c>
      <c r="I95" s="397"/>
      <c r="J95" s="268"/>
      <c r="K95" s="435"/>
    </row>
    <row r="96" spans="1:11" s="16" customFormat="1" ht="12.75" customHeight="1">
      <c r="A96" s="53">
        <v>91</v>
      </c>
      <c r="B96" s="85">
        <v>0</v>
      </c>
      <c r="C96" s="31">
        <v>0</v>
      </c>
      <c r="D96" s="158">
        <v>0.10087500000000001</v>
      </c>
      <c r="E96" s="158">
        <v>4.76655E-5</v>
      </c>
      <c r="F96" s="31">
        <v>290.44799999999998</v>
      </c>
      <c r="G96" s="31">
        <v>-695.99800000000005</v>
      </c>
      <c r="H96" s="309">
        <v>3.0663499999999999</v>
      </c>
      <c r="I96" s="397"/>
      <c r="J96" s="268"/>
      <c r="K96" s="435"/>
    </row>
    <row r="97" spans="1:11" s="16" customFormat="1" ht="12.75" customHeight="1">
      <c r="A97" s="53">
        <v>92</v>
      </c>
      <c r="B97" s="85">
        <v>0</v>
      </c>
      <c r="C97" s="31">
        <v>0</v>
      </c>
      <c r="D97" s="158">
        <v>0.28665600000000002</v>
      </c>
      <c r="E97" s="158">
        <v>2.0764700000000001E-5</v>
      </c>
      <c r="F97" s="31">
        <v>152.28</v>
      </c>
      <c r="G97" s="31">
        <v>-327.786</v>
      </c>
      <c r="H97" s="309">
        <v>1.47007</v>
      </c>
      <c r="I97" s="397"/>
      <c r="J97" s="268"/>
      <c r="K97" s="435"/>
    </row>
    <row r="98" spans="1:11" s="16" customFormat="1" ht="12.75" customHeight="1">
      <c r="A98" s="53">
        <v>93</v>
      </c>
      <c r="B98" s="85">
        <v>0</v>
      </c>
      <c r="C98" s="31">
        <v>0</v>
      </c>
      <c r="D98" s="158">
        <v>0.16401199999999999</v>
      </c>
      <c r="E98" s="158">
        <v>2.24097E-5</v>
      </c>
      <c r="F98" s="31">
        <v>437.23099999999999</v>
      </c>
      <c r="G98" s="31">
        <v>-816.947</v>
      </c>
      <c r="H98" s="309">
        <v>2.51905</v>
      </c>
      <c r="I98" s="397"/>
      <c r="J98" s="59"/>
      <c r="K98" s="435"/>
    </row>
    <row r="99" spans="1:11" s="16" customFormat="1" ht="12.75" customHeight="1">
      <c r="A99" s="53">
        <v>94</v>
      </c>
      <c r="B99" s="85">
        <v>0</v>
      </c>
      <c r="C99" s="31">
        <v>0</v>
      </c>
      <c r="D99" s="158">
        <v>0.20474700000000001</v>
      </c>
      <c r="E99" s="158">
        <v>1.7817700000000001E-5</v>
      </c>
      <c r="F99" s="31">
        <v>322.25099999999998</v>
      </c>
      <c r="G99" s="31">
        <v>-675.07799999999997</v>
      </c>
      <c r="H99" s="309">
        <v>2.0994199999999998</v>
      </c>
      <c r="I99" s="397"/>
      <c r="J99" s="59"/>
      <c r="K99" s="435"/>
    </row>
    <row r="100" spans="1:11" s="16" customFormat="1" ht="12.75" customHeight="1">
      <c r="A100" s="53">
        <v>95</v>
      </c>
      <c r="B100" s="85">
        <v>0</v>
      </c>
      <c r="C100" s="31">
        <v>0</v>
      </c>
      <c r="D100" s="158">
        <v>-5.5927400000000002E-2</v>
      </c>
      <c r="E100" s="158">
        <v>2.87015E-5</v>
      </c>
      <c r="F100" s="31">
        <v>840.97</v>
      </c>
      <c r="G100" s="31">
        <v>-2129.87</v>
      </c>
      <c r="H100" s="309">
        <v>4.4337299999999997</v>
      </c>
      <c r="I100" s="397"/>
      <c r="J100" s="59"/>
      <c r="K100" s="435"/>
    </row>
    <row r="101" spans="1:11" s="16" customFormat="1" ht="12.75" customHeight="1">
      <c r="A101" s="53">
        <v>96</v>
      </c>
      <c r="B101" s="85">
        <v>0</v>
      </c>
      <c r="C101" s="31">
        <v>0</v>
      </c>
      <c r="D101" s="158">
        <v>7.9778199999999994E-2</v>
      </c>
      <c r="E101" s="158">
        <v>1.9628099999999999E-5</v>
      </c>
      <c r="F101" s="31">
        <v>586.33000000000004</v>
      </c>
      <c r="G101" s="31">
        <v>-1382.57</v>
      </c>
      <c r="H101" s="309">
        <v>3.1453199999999999</v>
      </c>
      <c r="I101" s="397"/>
      <c r="J101" s="59"/>
      <c r="K101" s="435"/>
    </row>
    <row r="102" spans="1:11" s="16" customFormat="1" ht="12.75" customHeight="1">
      <c r="A102" s="53">
        <v>97</v>
      </c>
      <c r="B102" s="85">
        <v>0</v>
      </c>
      <c r="C102" s="31">
        <v>0</v>
      </c>
      <c r="D102" s="158">
        <v>1.4800300000000001E-2</v>
      </c>
      <c r="E102" s="158">
        <v>1.9048699999999999E-5</v>
      </c>
      <c r="F102" s="31">
        <v>928.89099999999996</v>
      </c>
      <c r="G102" s="31">
        <v>-2246.1</v>
      </c>
      <c r="H102" s="309">
        <v>3.7709800000000002</v>
      </c>
      <c r="I102" s="397"/>
      <c r="J102" s="59"/>
      <c r="K102" s="435"/>
    </row>
    <row r="103" spans="1:11" s="16" customFormat="1" ht="12.75" customHeight="1">
      <c r="A103" s="53">
        <v>98</v>
      </c>
      <c r="B103" s="85">
        <v>0</v>
      </c>
      <c r="C103" s="31">
        <v>0</v>
      </c>
      <c r="D103" s="158">
        <v>3.8328800000000003E-2</v>
      </c>
      <c r="E103" s="158">
        <v>1.4916799999999999E-5</v>
      </c>
      <c r="F103" s="31">
        <v>1120.1099999999999</v>
      </c>
      <c r="G103" s="31">
        <v>-2645.99</v>
      </c>
      <c r="H103" s="309">
        <v>3.5935600000000001</v>
      </c>
      <c r="I103" s="397"/>
      <c r="J103" s="59"/>
      <c r="K103" s="435"/>
    </row>
    <row r="104" spans="1:11" s="16" customFormat="1" ht="12.75" customHeight="1">
      <c r="A104" s="53">
        <v>99</v>
      </c>
      <c r="B104" s="85">
        <v>0</v>
      </c>
      <c r="C104" s="31">
        <v>0</v>
      </c>
      <c r="D104" s="158">
        <v>4.4476799999999997E-2</v>
      </c>
      <c r="E104" s="158">
        <v>1.27538E-5</v>
      </c>
      <c r="F104" s="31">
        <v>1266.07</v>
      </c>
      <c r="G104" s="31">
        <v>-3020.2</v>
      </c>
      <c r="H104" s="309">
        <v>3.5438299999999998</v>
      </c>
      <c r="I104" s="397"/>
      <c r="J104" s="59"/>
      <c r="K104" s="435"/>
    </row>
    <row r="105" spans="1:11" s="16" customFormat="1" ht="12.75" customHeight="1">
      <c r="A105" s="53">
        <v>100</v>
      </c>
      <c r="B105" s="85">
        <v>0</v>
      </c>
      <c r="C105" s="31">
        <v>0</v>
      </c>
      <c r="D105" s="158">
        <v>-3.5601000000000001E-3</v>
      </c>
      <c r="E105" s="158">
        <v>1.41081E-5</v>
      </c>
      <c r="F105" s="31">
        <v>1213.57</v>
      </c>
      <c r="G105" s="31">
        <v>-3280.12</v>
      </c>
      <c r="H105" s="309">
        <v>3.9260299999999999</v>
      </c>
      <c r="I105" s="397"/>
      <c r="J105" s="59"/>
      <c r="K105" s="435"/>
    </row>
    <row r="106" spans="1:11" s="16" customFormat="1" ht="12.75" customHeight="1">
      <c r="A106" s="53">
        <v>101</v>
      </c>
      <c r="B106" s="85">
        <v>0</v>
      </c>
      <c r="C106" s="31">
        <v>0</v>
      </c>
      <c r="D106" s="158">
        <v>0.106589</v>
      </c>
      <c r="E106" s="158">
        <v>9.3521100000000005E-6</v>
      </c>
      <c r="F106" s="31">
        <v>909.07500000000005</v>
      </c>
      <c r="G106" s="31">
        <v>-2313.0300000000002</v>
      </c>
      <c r="H106" s="309">
        <v>2.8054899999999998</v>
      </c>
      <c r="I106" s="397"/>
      <c r="J106" s="59"/>
      <c r="K106" s="435"/>
    </row>
    <row r="107" spans="1:11" s="16" customFormat="1" ht="12.75" customHeight="1">
      <c r="A107" s="53">
        <v>102</v>
      </c>
      <c r="B107" s="85">
        <v>0</v>
      </c>
      <c r="C107" s="31">
        <v>0</v>
      </c>
      <c r="D107" s="158">
        <v>4.4661899999999997E-2</v>
      </c>
      <c r="E107" s="158">
        <v>8.8367400000000007E-6</v>
      </c>
      <c r="F107" s="31">
        <v>1279.6600000000001</v>
      </c>
      <c r="G107" s="31">
        <v>-3890.97</v>
      </c>
      <c r="H107" s="309">
        <v>3.4258899999999999</v>
      </c>
      <c r="I107" s="397"/>
      <c r="J107" s="59"/>
      <c r="K107" s="435"/>
    </row>
    <row r="108" spans="1:11" s="16" customFormat="1" ht="12.75" customHeight="1">
      <c r="A108" s="53">
        <v>103</v>
      </c>
      <c r="B108" s="85">
        <v>0</v>
      </c>
      <c r="C108" s="31">
        <v>0</v>
      </c>
      <c r="D108" s="158">
        <v>0.130131</v>
      </c>
      <c r="E108" s="158">
        <v>5.58815E-6</v>
      </c>
      <c r="F108" s="31">
        <v>1162.49</v>
      </c>
      <c r="G108" s="31">
        <v>-3840.75</v>
      </c>
      <c r="H108" s="309">
        <v>2.5894300000000001</v>
      </c>
      <c r="I108" s="397"/>
      <c r="J108" s="59"/>
      <c r="K108" s="435"/>
    </row>
    <row r="109" spans="1:11" s="16" customFormat="1" ht="12.75" customHeight="1">
      <c r="A109" s="53">
        <v>104</v>
      </c>
      <c r="B109" s="85">
        <v>0</v>
      </c>
      <c r="C109" s="31">
        <v>0</v>
      </c>
      <c r="D109" s="158">
        <v>0.17441000000000001</v>
      </c>
      <c r="E109" s="158">
        <v>4.1852299999999997E-6</v>
      </c>
      <c r="F109" s="31">
        <v>704.553</v>
      </c>
      <c r="G109" s="31">
        <v>-3688.38</v>
      </c>
      <c r="H109" s="309">
        <v>2.10649</v>
      </c>
      <c r="I109" s="397"/>
      <c r="J109" s="59"/>
      <c r="K109" s="435"/>
    </row>
    <row r="110" spans="1:11" s="16" customFormat="1" ht="12.75" customHeight="1">
      <c r="A110" s="53">
        <v>105</v>
      </c>
      <c r="B110" s="85">
        <v>0</v>
      </c>
      <c r="C110" s="31">
        <v>0</v>
      </c>
      <c r="D110" s="158">
        <v>0.19395200000000001</v>
      </c>
      <c r="E110" s="158">
        <v>3.3573099999999999E-6</v>
      </c>
      <c r="F110" s="31">
        <v>646.35900000000004</v>
      </c>
      <c r="G110" s="31">
        <v>-4066.87</v>
      </c>
      <c r="H110" s="309">
        <v>1.9059699999999999</v>
      </c>
      <c r="I110" s="397"/>
      <c r="J110" s="59"/>
      <c r="K110" s="435"/>
    </row>
    <row r="111" spans="1:11" s="16" customFormat="1" ht="12.75" customHeight="1" thickBot="1">
      <c r="A111" s="162">
        <v>106</v>
      </c>
      <c r="B111" s="92">
        <v>0</v>
      </c>
      <c r="C111" s="164">
        <v>0</v>
      </c>
      <c r="D111" s="167">
        <v>3.3443599999999997E-2</v>
      </c>
      <c r="E111" s="167">
        <v>4.4476399999999998E-6</v>
      </c>
      <c r="F111" s="164">
        <v>1360.4</v>
      </c>
      <c r="G111" s="164">
        <v>-8107.48</v>
      </c>
      <c r="H111" s="310">
        <v>3.58114</v>
      </c>
      <c r="I111" s="449"/>
      <c r="J111" s="93"/>
      <c r="K111" s="458"/>
    </row>
    <row r="112" spans="1:11" s="16" customFormat="1" ht="12.75" customHeight="1">
      <c r="A112" s="165">
        <v>107</v>
      </c>
      <c r="B112" s="102">
        <v>0</v>
      </c>
      <c r="C112" s="316">
        <v>0</v>
      </c>
      <c r="D112" s="325">
        <v>-1.6506099999999999</v>
      </c>
      <c r="E112" s="325">
        <v>6.25284E-3</v>
      </c>
      <c r="F112" s="316">
        <v>27.382899999999999</v>
      </c>
      <c r="G112" s="316">
        <v>-245.45699999999999</v>
      </c>
      <c r="H112" s="317">
        <v>12.5121</v>
      </c>
      <c r="I112" s="450"/>
      <c r="J112" s="321"/>
      <c r="K112" s="459"/>
    </row>
    <row r="113" spans="1:11" s="16" customFormat="1" ht="12.75" customHeight="1">
      <c r="A113" s="53">
        <v>108</v>
      </c>
      <c r="B113" s="85">
        <v>0</v>
      </c>
      <c r="C113" s="31">
        <v>0</v>
      </c>
      <c r="D113" s="158">
        <v>-1.2955399999999999</v>
      </c>
      <c r="E113" s="158">
        <v>3.2244999999999999E-3</v>
      </c>
      <c r="F113" s="31">
        <v>40.154299999999999</v>
      </c>
      <c r="G113" s="31">
        <v>-321.363</v>
      </c>
      <c r="H113" s="309">
        <v>11.2218</v>
      </c>
      <c r="I113" s="397"/>
      <c r="J113" s="268"/>
      <c r="K113" s="435"/>
    </row>
    <row r="114" spans="1:11" s="16" customFormat="1" ht="12.75" customHeight="1">
      <c r="A114" s="53">
        <v>109</v>
      </c>
      <c r="B114" s="85">
        <v>0</v>
      </c>
      <c r="C114" s="31">
        <v>0</v>
      </c>
      <c r="D114" s="158">
        <v>-0.84549600000000003</v>
      </c>
      <c r="E114" s="158">
        <v>1.59223E-3</v>
      </c>
      <c r="F114" s="31">
        <v>56.915900000000001</v>
      </c>
      <c r="G114" s="31">
        <v>-354.541</v>
      </c>
      <c r="H114" s="309">
        <v>8.9830799999999993</v>
      </c>
      <c r="I114" s="397"/>
      <c r="J114" s="268"/>
      <c r="K114" s="435"/>
    </row>
    <row r="115" spans="1:11" s="16" customFormat="1" ht="12.75" customHeight="1">
      <c r="A115" s="53">
        <v>110</v>
      </c>
      <c r="B115" s="85">
        <v>0</v>
      </c>
      <c r="C115" s="31">
        <v>0</v>
      </c>
      <c r="D115" s="158">
        <v>-1.0456799999999999</v>
      </c>
      <c r="E115" s="158">
        <v>1.2471100000000001E-3</v>
      </c>
      <c r="F115" s="31">
        <v>88.962400000000002</v>
      </c>
      <c r="G115" s="31">
        <v>-600.18799999999999</v>
      </c>
      <c r="H115" s="309">
        <v>10.6226</v>
      </c>
      <c r="I115" s="397"/>
      <c r="J115" s="268"/>
      <c r="K115" s="435"/>
    </row>
    <row r="116" spans="1:11" s="16" customFormat="1" ht="12.75" customHeight="1">
      <c r="A116" s="53">
        <v>111</v>
      </c>
      <c r="B116" s="85">
        <v>0</v>
      </c>
      <c r="C116" s="31">
        <v>0</v>
      </c>
      <c r="D116" s="158">
        <v>-0.32117600000000002</v>
      </c>
      <c r="E116" s="158">
        <v>4.1490400000000001E-4</v>
      </c>
      <c r="F116" s="31">
        <v>105.25</v>
      </c>
      <c r="G116" s="31">
        <v>-457.19200000000001</v>
      </c>
      <c r="H116" s="309">
        <v>5.9968899999999996</v>
      </c>
      <c r="I116" s="397"/>
      <c r="J116" s="268"/>
      <c r="K116" s="435"/>
    </row>
    <row r="117" spans="1:11" s="16" customFormat="1" ht="12.75" customHeight="1">
      <c r="A117" s="53">
        <v>112</v>
      </c>
      <c r="B117" s="85">
        <v>0</v>
      </c>
      <c r="C117" s="31">
        <v>0</v>
      </c>
      <c r="D117" s="158">
        <v>-0.79282699999999995</v>
      </c>
      <c r="E117" s="158">
        <v>3.9048199999999999E-4</v>
      </c>
      <c r="F117" s="31">
        <v>219.81800000000001</v>
      </c>
      <c r="G117" s="31">
        <v>-1353.39</v>
      </c>
      <c r="H117" s="309">
        <v>9.7555999999999994</v>
      </c>
      <c r="I117" s="397"/>
      <c r="J117" s="268"/>
      <c r="K117" s="435"/>
    </row>
    <row r="118" spans="1:11" s="16" customFormat="1" ht="12.75" customHeight="1">
      <c r="A118" s="53">
        <v>113</v>
      </c>
      <c r="B118" s="85">
        <v>0</v>
      </c>
      <c r="C118" s="31">
        <v>0</v>
      </c>
      <c r="D118" s="158">
        <v>-0.87401099999999998</v>
      </c>
      <c r="E118" s="158">
        <v>2.83613E-4</v>
      </c>
      <c r="F118" s="31">
        <v>325.85700000000003</v>
      </c>
      <c r="G118" s="31">
        <v>-2072.42</v>
      </c>
      <c r="H118" s="309">
        <v>10.6732</v>
      </c>
      <c r="I118" s="397"/>
      <c r="J118" s="268"/>
      <c r="K118" s="435"/>
    </row>
    <row r="119" spans="1:11" s="16" customFormat="1" ht="12.75" customHeight="1">
      <c r="A119" s="53">
        <v>114</v>
      </c>
      <c r="B119" s="85">
        <v>0</v>
      </c>
      <c r="C119" s="31">
        <v>0</v>
      </c>
      <c r="D119" s="158">
        <v>-0.53861899999999996</v>
      </c>
      <c r="E119" s="158">
        <v>1.8090000000000001E-4</v>
      </c>
      <c r="F119" s="31">
        <v>288.08100000000002</v>
      </c>
      <c r="G119" s="31">
        <v>-1726.36</v>
      </c>
      <c r="H119" s="309">
        <v>8.0541</v>
      </c>
      <c r="I119" s="397"/>
      <c r="J119" s="268"/>
      <c r="K119" s="435"/>
    </row>
    <row r="120" spans="1:11" s="16" customFormat="1" ht="12.75" customHeight="1">
      <c r="A120" s="53">
        <v>115</v>
      </c>
      <c r="B120" s="85">
        <v>0</v>
      </c>
      <c r="C120" s="31">
        <v>0</v>
      </c>
      <c r="D120" s="158">
        <v>-0.742205</v>
      </c>
      <c r="E120" s="158">
        <v>1.5483200000000001E-4</v>
      </c>
      <c r="F120" s="31">
        <v>490.58600000000001</v>
      </c>
      <c r="G120" s="31">
        <v>-2985.81</v>
      </c>
      <c r="H120" s="309">
        <v>9.9739299999999993</v>
      </c>
      <c r="I120" s="397"/>
      <c r="J120" s="268"/>
      <c r="K120" s="435"/>
    </row>
    <row r="121" spans="1:11" s="16" customFormat="1" ht="12.75" customHeight="1">
      <c r="A121" s="53">
        <v>116</v>
      </c>
      <c r="B121" s="85">
        <v>0</v>
      </c>
      <c r="C121" s="31">
        <v>0</v>
      </c>
      <c r="D121" s="158">
        <v>-0.58722399999999997</v>
      </c>
      <c r="E121" s="158">
        <v>1.1181800000000001E-4</v>
      </c>
      <c r="F121" s="31">
        <v>581.33000000000004</v>
      </c>
      <c r="G121" s="31">
        <v>-3211.9</v>
      </c>
      <c r="H121" s="309">
        <v>8.80471</v>
      </c>
      <c r="I121" s="397"/>
      <c r="J121" s="268"/>
      <c r="K121" s="435"/>
    </row>
    <row r="122" spans="1:11" s="16" customFormat="1" ht="12.75" customHeight="1">
      <c r="A122" s="53">
        <v>117</v>
      </c>
      <c r="B122" s="85">
        <v>0</v>
      </c>
      <c r="C122" s="31">
        <v>0</v>
      </c>
      <c r="D122" s="158">
        <v>-0.91336099999999998</v>
      </c>
      <c r="E122" s="158">
        <v>1.05991E-4</v>
      </c>
      <c r="F122" s="31">
        <v>914.56700000000001</v>
      </c>
      <c r="G122" s="31">
        <v>-5900.93</v>
      </c>
      <c r="H122" s="309">
        <v>11.923999999999999</v>
      </c>
      <c r="I122" s="397"/>
      <c r="J122" s="268"/>
      <c r="K122" s="435"/>
    </row>
    <row r="123" spans="1:11" s="16" customFormat="1" ht="12.75" customHeight="1">
      <c r="A123" s="53">
        <v>118</v>
      </c>
      <c r="B123" s="85">
        <v>0</v>
      </c>
      <c r="C123" s="31">
        <v>0</v>
      </c>
      <c r="D123" s="158">
        <v>-0.13889199999999999</v>
      </c>
      <c r="E123" s="158">
        <v>4.7299200000000003E-5</v>
      </c>
      <c r="F123" s="31">
        <v>534.93700000000001</v>
      </c>
      <c r="G123" s="31">
        <v>-2373.62</v>
      </c>
      <c r="H123" s="309">
        <v>4.9458799999999998</v>
      </c>
      <c r="I123" s="397"/>
      <c r="J123" s="59"/>
      <c r="K123" s="435"/>
    </row>
    <row r="124" spans="1:11" s="16" customFormat="1" ht="12.75" customHeight="1">
      <c r="A124" s="53">
        <v>119</v>
      </c>
      <c r="B124" s="85">
        <v>0</v>
      </c>
      <c r="C124" s="31">
        <v>0</v>
      </c>
      <c r="D124" s="158">
        <v>-0.36322300000000002</v>
      </c>
      <c r="E124" s="158">
        <v>4.8785700000000003E-5</v>
      </c>
      <c r="F124" s="31">
        <v>1017.94</v>
      </c>
      <c r="G124" s="31">
        <v>-4520.5600000000004</v>
      </c>
      <c r="H124" s="309">
        <v>7.0965100000000003</v>
      </c>
      <c r="I124" s="397"/>
      <c r="J124" s="59"/>
      <c r="K124" s="435"/>
    </row>
    <row r="125" spans="1:11" s="16" customFormat="1" ht="12.75" customHeight="1">
      <c r="A125" s="53">
        <v>120</v>
      </c>
      <c r="B125" s="85">
        <v>0</v>
      </c>
      <c r="C125" s="31">
        <v>0</v>
      </c>
      <c r="D125" s="158">
        <v>-0.35302899999999998</v>
      </c>
      <c r="E125" s="158">
        <v>4.0706700000000001E-5</v>
      </c>
      <c r="F125" s="31">
        <v>1172.81</v>
      </c>
      <c r="G125" s="31">
        <v>-5237.66</v>
      </c>
      <c r="H125" s="309">
        <v>7.0592100000000002</v>
      </c>
      <c r="I125" s="397"/>
      <c r="J125" s="59"/>
      <c r="K125" s="435"/>
    </row>
    <row r="126" spans="1:11" s="16" customFormat="1" ht="12.75" customHeight="1">
      <c r="A126" s="53">
        <v>121</v>
      </c>
      <c r="B126" s="85">
        <v>0</v>
      </c>
      <c r="C126" s="31">
        <v>0</v>
      </c>
      <c r="D126" s="158">
        <v>-0.53105199999999997</v>
      </c>
      <c r="E126" s="158">
        <v>419401</v>
      </c>
      <c r="F126" s="31">
        <v>1404.04</v>
      </c>
      <c r="G126" s="31">
        <v>-7314.14</v>
      </c>
      <c r="H126" s="309">
        <v>8.7863500000000005</v>
      </c>
      <c r="I126" s="397"/>
      <c r="J126" s="59"/>
      <c r="K126" s="435"/>
    </row>
    <row r="127" spans="1:11" s="16" customFormat="1" ht="12.75" customHeight="1">
      <c r="A127" s="53">
        <v>122</v>
      </c>
      <c r="B127" s="85">
        <v>0</v>
      </c>
      <c r="C127" s="31">
        <v>0</v>
      </c>
      <c r="D127" s="158">
        <v>-0.52572600000000003</v>
      </c>
      <c r="E127" s="158">
        <v>3.7093900000000001E-5</v>
      </c>
      <c r="F127" s="31">
        <v>1626.72</v>
      </c>
      <c r="G127" s="31">
        <v>-8426.9500000000007</v>
      </c>
      <c r="H127" s="309">
        <v>8.8008699999999997</v>
      </c>
      <c r="I127" s="397"/>
      <c r="J127" s="59"/>
      <c r="K127" s="435"/>
    </row>
    <row r="128" spans="1:11" s="16" customFormat="1" ht="12.75" customHeight="1">
      <c r="A128" s="53">
        <v>123</v>
      </c>
      <c r="B128" s="85">
        <v>0</v>
      </c>
      <c r="C128" s="31">
        <v>0</v>
      </c>
      <c r="D128" s="158">
        <v>-0.13994300000000001</v>
      </c>
      <c r="E128" s="158">
        <v>2.2529100000000001E-5</v>
      </c>
      <c r="F128" s="31">
        <v>975.846</v>
      </c>
      <c r="G128" s="31">
        <v>-5145.1000000000004</v>
      </c>
      <c r="H128" s="309">
        <v>5.05891</v>
      </c>
      <c r="I128" s="397"/>
      <c r="J128" s="59"/>
      <c r="K128" s="435"/>
    </row>
    <row r="129" spans="1:11" s="16" customFormat="1" ht="12.75" customHeight="1">
      <c r="A129" s="53">
        <v>124</v>
      </c>
      <c r="B129" s="85">
        <v>0</v>
      </c>
      <c r="C129" s="31">
        <v>0</v>
      </c>
      <c r="D129" s="158">
        <v>-0.64734400000000003</v>
      </c>
      <c r="E129" s="158">
        <v>3.0679400000000003E-5</v>
      </c>
      <c r="F129" s="31">
        <v>2119.11</v>
      </c>
      <c r="G129" s="31">
        <v>-12829.8</v>
      </c>
      <c r="H129" s="309">
        <v>10.2049</v>
      </c>
      <c r="I129" s="397"/>
      <c r="J129" s="59"/>
      <c r="K129" s="435"/>
    </row>
    <row r="130" spans="1:11" s="16" customFormat="1" ht="12.75" customHeight="1">
      <c r="A130" s="53">
        <v>125</v>
      </c>
      <c r="B130" s="85">
        <v>0</v>
      </c>
      <c r="C130" s="31">
        <v>0</v>
      </c>
      <c r="D130" s="158">
        <v>-0.91197899999999998</v>
      </c>
      <c r="E130" s="158">
        <v>3.2684000000000001E-5</v>
      </c>
      <c r="F130" s="31">
        <v>2526.06</v>
      </c>
      <c r="G130" s="31">
        <v>-18106.599999999999</v>
      </c>
      <c r="H130" s="309">
        <v>12.9572</v>
      </c>
      <c r="I130" s="397"/>
      <c r="J130" s="59"/>
      <c r="K130" s="435"/>
    </row>
    <row r="131" spans="1:11" s="16" customFormat="1" ht="12.75" customHeight="1" thickBot="1">
      <c r="A131" s="83">
        <v>126</v>
      </c>
      <c r="B131" s="87">
        <v>0</v>
      </c>
      <c r="C131" s="319">
        <v>0</v>
      </c>
      <c r="D131" s="326">
        <v>-0.87729800000000002</v>
      </c>
      <c r="E131" s="326">
        <v>2.5329499999999999E-5</v>
      </c>
      <c r="F131" s="319">
        <v>2940.09</v>
      </c>
      <c r="G131" s="319">
        <v>-21619.8</v>
      </c>
      <c r="H131" s="320">
        <v>12.809200000000001</v>
      </c>
      <c r="I131" s="398"/>
      <c r="J131" s="48"/>
      <c r="K131" s="460"/>
    </row>
    <row r="132" spans="1:11" s="16" customFormat="1" ht="12.75" customHeight="1">
      <c r="A132" s="161">
        <v>127</v>
      </c>
      <c r="B132" s="60">
        <v>0</v>
      </c>
      <c r="C132" s="163">
        <v>0</v>
      </c>
      <c r="D132" s="166">
        <v>-0.126697</v>
      </c>
      <c r="E132" s="166">
        <v>1.2496199999999999E-3</v>
      </c>
      <c r="F132" s="163">
        <v>21.588699999999999</v>
      </c>
      <c r="G132" s="163">
        <v>-74.8215</v>
      </c>
      <c r="H132" s="308">
        <v>4.6688400000000003</v>
      </c>
      <c r="I132" s="418"/>
      <c r="J132" s="322"/>
      <c r="K132" s="457"/>
    </row>
    <row r="133" spans="1:11" s="16" customFormat="1" ht="12.75" customHeight="1">
      <c r="A133" s="53">
        <v>128</v>
      </c>
      <c r="B133" s="85">
        <v>0</v>
      </c>
      <c r="C133" s="31">
        <v>0</v>
      </c>
      <c r="D133" s="158">
        <v>-0.36000900000000002</v>
      </c>
      <c r="E133" s="158">
        <v>1.1162800000000001E-3</v>
      </c>
      <c r="F133" s="31">
        <v>40.454999999999998</v>
      </c>
      <c r="G133" s="31">
        <v>-171.26</v>
      </c>
      <c r="H133" s="309">
        <v>6.1476100000000002</v>
      </c>
      <c r="I133" s="397"/>
      <c r="J133" s="268"/>
      <c r="K133" s="435"/>
    </row>
    <row r="134" spans="1:11" s="16" customFormat="1" ht="12.75" customHeight="1">
      <c r="A134" s="53">
        <v>129</v>
      </c>
      <c r="B134" s="85">
        <v>0</v>
      </c>
      <c r="C134" s="31">
        <v>0</v>
      </c>
      <c r="D134" s="158">
        <v>-0.105778</v>
      </c>
      <c r="E134" s="158">
        <v>4.7835999999999999E-4</v>
      </c>
      <c r="F134" s="31">
        <v>50.471699999999998</v>
      </c>
      <c r="G134" s="31">
        <v>-179.29</v>
      </c>
      <c r="H134" s="309">
        <v>4.6470399999999996</v>
      </c>
      <c r="I134" s="397"/>
      <c r="J134" s="268"/>
      <c r="K134" s="435"/>
    </row>
    <row r="135" spans="1:11" s="16" customFormat="1" ht="12.75" customHeight="1">
      <c r="A135" s="53">
        <v>130</v>
      </c>
      <c r="B135" s="85">
        <v>0</v>
      </c>
      <c r="C135" s="31">
        <v>0</v>
      </c>
      <c r="D135" s="158">
        <v>-0.188884</v>
      </c>
      <c r="E135" s="158">
        <v>3.1527200000000001E-4</v>
      </c>
      <c r="F135" s="31">
        <v>87.281999999999996</v>
      </c>
      <c r="G135" s="31">
        <v>-375.87400000000002</v>
      </c>
      <c r="H135" s="309">
        <v>5.2906599999999999</v>
      </c>
      <c r="I135" s="397"/>
      <c r="J135" s="268"/>
      <c r="K135" s="435"/>
    </row>
    <row r="136" spans="1:11" s="16" customFormat="1" ht="12.75" customHeight="1">
      <c r="A136" s="53">
        <v>131</v>
      </c>
      <c r="B136" s="85">
        <v>0</v>
      </c>
      <c r="C136" s="31">
        <v>0</v>
      </c>
      <c r="D136" s="158">
        <v>-9.7748500000000002E-2</v>
      </c>
      <c r="E136" s="158">
        <v>1.83251E-4</v>
      </c>
      <c r="F136" s="31">
        <v>128.02600000000001</v>
      </c>
      <c r="G136" s="31">
        <v>-464.81900000000002</v>
      </c>
      <c r="H136" s="309">
        <v>4.6884199999999998</v>
      </c>
      <c r="I136" s="397"/>
      <c r="J136" s="268"/>
      <c r="K136" s="435"/>
    </row>
    <row r="137" spans="1:11" s="16" customFormat="1" ht="12.75" customHeight="1">
      <c r="A137" s="53">
        <v>132</v>
      </c>
      <c r="B137" s="85">
        <v>0</v>
      </c>
      <c r="C137" s="31">
        <v>0</v>
      </c>
      <c r="D137" s="158">
        <v>8.7023799999999998E-2</v>
      </c>
      <c r="E137" s="158">
        <v>8.9809999999999996E-5</v>
      </c>
      <c r="F137" s="31">
        <v>143.233</v>
      </c>
      <c r="G137" s="31">
        <v>-381.52600000000001</v>
      </c>
      <c r="H137" s="309">
        <v>3.2871999999999999</v>
      </c>
      <c r="I137" s="397"/>
      <c r="J137" s="268"/>
      <c r="K137" s="435"/>
    </row>
    <row r="138" spans="1:11" s="16" customFormat="1" ht="12.75" customHeight="1">
      <c r="A138" s="53">
        <v>133</v>
      </c>
      <c r="B138" s="85">
        <v>0</v>
      </c>
      <c r="C138" s="31">
        <v>0</v>
      </c>
      <c r="D138" s="158">
        <v>0.300591</v>
      </c>
      <c r="E138" s="158">
        <v>3.3809600000000002E-5</v>
      </c>
      <c r="F138" s="31">
        <v>25.935700000000001</v>
      </c>
      <c r="G138" s="31">
        <v>-166.423</v>
      </c>
      <c r="H138" s="309">
        <v>1.5545599999999999</v>
      </c>
      <c r="I138" s="397"/>
      <c r="J138" s="268"/>
      <c r="K138" s="435"/>
    </row>
    <row r="139" spans="1:11" s="16" customFormat="1" ht="12.75" customHeight="1">
      <c r="A139" s="53">
        <v>134</v>
      </c>
      <c r="B139" s="85">
        <v>0</v>
      </c>
      <c r="C139" s="31">
        <v>0</v>
      </c>
      <c r="D139" s="158">
        <v>2.90323E-2</v>
      </c>
      <c r="E139" s="158">
        <v>6.2666299999999993E-5</v>
      </c>
      <c r="F139" s="31">
        <v>232.53399999999999</v>
      </c>
      <c r="G139" s="31">
        <v>-712.22500000000002</v>
      </c>
      <c r="H139" s="309">
        <v>3.7042199999999998</v>
      </c>
      <c r="I139" s="397"/>
      <c r="J139" s="268"/>
      <c r="K139" s="435"/>
    </row>
    <row r="140" spans="1:11" s="16" customFormat="1" ht="12.75" customHeight="1">
      <c r="A140" s="53">
        <v>135</v>
      </c>
      <c r="B140" s="85">
        <v>0</v>
      </c>
      <c r="C140" s="31">
        <v>0</v>
      </c>
      <c r="D140" s="158">
        <v>-2.0975899999999999E-3</v>
      </c>
      <c r="E140" s="158">
        <v>5.3431599999999998E-5</v>
      </c>
      <c r="F140" s="31">
        <v>300.68099999999998</v>
      </c>
      <c r="G140" s="31">
        <v>-939.76700000000005</v>
      </c>
      <c r="H140" s="309">
        <v>3.9643799999999998</v>
      </c>
      <c r="I140" s="397"/>
      <c r="J140" s="268"/>
      <c r="K140" s="435"/>
    </row>
    <row r="141" spans="1:11" s="16" customFormat="1" ht="12.75" customHeight="1">
      <c r="A141" s="53">
        <v>136</v>
      </c>
      <c r="B141" s="85">
        <v>0</v>
      </c>
      <c r="C141" s="31">
        <v>0</v>
      </c>
      <c r="D141" s="158">
        <v>-1.8262400000000002E-2</v>
      </c>
      <c r="E141" s="158">
        <v>4.3697399999999999E-5</v>
      </c>
      <c r="F141" s="31">
        <v>431.101</v>
      </c>
      <c r="G141" s="31">
        <v>-1338.07</v>
      </c>
      <c r="H141" s="309">
        <v>4.12188</v>
      </c>
      <c r="I141" s="397"/>
      <c r="J141" s="59"/>
      <c r="K141" s="435"/>
    </row>
    <row r="142" spans="1:11" s="16" customFormat="1" ht="12.75" customHeight="1">
      <c r="A142" s="53">
        <v>137</v>
      </c>
      <c r="B142" s="85">
        <v>0</v>
      </c>
      <c r="C142" s="31">
        <v>0</v>
      </c>
      <c r="D142" s="158">
        <v>0.120613</v>
      </c>
      <c r="E142" s="158">
        <v>2.6582200000000001E-5</v>
      </c>
      <c r="F142" s="31">
        <v>354.31799999999998</v>
      </c>
      <c r="G142" s="31">
        <v>-1031</v>
      </c>
      <c r="H142" s="309">
        <v>2.89161</v>
      </c>
      <c r="I142" s="397"/>
      <c r="J142" s="59"/>
      <c r="K142" s="435"/>
    </row>
    <row r="143" spans="1:11" s="16" customFormat="1" ht="12.75" customHeight="1">
      <c r="A143" s="53">
        <v>138</v>
      </c>
      <c r="B143" s="85">
        <v>0</v>
      </c>
      <c r="C143" s="31">
        <v>0</v>
      </c>
      <c r="D143" s="158">
        <v>8.3155800000000002E-2</v>
      </c>
      <c r="E143" s="158">
        <v>2.4915499999999999E-5</v>
      </c>
      <c r="F143" s="31">
        <v>423.13600000000002</v>
      </c>
      <c r="G143" s="31">
        <v>-1280.8</v>
      </c>
      <c r="H143" s="309">
        <v>3.1935199999999999</v>
      </c>
      <c r="I143" s="397"/>
      <c r="J143" s="59"/>
      <c r="K143" s="435"/>
    </row>
    <row r="144" spans="1:11" s="16" customFormat="1" ht="12.75" customHeight="1">
      <c r="A144" s="53">
        <v>139</v>
      </c>
      <c r="B144" s="85">
        <v>0</v>
      </c>
      <c r="C144" s="31">
        <v>0</v>
      </c>
      <c r="D144" s="158">
        <v>0.14846000000000001</v>
      </c>
      <c r="E144" s="158">
        <v>1.7916099999999999E-5</v>
      </c>
      <c r="F144" s="31">
        <v>410.108</v>
      </c>
      <c r="G144" s="31">
        <v>-1175.6500000000001</v>
      </c>
      <c r="H144" s="309">
        <v>2.59361</v>
      </c>
      <c r="I144" s="397"/>
      <c r="J144" s="59"/>
      <c r="K144" s="435"/>
    </row>
    <row r="145" spans="1:11" s="16" customFormat="1" ht="12.75" customHeight="1">
      <c r="A145" s="53">
        <v>140</v>
      </c>
      <c r="B145" s="85">
        <v>0</v>
      </c>
      <c r="C145" s="31">
        <v>0</v>
      </c>
      <c r="D145" s="158">
        <v>0.194489</v>
      </c>
      <c r="E145" s="158">
        <v>1.34502E-5</v>
      </c>
      <c r="F145" s="31">
        <v>265.84800000000001</v>
      </c>
      <c r="G145" s="31">
        <v>-994.25199999999995</v>
      </c>
      <c r="H145" s="309">
        <v>2.1327199999999999</v>
      </c>
      <c r="I145" s="397"/>
      <c r="J145" s="59"/>
      <c r="K145" s="435"/>
    </row>
    <row r="146" spans="1:11" s="16" customFormat="1" ht="12.75" customHeight="1">
      <c r="A146" s="53">
        <v>141</v>
      </c>
      <c r="B146" s="85">
        <v>0</v>
      </c>
      <c r="C146" s="31">
        <v>0</v>
      </c>
      <c r="D146" s="158">
        <v>0.21623200000000001</v>
      </c>
      <c r="E146" s="158">
        <v>1.09887E-5</v>
      </c>
      <c r="F146" s="31">
        <v>279.036</v>
      </c>
      <c r="G146" s="31">
        <v>-940.05200000000002</v>
      </c>
      <c r="H146" s="309">
        <v>1.9061399999999999</v>
      </c>
      <c r="I146" s="397"/>
      <c r="J146" s="59"/>
      <c r="K146" s="435"/>
    </row>
    <row r="147" spans="1:11" s="16" customFormat="1" ht="12.75" customHeight="1">
      <c r="A147" s="53">
        <v>142</v>
      </c>
      <c r="B147" s="85">
        <v>0</v>
      </c>
      <c r="C147" s="31">
        <v>0</v>
      </c>
      <c r="D147" s="158">
        <v>0.30004599999999998</v>
      </c>
      <c r="E147" s="158">
        <v>6.4765499999999998E-6</v>
      </c>
      <c r="F147" s="31">
        <v>-50.372199999999999</v>
      </c>
      <c r="G147" s="31">
        <v>-599.15499999999997</v>
      </c>
      <c r="H147" s="309">
        <v>1.09755</v>
      </c>
      <c r="I147" s="397"/>
      <c r="J147" s="59"/>
      <c r="K147" s="435"/>
    </row>
    <row r="148" spans="1:11" s="16" customFormat="1" ht="12.75" customHeight="1">
      <c r="A148" s="53">
        <v>143</v>
      </c>
      <c r="B148" s="85">
        <v>0</v>
      </c>
      <c r="C148" s="31">
        <v>0</v>
      </c>
      <c r="D148" s="158">
        <v>0.187469</v>
      </c>
      <c r="E148" s="158">
        <v>9.4208499999999998E-6</v>
      </c>
      <c r="F148" s="31">
        <v>474.31700000000001</v>
      </c>
      <c r="G148" s="31">
        <v>-1362.67</v>
      </c>
      <c r="H148" s="309">
        <v>2.12826</v>
      </c>
      <c r="I148" s="397"/>
      <c r="J148" s="59"/>
      <c r="K148" s="435"/>
    </row>
    <row r="149" spans="1:11" s="16" customFormat="1" ht="12.75" customHeight="1">
      <c r="A149" s="53">
        <v>144</v>
      </c>
      <c r="B149" s="85">
        <v>0</v>
      </c>
      <c r="C149" s="31">
        <v>0</v>
      </c>
      <c r="D149" s="158">
        <v>8.8884500000000005E-2</v>
      </c>
      <c r="E149" s="158">
        <v>1.44673E-5</v>
      </c>
      <c r="F149" s="31">
        <v>331.50099999999998</v>
      </c>
      <c r="G149" s="31">
        <v>-1908.03</v>
      </c>
      <c r="H149" s="309">
        <v>2.9837799999999999</v>
      </c>
      <c r="I149" s="397"/>
      <c r="J149" s="59"/>
      <c r="K149" s="435"/>
    </row>
    <row r="150" spans="1:11" s="16" customFormat="1" ht="12.75" customHeight="1">
      <c r="A150" s="53">
        <v>145</v>
      </c>
      <c r="B150" s="85">
        <v>0</v>
      </c>
      <c r="C150" s="31">
        <v>0</v>
      </c>
      <c r="D150" s="158">
        <v>0.12609300000000001</v>
      </c>
      <c r="E150" s="158">
        <v>8.4239299999999995E-6</v>
      </c>
      <c r="F150" s="31">
        <v>319.05599999999998</v>
      </c>
      <c r="G150" s="31">
        <v>-2140.38</v>
      </c>
      <c r="H150" s="309">
        <v>2.6043799999999999</v>
      </c>
      <c r="I150" s="397"/>
      <c r="J150" s="59"/>
      <c r="K150" s="435"/>
    </row>
    <row r="151" spans="1:11" s="16" customFormat="1" ht="12.75" customHeight="1">
      <c r="A151" s="53">
        <v>146</v>
      </c>
      <c r="B151" s="85">
        <v>0</v>
      </c>
      <c r="C151" s="31">
        <v>0</v>
      </c>
      <c r="D151" s="158">
        <v>2.4692499999999999E-2</v>
      </c>
      <c r="E151" s="158">
        <v>8.60987E-6</v>
      </c>
      <c r="F151" s="31">
        <v>629.38400000000001</v>
      </c>
      <c r="G151" s="31">
        <v>-3627.51</v>
      </c>
      <c r="H151" s="309">
        <v>3.6142400000000001</v>
      </c>
      <c r="I151" s="397"/>
      <c r="J151" s="59"/>
      <c r="K151" s="435"/>
    </row>
    <row r="152" spans="1:11" s="16" customFormat="1" ht="12.75" customHeight="1">
      <c r="A152" s="53">
        <v>147</v>
      </c>
      <c r="B152" s="85">
        <v>0</v>
      </c>
      <c r="C152" s="31">
        <v>0</v>
      </c>
      <c r="D152" s="158">
        <v>1.28258E-2</v>
      </c>
      <c r="E152" s="158">
        <v>7.4593800000000004E-6</v>
      </c>
      <c r="F152" s="31">
        <v>772.64099999999996</v>
      </c>
      <c r="G152" s="31">
        <v>-4599.1099999999997</v>
      </c>
      <c r="H152" s="309">
        <v>3.7363499999999998</v>
      </c>
      <c r="I152" s="397"/>
      <c r="J152" s="59"/>
      <c r="K152" s="435"/>
    </row>
    <row r="153" spans="1:11" s="16" customFormat="1" ht="12.75" customHeight="1">
      <c r="A153" s="53">
        <v>148</v>
      </c>
      <c r="B153" s="85">
        <v>0</v>
      </c>
      <c r="C153" s="31">
        <v>0</v>
      </c>
      <c r="D153" s="158">
        <v>9.4286400000000006E-2</v>
      </c>
      <c r="E153" s="158">
        <v>5.6637300000000001E-6</v>
      </c>
      <c r="F153" s="31">
        <v>415.33800000000002</v>
      </c>
      <c r="G153" s="31">
        <v>-3863.93</v>
      </c>
      <c r="H153" s="309">
        <v>2.90124</v>
      </c>
      <c r="I153" s="397"/>
      <c r="J153" s="59"/>
      <c r="K153" s="435"/>
    </row>
    <row r="154" spans="1:11" s="16" customFormat="1" ht="12.75" customHeight="1" thickBot="1">
      <c r="A154" s="162">
        <v>149</v>
      </c>
      <c r="B154" s="92">
        <v>0</v>
      </c>
      <c r="C154" s="164">
        <v>0</v>
      </c>
      <c r="D154" s="167">
        <v>-1.7878999999999999E-2</v>
      </c>
      <c r="E154" s="167">
        <v>5.77234E-6</v>
      </c>
      <c r="F154" s="164">
        <v>864.41</v>
      </c>
      <c r="G154" s="164">
        <v>-6428.82</v>
      </c>
      <c r="H154" s="310">
        <v>4.0649100000000002</v>
      </c>
      <c r="I154" s="449"/>
      <c r="J154" s="93"/>
      <c r="K154" s="458"/>
    </row>
    <row r="155" spans="1:11" s="16" customFormat="1" ht="12.75" customHeight="1">
      <c r="A155" s="165">
        <v>150</v>
      </c>
      <c r="B155" s="102">
        <v>0</v>
      </c>
      <c r="C155" s="316">
        <v>0</v>
      </c>
      <c r="D155" s="316">
        <v>0</v>
      </c>
      <c r="E155" s="316">
        <v>25.446300000000001</v>
      </c>
      <c r="F155" s="316">
        <v>18.172799999999999</v>
      </c>
      <c r="G155" s="316">
        <v>-1.0138100000000001E-2</v>
      </c>
      <c r="H155" s="317">
        <v>73.401700000000005</v>
      </c>
      <c r="I155" s="388"/>
      <c r="J155" s="455"/>
      <c r="K155" s="329"/>
    </row>
    <row r="156" spans="1:11" s="16" customFormat="1" ht="12.75" customHeight="1">
      <c r="A156" s="53">
        <v>151</v>
      </c>
      <c r="B156" s="85">
        <v>0</v>
      </c>
      <c r="C156" s="31">
        <v>0</v>
      </c>
      <c r="D156" s="31">
        <v>0</v>
      </c>
      <c r="E156" s="31">
        <v>10.651300000000001</v>
      </c>
      <c r="F156" s="31">
        <v>18.113900000000001</v>
      </c>
      <c r="G156" s="31">
        <v>-4.8633599999999999E-2</v>
      </c>
      <c r="H156" s="309">
        <v>57.561900000000001</v>
      </c>
      <c r="I156" s="397"/>
      <c r="J156" s="434"/>
      <c r="K156" s="330"/>
    </row>
    <row r="157" spans="1:11" s="16" customFormat="1" ht="12.75" customHeight="1">
      <c r="A157" s="53">
        <v>152</v>
      </c>
      <c r="B157" s="85">
        <v>0</v>
      </c>
      <c r="C157" s="31">
        <v>0</v>
      </c>
      <c r="D157" s="31">
        <v>0</v>
      </c>
      <c r="E157" s="31">
        <v>6.8133499999999998</v>
      </c>
      <c r="F157" s="31">
        <v>17.596299999999999</v>
      </c>
      <c r="G157" s="31">
        <v>-0.113527</v>
      </c>
      <c r="H157" s="309">
        <v>47.921300000000002</v>
      </c>
      <c r="I157" s="397"/>
      <c r="J157" s="434"/>
      <c r="K157" s="330"/>
    </row>
    <row r="158" spans="1:11" s="16" customFormat="1" ht="12.75" customHeight="1">
      <c r="A158" s="53">
        <v>153</v>
      </c>
      <c r="B158" s="85">
        <v>0</v>
      </c>
      <c r="C158" s="31">
        <v>0</v>
      </c>
      <c r="D158" s="31">
        <v>0</v>
      </c>
      <c r="E158" s="31">
        <v>3.3988900000000002</v>
      </c>
      <c r="F158" s="31">
        <v>17.432600000000001</v>
      </c>
      <c r="G158" s="31">
        <v>-0.147559</v>
      </c>
      <c r="H158" s="309">
        <v>36.007100000000001</v>
      </c>
      <c r="I158" s="397"/>
      <c r="J158" s="434"/>
      <c r="K158" s="330"/>
    </row>
    <row r="159" spans="1:11" s="16" customFormat="1" ht="12.75" customHeight="1">
      <c r="A159" s="53">
        <v>154</v>
      </c>
      <c r="B159" s="85">
        <v>0</v>
      </c>
      <c r="C159" s="31">
        <v>0</v>
      </c>
      <c r="D159" s="31">
        <v>0</v>
      </c>
      <c r="E159" s="31">
        <v>2.2799800000000001</v>
      </c>
      <c r="F159" s="31">
        <v>17.159199999999998</v>
      </c>
      <c r="G159" s="31">
        <v>-0.231072</v>
      </c>
      <c r="H159" s="309">
        <v>24.7042</v>
      </c>
      <c r="I159" s="397"/>
      <c r="J159" s="434"/>
      <c r="K159" s="330"/>
    </row>
    <row r="160" spans="1:11" s="16" customFormat="1" ht="12.75" customHeight="1">
      <c r="A160" s="53">
        <v>155</v>
      </c>
      <c r="B160" s="85">
        <v>0</v>
      </c>
      <c r="C160" s="31">
        <v>0</v>
      </c>
      <c r="D160" s="31">
        <v>0</v>
      </c>
      <c r="E160" s="31">
        <v>1.5066900000000001</v>
      </c>
      <c r="F160" s="31">
        <v>11.168699999999999</v>
      </c>
      <c r="G160" s="31">
        <v>-5.62188</v>
      </c>
      <c r="H160" s="309">
        <v>16.1785</v>
      </c>
      <c r="I160" s="397"/>
      <c r="J160" s="434"/>
      <c r="K160" s="330"/>
    </row>
    <row r="161" spans="1:11" s="16" customFormat="1" ht="12.75" customHeight="1">
      <c r="A161" s="53">
        <v>156</v>
      </c>
      <c r="B161" s="85">
        <v>0</v>
      </c>
      <c r="C161" s="31">
        <v>0</v>
      </c>
      <c r="D161" s="31">
        <v>0.347551</v>
      </c>
      <c r="E161" s="31">
        <v>4.01871E-3</v>
      </c>
      <c r="F161" s="31">
        <v>-0.56533699999999998</v>
      </c>
      <c r="G161" s="31">
        <v>-0.90817800000000004</v>
      </c>
      <c r="H161" s="309">
        <v>3.0598800000000002</v>
      </c>
      <c r="I161" s="397"/>
      <c r="J161" s="434"/>
      <c r="K161" s="330"/>
    </row>
    <row r="162" spans="1:11" s="16" customFormat="1" ht="12.75" customHeight="1">
      <c r="A162" s="53">
        <v>157</v>
      </c>
      <c r="B162" s="85">
        <v>0</v>
      </c>
      <c r="C162" s="31">
        <v>0</v>
      </c>
      <c r="D162" s="31">
        <v>0.30148599999999998</v>
      </c>
      <c r="E162" s="31">
        <v>6.3803100000000001E-3</v>
      </c>
      <c r="F162" s="31">
        <v>-0.82667999999999997</v>
      </c>
      <c r="G162" s="31">
        <v>-1.3073900000000001</v>
      </c>
      <c r="H162" s="309">
        <v>2.8414199999999998</v>
      </c>
      <c r="I162" s="397"/>
      <c r="J162" s="434"/>
      <c r="K162" s="330"/>
    </row>
    <row r="163" spans="1:11" s="16" customFormat="1" ht="12.75" customHeight="1" thickBot="1">
      <c r="A163" s="83">
        <v>158</v>
      </c>
      <c r="B163" s="87">
        <v>0</v>
      </c>
      <c r="C163" s="319">
        <v>0</v>
      </c>
      <c r="D163" s="319">
        <v>-0.131103</v>
      </c>
      <c r="E163" s="319">
        <v>1.11383E-2</v>
      </c>
      <c r="F163" s="319">
        <v>0</v>
      </c>
      <c r="G163" s="319">
        <v>-6.1218500000000002</v>
      </c>
      <c r="H163" s="320">
        <v>4.1559799999999996</v>
      </c>
      <c r="I163" s="398"/>
      <c r="J163" s="456"/>
      <c r="K163" s="331"/>
    </row>
    <row r="164" spans="1:11" s="16" customFormat="1" ht="12.75" customHeight="1">
      <c r="A164" s="161">
        <v>159</v>
      </c>
      <c r="B164" s="60">
        <v>0</v>
      </c>
      <c r="C164" s="166">
        <v>7.6439999999999997E-10</v>
      </c>
      <c r="D164" s="166">
        <v>-5.6430000000000004E-7</v>
      </c>
      <c r="E164" s="166">
        <v>1.5699999999999999E-4</v>
      </c>
      <c r="F164" s="166">
        <v>-2.0590000000000001E-2</v>
      </c>
      <c r="G164" s="163">
        <v>1.506</v>
      </c>
      <c r="H164" s="308">
        <v>0.77729999999999999</v>
      </c>
      <c r="I164" s="418"/>
      <c r="J164" s="322"/>
      <c r="K164" s="457"/>
    </row>
    <row r="165" spans="1:11" s="16" customFormat="1" ht="12.75" customHeight="1">
      <c r="A165" s="53">
        <v>160</v>
      </c>
      <c r="B165" s="85">
        <v>0</v>
      </c>
      <c r="C165" s="158">
        <v>3.3220000000000003E-11</v>
      </c>
      <c r="D165" s="158">
        <v>-4.4549999999999999E-8</v>
      </c>
      <c r="E165" s="158">
        <v>2.2730000000000001E-5</v>
      </c>
      <c r="F165" s="158">
        <v>-5.5570000000000003E-3</v>
      </c>
      <c r="G165" s="31">
        <v>0.78590000000000004</v>
      </c>
      <c r="H165" s="309">
        <v>0.5988</v>
      </c>
      <c r="I165" s="397"/>
      <c r="J165" s="268"/>
      <c r="K165" s="435"/>
    </row>
    <row r="166" spans="1:11" s="16" customFormat="1" ht="12.75" customHeight="1">
      <c r="A166" s="53">
        <v>161</v>
      </c>
      <c r="B166" s="85">
        <v>0</v>
      </c>
      <c r="C166" s="158">
        <v>2.4270000000000001E-12</v>
      </c>
      <c r="D166" s="158">
        <v>-5.7589999999999997E-9</v>
      </c>
      <c r="E166" s="158">
        <v>5.1819999999999997E-6</v>
      </c>
      <c r="F166" s="158">
        <v>-2.1919999999999999E-3</v>
      </c>
      <c r="G166" s="31">
        <v>0.5091</v>
      </c>
      <c r="H166" s="309">
        <v>0.2384</v>
      </c>
      <c r="I166" s="397"/>
      <c r="J166" s="268"/>
      <c r="K166" s="435"/>
    </row>
    <row r="167" spans="1:11" s="16" customFormat="1" ht="12.75" customHeight="1">
      <c r="A167" s="53">
        <v>162</v>
      </c>
      <c r="B167" s="85">
        <v>0</v>
      </c>
      <c r="C167" s="158">
        <v>1.471E-13</v>
      </c>
      <c r="D167" s="158">
        <v>-5.68E-10</v>
      </c>
      <c r="E167" s="158">
        <v>-8.5010000000000002E-7</v>
      </c>
      <c r="F167" s="158">
        <v>-6.1850000000000002E-4</v>
      </c>
      <c r="G167" s="31">
        <v>0.26379999999999998</v>
      </c>
      <c r="H167" s="309">
        <v>0.64880000000000004</v>
      </c>
      <c r="I167" s="397"/>
      <c r="J167" s="268"/>
      <c r="K167" s="435"/>
    </row>
    <row r="168" spans="1:11" s="16" customFormat="1" ht="12.75" customHeight="1">
      <c r="A168" s="53">
        <v>163</v>
      </c>
      <c r="B168" s="85">
        <v>0</v>
      </c>
      <c r="C168" s="158">
        <v>2.08E-14</v>
      </c>
      <c r="D168" s="158">
        <v>-1.296E-10</v>
      </c>
      <c r="E168" s="158">
        <v>2.995E-7</v>
      </c>
      <c r="F168" s="158">
        <v>-3.1980000000000002E-4</v>
      </c>
      <c r="G168" s="31">
        <v>0.18640000000000001</v>
      </c>
      <c r="H168" s="309">
        <v>-0.1507</v>
      </c>
      <c r="I168" s="397"/>
      <c r="J168" s="268"/>
      <c r="K168" s="435"/>
    </row>
    <row r="169" spans="1:11" s="16" customFormat="1" ht="12.75" customHeight="1">
      <c r="A169" s="53">
        <v>164</v>
      </c>
      <c r="B169" s="85">
        <v>0</v>
      </c>
      <c r="C169" s="158">
        <v>1.746E-15</v>
      </c>
      <c r="D169" s="158">
        <v>-1.7610000000000001E-11</v>
      </c>
      <c r="E169" s="158">
        <v>6.6180000000000001E-8</v>
      </c>
      <c r="F169" s="158">
        <v>-1.156E-4</v>
      </c>
      <c r="G169" s="31">
        <v>0.1119</v>
      </c>
      <c r="H169" s="309">
        <v>0.15579999999999999</v>
      </c>
      <c r="I169" s="397"/>
      <c r="J169" s="268"/>
      <c r="K169" s="435"/>
    </row>
    <row r="170" spans="1:11" s="16" customFormat="1" ht="12.75" customHeight="1">
      <c r="A170" s="53">
        <v>165</v>
      </c>
      <c r="B170" s="85">
        <v>0</v>
      </c>
      <c r="C170" s="158">
        <v>2.122E-16</v>
      </c>
      <c r="D170" s="158">
        <v>-3.1090000000000002E-12</v>
      </c>
      <c r="E170" s="158">
        <v>1.7409999999999998E-8</v>
      </c>
      <c r="F170" s="158">
        <v>-4.6839999999999999E-5</v>
      </c>
      <c r="G170" s="31">
        <v>7.2959999999999997E-2</v>
      </c>
      <c r="H170" s="309">
        <v>0.25090000000000001</v>
      </c>
      <c r="I170" s="397"/>
      <c r="J170" s="268"/>
      <c r="K170" s="435"/>
    </row>
    <row r="171" spans="1:11" s="16" customFormat="1" ht="12.75" customHeight="1">
      <c r="A171" s="53">
        <v>166</v>
      </c>
      <c r="B171" s="85">
        <v>0</v>
      </c>
      <c r="C171" s="158">
        <v>4.9115800000000002E-17</v>
      </c>
      <c r="D171" s="158">
        <v>-9.6427599999999992E-13</v>
      </c>
      <c r="E171" s="158">
        <v>7.2357599999999998E-9</v>
      </c>
      <c r="F171" s="158">
        <v>-2.6086000000000001E-5</v>
      </c>
      <c r="G171" s="158">
        <v>5.4447760999999997E-2</v>
      </c>
      <c r="H171" s="309">
        <v>0.25090000000000001</v>
      </c>
      <c r="I171" s="397"/>
      <c r="J171" s="268"/>
      <c r="K171" s="435"/>
    </row>
    <row r="172" spans="1:11" s="16" customFormat="1" ht="12.75" customHeight="1">
      <c r="A172" s="53">
        <v>167</v>
      </c>
      <c r="B172" s="85">
        <v>0</v>
      </c>
      <c r="C172" s="158">
        <v>1.33045E-17</v>
      </c>
      <c r="D172" s="158">
        <v>-3.3917500000000002E-13</v>
      </c>
      <c r="E172" s="158">
        <v>3.3048399999999999E-9</v>
      </c>
      <c r="F172" s="158">
        <v>-1.5471000000000001E-5</v>
      </c>
      <c r="G172" s="158">
        <v>4.1931033999999999E-2</v>
      </c>
      <c r="H172" s="309">
        <v>0.25090000000000001</v>
      </c>
      <c r="I172" s="397"/>
      <c r="J172" s="268"/>
      <c r="K172" s="435"/>
    </row>
    <row r="173" spans="1:11" s="16" customFormat="1" ht="12.75" customHeight="1">
      <c r="A173" s="53">
        <v>168</v>
      </c>
      <c r="B173" s="85">
        <v>0</v>
      </c>
      <c r="C173" s="158">
        <v>4.1174800000000004E-18</v>
      </c>
      <c r="D173" s="158">
        <v>-1.32718E-13</v>
      </c>
      <c r="E173" s="158">
        <v>1.6350500000000001E-9</v>
      </c>
      <c r="F173" s="158">
        <v>-9.6776899999999998E-6</v>
      </c>
      <c r="G173" s="158">
        <v>3.3163636000000003E-2</v>
      </c>
      <c r="H173" s="309">
        <v>0.25090000000000001</v>
      </c>
      <c r="I173" s="397"/>
      <c r="J173" s="268"/>
      <c r="K173" s="435"/>
    </row>
    <row r="174" spans="1:11" s="16" customFormat="1" ht="12.75" customHeight="1">
      <c r="A174" s="53">
        <v>169</v>
      </c>
      <c r="B174" s="85">
        <v>0</v>
      </c>
      <c r="C174" s="158">
        <v>1.0709800000000001E-18</v>
      </c>
      <c r="D174" s="158">
        <v>-4.5190900000000003E-14</v>
      </c>
      <c r="E174" s="158">
        <v>7.2882199999999999E-10</v>
      </c>
      <c r="F174" s="158">
        <v>-5.6471800000000002E-6</v>
      </c>
      <c r="G174" s="158">
        <v>2.5333333E-2</v>
      </c>
      <c r="H174" s="309">
        <v>0.25090000000000001</v>
      </c>
      <c r="I174" s="397"/>
      <c r="J174" s="268"/>
      <c r="K174" s="435"/>
    </row>
    <row r="175" spans="1:11" s="16" customFormat="1" ht="12.75" customHeight="1" thickBot="1">
      <c r="A175" s="162">
        <v>170</v>
      </c>
      <c r="B175" s="92">
        <v>0</v>
      </c>
      <c r="C175" s="167">
        <v>1.62367E-19</v>
      </c>
      <c r="D175" s="167">
        <v>-9.9913400000000004E-15</v>
      </c>
      <c r="E175" s="167">
        <v>2.3499099999999999E-10</v>
      </c>
      <c r="F175" s="167">
        <v>-2.6553300000000002E-6</v>
      </c>
      <c r="G175" s="167">
        <v>1.7371429000000001E-2</v>
      </c>
      <c r="H175" s="310">
        <v>0.25090000000000001</v>
      </c>
      <c r="I175" s="449"/>
      <c r="J175" s="93"/>
      <c r="K175" s="458"/>
    </row>
    <row r="176" spans="1:11" s="16" customFormat="1" ht="12.75" customHeight="1">
      <c r="A176" s="120">
        <v>171</v>
      </c>
      <c r="B176" s="102">
        <v>0</v>
      </c>
      <c r="C176" s="95">
        <v>3.259E-9</v>
      </c>
      <c r="D176" s="95">
        <v>-1.6300000000000001E-6</v>
      </c>
      <c r="E176" s="95">
        <v>3.1300000000000002E-4</v>
      </c>
      <c r="F176" s="95">
        <v>-2.9080000000000002E-2</v>
      </c>
      <c r="G176" s="95">
        <v>1.6519999999999999</v>
      </c>
      <c r="H176" s="286">
        <v>3.3230000000000003E-2</v>
      </c>
      <c r="I176" s="450"/>
      <c r="J176" s="321"/>
      <c r="K176" s="459"/>
    </row>
    <row r="177" spans="1:11" s="16" customFormat="1" ht="12.75" customHeight="1">
      <c r="A177" s="117">
        <v>172</v>
      </c>
      <c r="B177" s="85">
        <v>0</v>
      </c>
      <c r="C177" s="59">
        <v>1.2999999999999999E-10</v>
      </c>
      <c r="D177" s="59">
        <v>-1.164E-7</v>
      </c>
      <c r="E177" s="59">
        <v>4.2280000000000002E-5</v>
      </c>
      <c r="F177" s="59">
        <v>-7.8100000000000001E-3</v>
      </c>
      <c r="G177" s="59">
        <v>0.88560000000000005</v>
      </c>
      <c r="H177" s="148">
        <v>0.2351</v>
      </c>
      <c r="I177" s="397"/>
      <c r="J177" s="268"/>
      <c r="K177" s="435"/>
    </row>
    <row r="178" spans="1:11" s="16" customFormat="1" ht="12.75" customHeight="1">
      <c r="A178" s="117">
        <v>173</v>
      </c>
      <c r="B178" s="85">
        <v>0</v>
      </c>
      <c r="C178" s="59">
        <v>1.7430000000000001E-11</v>
      </c>
      <c r="D178" s="59">
        <v>-2.3989999999999998E-8</v>
      </c>
      <c r="E178" s="59">
        <v>1.29E-5</v>
      </c>
      <c r="F178" s="59">
        <v>-3.467E-3</v>
      </c>
      <c r="G178" s="59">
        <v>0.57999999999999996</v>
      </c>
      <c r="H178" s="148">
        <v>-4.7890000000000002E-2</v>
      </c>
      <c r="I178" s="397"/>
      <c r="J178" s="268"/>
      <c r="K178" s="435"/>
    </row>
    <row r="179" spans="1:11" s="16" customFormat="1" ht="12.75" customHeight="1">
      <c r="A179" s="117">
        <v>174</v>
      </c>
      <c r="B179" s="85">
        <v>0</v>
      </c>
      <c r="C179" s="59">
        <v>1.232E-12</v>
      </c>
      <c r="D179" s="59">
        <v>-2.9360000000000002E-9</v>
      </c>
      <c r="E179" s="59">
        <v>2.7130000000000001E-6</v>
      </c>
      <c r="F179" s="59">
        <v>-1.232E-3</v>
      </c>
      <c r="G179" s="59">
        <v>0.34150000000000003</v>
      </c>
      <c r="H179" s="148">
        <v>-6.4380000000000007E-2</v>
      </c>
      <c r="I179" s="397"/>
      <c r="J179" s="268"/>
      <c r="K179" s="435"/>
    </row>
    <row r="180" spans="1:11" s="16" customFormat="1" ht="12.75" customHeight="1">
      <c r="A180" s="117">
        <v>175</v>
      </c>
      <c r="B180" s="85">
        <v>0</v>
      </c>
      <c r="C180" s="159">
        <v>3.0599999999999997E-14</v>
      </c>
      <c r="D180" s="59">
        <v>-1.6049999999999999E-10</v>
      </c>
      <c r="E180" s="59">
        <v>3.3299999999999998E-7</v>
      </c>
      <c r="F180" s="59">
        <v>-3.3199999999999999E-4</v>
      </c>
      <c r="G180" s="59">
        <v>0.18840000000000001</v>
      </c>
      <c r="H180" s="148">
        <v>0.13400000000000001</v>
      </c>
      <c r="I180" s="397"/>
      <c r="J180" s="268"/>
      <c r="K180" s="435"/>
    </row>
    <row r="181" spans="1:11" s="16" customFormat="1" ht="12.75" customHeight="1">
      <c r="A181" s="117">
        <v>176</v>
      </c>
      <c r="B181" s="85">
        <v>0</v>
      </c>
      <c r="C181" s="159">
        <v>2.0279999999999998E-15</v>
      </c>
      <c r="D181" s="59">
        <v>-1.7709999999999999E-11</v>
      </c>
      <c r="E181" s="59">
        <v>6.3040000000000001E-8</v>
      </c>
      <c r="F181" s="59">
        <v>-1.093E-4</v>
      </c>
      <c r="G181" s="59">
        <v>0.1095</v>
      </c>
      <c r="H181" s="148">
        <v>0.53590000000000004</v>
      </c>
      <c r="I181" s="397"/>
      <c r="J181" s="268"/>
      <c r="K181" s="435"/>
    </row>
    <row r="182" spans="1:11" s="16" customFormat="1" ht="12.75" customHeight="1">
      <c r="A182" s="117">
        <v>177</v>
      </c>
      <c r="B182" s="85">
        <v>0</v>
      </c>
      <c r="C182" s="159">
        <v>5.4349999999999996E-16</v>
      </c>
      <c r="D182" s="59">
        <v>-5.7699999999999998E-12</v>
      </c>
      <c r="E182" s="59">
        <v>2.4999999999999999E-8</v>
      </c>
      <c r="F182" s="59">
        <v>-5.4929999999999998E-5</v>
      </c>
      <c r="G182" s="59">
        <v>7.5209999999999999E-2</v>
      </c>
      <c r="H182" s="148">
        <v>0.77910000000000001</v>
      </c>
      <c r="I182" s="397"/>
      <c r="J182" s="268"/>
      <c r="K182" s="435"/>
    </row>
    <row r="183" spans="1:11" s="16" customFormat="1" ht="12.75" customHeight="1">
      <c r="A183" s="117">
        <v>178</v>
      </c>
      <c r="B183" s="85">
        <v>0</v>
      </c>
      <c r="C183" s="159">
        <v>1.3509999999999999E-16</v>
      </c>
      <c r="D183" s="59">
        <v>-1.9649999999999998E-12</v>
      </c>
      <c r="E183" s="59">
        <v>1.1080000000000001E-8</v>
      </c>
      <c r="F183" s="59">
        <v>-3.082E-5</v>
      </c>
      <c r="G183" s="59">
        <v>5.4719999999999998E-2</v>
      </c>
      <c r="H183" s="148">
        <v>0.62719999999999998</v>
      </c>
      <c r="I183" s="397"/>
      <c r="J183" s="268"/>
      <c r="K183" s="435"/>
    </row>
    <row r="184" spans="1:11" s="16" customFormat="1" ht="12.75" customHeight="1">
      <c r="A184" s="117">
        <v>179</v>
      </c>
      <c r="B184" s="85">
        <v>0</v>
      </c>
      <c r="C184" s="159">
        <v>3.5562199999999997E-17</v>
      </c>
      <c r="D184" s="159">
        <v>-6.75507E-13</v>
      </c>
      <c r="E184" s="59">
        <v>4.9743899999999998E-9</v>
      </c>
      <c r="F184" s="59">
        <v>-1.8070299999999999E-5</v>
      </c>
      <c r="G184" s="59">
        <v>4.19152E-2</v>
      </c>
      <c r="H184" s="148">
        <v>0.62719999999999998</v>
      </c>
      <c r="I184" s="397"/>
      <c r="J184" s="268"/>
      <c r="K184" s="435"/>
    </row>
    <row r="185" spans="1:11" s="16" customFormat="1" ht="12.75" customHeight="1">
      <c r="A185" s="117">
        <v>180</v>
      </c>
      <c r="B185" s="85">
        <v>0</v>
      </c>
      <c r="C185" s="159">
        <v>1.13257E-17</v>
      </c>
      <c r="D185" s="159">
        <v>-2.7045299999999999E-13</v>
      </c>
      <c r="E185" s="59">
        <v>2.5037200000000001E-9</v>
      </c>
      <c r="F185" s="59">
        <v>-1.1433999999999999E-5</v>
      </c>
      <c r="G185" s="59">
        <v>3.3341636000000001E-2</v>
      </c>
      <c r="H185" s="148">
        <v>0.62719999999999998</v>
      </c>
      <c r="I185" s="397"/>
      <c r="J185" s="268"/>
      <c r="K185" s="435"/>
    </row>
    <row r="186" spans="1:11" s="16" customFormat="1" ht="12.75" customHeight="1">
      <c r="A186" s="117">
        <v>181</v>
      </c>
      <c r="B186" s="85">
        <v>0</v>
      </c>
      <c r="C186" s="159">
        <v>2.9716E-18</v>
      </c>
      <c r="D186" s="159">
        <v>-9.2732199999999995E-14</v>
      </c>
      <c r="E186" s="59">
        <v>1.12187E-9</v>
      </c>
      <c r="F186" s="59">
        <v>-6.69525E-6</v>
      </c>
      <c r="G186" s="59">
        <v>2.5513600000000001E-2</v>
      </c>
      <c r="H186" s="148">
        <v>0.62719999999999998</v>
      </c>
      <c r="I186" s="397"/>
      <c r="J186" s="268"/>
      <c r="K186" s="435"/>
    </row>
    <row r="187" spans="1:11" s="16" customFormat="1" ht="12.75" customHeight="1" thickBot="1">
      <c r="A187" s="119">
        <v>182</v>
      </c>
      <c r="B187" s="87">
        <v>0</v>
      </c>
      <c r="C187" s="160">
        <v>4.4661499999999999E-19</v>
      </c>
      <c r="D187" s="160">
        <v>-2.0360300000000001E-14</v>
      </c>
      <c r="E187" s="48">
        <v>3.59837E-10</v>
      </c>
      <c r="F187" s="48">
        <v>-3.1372100000000001E-6</v>
      </c>
      <c r="G187" s="48">
        <v>1.7464667E-2</v>
      </c>
      <c r="H187" s="307">
        <v>0.62719999999999998</v>
      </c>
      <c r="I187" s="398"/>
      <c r="J187" s="48"/>
      <c r="K187" s="460"/>
    </row>
    <row r="188" spans="1:11" s="16" customFormat="1" ht="12.75" customHeight="1">
      <c r="A188" s="161">
        <v>183</v>
      </c>
      <c r="B188" s="60">
        <v>0</v>
      </c>
      <c r="C188" s="61">
        <v>1.5988100000000001</v>
      </c>
      <c r="D188" s="61">
        <v>0.319693</v>
      </c>
      <c r="E188" s="61">
        <v>1.6354299999999998E-8</v>
      </c>
      <c r="F188" s="61">
        <v>0</v>
      </c>
      <c r="G188" s="61">
        <v>-760.78399999999999</v>
      </c>
      <c r="H188" s="98">
        <v>1.05684</v>
      </c>
      <c r="I188" s="418"/>
      <c r="J188" s="61"/>
      <c r="K188" s="457"/>
    </row>
    <row r="189" spans="1:11" s="16" customFormat="1" ht="12.75" customHeight="1">
      <c r="A189" s="53">
        <v>184</v>
      </c>
      <c r="B189" s="85">
        <v>0</v>
      </c>
      <c r="C189" s="59">
        <v>1</v>
      </c>
      <c r="D189" s="59">
        <v>0.314002</v>
      </c>
      <c r="E189" s="59">
        <v>7.5127199999999998E-6</v>
      </c>
      <c r="F189" s="59">
        <v>-142.37</v>
      </c>
      <c r="G189" s="59">
        <v>-777.34</v>
      </c>
      <c r="H189" s="148">
        <v>0.95637899999999998</v>
      </c>
      <c r="I189" s="397"/>
      <c r="J189" s="59"/>
      <c r="K189" s="435"/>
    </row>
    <row r="190" spans="1:11" s="16" customFormat="1" ht="12.75" customHeight="1">
      <c r="A190" s="53">
        <v>185</v>
      </c>
      <c r="B190" s="85">
        <v>0</v>
      </c>
      <c r="C190" s="59">
        <v>1.022E-2</v>
      </c>
      <c r="D190" s="59">
        <v>-17.0032</v>
      </c>
      <c r="E190" s="59">
        <v>1539.21</v>
      </c>
      <c r="F190" s="59">
        <v>0</v>
      </c>
      <c r="G190" s="59">
        <v>-1972.82</v>
      </c>
      <c r="H190" s="148">
        <v>-1530.61</v>
      </c>
      <c r="I190" s="397"/>
      <c r="J190" s="59"/>
      <c r="K190" s="435"/>
    </row>
    <row r="191" spans="1:11" s="16" customFormat="1" ht="12.75" customHeight="1">
      <c r="A191" s="53">
        <v>186</v>
      </c>
      <c r="B191" s="85">
        <v>0</v>
      </c>
      <c r="C191" s="59">
        <v>1.20652</v>
      </c>
      <c r="D191" s="59">
        <v>0.28836000000000001</v>
      </c>
      <c r="E191" s="59">
        <v>5.0043699999999997E-7</v>
      </c>
      <c r="F191" s="59">
        <v>0</v>
      </c>
      <c r="G191" s="59">
        <v>-1540.53</v>
      </c>
      <c r="H191" s="148">
        <v>1.1069199999999999</v>
      </c>
      <c r="I191" s="397"/>
      <c r="J191" s="59"/>
      <c r="K191" s="435"/>
    </row>
    <row r="192" spans="1:11" s="16" customFormat="1" ht="12.75" customHeight="1">
      <c r="A192" s="53">
        <v>187</v>
      </c>
      <c r="B192" s="85">
        <v>0</v>
      </c>
      <c r="C192" s="59">
        <v>1</v>
      </c>
      <c r="D192" s="59">
        <v>0.32181100000000001</v>
      </c>
      <c r="E192" s="59">
        <v>3.7637099999999999E-6</v>
      </c>
      <c r="F192" s="59">
        <v>-263.88499999999999</v>
      </c>
      <c r="G192" s="59">
        <v>-1508.3</v>
      </c>
      <c r="H192" s="148">
        <v>0.68299699999999997</v>
      </c>
      <c r="I192" s="397"/>
      <c r="J192" s="59"/>
      <c r="K192" s="435"/>
    </row>
    <row r="193" spans="1:11" s="16" customFormat="1" ht="12.75" customHeight="1">
      <c r="A193" s="53">
        <v>188</v>
      </c>
      <c r="B193" s="85">
        <v>0</v>
      </c>
      <c r="C193" s="59">
        <v>1</v>
      </c>
      <c r="D193" s="59">
        <v>0.270901</v>
      </c>
      <c r="E193" s="59">
        <v>4.0059099999999999E-6</v>
      </c>
      <c r="F193" s="59">
        <v>0</v>
      </c>
      <c r="G193" s="59">
        <v>-2349.1999999999998</v>
      </c>
      <c r="H193" s="148">
        <v>1.1392599999999999</v>
      </c>
      <c r="I193" s="397"/>
      <c r="J193" s="59"/>
      <c r="K193" s="435"/>
    </row>
    <row r="194" spans="1:11" s="16" customFormat="1" ht="12.75" customHeight="1">
      <c r="A194" s="53">
        <v>189</v>
      </c>
      <c r="B194" s="85">
        <v>0</v>
      </c>
      <c r="C194" s="59">
        <v>-1.1280500000000001E-2</v>
      </c>
      <c r="D194" s="59">
        <v>15.622299999999999</v>
      </c>
      <c r="E194" s="59">
        <v>1521.78</v>
      </c>
      <c r="F194" s="59">
        <v>0</v>
      </c>
      <c r="G194" s="59">
        <v>-4088.62</v>
      </c>
      <c r="H194" s="148">
        <v>-1511.77</v>
      </c>
      <c r="I194" s="397"/>
      <c r="J194" s="59"/>
      <c r="K194" s="435"/>
    </row>
    <row r="195" spans="1:11" s="16" customFormat="1" ht="12.75" customHeight="1" thickBot="1">
      <c r="A195" s="162">
        <v>190</v>
      </c>
      <c r="B195" s="92">
        <v>0</v>
      </c>
      <c r="C195" s="93">
        <v>1</v>
      </c>
      <c r="D195" s="93">
        <v>0.295956</v>
      </c>
      <c r="E195" s="93">
        <v>2.2406100000000001E-6</v>
      </c>
      <c r="F195" s="93">
        <v>56.529800000000002</v>
      </c>
      <c r="G195" s="93">
        <v>-3182.95</v>
      </c>
      <c r="H195" s="99">
        <v>0.76215100000000002</v>
      </c>
      <c r="I195" s="449"/>
      <c r="J195" s="93"/>
      <c r="K195" s="458"/>
    </row>
    <row r="196" spans="1:11" s="16" customFormat="1" ht="12.75" customHeight="1">
      <c r="A196" s="120">
        <v>191</v>
      </c>
      <c r="B196" s="102">
        <v>0</v>
      </c>
      <c r="C196" s="95">
        <v>1</v>
      </c>
      <c r="D196" s="95">
        <v>0.40288200000000002</v>
      </c>
      <c r="E196" s="95">
        <v>7.2700599999999998E-6</v>
      </c>
      <c r="F196" s="95">
        <v>-204.27</v>
      </c>
      <c r="G196" s="95">
        <v>-321.40300000000002</v>
      </c>
      <c r="H196" s="286">
        <v>0.254521</v>
      </c>
      <c r="I196" s="450"/>
      <c r="J196" s="95"/>
      <c r="K196" s="462"/>
    </row>
    <row r="197" spans="1:11" s="16" customFormat="1" ht="12.75" customHeight="1">
      <c r="A197" s="117">
        <v>192</v>
      </c>
      <c r="B197" s="85">
        <v>0</v>
      </c>
      <c r="C197" s="59">
        <v>1</v>
      </c>
      <c r="D197" s="59">
        <v>0.356292</v>
      </c>
      <c r="E197" s="59">
        <v>7.4000600000000003E-6</v>
      </c>
      <c r="F197" s="59">
        <v>-298.166</v>
      </c>
      <c r="G197" s="59">
        <v>-568.71199999999999</v>
      </c>
      <c r="H197" s="148">
        <v>0.57961300000000004</v>
      </c>
      <c r="I197" s="397"/>
      <c r="J197" s="59"/>
      <c r="K197" s="463"/>
    </row>
    <row r="198" spans="1:11" s="16" customFormat="1" ht="12.75" customHeight="1">
      <c r="A198" s="117">
        <v>193</v>
      </c>
      <c r="B198" s="85">
        <v>0</v>
      </c>
      <c r="C198" s="59">
        <v>1</v>
      </c>
      <c r="D198" s="59">
        <v>10.8399</v>
      </c>
      <c r="E198" s="59">
        <v>1.0296400000000001E-3</v>
      </c>
      <c r="F198" s="59">
        <v>0</v>
      </c>
      <c r="G198" s="59">
        <v>-1855.08</v>
      </c>
      <c r="H198" s="148">
        <v>-67.173599999999993</v>
      </c>
      <c r="I198" s="397"/>
      <c r="J198" s="59"/>
      <c r="K198" s="463"/>
    </row>
    <row r="199" spans="1:11" s="16" customFormat="1" ht="12.75" customHeight="1">
      <c r="A199" s="117">
        <v>194</v>
      </c>
      <c r="B199" s="85">
        <v>0</v>
      </c>
      <c r="C199" s="59">
        <v>1</v>
      </c>
      <c r="D199" s="59">
        <v>9.7601700000000005</v>
      </c>
      <c r="E199" s="59">
        <v>8.4613600000000005E-4</v>
      </c>
      <c r="F199" s="59">
        <v>0</v>
      </c>
      <c r="G199" s="59">
        <v>-6429.58</v>
      </c>
      <c r="H199" s="148">
        <v>-58.616300000000003</v>
      </c>
      <c r="I199" s="397"/>
      <c r="J199" s="59"/>
      <c r="K199" s="463"/>
    </row>
    <row r="200" spans="1:11" s="16" customFormat="1" ht="12.75" customHeight="1">
      <c r="A200" s="117">
        <v>195</v>
      </c>
      <c r="B200" s="85">
        <v>0</v>
      </c>
      <c r="C200" s="59">
        <v>1</v>
      </c>
      <c r="D200" s="59">
        <v>8.92821</v>
      </c>
      <c r="E200" s="59">
        <v>7.4353400000000001E-4</v>
      </c>
      <c r="F200" s="59">
        <v>0</v>
      </c>
      <c r="G200" s="59">
        <v>-9447.11</v>
      </c>
      <c r="H200" s="148">
        <v>-53.165300000000002</v>
      </c>
      <c r="I200" s="397"/>
      <c r="J200" s="59"/>
      <c r="K200" s="463"/>
    </row>
    <row r="201" spans="1:11" s="16" customFormat="1" ht="12.75" customHeight="1">
      <c r="A201" s="117">
        <v>196</v>
      </c>
      <c r="B201" s="85">
        <v>0</v>
      </c>
      <c r="C201" s="59">
        <v>1</v>
      </c>
      <c r="D201" s="59">
        <v>9.3414099999999998</v>
      </c>
      <c r="E201" s="59">
        <v>6.1109399999999996E-4</v>
      </c>
      <c r="F201" s="59">
        <v>0</v>
      </c>
      <c r="G201" s="59">
        <v>-9836.9</v>
      </c>
      <c r="H201" s="148">
        <v>-58.926900000000003</v>
      </c>
      <c r="I201" s="397"/>
      <c r="J201" s="59"/>
      <c r="K201" s="463"/>
    </row>
    <row r="202" spans="1:11" s="16" customFormat="1" ht="12.75" customHeight="1">
      <c r="A202" s="119">
        <v>197</v>
      </c>
      <c r="B202" s="85">
        <v>0</v>
      </c>
      <c r="C202" s="59">
        <v>1</v>
      </c>
      <c r="D202" s="59">
        <v>9.4594100000000001</v>
      </c>
      <c r="E202" s="59">
        <v>4.7122899999999998E-4</v>
      </c>
      <c r="F202" s="59">
        <v>0</v>
      </c>
      <c r="G202" s="59">
        <v>-12353.9</v>
      </c>
      <c r="H202" s="148">
        <v>-61.757599999999996</v>
      </c>
      <c r="I202" s="397"/>
      <c r="J202" s="59"/>
      <c r="K202" s="463"/>
    </row>
    <row r="203" spans="1:11" s="16" customFormat="1" ht="12.75" customHeight="1" thickBot="1">
      <c r="A203" s="44">
        <v>198</v>
      </c>
      <c r="B203" s="92">
        <v>0</v>
      </c>
      <c r="C203" s="93">
        <v>1</v>
      </c>
      <c r="D203" s="93">
        <v>8.7690300000000008</v>
      </c>
      <c r="E203" s="93">
        <v>4.0024100000000002E-4</v>
      </c>
      <c r="F203" s="93">
        <v>0</v>
      </c>
      <c r="G203" s="93">
        <v>-18256.7</v>
      </c>
      <c r="H203" s="99">
        <v>-57.2151</v>
      </c>
      <c r="I203" s="449"/>
      <c r="J203" s="93"/>
      <c r="K203" s="464"/>
    </row>
    <row r="204" spans="1:11" s="16" customFormat="1" ht="12.75" customHeight="1">
      <c r="C204" s="28"/>
      <c r="D204" s="28"/>
      <c r="E204" s="28"/>
      <c r="F204" s="28"/>
      <c r="G204" s="28"/>
      <c r="H204" s="28"/>
      <c r="I204" s="28"/>
      <c r="J204" s="28"/>
      <c r="K204" s="28"/>
    </row>
    <row r="205" spans="1:11" s="16" customFormat="1" ht="12.75" customHeight="1">
      <c r="C205" s="28"/>
      <c r="D205" s="28"/>
      <c r="E205" s="28"/>
      <c r="F205" s="28"/>
      <c r="G205" s="28"/>
      <c r="H205" s="28"/>
      <c r="I205" s="28"/>
      <c r="J205" s="28"/>
      <c r="K205" s="28"/>
    </row>
    <row r="206" spans="1:11" s="16" customFormat="1" ht="12.75" customHeight="1">
      <c r="C206" s="28"/>
      <c r="D206" s="28"/>
      <c r="E206" s="28"/>
      <c r="F206" s="28"/>
      <c r="G206" s="28"/>
      <c r="H206" s="28"/>
      <c r="I206" s="28"/>
      <c r="J206" s="28"/>
      <c r="K206" s="28"/>
    </row>
    <row r="207" spans="1:11" s="16" customFormat="1" ht="12.75" customHeight="1">
      <c r="C207" s="28"/>
      <c r="D207" s="28"/>
      <c r="E207" s="28"/>
      <c r="F207" s="28"/>
      <c r="G207" s="28"/>
      <c r="H207" s="28"/>
      <c r="I207" s="28"/>
      <c r="J207" s="28"/>
      <c r="K207" s="28"/>
    </row>
    <row r="208" spans="1:11" s="16" customFormat="1" ht="12.75" customHeight="1">
      <c r="I208" s="28"/>
      <c r="J208" s="28"/>
      <c r="K208" s="28"/>
    </row>
    <row r="209" spans="9:11" s="16" customFormat="1" ht="12.75" customHeight="1">
      <c r="I209" s="28"/>
      <c r="J209" s="28"/>
      <c r="K209" s="28"/>
    </row>
    <row r="210" spans="9:11" s="16" customFormat="1" ht="12.75" customHeight="1">
      <c r="I210" s="28"/>
      <c r="J210" s="28"/>
      <c r="K210" s="28"/>
    </row>
    <row r="211" spans="9:11" s="16" customFormat="1" ht="12.75" customHeight="1">
      <c r="I211" s="28"/>
      <c r="J211" s="28"/>
      <c r="K211" s="28"/>
    </row>
    <row r="212" spans="9:11" s="16" customFormat="1" ht="12.75" customHeight="1">
      <c r="I212" s="28"/>
      <c r="J212" s="28"/>
      <c r="K212" s="28"/>
    </row>
    <row r="213" spans="9:11" s="16" customFormat="1" ht="12.75" customHeight="1">
      <c r="I213" s="28"/>
      <c r="J213" s="28"/>
      <c r="K213" s="28"/>
    </row>
    <row r="214" spans="9:11" s="16" customFormat="1" ht="12.75" customHeight="1">
      <c r="I214" s="28"/>
      <c r="J214" s="28"/>
      <c r="K214" s="28"/>
    </row>
    <row r="215" spans="9:11" s="16" customFormat="1" ht="12.75" customHeight="1">
      <c r="I215" s="28"/>
      <c r="J215" s="28"/>
      <c r="K215" s="28"/>
    </row>
    <row r="216" spans="9:11" s="16" customFormat="1" ht="12.75" customHeight="1">
      <c r="I216" s="28"/>
      <c r="J216" s="28"/>
      <c r="K216" s="28"/>
    </row>
    <row r="217" spans="9:11" s="16" customFormat="1" ht="12.75" customHeight="1">
      <c r="I217" s="28"/>
      <c r="J217" s="28"/>
      <c r="K217" s="28"/>
    </row>
    <row r="218" spans="9:11" s="16" customFormat="1" ht="12.75" customHeight="1">
      <c r="I218" s="28"/>
      <c r="J218" s="28"/>
      <c r="K218" s="28"/>
    </row>
    <row r="219" spans="9:11" s="16" customFormat="1" ht="12.75" customHeight="1">
      <c r="I219" s="28"/>
      <c r="J219" s="28"/>
      <c r="K219" s="28"/>
    </row>
    <row r="220" spans="9:11" s="16" customFormat="1" ht="12.75" customHeight="1">
      <c r="I220" s="28"/>
      <c r="J220" s="28"/>
      <c r="K220" s="28"/>
    </row>
    <row r="221" spans="9:11" s="16" customFormat="1" ht="12.75" customHeight="1">
      <c r="I221" s="28"/>
      <c r="J221" s="28"/>
      <c r="K221" s="28"/>
    </row>
    <row r="222" spans="9:11" s="16" customFormat="1" ht="12.75" customHeight="1">
      <c r="I222" s="28"/>
      <c r="J222" s="28"/>
      <c r="K222" s="28"/>
    </row>
  </sheetData>
  <mergeCells count="39">
    <mergeCell ref="K188:K195"/>
    <mergeCell ref="K196:K203"/>
    <mergeCell ref="K112:K131"/>
    <mergeCell ref="K132:K154"/>
    <mergeCell ref="J155:J163"/>
    <mergeCell ref="K164:K175"/>
    <mergeCell ref="K176:K187"/>
    <mergeCell ref="K45:K53"/>
    <mergeCell ref="K54:K62"/>
    <mergeCell ref="K63:K74"/>
    <mergeCell ref="K75:K86"/>
    <mergeCell ref="K87:K111"/>
    <mergeCell ref="K3:K4"/>
    <mergeCell ref="I3:I5"/>
    <mergeCell ref="J23:J30"/>
    <mergeCell ref="K31:K41"/>
    <mergeCell ref="J42:J44"/>
    <mergeCell ref="K42:K44"/>
    <mergeCell ref="J6:J14"/>
    <mergeCell ref="J15:J22"/>
    <mergeCell ref="I6:I14"/>
    <mergeCell ref="I15:I22"/>
    <mergeCell ref="J3:J4"/>
    <mergeCell ref="I188:I195"/>
    <mergeCell ref="I196:I203"/>
    <mergeCell ref="I164:I175"/>
    <mergeCell ref="I155:I163"/>
    <mergeCell ref="B3:H4"/>
    <mergeCell ref="I63:I74"/>
    <mergeCell ref="I75:I86"/>
    <mergeCell ref="I87:I111"/>
    <mergeCell ref="I112:I131"/>
    <mergeCell ref="I132:I154"/>
    <mergeCell ref="I176:I187"/>
    <mergeCell ref="A3:A5"/>
    <mergeCell ref="I45:I53"/>
    <mergeCell ref="I54:I62"/>
    <mergeCell ref="I31:I41"/>
    <mergeCell ref="I23:I30"/>
  </mergeCells>
  <phoneticPr fontId="23"/>
  <pageMargins left="0.7" right="0.7" top="0.75" bottom="0.75" header="0.3" footer="0.3"/>
  <pageSetup orientation="portrait" horizontalDpi="1200" verticalDpi="1200" r:id="rId1"/>
  <customProperties>
    <customPr name="BudgetSheetCodeName" r:id="rId2"/>
  </customPropertie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5"/>
  <dimension ref="A1:H41"/>
  <sheetViews>
    <sheetView zoomScaleNormal="100" workbookViewId="0">
      <selection activeCell="J31" sqref="J31"/>
    </sheetView>
  </sheetViews>
  <sheetFormatPr defaultColWidth="8.84375" defaultRowHeight="12.75" customHeight="1"/>
  <cols>
    <col min="1" max="1" width="8.84375" style="15"/>
    <col min="2" max="8" width="8.84375" style="28"/>
    <col min="9" max="9" width="10.765625" style="15" customWidth="1"/>
    <col min="10" max="16384" width="8.84375" style="15"/>
  </cols>
  <sheetData>
    <row r="1" spans="1:8" ht="15.5">
      <c r="A1" s="30" t="s">
        <v>73</v>
      </c>
    </row>
    <row r="2" spans="1:8" ht="12.75" customHeight="1" thickBot="1"/>
    <row r="3" spans="1:8" ht="12.75" customHeight="1">
      <c r="A3" s="357" t="s">
        <v>70</v>
      </c>
      <c r="B3" s="406" t="s">
        <v>76</v>
      </c>
      <c r="C3" s="406" t="s">
        <v>75</v>
      </c>
      <c r="D3" s="465" t="s">
        <v>74</v>
      </c>
      <c r="E3" s="466"/>
      <c r="F3" s="466"/>
      <c r="G3" s="466"/>
      <c r="H3" s="467"/>
    </row>
    <row r="4" spans="1:8" ht="12.75" customHeight="1">
      <c r="A4" s="358"/>
      <c r="B4" s="407"/>
      <c r="C4" s="407"/>
      <c r="D4" s="468"/>
      <c r="E4" s="469"/>
      <c r="F4" s="469"/>
      <c r="G4" s="469"/>
      <c r="H4" s="470"/>
    </row>
    <row r="5" spans="1:8" ht="12.75" customHeight="1" thickBot="1">
      <c r="A5" s="448"/>
      <c r="B5" s="407"/>
      <c r="C5" s="407"/>
      <c r="D5" s="48" t="s">
        <v>44</v>
      </c>
      <c r="E5" s="48" t="s">
        <v>45</v>
      </c>
      <c r="F5" s="48" t="s">
        <v>46</v>
      </c>
      <c r="G5" s="48" t="s">
        <v>47</v>
      </c>
      <c r="H5" s="49" t="s">
        <v>48</v>
      </c>
    </row>
    <row r="6" spans="1:8" ht="12.75" customHeight="1">
      <c r="A6" s="63">
        <v>1</v>
      </c>
      <c r="B6" s="60">
        <v>0.9</v>
      </c>
      <c r="C6" s="61">
        <v>0.96699999999999997</v>
      </c>
      <c r="D6" s="61">
        <v>0</v>
      </c>
      <c r="E6" s="61">
        <v>-8.1600000000000006E-2</v>
      </c>
      <c r="F6" s="61">
        <v>0.20799999999999999</v>
      </c>
      <c r="G6" s="61">
        <v>-0.21740000000000001</v>
      </c>
      <c r="H6" s="62">
        <v>0.98629999999999995</v>
      </c>
    </row>
    <row r="7" spans="1:8" ht="12.75" customHeight="1">
      <c r="A7" s="64">
        <v>2</v>
      </c>
      <c r="B7" s="85">
        <v>0.94</v>
      </c>
      <c r="C7" s="59">
        <v>0.94</v>
      </c>
      <c r="D7" s="59">
        <v>0</v>
      </c>
      <c r="E7" s="59">
        <v>0</v>
      </c>
      <c r="F7" s="59">
        <v>0</v>
      </c>
      <c r="G7" s="59">
        <v>0</v>
      </c>
      <c r="H7" s="86">
        <v>0</v>
      </c>
    </row>
    <row r="8" spans="1:8" ht="12.75" customHeight="1">
      <c r="A8" s="64">
        <v>3</v>
      </c>
      <c r="B8" s="85">
        <v>0.51500000000000001</v>
      </c>
      <c r="C8" s="59">
        <v>0.8</v>
      </c>
      <c r="D8" s="59">
        <v>9.6591000000000005</v>
      </c>
      <c r="E8" s="59">
        <v>-16.047999999999998</v>
      </c>
      <c r="F8" s="59">
        <v>7.9147999999999996</v>
      </c>
      <c r="G8" s="59">
        <v>-0.52159999999999995</v>
      </c>
      <c r="H8" s="86">
        <v>0.48060000000000003</v>
      </c>
    </row>
    <row r="9" spans="1:8" ht="12.75" customHeight="1">
      <c r="A9" s="64">
        <v>4</v>
      </c>
      <c r="B9" s="85">
        <v>0.60399999999999998</v>
      </c>
      <c r="C9" s="59">
        <v>0.92</v>
      </c>
      <c r="D9" s="59">
        <v>0</v>
      </c>
      <c r="E9" s="59">
        <v>0</v>
      </c>
      <c r="F9" s="59">
        <v>0.22650000000000001</v>
      </c>
      <c r="G9" s="59">
        <v>-0.59630000000000005</v>
      </c>
      <c r="H9" s="86">
        <v>0.97519999999999996</v>
      </c>
    </row>
    <row r="10" spans="1:8" ht="12.75" customHeight="1">
      <c r="A10" s="64">
        <v>5</v>
      </c>
      <c r="B10" s="85">
        <v>0.85</v>
      </c>
      <c r="C10" s="59">
        <v>0.95299999999999996</v>
      </c>
      <c r="D10" s="59">
        <v>0</v>
      </c>
      <c r="E10" s="59">
        <v>-6.9000000000000006E-2</v>
      </c>
      <c r="F10" s="59">
        <v>0.26500000000000001</v>
      </c>
      <c r="G10" s="59">
        <v>-0.33040000000000003</v>
      </c>
      <c r="H10" s="86">
        <v>0.98260000000000003</v>
      </c>
    </row>
    <row r="11" spans="1:8" ht="12.75" customHeight="1">
      <c r="A11" s="64">
        <v>6</v>
      </c>
      <c r="B11" s="85">
        <v>0.68</v>
      </c>
      <c r="C11" s="59">
        <v>0.87</v>
      </c>
      <c r="D11" s="59">
        <v>0</v>
      </c>
      <c r="E11" s="59">
        <v>0</v>
      </c>
      <c r="F11" s="59">
        <v>-0.27979999999999999</v>
      </c>
      <c r="G11" s="59">
        <v>8.2000000000000003E-2</v>
      </c>
      <c r="H11" s="86">
        <v>0.87709999999999999</v>
      </c>
    </row>
    <row r="12" spans="1:8" ht="12.75" customHeight="1">
      <c r="A12" s="64">
        <v>7</v>
      </c>
      <c r="B12" s="85">
        <v>0.55000000000000004</v>
      </c>
      <c r="C12" s="59">
        <v>0.87</v>
      </c>
      <c r="D12" s="59">
        <v>1.2311000000000001</v>
      </c>
      <c r="E12" s="59">
        <v>-1.6794</v>
      </c>
      <c r="F12" s="59">
        <v>0.1104</v>
      </c>
      <c r="G12" s="59">
        <v>1.2200000000000001E-2</v>
      </c>
      <c r="H12" s="86">
        <v>0.87790000000000001</v>
      </c>
    </row>
    <row r="13" spans="1:8" ht="12.75" customHeight="1">
      <c r="A13" s="64"/>
      <c r="B13" s="85"/>
      <c r="C13" s="59"/>
      <c r="D13" s="59"/>
      <c r="E13" s="59"/>
      <c r="F13" s="59"/>
      <c r="G13" s="59"/>
      <c r="H13" s="86"/>
    </row>
    <row r="14" spans="1:8" ht="12.75" customHeight="1">
      <c r="A14" s="64"/>
      <c r="B14" s="85"/>
      <c r="C14" s="59"/>
      <c r="D14" s="59"/>
      <c r="E14" s="59"/>
      <c r="F14" s="59"/>
      <c r="G14" s="59"/>
      <c r="H14" s="86"/>
    </row>
    <row r="15" spans="1:8" ht="12.75" customHeight="1">
      <c r="A15" s="64"/>
      <c r="B15" s="85"/>
      <c r="C15" s="59"/>
      <c r="D15" s="59"/>
      <c r="E15" s="59"/>
      <c r="F15" s="59"/>
      <c r="G15" s="59"/>
      <c r="H15" s="86"/>
    </row>
    <row r="16" spans="1:8" ht="12.75" customHeight="1">
      <c r="A16" s="64"/>
      <c r="B16" s="85"/>
      <c r="C16" s="59"/>
      <c r="D16" s="59"/>
      <c r="E16" s="59"/>
      <c r="F16" s="59"/>
      <c r="G16" s="59"/>
      <c r="H16" s="86"/>
    </row>
    <row r="17" spans="1:8" ht="12.75" customHeight="1">
      <c r="A17" s="64"/>
      <c r="B17" s="85"/>
      <c r="C17" s="59"/>
      <c r="D17" s="59"/>
      <c r="E17" s="59"/>
      <c r="F17" s="59"/>
      <c r="G17" s="59"/>
      <c r="H17" s="86"/>
    </row>
    <row r="18" spans="1:8" ht="12.75" customHeight="1">
      <c r="A18" s="64"/>
      <c r="B18" s="85"/>
      <c r="C18" s="59"/>
      <c r="D18" s="59"/>
      <c r="E18" s="59"/>
      <c r="F18" s="59"/>
      <c r="G18" s="59"/>
      <c r="H18" s="86"/>
    </row>
    <row r="19" spans="1:8" ht="12.75" customHeight="1">
      <c r="A19" s="64"/>
      <c r="B19" s="85"/>
      <c r="C19" s="59"/>
      <c r="D19" s="59"/>
      <c r="E19" s="59"/>
      <c r="F19" s="59"/>
      <c r="G19" s="59"/>
      <c r="H19" s="86"/>
    </row>
    <row r="20" spans="1:8" ht="12.75" customHeight="1">
      <c r="A20" s="64"/>
      <c r="B20" s="85"/>
      <c r="C20" s="59"/>
      <c r="D20" s="59"/>
      <c r="E20" s="59"/>
      <c r="F20" s="59"/>
      <c r="G20" s="59"/>
      <c r="H20" s="86"/>
    </row>
    <row r="21" spans="1:8" ht="12.75" customHeight="1">
      <c r="A21" s="64"/>
      <c r="B21" s="85"/>
      <c r="C21" s="59"/>
      <c r="D21" s="59"/>
      <c r="E21" s="59"/>
      <c r="F21" s="59"/>
      <c r="G21" s="59"/>
      <c r="H21" s="86"/>
    </row>
    <row r="22" spans="1:8" ht="12.75" customHeight="1">
      <c r="A22" s="64"/>
      <c r="B22" s="85"/>
      <c r="C22" s="59"/>
      <c r="D22" s="59"/>
      <c r="E22" s="59"/>
      <c r="F22" s="59"/>
      <c r="G22" s="59"/>
      <c r="H22" s="86"/>
    </row>
    <row r="23" spans="1:8" ht="12.75" customHeight="1">
      <c r="A23" s="64"/>
      <c r="B23" s="85"/>
      <c r="C23" s="59"/>
      <c r="D23" s="59"/>
      <c r="E23" s="59"/>
      <c r="F23" s="59"/>
      <c r="G23" s="59"/>
      <c r="H23" s="86"/>
    </row>
    <row r="24" spans="1:8" ht="12.75" customHeight="1">
      <c r="A24" s="64"/>
      <c r="B24" s="85"/>
      <c r="C24" s="59"/>
      <c r="D24" s="59"/>
      <c r="E24" s="59"/>
      <c r="F24" s="59"/>
      <c r="G24" s="59"/>
      <c r="H24" s="86"/>
    </row>
    <row r="25" spans="1:8" ht="12.75" customHeight="1">
      <c r="A25" s="64"/>
      <c r="B25" s="85"/>
      <c r="C25" s="59"/>
      <c r="D25" s="59"/>
      <c r="E25" s="59"/>
      <c r="F25" s="59"/>
      <c r="G25" s="59"/>
      <c r="H25" s="86"/>
    </row>
    <row r="26" spans="1:8" ht="12.75" customHeight="1">
      <c r="A26" s="64"/>
      <c r="B26" s="85"/>
      <c r="C26" s="59"/>
      <c r="D26" s="59"/>
      <c r="E26" s="59"/>
      <c r="F26" s="59"/>
      <c r="G26" s="59"/>
      <c r="H26" s="86"/>
    </row>
    <row r="27" spans="1:8" ht="12.75" customHeight="1">
      <c r="A27" s="64"/>
      <c r="B27" s="85"/>
      <c r="C27" s="59"/>
      <c r="D27" s="59"/>
      <c r="E27" s="59"/>
      <c r="F27" s="59"/>
      <c r="G27" s="59"/>
      <c r="H27" s="86"/>
    </row>
    <row r="28" spans="1:8" ht="12.75" customHeight="1">
      <c r="A28" s="64"/>
      <c r="B28" s="85"/>
      <c r="C28" s="59"/>
      <c r="D28" s="59"/>
      <c r="E28" s="59"/>
      <c r="F28" s="59"/>
      <c r="G28" s="59"/>
      <c r="H28" s="86"/>
    </row>
    <row r="29" spans="1:8" ht="12.75" customHeight="1">
      <c r="A29" s="64"/>
      <c r="B29" s="85"/>
      <c r="C29" s="59"/>
      <c r="D29" s="59"/>
      <c r="E29" s="59"/>
      <c r="F29" s="59"/>
      <c r="G29" s="59"/>
      <c r="H29" s="86"/>
    </row>
    <row r="30" spans="1:8" ht="12.75" customHeight="1">
      <c r="A30" s="64"/>
      <c r="B30" s="85"/>
      <c r="C30" s="59"/>
      <c r="D30" s="59"/>
      <c r="E30" s="59"/>
      <c r="F30" s="59"/>
      <c r="G30" s="59"/>
      <c r="H30" s="86"/>
    </row>
    <row r="31" spans="1:8" ht="12.75" customHeight="1">
      <c r="A31" s="64"/>
      <c r="B31" s="85"/>
      <c r="C31" s="59"/>
      <c r="D31" s="59"/>
      <c r="E31" s="59"/>
      <c r="F31" s="59"/>
      <c r="G31" s="59"/>
      <c r="H31" s="86"/>
    </row>
    <row r="32" spans="1:8" ht="12.75" customHeight="1">
      <c r="A32" s="64"/>
      <c r="B32" s="85"/>
      <c r="C32" s="59"/>
      <c r="D32" s="59"/>
      <c r="E32" s="59"/>
      <c r="F32" s="59"/>
      <c r="G32" s="59"/>
      <c r="H32" s="86"/>
    </row>
    <row r="33" spans="1:8" ht="12.75" customHeight="1">
      <c r="A33" s="64"/>
      <c r="B33" s="85"/>
      <c r="C33" s="59"/>
      <c r="D33" s="59"/>
      <c r="E33" s="59"/>
      <c r="F33" s="59"/>
      <c r="G33" s="59"/>
      <c r="H33" s="86"/>
    </row>
    <row r="34" spans="1:8" ht="12.75" customHeight="1">
      <c r="A34" s="64"/>
      <c r="B34" s="85"/>
      <c r="C34" s="59"/>
      <c r="D34" s="59"/>
      <c r="E34" s="59"/>
      <c r="F34" s="59"/>
      <c r="G34" s="59"/>
      <c r="H34" s="86"/>
    </row>
    <row r="35" spans="1:8" ht="12.75" customHeight="1">
      <c r="A35" s="64"/>
      <c r="B35" s="85"/>
      <c r="C35" s="59"/>
      <c r="D35" s="59"/>
      <c r="E35" s="59"/>
      <c r="F35" s="59"/>
      <c r="G35" s="59"/>
      <c r="H35" s="86"/>
    </row>
    <row r="36" spans="1:8" ht="12.75" customHeight="1">
      <c r="A36" s="64"/>
      <c r="B36" s="85"/>
      <c r="C36" s="59"/>
      <c r="D36" s="59"/>
      <c r="E36" s="59"/>
      <c r="F36" s="59"/>
      <c r="G36" s="59"/>
      <c r="H36" s="86"/>
    </row>
    <row r="37" spans="1:8" ht="12.75" customHeight="1" thickBot="1">
      <c r="A37" s="84"/>
      <c r="B37" s="92"/>
      <c r="C37" s="93"/>
      <c r="D37" s="93"/>
      <c r="E37" s="93"/>
      <c r="F37" s="93"/>
      <c r="G37" s="93"/>
      <c r="H37" s="94"/>
    </row>
    <row r="38" spans="1:8" ht="12.75" customHeight="1">
      <c r="A38" s="28"/>
    </row>
    <row r="39" spans="1:8" ht="12.75" customHeight="1">
      <c r="A39" s="28"/>
    </row>
    <row r="40" spans="1:8" ht="12.75" customHeight="1">
      <c r="A40" s="28"/>
    </row>
    <row r="41" spans="1:8" ht="12.75" customHeight="1">
      <c r="A41" s="28"/>
    </row>
  </sheetData>
  <mergeCells count="4">
    <mergeCell ref="A3:A5"/>
    <mergeCell ref="D3:H4"/>
    <mergeCell ref="B3:B5"/>
    <mergeCell ref="C3:C5"/>
  </mergeCells>
  <phoneticPr fontId="23"/>
  <pageMargins left="0.7" right="0.7" top="0.75" bottom="0.75" header="0.3" footer="0.3"/>
  <customProperties>
    <customPr name="BudgetSheetCodeName" r:id="rId1"/>
  </customPropertie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6"/>
  <dimension ref="A1:I37"/>
  <sheetViews>
    <sheetView zoomScaleNormal="100" workbookViewId="0">
      <selection activeCell="I1" sqref="I1:I1048576"/>
    </sheetView>
  </sheetViews>
  <sheetFormatPr defaultRowHeight="12.75" customHeight="1"/>
  <cols>
    <col min="1" max="1" width="8.84375" style="89"/>
    <col min="2" max="8" width="8.84375" style="88"/>
    <col min="9" max="9" width="10.765625" customWidth="1"/>
  </cols>
  <sheetData>
    <row r="1" spans="1:9" ht="15.5">
      <c r="A1" s="107" t="s">
        <v>77</v>
      </c>
      <c r="B1" s="28"/>
      <c r="C1" s="28"/>
      <c r="D1" s="28"/>
      <c r="E1" s="28"/>
      <c r="F1" s="28"/>
      <c r="G1" s="28"/>
      <c r="H1" s="28"/>
    </row>
    <row r="2" spans="1:9" ht="12.75" customHeight="1" thickBot="1">
      <c r="A2" s="16"/>
      <c r="B2" s="28"/>
      <c r="C2" s="28"/>
      <c r="D2" s="28"/>
      <c r="E2" s="28"/>
      <c r="F2" s="28"/>
      <c r="G2" s="28"/>
      <c r="H2" s="28"/>
    </row>
    <row r="3" spans="1:9" ht="12.75" customHeight="1">
      <c r="A3" s="357" t="s">
        <v>70</v>
      </c>
      <c r="B3" s="406" t="s">
        <v>76</v>
      </c>
      <c r="C3" s="406" t="s">
        <v>75</v>
      </c>
      <c r="D3" s="465" t="s">
        <v>74</v>
      </c>
      <c r="E3" s="466"/>
      <c r="F3" s="466"/>
      <c r="G3" s="466"/>
      <c r="H3" s="467"/>
    </row>
    <row r="4" spans="1:9" ht="12.75" customHeight="1">
      <c r="A4" s="358"/>
      <c r="B4" s="407"/>
      <c r="C4" s="407"/>
      <c r="D4" s="468"/>
      <c r="E4" s="469"/>
      <c r="F4" s="469"/>
      <c r="G4" s="469"/>
      <c r="H4" s="470"/>
    </row>
    <row r="5" spans="1:9" ht="12.75" customHeight="1" thickBot="1">
      <c r="A5" s="448"/>
      <c r="B5" s="407"/>
      <c r="C5" s="407"/>
      <c r="D5" s="48" t="s">
        <v>44</v>
      </c>
      <c r="E5" s="48" t="s">
        <v>45</v>
      </c>
      <c r="F5" s="48" t="s">
        <v>46</v>
      </c>
      <c r="G5" s="48" t="s">
        <v>47</v>
      </c>
      <c r="H5" s="49" t="s">
        <v>48</v>
      </c>
    </row>
    <row r="6" spans="1:9" ht="12.75" customHeight="1">
      <c r="A6" s="63">
        <v>1</v>
      </c>
      <c r="B6" s="60">
        <v>0.65</v>
      </c>
      <c r="C6" s="61">
        <v>0.75</v>
      </c>
      <c r="D6" s="61">
        <v>0</v>
      </c>
      <c r="E6" s="61">
        <v>-0.29039999999999999</v>
      </c>
      <c r="F6" s="61">
        <v>0.5605</v>
      </c>
      <c r="G6" s="61">
        <v>-0.43509999999999999</v>
      </c>
      <c r="H6" s="62">
        <v>0.78779999999999994</v>
      </c>
      <c r="I6" s="15"/>
    </row>
    <row r="7" spans="1:9" ht="12.75" customHeight="1">
      <c r="A7" s="64">
        <v>2</v>
      </c>
      <c r="B7" s="85">
        <v>0.85</v>
      </c>
      <c r="C7" s="59">
        <v>0.85</v>
      </c>
      <c r="D7" s="59">
        <v>0</v>
      </c>
      <c r="E7" s="59">
        <v>0</v>
      </c>
      <c r="F7" s="59">
        <v>0</v>
      </c>
      <c r="G7" s="59">
        <v>0</v>
      </c>
      <c r="H7" s="86">
        <v>0</v>
      </c>
      <c r="I7" s="15"/>
    </row>
    <row r="8" spans="1:9" ht="12.75" customHeight="1">
      <c r="A8" s="53">
        <v>3</v>
      </c>
      <c r="B8" s="85">
        <v>0.25</v>
      </c>
      <c r="C8" s="59">
        <v>0.57999999999999996</v>
      </c>
      <c r="D8" s="59">
        <v>7.5378999999999996</v>
      </c>
      <c r="E8" s="59">
        <v>-13.304</v>
      </c>
      <c r="F8" s="59">
        <v>6.7938000000000001</v>
      </c>
      <c r="G8" s="59">
        <v>-0.25590000000000002</v>
      </c>
      <c r="H8" s="86">
        <v>0.19109999999999999</v>
      </c>
      <c r="I8" s="15"/>
    </row>
    <row r="9" spans="1:9" ht="12.75" customHeight="1">
      <c r="A9" s="53">
        <v>4</v>
      </c>
      <c r="B9" s="85">
        <v>0.3</v>
      </c>
      <c r="C9" s="59">
        <v>0.65500000000000003</v>
      </c>
      <c r="D9" s="59">
        <v>0</v>
      </c>
      <c r="E9" s="59">
        <v>0</v>
      </c>
      <c r="F9" s="59">
        <v>0.36930000000000002</v>
      </c>
      <c r="G9" s="59">
        <v>-0.78139999999999998</v>
      </c>
      <c r="H9" s="86">
        <v>0.71860000000000002</v>
      </c>
      <c r="I9" s="15"/>
    </row>
    <row r="10" spans="1:9" ht="12.75" customHeight="1">
      <c r="A10" s="53">
        <v>5</v>
      </c>
      <c r="B10" s="85">
        <v>0.6</v>
      </c>
      <c r="C10" s="59">
        <v>0.76</v>
      </c>
      <c r="D10" s="59">
        <v>0</v>
      </c>
      <c r="E10" s="59">
        <v>0</v>
      </c>
      <c r="F10" s="59">
        <v>0.29380000000000001</v>
      </c>
      <c r="G10" s="59">
        <v>-0.47970000000000002</v>
      </c>
      <c r="H10" s="86">
        <v>0.79849999999999999</v>
      </c>
      <c r="I10" s="15"/>
    </row>
    <row r="11" spans="1:9" ht="12.75" customHeight="1">
      <c r="A11" s="53">
        <v>6</v>
      </c>
      <c r="B11" s="85">
        <v>0.32</v>
      </c>
      <c r="C11" s="59">
        <v>0.53500000000000003</v>
      </c>
      <c r="D11" s="59">
        <v>0</v>
      </c>
      <c r="E11" s="59">
        <v>0</v>
      </c>
      <c r="F11" s="59">
        <v>-0.3125</v>
      </c>
      <c r="G11" s="59">
        <v>9.2600000000000002E-2</v>
      </c>
      <c r="H11" s="86">
        <v>0.53890000000000005</v>
      </c>
      <c r="I11" s="15"/>
    </row>
    <row r="12" spans="1:9" ht="12.75" customHeight="1">
      <c r="A12" s="53">
        <v>7</v>
      </c>
      <c r="B12" s="85">
        <v>0.21</v>
      </c>
      <c r="C12" s="59">
        <v>0.54500000000000004</v>
      </c>
      <c r="D12" s="59">
        <v>1.2675000000000001</v>
      </c>
      <c r="E12" s="59">
        <v>-1.6268</v>
      </c>
      <c r="F12" s="59">
        <v>-2.2000000000000001E-3</v>
      </c>
      <c r="G12" s="59">
        <v>2.92E-2</v>
      </c>
      <c r="H12" s="86">
        <v>0.54759999999999998</v>
      </c>
      <c r="I12" s="15"/>
    </row>
    <row r="13" spans="1:9" ht="12.75" customHeight="1">
      <c r="A13" s="53">
        <v>8</v>
      </c>
      <c r="B13" s="85"/>
      <c r="C13" s="59"/>
      <c r="D13" s="59"/>
      <c r="E13" s="59"/>
      <c r="F13" s="59"/>
      <c r="G13" s="59"/>
      <c r="H13" s="86"/>
    </row>
    <row r="14" spans="1:9" ht="12.75" customHeight="1">
      <c r="A14" s="53"/>
      <c r="B14" s="85"/>
      <c r="C14" s="59"/>
      <c r="D14" s="59"/>
      <c r="E14" s="59"/>
      <c r="F14" s="59"/>
      <c r="G14" s="59"/>
      <c r="H14" s="86"/>
    </row>
    <row r="15" spans="1:9" ht="12.75" customHeight="1">
      <c r="A15" s="53"/>
      <c r="B15" s="85"/>
      <c r="C15" s="59"/>
      <c r="D15" s="59"/>
      <c r="E15" s="59"/>
      <c r="F15" s="59"/>
      <c r="G15" s="59"/>
      <c r="H15" s="86"/>
    </row>
    <row r="16" spans="1:9" ht="12.75" customHeight="1">
      <c r="A16" s="53"/>
      <c r="B16" s="85"/>
      <c r="C16" s="59"/>
      <c r="D16" s="59"/>
      <c r="E16" s="59"/>
      <c r="F16" s="59"/>
      <c r="G16" s="59"/>
      <c r="H16" s="86"/>
    </row>
    <row r="17" spans="1:8" ht="12.75" customHeight="1">
      <c r="A17" s="53"/>
      <c r="B17" s="85"/>
      <c r="C17" s="59"/>
      <c r="D17" s="59"/>
      <c r="E17" s="59"/>
      <c r="F17" s="59"/>
      <c r="G17" s="59"/>
      <c r="H17" s="86"/>
    </row>
    <row r="18" spans="1:8" ht="12.75" customHeight="1">
      <c r="A18" s="53"/>
      <c r="B18" s="85"/>
      <c r="C18" s="59"/>
      <c r="D18" s="59"/>
      <c r="E18" s="59"/>
      <c r="F18" s="59"/>
      <c r="G18" s="59"/>
      <c r="H18" s="86"/>
    </row>
    <row r="19" spans="1:8" ht="12.75" customHeight="1">
      <c r="A19" s="53"/>
      <c r="B19" s="85"/>
      <c r="C19" s="59"/>
      <c r="D19" s="59"/>
      <c r="E19" s="59"/>
      <c r="F19" s="59"/>
      <c r="G19" s="59"/>
      <c r="H19" s="86"/>
    </row>
    <row r="20" spans="1:8" ht="12.75" customHeight="1">
      <c r="A20" s="53"/>
      <c r="B20" s="85"/>
      <c r="C20" s="59"/>
      <c r="D20" s="59"/>
      <c r="E20" s="59"/>
      <c r="F20" s="59"/>
      <c r="G20" s="59"/>
      <c r="H20" s="86"/>
    </row>
    <row r="21" spans="1:8" ht="12.75" customHeight="1">
      <c r="A21" s="53"/>
      <c r="B21" s="85"/>
      <c r="C21" s="59"/>
      <c r="D21" s="59"/>
      <c r="E21" s="59"/>
      <c r="F21" s="59"/>
      <c r="G21" s="59"/>
      <c r="H21" s="86"/>
    </row>
    <row r="22" spans="1:8" ht="12.75" customHeight="1">
      <c r="A22" s="53"/>
      <c r="B22" s="85"/>
      <c r="C22" s="59"/>
      <c r="D22" s="59"/>
      <c r="E22" s="59"/>
      <c r="F22" s="59"/>
      <c r="G22" s="59"/>
      <c r="H22" s="86"/>
    </row>
    <row r="23" spans="1:8" ht="12.75" customHeight="1">
      <c r="A23" s="53"/>
      <c r="B23" s="85"/>
      <c r="C23" s="59"/>
      <c r="D23" s="59"/>
      <c r="E23" s="59"/>
      <c r="F23" s="59"/>
      <c r="G23" s="59"/>
      <c r="H23" s="86"/>
    </row>
    <row r="24" spans="1:8" ht="12.75" customHeight="1">
      <c r="A24" s="53"/>
      <c r="B24" s="85"/>
      <c r="C24" s="59"/>
      <c r="D24" s="59"/>
      <c r="E24" s="59"/>
      <c r="F24" s="59"/>
      <c r="G24" s="59"/>
      <c r="H24" s="86"/>
    </row>
    <row r="25" spans="1:8" ht="12.75" customHeight="1">
      <c r="A25" s="53"/>
      <c r="B25" s="85"/>
      <c r="C25" s="59"/>
      <c r="D25" s="59"/>
      <c r="E25" s="59"/>
      <c r="F25" s="59"/>
      <c r="G25" s="59"/>
      <c r="H25" s="86"/>
    </row>
    <row r="26" spans="1:8" ht="12.75" customHeight="1">
      <c r="A26" s="53"/>
      <c r="B26" s="85"/>
      <c r="C26" s="59"/>
      <c r="D26" s="59"/>
      <c r="E26" s="59"/>
      <c r="F26" s="59"/>
      <c r="G26" s="59"/>
      <c r="H26" s="86"/>
    </row>
    <row r="27" spans="1:8" ht="12.75" customHeight="1">
      <c r="A27" s="53"/>
      <c r="B27" s="85"/>
      <c r="C27" s="59"/>
      <c r="D27" s="59"/>
      <c r="E27" s="59"/>
      <c r="F27" s="59"/>
      <c r="G27" s="59"/>
      <c r="H27" s="86"/>
    </row>
    <row r="28" spans="1:8" ht="12.75" customHeight="1">
      <c r="A28" s="53"/>
      <c r="B28" s="85"/>
      <c r="C28" s="59"/>
      <c r="D28" s="59"/>
      <c r="E28" s="59"/>
      <c r="F28" s="59"/>
      <c r="G28" s="59"/>
      <c r="H28" s="86"/>
    </row>
    <row r="29" spans="1:8" ht="12.75" customHeight="1">
      <c r="A29" s="53"/>
      <c r="B29" s="85"/>
      <c r="C29" s="59"/>
      <c r="D29" s="59"/>
      <c r="E29" s="59"/>
      <c r="F29" s="59"/>
      <c r="G29" s="59"/>
      <c r="H29" s="86"/>
    </row>
    <row r="30" spans="1:8" ht="12.75" customHeight="1">
      <c r="A30" s="53"/>
      <c r="B30" s="85"/>
      <c r="C30" s="59"/>
      <c r="D30" s="59"/>
      <c r="E30" s="59"/>
      <c r="F30" s="59"/>
      <c r="G30" s="59"/>
      <c r="H30" s="86"/>
    </row>
    <row r="31" spans="1:8" ht="12.75" customHeight="1">
      <c r="A31" s="53"/>
      <c r="B31" s="85"/>
      <c r="C31" s="59"/>
      <c r="D31" s="59"/>
      <c r="E31" s="59"/>
      <c r="F31" s="59"/>
      <c r="G31" s="59"/>
      <c r="H31" s="86"/>
    </row>
    <row r="32" spans="1:8" ht="12.75" customHeight="1">
      <c r="A32" s="53"/>
      <c r="B32" s="85"/>
      <c r="C32" s="59"/>
      <c r="D32" s="59"/>
      <c r="E32" s="59"/>
      <c r="F32" s="59"/>
      <c r="G32" s="59"/>
      <c r="H32" s="86"/>
    </row>
    <row r="33" spans="1:8" ht="12.75" customHeight="1">
      <c r="A33" s="53"/>
      <c r="B33" s="85"/>
      <c r="C33" s="59"/>
      <c r="D33" s="59"/>
      <c r="E33" s="59"/>
      <c r="F33" s="59"/>
      <c r="G33" s="59"/>
      <c r="H33" s="86"/>
    </row>
    <row r="34" spans="1:8" ht="12.75" customHeight="1">
      <c r="A34" s="53"/>
      <c r="B34" s="85"/>
      <c r="C34" s="59"/>
      <c r="D34" s="59"/>
      <c r="E34" s="59"/>
      <c r="F34" s="59"/>
      <c r="G34" s="59"/>
      <c r="H34" s="86"/>
    </row>
    <row r="35" spans="1:8" ht="12.75" customHeight="1">
      <c r="A35" s="53"/>
      <c r="B35" s="85"/>
      <c r="C35" s="59"/>
      <c r="D35" s="59"/>
      <c r="E35" s="59"/>
      <c r="F35" s="59"/>
      <c r="G35" s="59"/>
      <c r="H35" s="86"/>
    </row>
    <row r="36" spans="1:8" ht="12.75" customHeight="1">
      <c r="A36" s="53"/>
      <c r="B36" s="85"/>
      <c r="C36" s="59"/>
      <c r="D36" s="59"/>
      <c r="E36" s="59"/>
      <c r="F36" s="59"/>
      <c r="G36" s="59"/>
      <c r="H36" s="86"/>
    </row>
    <row r="37" spans="1:8" ht="12.75" customHeight="1">
      <c r="A37" s="83"/>
      <c r="B37" s="87"/>
      <c r="C37" s="48"/>
      <c r="D37" s="48"/>
      <c r="E37" s="48"/>
      <c r="F37" s="48"/>
      <c r="G37" s="48"/>
      <c r="H37" s="49"/>
    </row>
  </sheetData>
  <mergeCells count="4">
    <mergeCell ref="A3:A5"/>
    <mergeCell ref="B3:B5"/>
    <mergeCell ref="C3:C5"/>
    <mergeCell ref="D3:H4"/>
  </mergeCells>
  <phoneticPr fontId="23"/>
  <pageMargins left="0.7" right="0.7" top="0.75" bottom="0.75" header="0.3" footer="0.3"/>
  <pageSetup orientation="portrait" horizontalDpi="1200" verticalDpi="1200" r:id="rId1"/>
  <customProperties>
    <customPr name="BudgetSheetCodeName" r:id="rId2"/>
  </customPropertie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7"/>
  <dimension ref="A1:H45"/>
  <sheetViews>
    <sheetView zoomScaleNormal="100" workbookViewId="0">
      <selection activeCell="L46" sqref="L46"/>
    </sheetView>
  </sheetViews>
  <sheetFormatPr defaultColWidth="8.84375" defaultRowHeight="12.75" customHeight="1"/>
  <cols>
    <col min="1" max="8" width="8.84375" style="15"/>
    <col min="9" max="9" width="9.23046875" style="15" customWidth="1"/>
    <col min="10" max="16384" width="8.84375" style="15"/>
  </cols>
  <sheetData>
    <row r="1" spans="1:8" ht="15.5">
      <c r="A1" s="30" t="s">
        <v>78</v>
      </c>
    </row>
    <row r="2" spans="1:8" ht="12.75" customHeight="1" thickBot="1"/>
    <row r="3" spans="1:8" ht="12.75" customHeight="1">
      <c r="A3" s="471" t="s">
        <v>70</v>
      </c>
      <c r="B3" s="406" t="s">
        <v>76</v>
      </c>
      <c r="C3" s="406" t="s">
        <v>75</v>
      </c>
      <c r="D3" s="465" t="s">
        <v>74</v>
      </c>
      <c r="E3" s="466"/>
      <c r="F3" s="466"/>
      <c r="G3" s="466"/>
      <c r="H3" s="467"/>
    </row>
    <row r="4" spans="1:8" ht="12.75" customHeight="1">
      <c r="A4" s="472"/>
      <c r="B4" s="407"/>
      <c r="C4" s="407"/>
      <c r="D4" s="468"/>
      <c r="E4" s="469"/>
      <c r="F4" s="469"/>
      <c r="G4" s="469"/>
      <c r="H4" s="470"/>
    </row>
    <row r="5" spans="1:8" ht="12.75" customHeight="1" thickBot="1">
      <c r="A5" s="473"/>
      <c r="B5" s="407"/>
      <c r="C5" s="407"/>
      <c r="D5" s="48" t="s">
        <v>44</v>
      </c>
      <c r="E5" s="48" t="s">
        <v>45</v>
      </c>
      <c r="F5" s="48" t="s">
        <v>46</v>
      </c>
      <c r="G5" s="48" t="s">
        <v>47</v>
      </c>
      <c r="H5" s="49" t="s">
        <v>48</v>
      </c>
    </row>
    <row r="6" spans="1:8" ht="12.75" customHeight="1">
      <c r="A6" s="63">
        <v>1</v>
      </c>
      <c r="B6" s="100">
        <v>0</v>
      </c>
      <c r="C6" s="66">
        <v>10</v>
      </c>
      <c r="D6" s="66">
        <v>0</v>
      </c>
      <c r="E6" s="66">
        <v>1.2315</v>
      </c>
      <c r="F6" s="66">
        <v>-2.4742000000000002</v>
      </c>
      <c r="G6" s="66">
        <v>1.3908</v>
      </c>
      <c r="H6" s="104">
        <v>0.22850000000000001</v>
      </c>
    </row>
    <row r="7" spans="1:8" ht="12.75" customHeight="1">
      <c r="A7" s="64">
        <v>2</v>
      </c>
      <c r="B7" s="108">
        <v>0</v>
      </c>
      <c r="C7" s="105">
        <v>10</v>
      </c>
      <c r="D7" s="105">
        <v>1.1001000000000001</v>
      </c>
      <c r="E7" s="105">
        <v>-3.5301999999999998</v>
      </c>
      <c r="F7" s="105">
        <v>3.8755000000000002</v>
      </c>
      <c r="G7" s="105">
        <v>-1.5955999999999999</v>
      </c>
      <c r="H7" s="106">
        <v>0.50790000000000002</v>
      </c>
    </row>
    <row r="8" spans="1:8" ht="12.75" customHeight="1">
      <c r="A8" s="64">
        <v>3</v>
      </c>
      <c r="B8" s="108">
        <v>0</v>
      </c>
      <c r="C8" s="105">
        <v>10</v>
      </c>
      <c r="D8" s="105">
        <v>-1.3138000000000001</v>
      </c>
      <c r="E8" s="105">
        <v>3.8010000000000002</v>
      </c>
      <c r="F8" s="105">
        <v>-3.544</v>
      </c>
      <c r="G8" s="105">
        <v>2.0369999999999999</v>
      </c>
      <c r="H8" s="106">
        <v>2.1700000000000001E-2</v>
      </c>
    </row>
    <row r="9" spans="1:8" ht="12.75" customHeight="1">
      <c r="A9" s="64">
        <v>4</v>
      </c>
      <c r="B9" s="108">
        <v>0</v>
      </c>
      <c r="C9" s="105">
        <v>10</v>
      </c>
      <c r="D9" s="105">
        <v>-0.62729999999999997</v>
      </c>
      <c r="E9" s="105">
        <v>1.4865999999999999</v>
      </c>
      <c r="F9" s="105">
        <v>-1.3632</v>
      </c>
      <c r="G9" s="105">
        <v>0.76659999999999995</v>
      </c>
      <c r="H9" s="106">
        <v>0.53690000000000004</v>
      </c>
    </row>
    <row r="10" spans="1:8" ht="12.75" customHeight="1">
      <c r="A10" s="64">
        <v>5</v>
      </c>
      <c r="B10" s="108">
        <v>0</v>
      </c>
      <c r="C10" s="105">
        <v>10</v>
      </c>
      <c r="D10" s="105">
        <v>-0.79100000000000004</v>
      </c>
      <c r="E10" s="105">
        <v>1.9273</v>
      </c>
      <c r="F10" s="105">
        <v>-1.5960000000000001</v>
      </c>
      <c r="G10" s="105">
        <v>0.82299999999999995</v>
      </c>
      <c r="H10" s="106">
        <v>5.5599999999999997E-2</v>
      </c>
    </row>
    <row r="11" spans="1:8" ht="12.75" customHeight="1">
      <c r="A11" s="64">
        <v>6</v>
      </c>
      <c r="B11" s="108">
        <v>0</v>
      </c>
      <c r="C11" s="105">
        <v>10</v>
      </c>
      <c r="D11" s="105">
        <v>-4.8779999999999997E-2</v>
      </c>
      <c r="E11" s="105">
        <v>0.26790000000000003</v>
      </c>
      <c r="F11" s="105">
        <v>-0.58150000000000002</v>
      </c>
      <c r="G11" s="105">
        <v>0.7036</v>
      </c>
      <c r="H11" s="106">
        <v>0.1744</v>
      </c>
    </row>
    <row r="12" spans="1:8" ht="12.75" customHeight="1">
      <c r="A12" s="64">
        <v>7</v>
      </c>
      <c r="B12" s="108">
        <v>0</v>
      </c>
      <c r="C12" s="105">
        <v>10</v>
      </c>
      <c r="D12" s="105">
        <v>-0.78039999999999998</v>
      </c>
      <c r="E12" s="105">
        <v>2.1429999999999998</v>
      </c>
      <c r="F12" s="105">
        <v>-2.3260000000000001</v>
      </c>
      <c r="G12" s="105">
        <v>1.4071</v>
      </c>
      <c r="H12" s="106">
        <v>0.1744</v>
      </c>
    </row>
    <row r="13" spans="1:8" ht="12.75" customHeight="1">
      <c r="A13" s="64"/>
      <c r="B13" s="108"/>
      <c r="C13" s="105"/>
      <c r="D13" s="105"/>
      <c r="E13" s="105"/>
      <c r="F13" s="105"/>
      <c r="G13" s="105"/>
      <c r="H13" s="106"/>
    </row>
    <row r="14" spans="1:8" ht="12.75" customHeight="1">
      <c r="A14" s="64"/>
      <c r="B14" s="108"/>
      <c r="C14" s="105"/>
      <c r="D14" s="105"/>
      <c r="E14" s="105"/>
      <c r="F14" s="105"/>
      <c r="G14" s="105"/>
      <c r="H14" s="106"/>
    </row>
    <row r="15" spans="1:8" ht="12.75" customHeight="1">
      <c r="A15" s="64"/>
      <c r="B15" s="108"/>
      <c r="C15" s="105"/>
      <c r="D15" s="105"/>
      <c r="E15" s="105"/>
      <c r="F15" s="105"/>
      <c r="G15" s="105"/>
      <c r="H15" s="106"/>
    </row>
    <row r="16" spans="1:8" ht="12.75" customHeight="1">
      <c r="A16" s="64"/>
      <c r="B16" s="108"/>
      <c r="C16" s="105"/>
      <c r="D16" s="105"/>
      <c r="E16" s="105"/>
      <c r="F16" s="105"/>
      <c r="G16" s="105"/>
      <c r="H16" s="106"/>
    </row>
    <row r="17" spans="1:8" ht="12.75" customHeight="1">
      <c r="A17" s="64"/>
      <c r="B17" s="108"/>
      <c r="C17" s="105"/>
      <c r="D17" s="105"/>
      <c r="E17" s="105"/>
      <c r="F17" s="105"/>
      <c r="G17" s="105"/>
      <c r="H17" s="106"/>
    </row>
    <row r="18" spans="1:8" ht="12.75" customHeight="1">
      <c r="A18" s="64"/>
      <c r="B18" s="108"/>
      <c r="C18" s="105"/>
      <c r="D18" s="105"/>
      <c r="E18" s="105"/>
      <c r="F18" s="105"/>
      <c r="G18" s="105"/>
      <c r="H18" s="106"/>
    </row>
    <row r="19" spans="1:8" ht="12.75" customHeight="1">
      <c r="A19" s="64"/>
      <c r="B19" s="108"/>
      <c r="C19" s="105"/>
      <c r="D19" s="105"/>
      <c r="E19" s="105"/>
      <c r="F19" s="105"/>
      <c r="G19" s="105"/>
      <c r="H19" s="106"/>
    </row>
    <row r="20" spans="1:8" ht="12.75" customHeight="1">
      <c r="A20" s="64"/>
      <c r="B20" s="108"/>
      <c r="C20" s="105"/>
      <c r="D20" s="105"/>
      <c r="E20" s="105"/>
      <c r="F20" s="105"/>
      <c r="G20" s="105"/>
      <c r="H20" s="106"/>
    </row>
    <row r="21" spans="1:8" ht="12.75" customHeight="1">
      <c r="A21" s="64"/>
      <c r="B21" s="108"/>
      <c r="C21" s="105"/>
      <c r="D21" s="105"/>
      <c r="E21" s="105"/>
      <c r="F21" s="105"/>
      <c r="G21" s="105"/>
      <c r="H21" s="106"/>
    </row>
    <row r="22" spans="1:8" ht="12.75" customHeight="1">
      <c r="A22" s="64"/>
      <c r="B22" s="108"/>
      <c r="C22" s="105"/>
      <c r="D22" s="105"/>
      <c r="E22" s="105"/>
      <c r="F22" s="105"/>
      <c r="G22" s="105"/>
      <c r="H22" s="106"/>
    </row>
    <row r="23" spans="1:8" ht="12.75" customHeight="1">
      <c r="A23" s="64"/>
      <c r="B23" s="108"/>
      <c r="C23" s="105"/>
      <c r="D23" s="105"/>
      <c r="E23" s="105"/>
      <c r="F23" s="105"/>
      <c r="G23" s="105"/>
      <c r="H23" s="106"/>
    </row>
    <row r="24" spans="1:8" ht="12.75" customHeight="1">
      <c r="A24" s="64"/>
      <c r="B24" s="108"/>
      <c r="C24" s="105"/>
      <c r="D24" s="105"/>
      <c r="E24" s="105"/>
      <c r="F24" s="105"/>
      <c r="G24" s="105"/>
      <c r="H24" s="106"/>
    </row>
    <row r="25" spans="1:8" ht="12.75" customHeight="1">
      <c r="A25" s="64"/>
      <c r="B25" s="108"/>
      <c r="C25" s="105"/>
      <c r="D25" s="105"/>
      <c r="E25" s="105"/>
      <c r="F25" s="105"/>
      <c r="G25" s="105"/>
      <c r="H25" s="106"/>
    </row>
    <row r="26" spans="1:8" ht="12.75" customHeight="1">
      <c r="A26" s="64"/>
      <c r="B26" s="108"/>
      <c r="C26" s="105"/>
      <c r="D26" s="105"/>
      <c r="E26" s="105"/>
      <c r="F26" s="105"/>
      <c r="G26" s="105"/>
      <c r="H26" s="106"/>
    </row>
    <row r="27" spans="1:8" ht="12.75" customHeight="1">
      <c r="A27" s="64"/>
      <c r="B27" s="108"/>
      <c r="C27" s="105"/>
      <c r="D27" s="105"/>
      <c r="E27" s="105"/>
      <c r="F27" s="105"/>
      <c r="G27" s="105"/>
      <c r="H27" s="106"/>
    </row>
    <row r="28" spans="1:8" ht="12.75" customHeight="1">
      <c r="A28" s="64"/>
      <c r="B28" s="108"/>
      <c r="C28" s="105"/>
      <c r="D28" s="105"/>
      <c r="E28" s="105"/>
      <c r="F28" s="105"/>
      <c r="G28" s="105"/>
      <c r="H28" s="106"/>
    </row>
    <row r="29" spans="1:8" ht="12.75" customHeight="1">
      <c r="A29" s="64"/>
      <c r="B29" s="108"/>
      <c r="C29" s="105"/>
      <c r="D29" s="105"/>
      <c r="E29" s="105"/>
      <c r="F29" s="105"/>
      <c r="G29" s="105"/>
      <c r="H29" s="106"/>
    </row>
    <row r="30" spans="1:8" ht="12.75" customHeight="1">
      <c r="A30" s="64"/>
      <c r="B30" s="108"/>
      <c r="C30" s="105"/>
      <c r="D30" s="105"/>
      <c r="E30" s="105"/>
      <c r="F30" s="105"/>
      <c r="G30" s="105"/>
      <c r="H30" s="106"/>
    </row>
    <row r="31" spans="1:8" ht="12.75" customHeight="1">
      <c r="A31" s="64"/>
      <c r="B31" s="108"/>
      <c r="C31" s="105"/>
      <c r="D31" s="105"/>
      <c r="E31" s="105"/>
      <c r="F31" s="105"/>
      <c r="G31" s="105"/>
      <c r="H31" s="106"/>
    </row>
    <row r="32" spans="1:8" ht="12.75" customHeight="1">
      <c r="A32" s="64"/>
      <c r="B32" s="108"/>
      <c r="C32" s="105"/>
      <c r="D32" s="105"/>
      <c r="E32" s="105"/>
      <c r="F32" s="105"/>
      <c r="G32" s="105"/>
      <c r="H32" s="106"/>
    </row>
    <row r="33" spans="1:8" ht="12.75" customHeight="1">
      <c r="A33" s="64"/>
      <c r="B33" s="108"/>
      <c r="C33" s="105"/>
      <c r="D33" s="105"/>
      <c r="E33" s="105"/>
      <c r="F33" s="105"/>
      <c r="G33" s="105"/>
      <c r="H33" s="106"/>
    </row>
    <row r="34" spans="1:8" ht="12.75" customHeight="1">
      <c r="A34" s="64"/>
      <c r="B34" s="108"/>
      <c r="C34" s="105"/>
      <c r="D34" s="105"/>
      <c r="E34" s="105"/>
      <c r="F34" s="105"/>
      <c r="G34" s="105"/>
      <c r="H34" s="106"/>
    </row>
    <row r="35" spans="1:8" ht="12.75" customHeight="1">
      <c r="A35" s="64"/>
      <c r="B35" s="108"/>
      <c r="C35" s="105"/>
      <c r="D35" s="105"/>
      <c r="E35" s="105"/>
      <c r="F35" s="105"/>
      <c r="G35" s="105"/>
      <c r="H35" s="106"/>
    </row>
    <row r="36" spans="1:8" ht="12.75" customHeight="1">
      <c r="A36" s="64"/>
      <c r="B36" s="109"/>
      <c r="C36" s="110"/>
      <c r="D36" s="110"/>
      <c r="E36" s="110"/>
      <c r="F36" s="110"/>
      <c r="G36" s="110"/>
      <c r="H36" s="111"/>
    </row>
    <row r="37" spans="1:8" ht="12.75" customHeight="1">
      <c r="A37" s="64"/>
      <c r="B37" s="109"/>
      <c r="C37" s="110"/>
      <c r="D37" s="110"/>
      <c r="E37" s="110"/>
      <c r="F37" s="110"/>
      <c r="G37" s="110"/>
      <c r="H37" s="111"/>
    </row>
    <row r="38" spans="1:8" ht="12.75" customHeight="1">
      <c r="A38" s="64"/>
      <c r="B38" s="109"/>
      <c r="C38" s="110"/>
      <c r="D38" s="110"/>
      <c r="E38" s="110"/>
      <c r="F38" s="110"/>
      <c r="G38" s="110"/>
      <c r="H38" s="111"/>
    </row>
    <row r="39" spans="1:8" ht="12.75" customHeight="1">
      <c r="A39" s="53"/>
      <c r="B39" s="109"/>
      <c r="C39" s="110"/>
      <c r="D39" s="110"/>
      <c r="E39" s="110"/>
      <c r="F39" s="110"/>
      <c r="G39" s="110"/>
      <c r="H39" s="111"/>
    </row>
    <row r="40" spans="1:8" ht="12.75" customHeight="1">
      <c r="A40" s="53"/>
      <c r="B40" s="109"/>
      <c r="C40" s="110"/>
      <c r="D40" s="110"/>
      <c r="E40" s="110"/>
      <c r="F40" s="110"/>
      <c r="G40" s="110"/>
      <c r="H40" s="111"/>
    </row>
    <row r="41" spans="1:8" ht="12.75" customHeight="1">
      <c r="A41" s="53"/>
      <c r="B41" s="109"/>
      <c r="C41" s="110"/>
      <c r="D41" s="110"/>
      <c r="E41" s="110"/>
      <c r="F41" s="110"/>
      <c r="G41" s="110"/>
      <c r="H41" s="111"/>
    </row>
    <row r="42" spans="1:8" ht="12.75" customHeight="1">
      <c r="A42" s="54"/>
      <c r="B42" s="109"/>
      <c r="C42" s="110"/>
      <c r="D42" s="110"/>
      <c r="E42" s="110"/>
      <c r="F42" s="110"/>
      <c r="G42" s="110"/>
      <c r="H42" s="111"/>
    </row>
    <row r="43" spans="1:8" ht="12.75" customHeight="1">
      <c r="A43" s="54"/>
      <c r="B43" s="109"/>
      <c r="C43" s="110"/>
      <c r="D43" s="110"/>
      <c r="E43" s="110"/>
      <c r="F43" s="110"/>
      <c r="G43" s="110"/>
      <c r="H43" s="111"/>
    </row>
    <row r="44" spans="1:8" ht="12.75" customHeight="1">
      <c r="A44" s="54"/>
      <c r="B44" s="51"/>
      <c r="C44" s="50"/>
      <c r="D44" s="50"/>
      <c r="E44" s="50"/>
      <c r="F44" s="50"/>
      <c r="G44" s="50"/>
      <c r="H44" s="52"/>
    </row>
    <row r="45" spans="1:8" ht="12.75" customHeight="1">
      <c r="A45" s="55"/>
      <c r="B45" s="56"/>
      <c r="C45" s="57"/>
      <c r="D45" s="57"/>
      <c r="E45" s="57"/>
      <c r="F45" s="57"/>
      <c r="G45" s="57"/>
      <c r="H45" s="58"/>
    </row>
  </sheetData>
  <mergeCells count="4">
    <mergeCell ref="A3:A5"/>
    <mergeCell ref="B3:B5"/>
    <mergeCell ref="C3:C5"/>
    <mergeCell ref="D3:H4"/>
  </mergeCells>
  <phoneticPr fontId="23"/>
  <pageMargins left="0.7" right="0.7" top="0.75" bottom="0.75" header="0.3" footer="0.3"/>
  <customProperties>
    <customPr name="BudgetSheetCodeName" r:id="rId1"/>
  </customPropertie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9"/>
  <dimension ref="A1:P47"/>
  <sheetViews>
    <sheetView topLeftCell="C1" zoomScaleNormal="100" workbookViewId="0">
      <selection activeCell="O66" sqref="O66"/>
    </sheetView>
  </sheetViews>
  <sheetFormatPr defaultColWidth="8.84375" defaultRowHeight="12.75" customHeight="1"/>
  <cols>
    <col min="1" max="3" width="8.84375" style="16"/>
    <col min="4" max="4" width="8.84375" style="103"/>
    <col min="5" max="16" width="8.84375" style="16"/>
    <col min="17" max="16384" width="8.84375" style="15"/>
  </cols>
  <sheetData>
    <row r="1" spans="1:16" ht="15.5">
      <c r="A1" s="88" t="s">
        <v>104</v>
      </c>
    </row>
    <row r="2" spans="1:16" ht="12.75" customHeight="1">
      <c r="A2" s="88"/>
      <c r="D2" s="103" t="s">
        <v>117</v>
      </c>
      <c r="E2" s="16">
        <v>25.4</v>
      </c>
    </row>
    <row r="3" spans="1:16" ht="12.75" customHeight="1">
      <c r="D3" s="15"/>
      <c r="E3" s="15"/>
      <c r="G3" s="474" t="s">
        <v>103</v>
      </c>
      <c r="H3" s="474"/>
      <c r="I3" s="474"/>
      <c r="J3" s="474"/>
      <c r="K3" s="474"/>
      <c r="L3" s="474"/>
      <c r="M3" s="474"/>
      <c r="N3" s="474"/>
      <c r="O3" s="474"/>
      <c r="P3" s="474"/>
    </row>
    <row r="4" spans="1:16" ht="12.75" customHeight="1">
      <c r="A4" s="16" t="s">
        <v>99</v>
      </c>
      <c r="B4" s="16" t="s">
        <v>51</v>
      </c>
      <c r="C4" s="16" t="s">
        <v>100</v>
      </c>
      <c r="D4" s="103" t="s">
        <v>101</v>
      </c>
      <c r="E4" s="16" t="s">
        <v>118</v>
      </c>
      <c r="F4" s="16" t="s">
        <v>102</v>
      </c>
      <c r="G4" s="16">
        <v>1</v>
      </c>
      <c r="H4" s="16">
        <v>2</v>
      </c>
      <c r="I4" s="16">
        <v>3</v>
      </c>
      <c r="J4" s="16">
        <v>4</v>
      </c>
      <c r="K4" s="16">
        <v>5</v>
      </c>
      <c r="L4" s="16">
        <v>6</v>
      </c>
      <c r="M4" s="16">
        <v>7</v>
      </c>
      <c r="N4" s="16">
        <v>8</v>
      </c>
      <c r="O4" s="16">
        <v>9</v>
      </c>
      <c r="P4" s="16">
        <v>10</v>
      </c>
    </row>
    <row r="5" spans="1:16" ht="12.75" customHeight="1">
      <c r="A5" s="16">
        <v>0</v>
      </c>
      <c r="G5" s="16">
        <v>10</v>
      </c>
      <c r="H5" s="16">
        <v>20</v>
      </c>
      <c r="I5" s="16">
        <v>30</v>
      </c>
      <c r="J5" s="16">
        <v>40</v>
      </c>
      <c r="K5" s="16">
        <v>60</v>
      </c>
      <c r="L5" s="16">
        <v>80</v>
      </c>
      <c r="M5" s="16">
        <v>100</v>
      </c>
      <c r="N5" s="16">
        <v>120</v>
      </c>
      <c r="O5" s="16">
        <v>140</v>
      </c>
      <c r="P5" s="16">
        <v>160</v>
      </c>
    </row>
    <row r="6" spans="1:16" ht="12.75" customHeight="1">
      <c r="A6" s="16">
        <v>1</v>
      </c>
      <c r="B6" s="16">
        <v>1</v>
      </c>
      <c r="C6" s="16" t="s">
        <v>105</v>
      </c>
      <c r="D6" s="103" t="s">
        <v>106</v>
      </c>
      <c r="E6" s="16">
        <f>1/64*E2</f>
        <v>0.39687499999999998</v>
      </c>
      <c r="F6" s="16">
        <v>21.7</v>
      </c>
      <c r="G6" s="16">
        <v>0</v>
      </c>
      <c r="H6" s="16">
        <v>0</v>
      </c>
      <c r="I6" s="16">
        <v>0</v>
      </c>
      <c r="J6" s="16">
        <v>0</v>
      </c>
      <c r="K6" s="16">
        <v>0</v>
      </c>
      <c r="L6" s="16">
        <v>0</v>
      </c>
      <c r="M6" s="16">
        <v>0</v>
      </c>
      <c r="N6" s="16">
        <v>0</v>
      </c>
      <c r="O6" s="16">
        <v>0</v>
      </c>
      <c r="P6" s="16">
        <v>0</v>
      </c>
    </row>
    <row r="7" spans="1:16" ht="12.75" customHeight="1">
      <c r="A7" s="16">
        <v>2</v>
      </c>
      <c r="B7" s="16">
        <v>1.6</v>
      </c>
      <c r="C7" s="16" t="str">
        <f>B7&amp;"A"</f>
        <v>1.6A</v>
      </c>
      <c r="D7" s="103" t="s">
        <v>107</v>
      </c>
      <c r="E7" s="16">
        <f>1/32*E2</f>
        <v>0.79374999999999996</v>
      </c>
      <c r="F7" s="16">
        <v>21.7</v>
      </c>
      <c r="G7" s="16">
        <v>0</v>
      </c>
      <c r="H7" s="16">
        <v>0</v>
      </c>
      <c r="I7" s="16">
        <v>0</v>
      </c>
      <c r="J7" s="16">
        <v>0</v>
      </c>
      <c r="K7" s="16">
        <v>0</v>
      </c>
      <c r="L7" s="16">
        <v>0</v>
      </c>
      <c r="M7" s="16">
        <v>0</v>
      </c>
      <c r="N7" s="16">
        <v>0</v>
      </c>
      <c r="O7" s="16">
        <v>0</v>
      </c>
      <c r="P7" s="16">
        <v>0</v>
      </c>
    </row>
    <row r="8" spans="1:16" ht="12.75" customHeight="1">
      <c r="A8" s="16">
        <v>3</v>
      </c>
      <c r="B8" s="16">
        <v>3</v>
      </c>
      <c r="C8" s="16" t="str">
        <f t="shared" ref="C8:C47" si="0">B8&amp;"A"</f>
        <v>3A</v>
      </c>
      <c r="D8" s="103" t="s">
        <v>108</v>
      </c>
      <c r="E8" s="16">
        <f>1/16*E2</f>
        <v>1.5874999999999999</v>
      </c>
      <c r="F8" s="16">
        <v>21.7</v>
      </c>
      <c r="G8" s="16">
        <v>0</v>
      </c>
      <c r="H8" s="16">
        <v>0</v>
      </c>
      <c r="I8" s="16">
        <v>0</v>
      </c>
      <c r="J8" s="16">
        <v>0</v>
      </c>
      <c r="K8" s="16">
        <v>0</v>
      </c>
      <c r="L8" s="16">
        <v>0</v>
      </c>
      <c r="M8" s="16">
        <v>0</v>
      </c>
      <c r="N8" s="16">
        <v>0</v>
      </c>
      <c r="O8" s="16">
        <v>0</v>
      </c>
      <c r="P8" s="16">
        <v>0</v>
      </c>
    </row>
    <row r="9" spans="1:16" ht="12.75" customHeight="1">
      <c r="A9" s="16">
        <v>4</v>
      </c>
      <c r="B9" s="16">
        <v>6</v>
      </c>
      <c r="C9" s="16" t="str">
        <f t="shared" si="0"/>
        <v>6A</v>
      </c>
      <c r="D9" s="103" t="s">
        <v>109</v>
      </c>
      <c r="E9" s="16">
        <f>1/8*E2</f>
        <v>3.1749999999999998</v>
      </c>
      <c r="F9" s="16">
        <v>21.7</v>
      </c>
      <c r="G9" s="16">
        <v>0</v>
      </c>
      <c r="H9" s="16">
        <v>0</v>
      </c>
      <c r="I9" s="16">
        <v>0</v>
      </c>
      <c r="J9" s="16">
        <v>1.7</v>
      </c>
      <c r="K9" s="16">
        <v>2.2000000000000002</v>
      </c>
      <c r="L9" s="16">
        <v>2.4</v>
      </c>
      <c r="M9" s="16">
        <v>0</v>
      </c>
      <c r="N9" s="16">
        <v>0</v>
      </c>
      <c r="O9" s="16">
        <v>0</v>
      </c>
      <c r="P9" s="16">
        <v>0</v>
      </c>
    </row>
    <row r="10" spans="1:16" ht="12.75" customHeight="1">
      <c r="A10" s="16">
        <v>5</v>
      </c>
      <c r="B10" s="16">
        <v>7</v>
      </c>
      <c r="C10" s="16" t="str">
        <f t="shared" si="0"/>
        <v>7A</v>
      </c>
      <c r="D10" s="103" t="s">
        <v>110</v>
      </c>
      <c r="E10" s="16">
        <f>3/16*E2</f>
        <v>4.7624999999999993</v>
      </c>
      <c r="F10" s="16">
        <v>21.7</v>
      </c>
      <c r="G10" s="16">
        <v>0</v>
      </c>
      <c r="H10" s="16">
        <v>0</v>
      </c>
      <c r="I10" s="16">
        <v>0</v>
      </c>
      <c r="J10" s="16">
        <v>0</v>
      </c>
      <c r="K10" s="16">
        <v>0</v>
      </c>
      <c r="L10" s="16">
        <v>0</v>
      </c>
      <c r="M10" s="16">
        <v>0</v>
      </c>
      <c r="N10" s="16">
        <v>0</v>
      </c>
      <c r="O10" s="16">
        <v>0</v>
      </c>
      <c r="P10" s="16">
        <v>0</v>
      </c>
    </row>
    <row r="11" spans="1:16" ht="12.75" customHeight="1">
      <c r="A11" s="16">
        <v>6</v>
      </c>
      <c r="B11" s="16">
        <v>8</v>
      </c>
      <c r="C11" s="16" t="str">
        <f t="shared" si="0"/>
        <v>8A</v>
      </c>
      <c r="D11" s="103" t="s">
        <v>111</v>
      </c>
      <c r="E11" s="16">
        <f>1/4*E2</f>
        <v>6.35</v>
      </c>
      <c r="F11" s="16">
        <v>21.7</v>
      </c>
      <c r="G11" s="16">
        <v>0</v>
      </c>
      <c r="H11" s="16">
        <v>0</v>
      </c>
      <c r="I11" s="16">
        <v>0</v>
      </c>
      <c r="J11" s="16">
        <v>2.2000000000000002</v>
      </c>
      <c r="K11" s="16">
        <v>2.4</v>
      </c>
      <c r="L11" s="16">
        <v>3</v>
      </c>
      <c r="M11" s="16">
        <v>0</v>
      </c>
      <c r="N11" s="16">
        <v>0</v>
      </c>
      <c r="O11" s="16">
        <v>0</v>
      </c>
      <c r="P11" s="16">
        <v>0</v>
      </c>
    </row>
    <row r="12" spans="1:16" ht="12.75" customHeight="1">
      <c r="A12" s="16">
        <v>7</v>
      </c>
      <c r="B12" s="16">
        <v>9</v>
      </c>
      <c r="C12" s="16" t="str">
        <f t="shared" si="0"/>
        <v>9A</v>
      </c>
      <c r="D12" s="103" t="s">
        <v>112</v>
      </c>
      <c r="E12" s="16">
        <f>5/16*E2</f>
        <v>7.9375</v>
      </c>
      <c r="F12" s="16">
        <v>21.7</v>
      </c>
      <c r="G12" s="16">
        <v>0</v>
      </c>
      <c r="H12" s="16">
        <v>0</v>
      </c>
      <c r="I12" s="16">
        <v>0</v>
      </c>
      <c r="J12" s="16">
        <v>0</v>
      </c>
      <c r="K12" s="16">
        <v>0</v>
      </c>
      <c r="L12" s="16">
        <v>0</v>
      </c>
      <c r="M12" s="16">
        <v>0</v>
      </c>
      <c r="N12" s="16">
        <v>0</v>
      </c>
      <c r="O12" s="16">
        <v>0</v>
      </c>
      <c r="P12" s="16">
        <v>0</v>
      </c>
    </row>
    <row r="13" spans="1:16" ht="12.75" customHeight="1">
      <c r="A13" s="16">
        <v>8</v>
      </c>
      <c r="B13" s="16">
        <v>10</v>
      </c>
      <c r="C13" s="16" t="str">
        <f t="shared" si="0"/>
        <v>10A</v>
      </c>
      <c r="D13" s="103" t="s">
        <v>113</v>
      </c>
      <c r="E13" s="16">
        <f>3/8*E2</f>
        <v>9.5249999999999986</v>
      </c>
      <c r="F13" s="16">
        <v>21.7</v>
      </c>
      <c r="G13" s="16">
        <v>0</v>
      </c>
      <c r="H13" s="16">
        <v>0</v>
      </c>
      <c r="I13" s="16">
        <v>0</v>
      </c>
      <c r="J13" s="16">
        <v>2.2999999999999998</v>
      </c>
      <c r="K13" s="16">
        <v>2.8</v>
      </c>
      <c r="L13" s="16">
        <v>3.2</v>
      </c>
      <c r="M13" s="16">
        <v>0</v>
      </c>
      <c r="N13" s="16">
        <v>0</v>
      </c>
      <c r="O13" s="16">
        <v>0</v>
      </c>
      <c r="P13" s="16">
        <v>0</v>
      </c>
    </row>
    <row r="14" spans="1:16" ht="12.75" customHeight="1">
      <c r="A14" s="16">
        <v>9</v>
      </c>
      <c r="B14" s="16">
        <v>15</v>
      </c>
      <c r="C14" s="16" t="str">
        <f t="shared" si="0"/>
        <v>15A</v>
      </c>
      <c r="D14" s="103" t="s">
        <v>114</v>
      </c>
      <c r="E14" s="16">
        <f>0.5*E2</f>
        <v>12.7</v>
      </c>
      <c r="F14" s="16">
        <v>21.7</v>
      </c>
      <c r="G14" s="16">
        <v>0</v>
      </c>
      <c r="H14" s="16">
        <v>0</v>
      </c>
      <c r="I14" s="16">
        <v>0</v>
      </c>
      <c r="J14" s="16">
        <v>2.8</v>
      </c>
      <c r="K14" s="16">
        <v>3.2</v>
      </c>
      <c r="L14" s="16">
        <v>3.7</v>
      </c>
      <c r="M14" s="16">
        <v>0</v>
      </c>
      <c r="N14" s="16">
        <v>0</v>
      </c>
      <c r="O14" s="16">
        <v>0</v>
      </c>
      <c r="P14" s="16">
        <v>4.7</v>
      </c>
    </row>
    <row r="15" spans="1:16" ht="12.75" customHeight="1">
      <c r="A15" s="16">
        <v>10</v>
      </c>
      <c r="B15" s="16">
        <v>20</v>
      </c>
      <c r="C15" s="16" t="str">
        <f t="shared" si="0"/>
        <v>20A</v>
      </c>
      <c r="D15" s="103" t="s">
        <v>115</v>
      </c>
      <c r="E15" s="16">
        <f>0.75*E2</f>
        <v>19.049999999999997</v>
      </c>
      <c r="F15" s="16">
        <v>27.2</v>
      </c>
      <c r="G15" s="16">
        <v>0</v>
      </c>
      <c r="H15" s="16">
        <v>0</v>
      </c>
      <c r="I15" s="16">
        <v>0</v>
      </c>
      <c r="J15" s="16">
        <v>2.9</v>
      </c>
      <c r="K15" s="16">
        <v>3.4</v>
      </c>
      <c r="L15" s="16">
        <v>3.9</v>
      </c>
      <c r="M15" s="16">
        <v>0</v>
      </c>
      <c r="N15" s="16">
        <v>0</v>
      </c>
      <c r="O15" s="16">
        <v>0</v>
      </c>
      <c r="P15" s="16">
        <v>5.5</v>
      </c>
    </row>
    <row r="16" spans="1:16" ht="12.75" customHeight="1">
      <c r="A16" s="16">
        <v>11</v>
      </c>
      <c r="B16" s="16">
        <v>25</v>
      </c>
      <c r="C16" s="16" t="str">
        <f t="shared" si="0"/>
        <v>25A</v>
      </c>
      <c r="D16" s="103" t="s">
        <v>49</v>
      </c>
      <c r="E16" s="16">
        <f>1*E2</f>
        <v>25.4</v>
      </c>
      <c r="F16" s="16">
        <v>34</v>
      </c>
      <c r="G16" s="16">
        <v>0</v>
      </c>
      <c r="H16" s="16">
        <v>0</v>
      </c>
      <c r="I16" s="16">
        <v>0</v>
      </c>
      <c r="J16" s="16">
        <v>3.4</v>
      </c>
      <c r="K16" s="16">
        <v>3.9</v>
      </c>
      <c r="L16" s="16">
        <v>4.5</v>
      </c>
      <c r="M16" s="16">
        <v>0</v>
      </c>
      <c r="N16" s="16">
        <v>0</v>
      </c>
      <c r="O16" s="16">
        <v>0</v>
      </c>
      <c r="P16" s="16">
        <v>6.4</v>
      </c>
    </row>
    <row r="17" spans="1:16" ht="12.75" customHeight="1">
      <c r="A17" s="16">
        <v>12</v>
      </c>
      <c r="B17" s="16">
        <v>32</v>
      </c>
      <c r="C17" s="16" t="str">
        <f t="shared" si="0"/>
        <v>32A</v>
      </c>
      <c r="D17" s="103" t="s">
        <v>39</v>
      </c>
      <c r="E17" s="16">
        <f>1.25*E2</f>
        <v>31.75</v>
      </c>
      <c r="F17" s="16">
        <v>42.7</v>
      </c>
      <c r="G17" s="16">
        <v>0</v>
      </c>
      <c r="H17" s="16">
        <v>0</v>
      </c>
      <c r="I17" s="16">
        <v>0</v>
      </c>
      <c r="J17" s="16">
        <v>3.6</v>
      </c>
      <c r="K17" s="16">
        <v>4.5</v>
      </c>
      <c r="L17" s="16">
        <v>4.9000000000000004</v>
      </c>
      <c r="M17" s="16">
        <v>0</v>
      </c>
      <c r="N17" s="16">
        <v>0</v>
      </c>
      <c r="O17" s="16">
        <v>0</v>
      </c>
      <c r="P17" s="16">
        <v>6.4</v>
      </c>
    </row>
    <row r="18" spans="1:16" ht="12.75" customHeight="1">
      <c r="A18" s="16">
        <v>13</v>
      </c>
      <c r="B18" s="16">
        <v>40</v>
      </c>
      <c r="C18" s="16" t="str">
        <f t="shared" si="0"/>
        <v>40A</v>
      </c>
      <c r="D18" s="103" t="s">
        <v>2</v>
      </c>
      <c r="E18" s="16">
        <f>1.5*E2</f>
        <v>38.099999999999994</v>
      </c>
      <c r="F18" s="16">
        <v>48.6</v>
      </c>
      <c r="G18" s="16">
        <v>0</v>
      </c>
      <c r="H18" s="16">
        <v>0</v>
      </c>
      <c r="I18" s="16">
        <v>0</v>
      </c>
      <c r="J18" s="16">
        <v>3.7</v>
      </c>
      <c r="K18" s="16">
        <v>4.5</v>
      </c>
      <c r="L18" s="16">
        <v>5.0999999999999996</v>
      </c>
      <c r="M18" s="16">
        <v>0</v>
      </c>
      <c r="N18" s="16">
        <v>0</v>
      </c>
      <c r="O18" s="16">
        <v>0</v>
      </c>
      <c r="P18" s="16">
        <v>7.1</v>
      </c>
    </row>
    <row r="19" spans="1:16" ht="12.75" customHeight="1">
      <c r="A19" s="16">
        <v>14</v>
      </c>
      <c r="B19" s="16">
        <v>50</v>
      </c>
      <c r="C19" s="16" t="str">
        <f t="shared" si="0"/>
        <v>50A</v>
      </c>
      <c r="D19" s="103" t="s">
        <v>50</v>
      </c>
      <c r="E19" s="16">
        <f>2*E2</f>
        <v>50.8</v>
      </c>
      <c r="F19" s="16">
        <v>60.5</v>
      </c>
      <c r="G19" s="16">
        <v>0</v>
      </c>
      <c r="H19" s="16">
        <v>3.2</v>
      </c>
      <c r="I19" s="16">
        <v>0</v>
      </c>
      <c r="J19" s="16">
        <v>3.9</v>
      </c>
      <c r="K19" s="16">
        <v>4.9000000000000004</v>
      </c>
      <c r="L19" s="16">
        <v>5.5</v>
      </c>
      <c r="M19" s="16">
        <v>0</v>
      </c>
      <c r="N19" s="16">
        <v>0</v>
      </c>
      <c r="O19" s="16">
        <v>0</v>
      </c>
      <c r="P19" s="16">
        <v>8.6999999999999993</v>
      </c>
    </row>
    <row r="20" spans="1:16" ht="12.75" customHeight="1">
      <c r="A20" s="16">
        <v>15</v>
      </c>
      <c r="B20" s="16">
        <v>65</v>
      </c>
      <c r="C20" s="16" t="str">
        <f t="shared" si="0"/>
        <v>65A</v>
      </c>
      <c r="D20" s="103" t="s">
        <v>40</v>
      </c>
      <c r="E20" s="16">
        <f>2.5*E2</f>
        <v>63.5</v>
      </c>
      <c r="F20" s="16">
        <v>76.3</v>
      </c>
      <c r="G20" s="16">
        <v>0</v>
      </c>
      <c r="H20" s="16">
        <v>4.5</v>
      </c>
      <c r="I20" s="16">
        <v>0</v>
      </c>
      <c r="J20" s="16">
        <v>5.2</v>
      </c>
      <c r="K20" s="16">
        <v>6</v>
      </c>
      <c r="L20" s="16">
        <v>7</v>
      </c>
      <c r="M20" s="16">
        <v>0</v>
      </c>
      <c r="N20" s="16">
        <v>0</v>
      </c>
      <c r="O20" s="16">
        <v>0</v>
      </c>
      <c r="P20" s="16">
        <v>9.5</v>
      </c>
    </row>
    <row r="21" spans="1:16" ht="12.75" customHeight="1">
      <c r="A21" s="16">
        <v>16</v>
      </c>
      <c r="B21" s="16">
        <v>80</v>
      </c>
      <c r="C21" s="16" t="str">
        <f t="shared" si="0"/>
        <v>80A</v>
      </c>
      <c r="D21" s="103" t="s">
        <v>4</v>
      </c>
      <c r="E21" s="16">
        <f>3*E2</f>
        <v>76.199999999999989</v>
      </c>
      <c r="F21" s="16">
        <v>89.1</v>
      </c>
      <c r="G21" s="16">
        <v>0</v>
      </c>
      <c r="H21" s="16">
        <v>4.5</v>
      </c>
      <c r="I21" s="16">
        <v>0</v>
      </c>
      <c r="J21" s="16">
        <v>5.5</v>
      </c>
      <c r="K21" s="16">
        <v>6.6</v>
      </c>
      <c r="L21" s="16">
        <v>7.6</v>
      </c>
      <c r="M21" s="16">
        <v>0</v>
      </c>
      <c r="N21" s="16">
        <v>0</v>
      </c>
      <c r="O21" s="16">
        <v>0</v>
      </c>
      <c r="P21" s="16">
        <v>11.1</v>
      </c>
    </row>
    <row r="22" spans="1:16" ht="12.75" customHeight="1">
      <c r="A22" s="16">
        <v>17</v>
      </c>
      <c r="B22" s="16">
        <v>100</v>
      </c>
      <c r="C22" s="16" t="str">
        <f t="shared" si="0"/>
        <v>100A</v>
      </c>
      <c r="D22" s="103" t="s">
        <v>3</v>
      </c>
      <c r="E22" s="16">
        <f>4*E2</f>
        <v>101.6</v>
      </c>
      <c r="F22" s="16">
        <v>114.3</v>
      </c>
      <c r="G22" s="16">
        <v>0</v>
      </c>
      <c r="H22" s="16">
        <v>4.9000000000000004</v>
      </c>
      <c r="I22" s="16">
        <v>0</v>
      </c>
      <c r="J22" s="16">
        <v>6</v>
      </c>
      <c r="K22" s="16">
        <v>7.1</v>
      </c>
      <c r="L22" s="16">
        <v>8.6</v>
      </c>
      <c r="M22" s="16">
        <v>0</v>
      </c>
      <c r="N22" s="16">
        <v>11.1</v>
      </c>
      <c r="O22" s="16">
        <v>0</v>
      </c>
      <c r="P22" s="16">
        <v>13.5</v>
      </c>
    </row>
    <row r="23" spans="1:16" ht="12.75" customHeight="1">
      <c r="A23" s="16">
        <v>18</v>
      </c>
      <c r="B23" s="16">
        <v>125</v>
      </c>
      <c r="C23" s="16" t="str">
        <f t="shared" si="0"/>
        <v>125A</v>
      </c>
      <c r="D23" s="103" t="s">
        <v>41</v>
      </c>
      <c r="E23" s="16">
        <f>5*E2</f>
        <v>127</v>
      </c>
      <c r="F23" s="16">
        <v>139.80000000000001</v>
      </c>
      <c r="G23" s="16">
        <v>0</v>
      </c>
      <c r="H23" s="16">
        <v>5.0999999999999996</v>
      </c>
      <c r="I23" s="16">
        <v>0</v>
      </c>
      <c r="J23" s="16">
        <v>6.6</v>
      </c>
      <c r="K23" s="16">
        <v>8.1</v>
      </c>
      <c r="L23" s="16">
        <v>9.5</v>
      </c>
      <c r="M23" s="16">
        <v>0</v>
      </c>
      <c r="N23" s="16">
        <v>12.7</v>
      </c>
      <c r="O23" s="16">
        <v>0</v>
      </c>
      <c r="P23" s="16">
        <v>15.9</v>
      </c>
    </row>
    <row r="24" spans="1:16" ht="12.75" customHeight="1">
      <c r="A24" s="16">
        <v>19</v>
      </c>
      <c r="B24" s="16">
        <v>150</v>
      </c>
      <c r="C24" s="16" t="str">
        <f t="shared" si="0"/>
        <v>150A</v>
      </c>
      <c r="D24" s="103" t="s">
        <v>5</v>
      </c>
      <c r="E24" s="16">
        <f>6*E2</f>
        <v>152.39999999999998</v>
      </c>
      <c r="F24" s="16">
        <v>165.2</v>
      </c>
      <c r="G24" s="16">
        <v>0</v>
      </c>
      <c r="H24" s="16">
        <v>5.5</v>
      </c>
      <c r="I24" s="16">
        <v>0</v>
      </c>
      <c r="J24" s="16">
        <v>7.1</v>
      </c>
      <c r="K24" s="16">
        <v>9.3000000000000007</v>
      </c>
      <c r="L24" s="16">
        <v>11</v>
      </c>
      <c r="M24" s="16">
        <v>0</v>
      </c>
      <c r="N24" s="16">
        <v>14.3</v>
      </c>
      <c r="O24" s="16">
        <v>0</v>
      </c>
      <c r="P24" s="16">
        <v>18.2</v>
      </c>
    </row>
    <row r="25" spans="1:16" ht="12.75" customHeight="1">
      <c r="A25" s="16">
        <v>20</v>
      </c>
      <c r="B25" s="16">
        <v>175</v>
      </c>
      <c r="C25" s="16" t="str">
        <f t="shared" si="0"/>
        <v>175A</v>
      </c>
      <c r="D25" s="103" t="s">
        <v>42</v>
      </c>
      <c r="E25" s="16">
        <f>7*E2</f>
        <v>177.79999999999998</v>
      </c>
      <c r="F25" s="16">
        <v>175</v>
      </c>
      <c r="G25" s="16">
        <v>0</v>
      </c>
      <c r="H25" s="16">
        <v>0</v>
      </c>
      <c r="I25" s="16">
        <v>0</v>
      </c>
      <c r="J25" s="16">
        <v>0</v>
      </c>
      <c r="K25" s="16">
        <v>0</v>
      </c>
      <c r="L25" s="16">
        <v>0</v>
      </c>
      <c r="M25" s="16">
        <v>0</v>
      </c>
      <c r="N25" s="16">
        <v>0</v>
      </c>
      <c r="O25" s="16">
        <v>0</v>
      </c>
      <c r="P25" s="16">
        <v>0</v>
      </c>
    </row>
    <row r="26" spans="1:16" ht="12.75" customHeight="1">
      <c r="A26" s="16">
        <v>21</v>
      </c>
      <c r="B26" s="16">
        <v>200</v>
      </c>
      <c r="C26" s="16" t="str">
        <f t="shared" si="0"/>
        <v>200A</v>
      </c>
      <c r="D26" s="103" t="s">
        <v>6</v>
      </c>
      <c r="E26" s="16">
        <f>8*E2</f>
        <v>203.2</v>
      </c>
      <c r="F26" s="16">
        <v>216.3</v>
      </c>
      <c r="G26" s="16">
        <v>0</v>
      </c>
      <c r="H26" s="16">
        <v>6.4</v>
      </c>
      <c r="I26" s="16">
        <v>7</v>
      </c>
      <c r="J26" s="16">
        <v>8.1999999999999993</v>
      </c>
      <c r="K26" s="16">
        <v>10.3</v>
      </c>
      <c r="L26" s="16">
        <v>12.7</v>
      </c>
      <c r="M26" s="16">
        <v>15.1</v>
      </c>
      <c r="N26" s="16">
        <v>18.2</v>
      </c>
      <c r="O26" s="16">
        <v>20.6</v>
      </c>
      <c r="P26" s="16">
        <v>23</v>
      </c>
    </row>
    <row r="27" spans="1:16" ht="12.75" customHeight="1">
      <c r="A27" s="16">
        <v>22</v>
      </c>
      <c r="B27" s="16">
        <v>250</v>
      </c>
      <c r="C27" s="16" t="str">
        <f t="shared" si="0"/>
        <v>250A</v>
      </c>
      <c r="D27" s="103" t="s">
        <v>7</v>
      </c>
      <c r="E27" s="16">
        <f>10*E2</f>
        <v>254</v>
      </c>
      <c r="F27" s="16">
        <v>267.39999999999998</v>
      </c>
      <c r="G27" s="16">
        <v>0</v>
      </c>
      <c r="H27" s="16">
        <v>6.4</v>
      </c>
      <c r="I27" s="16">
        <v>7.8</v>
      </c>
      <c r="J27" s="16">
        <v>9.3000000000000007</v>
      </c>
      <c r="K27" s="16">
        <v>12.7</v>
      </c>
      <c r="L27" s="16">
        <v>15.1</v>
      </c>
      <c r="M27" s="16">
        <v>18.2</v>
      </c>
      <c r="N27" s="16">
        <v>21.4</v>
      </c>
      <c r="O27" s="16">
        <v>25.4</v>
      </c>
      <c r="P27" s="16">
        <v>28.6</v>
      </c>
    </row>
    <row r="28" spans="1:16" ht="12.75" customHeight="1">
      <c r="A28" s="16">
        <v>23</v>
      </c>
      <c r="B28" s="16">
        <v>300</v>
      </c>
      <c r="C28" s="16" t="str">
        <f t="shared" si="0"/>
        <v>300A</v>
      </c>
      <c r="D28" s="103" t="s">
        <v>8</v>
      </c>
      <c r="E28" s="16">
        <f>12*E2</f>
        <v>304.79999999999995</v>
      </c>
      <c r="F28" s="16">
        <v>318.5</v>
      </c>
      <c r="G28" s="16">
        <v>0</v>
      </c>
      <c r="H28" s="16">
        <v>6.4</v>
      </c>
      <c r="I28" s="16">
        <v>8.4</v>
      </c>
      <c r="J28" s="16">
        <v>10.3</v>
      </c>
      <c r="K28" s="16">
        <v>14.3</v>
      </c>
      <c r="L28" s="16">
        <v>17.399999999999999</v>
      </c>
      <c r="M28" s="16">
        <v>21.4</v>
      </c>
      <c r="N28" s="16">
        <v>25.4</v>
      </c>
      <c r="O28" s="16">
        <v>28.6</v>
      </c>
      <c r="P28" s="16">
        <v>33.299999999999997</v>
      </c>
    </row>
    <row r="29" spans="1:16" ht="12.75" customHeight="1">
      <c r="A29" s="16">
        <v>24</v>
      </c>
      <c r="B29" s="16">
        <v>350</v>
      </c>
      <c r="C29" s="16" t="str">
        <f t="shared" si="0"/>
        <v>350A</v>
      </c>
      <c r="D29" s="103" t="s">
        <v>9</v>
      </c>
      <c r="E29" s="16">
        <f>14*E2</f>
        <v>355.59999999999997</v>
      </c>
      <c r="F29" s="16">
        <v>355.6</v>
      </c>
      <c r="G29" s="16">
        <v>6.4</v>
      </c>
      <c r="H29" s="16">
        <v>7.9</v>
      </c>
      <c r="I29" s="16">
        <v>9.5</v>
      </c>
      <c r="J29" s="16">
        <v>11.1</v>
      </c>
      <c r="K29" s="16">
        <v>15.1</v>
      </c>
      <c r="L29" s="16">
        <v>19</v>
      </c>
      <c r="M29" s="16">
        <v>23.8</v>
      </c>
      <c r="N29" s="16">
        <v>27.8</v>
      </c>
      <c r="O29" s="16">
        <v>31.8</v>
      </c>
      <c r="P29" s="16">
        <v>35.700000000000003</v>
      </c>
    </row>
    <row r="30" spans="1:16" ht="12.75" customHeight="1">
      <c r="A30" s="16">
        <v>25</v>
      </c>
      <c r="B30" s="16">
        <v>400</v>
      </c>
      <c r="C30" s="16" t="str">
        <f t="shared" si="0"/>
        <v>400A</v>
      </c>
      <c r="D30" s="103" t="s">
        <v>10</v>
      </c>
      <c r="E30" s="16">
        <f>16*E2</f>
        <v>406.4</v>
      </c>
      <c r="F30" s="16">
        <v>406.4</v>
      </c>
      <c r="G30" s="16">
        <v>6.4</v>
      </c>
      <c r="H30" s="16">
        <v>7.9</v>
      </c>
      <c r="I30" s="16">
        <v>9.5</v>
      </c>
      <c r="J30" s="16">
        <v>12.7</v>
      </c>
      <c r="K30" s="16">
        <v>16.7</v>
      </c>
      <c r="L30" s="16">
        <v>21.4</v>
      </c>
      <c r="M30" s="16">
        <v>26.2</v>
      </c>
      <c r="N30" s="16">
        <v>30.9</v>
      </c>
      <c r="O30" s="16">
        <v>36.5</v>
      </c>
      <c r="P30" s="16">
        <v>40.5</v>
      </c>
    </row>
    <row r="31" spans="1:16" ht="12.75" customHeight="1">
      <c r="A31" s="16">
        <v>26</v>
      </c>
      <c r="B31" s="16">
        <v>450</v>
      </c>
      <c r="C31" s="16" t="str">
        <f t="shared" si="0"/>
        <v>450A</v>
      </c>
      <c r="D31" s="103" t="s">
        <v>11</v>
      </c>
      <c r="E31" s="16">
        <f>18*E2</f>
        <v>457.2</v>
      </c>
      <c r="F31" s="16">
        <v>457.2</v>
      </c>
      <c r="G31" s="16">
        <v>6.4</v>
      </c>
      <c r="H31" s="16">
        <v>7.9</v>
      </c>
      <c r="I31" s="16">
        <v>11.1</v>
      </c>
      <c r="J31" s="16">
        <v>14.3</v>
      </c>
      <c r="K31" s="16">
        <v>19</v>
      </c>
      <c r="L31" s="16">
        <v>23.8</v>
      </c>
      <c r="M31" s="16">
        <v>29.4</v>
      </c>
      <c r="N31" s="16">
        <v>34.9</v>
      </c>
      <c r="O31" s="16">
        <v>39.700000000000003</v>
      </c>
      <c r="P31" s="16">
        <v>45.2</v>
      </c>
    </row>
    <row r="32" spans="1:16" ht="12.75" customHeight="1">
      <c r="A32" s="16">
        <v>27</v>
      </c>
      <c r="B32" s="16">
        <v>500</v>
      </c>
      <c r="C32" s="16" t="str">
        <f t="shared" si="0"/>
        <v>500A</v>
      </c>
      <c r="D32" s="103" t="s">
        <v>116</v>
      </c>
      <c r="E32" s="16">
        <f>20*E2</f>
        <v>508</v>
      </c>
      <c r="F32" s="16">
        <v>508</v>
      </c>
      <c r="G32" s="16">
        <v>6.4</v>
      </c>
      <c r="H32" s="16">
        <v>9.5</v>
      </c>
      <c r="I32" s="16">
        <v>12.7</v>
      </c>
      <c r="J32" s="16">
        <v>15.1</v>
      </c>
      <c r="K32" s="16">
        <v>20.6</v>
      </c>
      <c r="L32" s="16">
        <v>26.2</v>
      </c>
      <c r="M32" s="16">
        <v>32.5</v>
      </c>
      <c r="N32" s="16">
        <v>38.1</v>
      </c>
      <c r="O32" s="16">
        <v>44.4</v>
      </c>
      <c r="P32" s="16">
        <v>50</v>
      </c>
    </row>
    <row r="33" spans="1:16" ht="12.75" customHeight="1">
      <c r="A33" s="16">
        <v>28</v>
      </c>
      <c r="B33" s="16">
        <v>550</v>
      </c>
      <c r="C33" s="16" t="str">
        <f t="shared" si="0"/>
        <v>550A</v>
      </c>
      <c r="D33" s="103" t="s">
        <v>119</v>
      </c>
      <c r="E33" s="16">
        <f>22*E2</f>
        <v>558.79999999999995</v>
      </c>
      <c r="F33" s="16">
        <v>558.79999999999995</v>
      </c>
      <c r="G33" s="16">
        <v>6.4</v>
      </c>
      <c r="H33" s="16">
        <v>9.5</v>
      </c>
      <c r="I33" s="16">
        <v>12.7</v>
      </c>
      <c r="J33" s="16">
        <v>15.9</v>
      </c>
      <c r="K33" s="16">
        <v>22.2</v>
      </c>
      <c r="L33" s="16">
        <v>28.6</v>
      </c>
      <c r="M33" s="16">
        <v>34.9</v>
      </c>
      <c r="N33" s="16">
        <v>41.3</v>
      </c>
      <c r="O33" s="16">
        <v>47.6</v>
      </c>
      <c r="P33" s="16">
        <v>54</v>
      </c>
    </row>
    <row r="34" spans="1:16" ht="12.75" customHeight="1">
      <c r="A34" s="16">
        <v>29</v>
      </c>
      <c r="B34" s="16">
        <v>600</v>
      </c>
      <c r="C34" s="16" t="str">
        <f t="shared" si="0"/>
        <v>600A</v>
      </c>
      <c r="D34" s="103" t="s">
        <v>120</v>
      </c>
      <c r="E34" s="16">
        <f>24*E2</f>
        <v>609.59999999999991</v>
      </c>
      <c r="F34" s="16">
        <v>609.6</v>
      </c>
      <c r="G34" s="16">
        <v>6.4</v>
      </c>
      <c r="H34" s="16">
        <v>9.5</v>
      </c>
      <c r="I34" s="16">
        <v>14.3</v>
      </c>
      <c r="J34" s="16">
        <v>17.5</v>
      </c>
      <c r="K34" s="16">
        <v>24.6</v>
      </c>
      <c r="L34" s="16">
        <v>31</v>
      </c>
      <c r="M34" s="16">
        <v>38.9</v>
      </c>
      <c r="N34" s="16">
        <v>46</v>
      </c>
      <c r="O34" s="16">
        <v>52.4</v>
      </c>
      <c r="P34" s="16">
        <v>59.5</v>
      </c>
    </row>
    <row r="35" spans="1:16" ht="12.75" customHeight="1">
      <c r="A35" s="16">
        <v>30</v>
      </c>
      <c r="B35" s="16">
        <v>650</v>
      </c>
      <c r="C35" s="16" t="str">
        <f t="shared" si="0"/>
        <v>650A</v>
      </c>
      <c r="D35" s="103" t="s">
        <v>121</v>
      </c>
      <c r="E35" s="16">
        <f>26*E2</f>
        <v>660.4</v>
      </c>
      <c r="F35" s="16">
        <v>660.4</v>
      </c>
      <c r="G35" s="16">
        <v>7.9</v>
      </c>
      <c r="H35" s="16">
        <v>12.7</v>
      </c>
      <c r="I35" s="16">
        <v>0</v>
      </c>
      <c r="J35" s="16">
        <v>18.899999999999999</v>
      </c>
      <c r="K35" s="16">
        <v>26.4</v>
      </c>
      <c r="L35" s="16">
        <v>34</v>
      </c>
      <c r="M35" s="16">
        <v>41.6</v>
      </c>
      <c r="N35" s="16">
        <v>49.1</v>
      </c>
      <c r="O35" s="16">
        <v>56.6</v>
      </c>
      <c r="P35" s="16">
        <v>64.2</v>
      </c>
    </row>
    <row r="36" spans="1:16" ht="12.75" customHeight="1">
      <c r="A36" s="16">
        <v>31</v>
      </c>
      <c r="B36" s="16">
        <v>700</v>
      </c>
      <c r="C36" s="16" t="str">
        <f t="shared" si="0"/>
        <v>700A</v>
      </c>
      <c r="D36" s="103" t="s">
        <v>122</v>
      </c>
      <c r="E36" s="16">
        <f>28*E2</f>
        <v>711.19999999999993</v>
      </c>
      <c r="F36" s="16">
        <v>700</v>
      </c>
      <c r="G36" s="16">
        <v>0</v>
      </c>
      <c r="H36" s="16">
        <v>0</v>
      </c>
      <c r="I36" s="16">
        <v>0</v>
      </c>
      <c r="J36" s="16">
        <v>0</v>
      </c>
      <c r="K36" s="16">
        <v>0</v>
      </c>
      <c r="L36" s="16">
        <v>0</v>
      </c>
      <c r="M36" s="16">
        <v>0</v>
      </c>
      <c r="N36" s="16">
        <v>0</v>
      </c>
      <c r="O36" s="16">
        <v>0</v>
      </c>
      <c r="P36" s="16">
        <v>0</v>
      </c>
    </row>
    <row r="37" spans="1:16" ht="12.75" customHeight="1">
      <c r="A37" s="16">
        <v>32</v>
      </c>
      <c r="B37" s="16">
        <v>750</v>
      </c>
      <c r="C37" s="16" t="str">
        <f t="shared" si="0"/>
        <v>750A</v>
      </c>
      <c r="D37" s="103" t="s">
        <v>123</v>
      </c>
      <c r="E37" s="16">
        <f>30*E2</f>
        <v>762</v>
      </c>
      <c r="F37" s="16">
        <v>750</v>
      </c>
      <c r="G37" s="16">
        <v>0</v>
      </c>
      <c r="H37" s="16">
        <v>0</v>
      </c>
      <c r="I37" s="16">
        <v>0</v>
      </c>
      <c r="J37" s="16">
        <v>0</v>
      </c>
      <c r="K37" s="16">
        <v>0</v>
      </c>
      <c r="L37" s="16">
        <v>0</v>
      </c>
      <c r="M37" s="16">
        <v>0</v>
      </c>
      <c r="N37" s="16">
        <v>0</v>
      </c>
      <c r="O37" s="16">
        <v>0</v>
      </c>
      <c r="P37" s="16">
        <v>0</v>
      </c>
    </row>
    <row r="38" spans="1:16" ht="12.75" customHeight="1">
      <c r="A38" s="16">
        <v>33</v>
      </c>
      <c r="B38" s="16">
        <v>800</v>
      </c>
      <c r="C38" s="16" t="str">
        <f t="shared" si="0"/>
        <v>800A</v>
      </c>
      <c r="D38" s="103" t="s">
        <v>124</v>
      </c>
      <c r="E38" s="16">
        <f>32*E2</f>
        <v>812.8</v>
      </c>
      <c r="F38" s="16">
        <v>800</v>
      </c>
      <c r="G38" s="16">
        <v>0</v>
      </c>
      <c r="H38" s="16">
        <v>0</v>
      </c>
      <c r="I38" s="16">
        <v>0</v>
      </c>
      <c r="J38" s="16">
        <v>0</v>
      </c>
      <c r="K38" s="16">
        <v>0</v>
      </c>
      <c r="L38" s="16">
        <v>0</v>
      </c>
      <c r="M38" s="16">
        <v>0</v>
      </c>
      <c r="N38" s="16">
        <v>0</v>
      </c>
      <c r="O38" s="16">
        <v>0</v>
      </c>
      <c r="P38" s="16">
        <v>0</v>
      </c>
    </row>
    <row r="39" spans="1:16" ht="12.75" customHeight="1">
      <c r="A39" s="16">
        <v>34</v>
      </c>
      <c r="B39" s="16">
        <v>850</v>
      </c>
      <c r="C39" s="16" t="str">
        <f t="shared" si="0"/>
        <v>850A</v>
      </c>
      <c r="D39" s="103" t="s">
        <v>125</v>
      </c>
      <c r="E39" s="16">
        <f>34*E2</f>
        <v>863.59999999999991</v>
      </c>
      <c r="F39" s="16">
        <v>850</v>
      </c>
      <c r="G39" s="16">
        <v>0</v>
      </c>
      <c r="H39" s="16">
        <v>0</v>
      </c>
      <c r="I39" s="16">
        <v>0</v>
      </c>
      <c r="J39" s="16">
        <v>0</v>
      </c>
      <c r="K39" s="16">
        <v>0</v>
      </c>
      <c r="L39" s="16">
        <v>0</v>
      </c>
      <c r="M39" s="16">
        <v>0</v>
      </c>
      <c r="N39" s="16">
        <v>0</v>
      </c>
      <c r="O39" s="16">
        <v>0</v>
      </c>
      <c r="P39" s="16">
        <v>0</v>
      </c>
    </row>
    <row r="40" spans="1:16" ht="12.75" customHeight="1">
      <c r="A40" s="16">
        <v>35</v>
      </c>
      <c r="B40" s="16">
        <v>900</v>
      </c>
      <c r="C40" s="16" t="str">
        <f t="shared" si="0"/>
        <v>900A</v>
      </c>
      <c r="D40" s="103" t="s">
        <v>126</v>
      </c>
      <c r="E40" s="16">
        <f>36*E2</f>
        <v>914.4</v>
      </c>
      <c r="F40" s="16">
        <v>900</v>
      </c>
      <c r="G40" s="16">
        <v>0</v>
      </c>
      <c r="H40" s="16">
        <v>0</v>
      </c>
      <c r="I40" s="16">
        <v>0</v>
      </c>
      <c r="J40" s="16">
        <v>0</v>
      </c>
      <c r="K40" s="16">
        <v>0</v>
      </c>
      <c r="L40" s="16">
        <v>0</v>
      </c>
      <c r="M40" s="16">
        <v>0</v>
      </c>
      <c r="N40" s="16">
        <v>0</v>
      </c>
      <c r="O40" s="16">
        <v>0</v>
      </c>
      <c r="P40" s="16">
        <v>0</v>
      </c>
    </row>
    <row r="41" spans="1:16" ht="12.75" customHeight="1">
      <c r="A41" s="16">
        <v>36</v>
      </c>
      <c r="B41" s="16">
        <v>1000</v>
      </c>
      <c r="C41" s="16" t="str">
        <f t="shared" si="0"/>
        <v>1000A</v>
      </c>
      <c r="D41" s="103" t="s">
        <v>127</v>
      </c>
      <c r="E41" s="103">
        <f>D41*E2</f>
        <v>1016</v>
      </c>
      <c r="F41" s="16">
        <v>1000</v>
      </c>
      <c r="G41" s="16">
        <v>0</v>
      </c>
      <c r="H41" s="16">
        <v>0</v>
      </c>
      <c r="I41" s="16">
        <v>0</v>
      </c>
      <c r="J41" s="16">
        <v>0</v>
      </c>
      <c r="K41" s="16">
        <v>0</v>
      </c>
      <c r="L41" s="16">
        <v>0</v>
      </c>
      <c r="M41" s="16">
        <v>0</v>
      </c>
      <c r="N41" s="16">
        <v>0</v>
      </c>
      <c r="O41" s="16">
        <v>0</v>
      </c>
      <c r="P41" s="16">
        <v>0</v>
      </c>
    </row>
    <row r="42" spans="1:16" ht="12.75" customHeight="1">
      <c r="A42" s="16">
        <v>37</v>
      </c>
      <c r="B42" s="16">
        <v>1050</v>
      </c>
      <c r="C42" s="16" t="str">
        <f t="shared" si="0"/>
        <v>1050A</v>
      </c>
      <c r="D42" s="103" t="s">
        <v>128</v>
      </c>
      <c r="E42" s="16">
        <f>42*E2</f>
        <v>1066.8</v>
      </c>
      <c r="F42" s="16">
        <v>1050</v>
      </c>
      <c r="G42" s="16">
        <v>0</v>
      </c>
      <c r="H42" s="16">
        <v>0</v>
      </c>
      <c r="I42" s="16">
        <v>0</v>
      </c>
      <c r="J42" s="16">
        <v>0</v>
      </c>
      <c r="K42" s="16">
        <v>0</v>
      </c>
      <c r="L42" s="16">
        <v>0</v>
      </c>
      <c r="M42" s="16">
        <v>0</v>
      </c>
      <c r="N42" s="16">
        <v>0</v>
      </c>
      <c r="O42" s="16">
        <v>0</v>
      </c>
      <c r="P42" s="16">
        <v>0</v>
      </c>
    </row>
    <row r="43" spans="1:16" ht="12.75" customHeight="1">
      <c r="A43" s="16">
        <v>38</v>
      </c>
      <c r="B43" s="16">
        <v>1100</v>
      </c>
      <c r="C43" s="16" t="str">
        <f t="shared" si="0"/>
        <v>1100A</v>
      </c>
      <c r="D43" s="103" t="s">
        <v>129</v>
      </c>
      <c r="E43" s="16">
        <f>44*E2</f>
        <v>1117.5999999999999</v>
      </c>
      <c r="F43" s="16">
        <v>1100</v>
      </c>
      <c r="G43" s="16">
        <v>0</v>
      </c>
      <c r="H43" s="16">
        <v>0</v>
      </c>
      <c r="I43" s="16">
        <v>0</v>
      </c>
      <c r="J43" s="16">
        <v>0</v>
      </c>
      <c r="K43" s="16">
        <v>0</v>
      </c>
      <c r="L43" s="16">
        <v>0</v>
      </c>
      <c r="M43" s="16">
        <v>0</v>
      </c>
      <c r="N43" s="16">
        <v>0</v>
      </c>
      <c r="O43" s="16">
        <v>0</v>
      </c>
      <c r="P43" s="16">
        <v>0</v>
      </c>
    </row>
    <row r="44" spans="1:16" ht="12.75" customHeight="1">
      <c r="A44" s="16">
        <v>39</v>
      </c>
      <c r="B44" s="16">
        <v>1200</v>
      </c>
      <c r="C44" s="16" t="str">
        <f t="shared" si="0"/>
        <v>1200A</v>
      </c>
      <c r="D44" s="103" t="s">
        <v>130</v>
      </c>
      <c r="E44" s="16">
        <f>48*E2</f>
        <v>1219.1999999999998</v>
      </c>
      <c r="F44" s="16">
        <v>1200</v>
      </c>
      <c r="G44" s="16">
        <v>0</v>
      </c>
      <c r="H44" s="16">
        <v>0</v>
      </c>
      <c r="I44" s="16">
        <v>0</v>
      </c>
      <c r="J44" s="16">
        <v>0</v>
      </c>
      <c r="K44" s="16">
        <v>0</v>
      </c>
      <c r="L44" s="16">
        <v>0</v>
      </c>
      <c r="M44" s="16">
        <v>0</v>
      </c>
      <c r="N44" s="16">
        <v>0</v>
      </c>
      <c r="O44" s="16">
        <v>0</v>
      </c>
      <c r="P44" s="16">
        <v>0</v>
      </c>
    </row>
    <row r="45" spans="1:16" ht="12.75" customHeight="1">
      <c r="A45" s="16">
        <v>40</v>
      </c>
      <c r="B45" s="16">
        <v>1300</v>
      </c>
      <c r="C45" s="16" t="str">
        <f t="shared" si="0"/>
        <v>1300A</v>
      </c>
      <c r="D45" s="103" t="s">
        <v>131</v>
      </c>
      <c r="E45" s="16">
        <f>52*E2</f>
        <v>1320.8</v>
      </c>
      <c r="F45" s="16">
        <v>1300</v>
      </c>
      <c r="G45" s="16">
        <v>0</v>
      </c>
      <c r="H45" s="16">
        <v>0</v>
      </c>
      <c r="I45" s="16">
        <v>0</v>
      </c>
      <c r="J45" s="16">
        <v>0</v>
      </c>
      <c r="K45" s="16">
        <v>0</v>
      </c>
      <c r="L45" s="16">
        <v>0</v>
      </c>
      <c r="M45" s="16">
        <v>0</v>
      </c>
      <c r="N45" s="16">
        <v>0</v>
      </c>
      <c r="O45" s="16">
        <v>0</v>
      </c>
      <c r="P45" s="16">
        <v>0</v>
      </c>
    </row>
    <row r="46" spans="1:16" ht="12.75" customHeight="1">
      <c r="A46" s="16">
        <v>41</v>
      </c>
      <c r="B46" s="16">
        <v>1350</v>
      </c>
      <c r="C46" s="16" t="str">
        <f t="shared" si="0"/>
        <v>1350A</v>
      </c>
      <c r="D46" s="103" t="s">
        <v>132</v>
      </c>
      <c r="E46" s="16">
        <f>54*E2</f>
        <v>1371.6</v>
      </c>
      <c r="F46" s="16">
        <v>1350</v>
      </c>
      <c r="G46" s="16">
        <v>0</v>
      </c>
      <c r="H46" s="16">
        <v>0</v>
      </c>
      <c r="I46" s="16">
        <v>0</v>
      </c>
      <c r="J46" s="16">
        <v>0</v>
      </c>
      <c r="K46" s="16">
        <v>0</v>
      </c>
      <c r="L46" s="16">
        <v>0</v>
      </c>
      <c r="M46" s="16">
        <v>0</v>
      </c>
      <c r="N46" s="16">
        <v>0</v>
      </c>
      <c r="O46" s="16">
        <v>0</v>
      </c>
      <c r="P46" s="16">
        <v>0</v>
      </c>
    </row>
    <row r="47" spans="1:16" ht="12.75" customHeight="1">
      <c r="A47" s="16">
        <v>42</v>
      </c>
      <c r="B47" s="16">
        <v>1500</v>
      </c>
      <c r="C47" s="16" t="str">
        <f t="shared" si="0"/>
        <v>1500A</v>
      </c>
      <c r="D47" s="103" t="s">
        <v>133</v>
      </c>
      <c r="E47" s="16">
        <f>60*E2</f>
        <v>1524</v>
      </c>
      <c r="F47" s="16">
        <v>1500</v>
      </c>
      <c r="G47" s="16">
        <v>0</v>
      </c>
      <c r="H47" s="16">
        <v>0</v>
      </c>
      <c r="I47" s="16">
        <v>0</v>
      </c>
      <c r="J47" s="16">
        <v>0</v>
      </c>
      <c r="K47" s="16">
        <v>0</v>
      </c>
      <c r="L47" s="16">
        <v>0</v>
      </c>
      <c r="M47" s="16">
        <v>0</v>
      </c>
      <c r="N47" s="16">
        <v>0</v>
      </c>
      <c r="O47" s="16">
        <v>0</v>
      </c>
      <c r="P47" s="16">
        <v>0</v>
      </c>
    </row>
  </sheetData>
  <mergeCells count="1">
    <mergeCell ref="G3:P3"/>
  </mergeCells>
  <phoneticPr fontId="23"/>
  <pageMargins left="0.7" right="0.7" top="0.75" bottom="0.75" header="0.3" footer="0.3"/>
  <pageSetup paperSize="9" orientation="portrait" verticalDpi="0" r:id="rId1"/>
  <customProperties>
    <customPr name="BudgetSheetCodeName" r:id="rId2"/>
  </customPropertie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DataSources/>
</file>

<file path=customXml/itemProps1.xml><?xml version="1.0" encoding="utf-8"?>
<ds:datastoreItem xmlns:ds="http://schemas.openxmlformats.org/officeDocument/2006/customXml" ds:itemID="{3EDE266D-4D94-47AC-BF8A-23552E0AB2AF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15</vt:i4>
      </vt:variant>
      <vt:variant>
        <vt:lpstr>命名范围</vt:lpstr>
      </vt:variant>
      <vt:variant>
        <vt:i4>6</vt:i4>
      </vt:variant>
    </vt:vector>
  </HeadingPairs>
  <TitlesOfParts>
    <vt:vector size="21" baseType="lpstr">
      <vt:lpstr>GC120</vt:lpstr>
      <vt:lpstr>GC210</vt:lpstr>
      <vt:lpstr>GV120</vt:lpstr>
      <vt:lpstr>GV110</vt:lpstr>
      <vt:lpstr>GV410</vt:lpstr>
      <vt:lpstr>BC110</vt:lpstr>
      <vt:lpstr>BE120</vt:lpstr>
      <vt:lpstr>BT120</vt:lpstr>
      <vt:lpstr>BT110</vt:lpstr>
      <vt:lpstr>BT210</vt:lpstr>
      <vt:lpstr>Eq% Data</vt:lpstr>
      <vt:lpstr>FL Data</vt:lpstr>
      <vt:lpstr>Kc Data</vt:lpstr>
      <vt:lpstr>Fd Data</vt:lpstr>
      <vt:lpstr>Pipe Data</vt:lpstr>
      <vt:lpstr>FdData</vt:lpstr>
      <vt:lpstr>FLData</vt:lpstr>
      <vt:lpstr>KcData</vt:lpstr>
      <vt:lpstr>Plug1500</vt:lpstr>
      <vt:lpstr>Plug2500</vt:lpstr>
      <vt:lpstr>StkData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Laurence Stratton</dc:creator>
  <cp:lastModifiedBy>rong zhao</cp:lastModifiedBy>
  <dcterms:created xsi:type="dcterms:W3CDTF">2010-04-25T04:05:48Z</dcterms:created>
  <dcterms:modified xsi:type="dcterms:W3CDTF">2026-09-11T07:49:32Z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UFIDA_U9App_DataSourceXMLPart">
    <vt:lpwstr>{3EDE266D-4D94-47AC-BF8A-23552E0AB2AF}</vt:lpwstr>
  </property>
</Properties>
</file>