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文档(ST)\设计资料\选型计算\"/>
    </mc:Choice>
  </mc:AlternateContent>
  <xr:revisionPtr revIDLastSave="0" documentId="13_ncr:1_{FA358089-263A-43C7-8EBA-962D4C137F14}" xr6:coauthVersionLast="46" xr6:coauthVersionMax="46" xr10:uidLastSave="{00000000-0000-0000-0000-000000000000}"/>
  <bookViews>
    <workbookView xWindow="11700" yWindow="285" windowWidth="16515" windowHeight="15120" xr2:uid="{00000000-000D-0000-FFFF-FFFF00000000}"/>
  </bookViews>
  <sheets>
    <sheet name="Sheet1" sheetId="1" r:id="rId1"/>
    <sheet name="Sheet2" sheetId="2" r:id="rId2"/>
    <sheet name="Sheet3" sheetId="3" r:id="rId3"/>
    <sheet name="Sheet1 (2)" sheetId="4" r:id="rId4"/>
  </sheets>
  <calcPr calcId="191029"/>
</workbook>
</file>

<file path=xl/calcChain.xml><?xml version="1.0" encoding="utf-8"?>
<calcChain xmlns="http://schemas.openxmlformats.org/spreadsheetml/2006/main">
  <c r="O6" i="1" l="1"/>
  <c r="N6" i="1"/>
  <c r="M6" i="1"/>
  <c r="I10" i="1"/>
  <c r="I9" i="1"/>
  <c r="I8" i="1"/>
  <c r="H10" i="1"/>
  <c r="H9" i="1"/>
  <c r="H8" i="1"/>
  <c r="I10" i="4"/>
  <c r="O6" i="4" s="1"/>
  <c r="I9" i="4"/>
  <c r="N6" i="4" s="1"/>
  <c r="I8" i="4"/>
  <c r="M6" i="4" s="1"/>
</calcChain>
</file>

<file path=xl/sharedStrings.xml><?xml version="1.0" encoding="utf-8"?>
<sst xmlns="http://schemas.openxmlformats.org/spreadsheetml/2006/main" count="45" uniqueCount="24">
  <si>
    <r>
      <t>开度计算</t>
    </r>
    <r>
      <rPr>
        <b/>
        <sz val="11"/>
        <rFont val="ＭＳ Ｐゴシック"/>
        <family val="2"/>
        <charset val="128"/>
      </rPr>
      <t xml:space="preserve"> </t>
    </r>
    <phoneticPr fontId="5"/>
  </si>
  <si>
    <t>INPUT</t>
    <phoneticPr fontId="5"/>
  </si>
  <si>
    <t>AUTO CALC</t>
    <phoneticPr fontId="5"/>
  </si>
  <si>
    <t>开度</t>
    <phoneticPr fontId="5"/>
  </si>
  <si>
    <t>Range</t>
    <phoneticPr fontId="5"/>
  </si>
  <si>
    <t>%</t>
    <phoneticPr fontId="5"/>
  </si>
  <si>
    <t>流量特性</t>
    <phoneticPr fontId="5"/>
  </si>
  <si>
    <t>Rated Cv</t>
    <phoneticPr fontId="5"/>
  </si>
  <si>
    <r>
      <t>Cvc</t>
    </r>
    <r>
      <rPr>
        <b/>
        <vertAlign val="subscript"/>
        <sz val="11"/>
        <rFont val="Times New Roman"/>
        <family val="1"/>
      </rPr>
      <t>2</t>
    </r>
    <r>
      <rPr>
        <sz val="11"/>
        <rFont val="ＭＳ Ｐゴシック"/>
        <family val="2"/>
        <charset val="128"/>
      </rPr>
      <t/>
    </r>
  </si>
  <si>
    <t>EQ%</t>
    <phoneticPr fontId="5"/>
  </si>
  <si>
    <t>Character</t>
    <phoneticPr fontId="5"/>
  </si>
  <si>
    <r>
      <t>Cvc</t>
    </r>
    <r>
      <rPr>
        <b/>
        <vertAlign val="subscript"/>
        <sz val="11"/>
        <rFont val="Times New Roman"/>
        <family val="1"/>
      </rPr>
      <t>3</t>
    </r>
    <r>
      <rPr>
        <sz val="11"/>
        <rFont val="ＭＳ Ｐゴシック"/>
        <family val="2"/>
        <charset val="128"/>
      </rPr>
      <t/>
    </r>
  </si>
  <si>
    <t>LINEAR</t>
    <phoneticPr fontId="5"/>
  </si>
  <si>
    <r>
      <t>注</t>
    </r>
    <r>
      <rPr>
        <b/>
        <sz val="11"/>
        <rFont val="宋体"/>
        <family val="3"/>
        <charset val="134"/>
      </rPr>
      <t>释：</t>
    </r>
    <phoneticPr fontId="5"/>
  </si>
  <si>
    <t>EQ%     开度=(LOG(Range,(Cvc/Cvrated))+1)*100%</t>
    <phoneticPr fontId="5"/>
  </si>
  <si>
    <t>LINEAR  开度=(Cvc/Cvrated-1/Range)/(1-1/Range)*100%</t>
    <phoneticPr fontId="5"/>
  </si>
  <si>
    <r>
      <t>Cvc</t>
    </r>
    <r>
      <rPr>
        <b/>
        <vertAlign val="subscript"/>
        <sz val="11"/>
        <rFont val="Times New Roman"/>
        <family val="1"/>
      </rPr>
      <t>1</t>
    </r>
    <phoneticPr fontId="5"/>
  </si>
  <si>
    <t>EQ%</t>
  </si>
  <si>
    <t>%</t>
    <phoneticPr fontId="2" type="noConversion"/>
  </si>
  <si>
    <t xml:space="preserve">开度计算 </t>
    <phoneticPr fontId="5"/>
  </si>
  <si>
    <r>
      <t>Cvc</t>
    </r>
    <r>
      <rPr>
        <b/>
        <vertAlign val="subscript"/>
        <sz val="11"/>
        <rFont val="等线"/>
        <family val="3"/>
        <charset val="134"/>
      </rPr>
      <t>1</t>
    </r>
    <phoneticPr fontId="5"/>
  </si>
  <si>
    <r>
      <t>Cvc</t>
    </r>
    <r>
      <rPr>
        <b/>
        <vertAlign val="subscript"/>
        <sz val="11"/>
        <rFont val="等线"/>
        <family val="3"/>
        <charset val="134"/>
      </rPr>
      <t>2</t>
    </r>
    <r>
      <rPr>
        <sz val="11"/>
        <rFont val="ＭＳ Ｐゴシック"/>
        <family val="2"/>
        <charset val="128"/>
      </rPr>
      <t/>
    </r>
  </si>
  <si>
    <r>
      <t>Cvc</t>
    </r>
    <r>
      <rPr>
        <b/>
        <vertAlign val="subscript"/>
        <sz val="11"/>
        <rFont val="等线"/>
        <family val="3"/>
        <charset val="134"/>
      </rPr>
      <t>3</t>
    </r>
    <r>
      <rPr>
        <sz val="11"/>
        <rFont val="ＭＳ Ｐゴシック"/>
        <family val="2"/>
        <charset val="128"/>
      </rPr>
      <t/>
    </r>
  </si>
  <si>
    <t>注释：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</si>
</sst>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 "/>
  </numFmts>
  <fonts count="20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Arial Narrow"/>
      <family val="2"/>
    </font>
    <font>
      <b/>
      <sz val="11"/>
      <name val="Times New Roman"/>
      <family val="1"/>
    </font>
    <font>
      <b/>
      <vertAlign val="subscript"/>
      <sz val="11"/>
      <name val="Times New Roman"/>
      <family val="1"/>
    </font>
    <font>
      <b/>
      <sz val="11"/>
      <color indexed="8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等线"/>
      <family val="3"/>
      <charset val="134"/>
    </font>
    <font>
      <sz val="12"/>
      <name val="等线"/>
      <family val="3"/>
      <charset val="134"/>
    </font>
    <font>
      <sz val="11"/>
      <name val="等线"/>
      <family val="3"/>
      <charset val="134"/>
    </font>
    <font>
      <b/>
      <vertAlign val="subscript"/>
      <sz val="11"/>
      <name val="等线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indexed="9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/>
  </cellStyleXfs>
  <cellXfs count="93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0" xfId="0" applyFont="1" applyBorder="1">
      <alignment vertical="center"/>
    </xf>
    <xf numFmtId="0" fontId="11" fillId="4" borderId="2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" fillId="0" borderId="3" xfId="0" applyFont="1" applyBorder="1">
      <alignment vertical="center"/>
    </xf>
    <xf numFmtId="0" fontId="0" fillId="0" borderId="0" xfId="0" applyBorder="1">
      <alignment vertical="center"/>
    </xf>
    <xf numFmtId="0" fontId="6" fillId="0" borderId="4" xfId="0" applyFont="1" applyBorder="1">
      <alignment vertical="center"/>
    </xf>
    <xf numFmtId="0" fontId="0" fillId="0" borderId="0" xfId="0" applyAlignmen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7" fontId="10" fillId="5" borderId="10" xfId="0" applyNumberFormat="1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177" fontId="0" fillId="0" borderId="0" xfId="0" applyNumberFormat="1" applyBorder="1" applyAlignment="1">
      <alignment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77" fontId="0" fillId="3" borderId="24" xfId="0" applyNumberFormat="1" applyFill="1" applyBorder="1">
      <alignment vertical="center"/>
    </xf>
    <xf numFmtId="177" fontId="0" fillId="3" borderId="25" xfId="0" applyNumberFormat="1" applyFill="1" applyBorder="1">
      <alignment vertical="center"/>
    </xf>
    <xf numFmtId="177" fontId="0" fillId="3" borderId="26" xfId="0" applyNumberFormat="1" applyFill="1" applyBorder="1">
      <alignment vertical="center"/>
    </xf>
    <xf numFmtId="0" fontId="0" fillId="0" borderId="0" xfId="0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>
      <alignment vertical="center"/>
    </xf>
    <xf numFmtId="0" fontId="16" fillId="2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176" fontId="15" fillId="2" borderId="21" xfId="0" applyNumberFormat="1" applyFont="1" applyFill="1" applyBorder="1" applyAlignment="1">
      <alignment horizontal="center" vertical="center"/>
    </xf>
    <xf numFmtId="176" fontId="15" fillId="2" borderId="22" xfId="0" applyNumberFormat="1" applyFont="1" applyFill="1" applyBorder="1" applyAlignment="1">
      <alignment horizontal="center" vertical="center"/>
    </xf>
    <xf numFmtId="176" fontId="15" fillId="2" borderId="23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center"/>
    </xf>
    <xf numFmtId="176" fontId="14" fillId="2" borderId="1" xfId="0" applyNumberFormat="1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vertical="center"/>
    </xf>
    <xf numFmtId="0" fontId="16" fillId="0" borderId="0" xfId="0" applyFont="1" applyBorder="1">
      <alignment vertical="center"/>
    </xf>
    <xf numFmtId="0" fontId="19" fillId="4" borderId="2" xfId="0" applyFont="1" applyFill="1" applyBorder="1">
      <alignment vertical="center"/>
    </xf>
    <xf numFmtId="0" fontId="16" fillId="0" borderId="0" xfId="0" applyFont="1" applyFill="1" applyBorder="1">
      <alignment vertical="center"/>
    </xf>
    <xf numFmtId="0" fontId="16" fillId="0" borderId="3" xfId="0" applyFont="1" applyBorder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6" fillId="0" borderId="4" xfId="0" applyFont="1" applyBorder="1">
      <alignment vertical="center"/>
    </xf>
    <xf numFmtId="177" fontId="15" fillId="0" borderId="0" xfId="0" applyNumberFormat="1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5" fillId="0" borderId="0" xfId="0" applyFont="1" applyAlignment="1"/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8" fillId="7" borderId="10" xfId="1" applyNumberFormat="1" applyFont="1" applyFill="1" applyBorder="1" applyAlignment="1">
      <alignment vertical="center"/>
    </xf>
    <xf numFmtId="2" fontId="15" fillId="3" borderId="24" xfId="1" applyNumberFormat="1" applyFont="1" applyFill="1" applyBorder="1" applyAlignment="1">
      <alignment horizontal="center" vertical="center"/>
    </xf>
    <xf numFmtId="2" fontId="15" fillId="3" borderId="25" xfId="1" applyNumberFormat="1" applyFont="1" applyFill="1" applyBorder="1" applyAlignment="1">
      <alignment horizontal="center" vertical="center"/>
    </xf>
    <xf numFmtId="2" fontId="15" fillId="3" borderId="26" xfId="1" applyNumberFormat="1" applyFont="1" applyFill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6" xfId="2" xr:uid="{390C0B9E-A21F-4E4B-B23A-425EB44000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Style="combo" dx="22" fmlaLink="$E$10" fmlaRange="$N$9:$N$10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9525</xdr:rowOff>
        </xdr:from>
        <xdr:to>
          <xdr:col>5</xdr:col>
          <xdr:colOff>19050</xdr:colOff>
          <xdr:row>9</xdr:row>
          <xdr:rowOff>200025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8"/>
  <sheetViews>
    <sheetView showGridLines="0" tabSelected="1" workbookViewId="0">
      <selection activeCell="M6" sqref="M6:O6"/>
    </sheetView>
  </sheetViews>
  <sheetFormatPr defaultRowHeight="15.75"/>
  <cols>
    <col min="1" max="1" width="4.5" style="48" customWidth="1"/>
    <col min="2" max="2" width="2" style="48" customWidth="1"/>
    <col min="3" max="3" width="9" style="48"/>
    <col min="4" max="4" width="1.625" style="48" customWidth="1"/>
    <col min="5" max="5" width="9" style="48"/>
    <col min="6" max="6" width="4.625" style="48" customWidth="1"/>
    <col min="7" max="7" width="8.5" style="48" customWidth="1"/>
    <col min="8" max="9" width="9" style="48"/>
    <col min="10" max="10" width="2.5" style="48" customWidth="1"/>
    <col min="11" max="11" width="3.375" style="48" customWidth="1"/>
    <col min="12" max="12" width="9" style="48"/>
    <col min="13" max="15" width="10" style="48" bestFit="1" customWidth="1"/>
    <col min="16" max="16384" width="9" style="48"/>
  </cols>
  <sheetData>
    <row r="1" spans="1:15">
      <c r="A1" s="47" t="s">
        <v>19</v>
      </c>
      <c r="B1" s="47"/>
      <c r="E1" s="49"/>
      <c r="F1" s="49"/>
      <c r="G1" s="50"/>
      <c r="H1" s="51"/>
    </row>
    <row r="2" spans="1:15" ht="16.5" thickBot="1"/>
    <row r="3" spans="1:15" ht="16.5" thickBot="1">
      <c r="A3" s="52"/>
      <c r="B3" s="50"/>
      <c r="C3" s="48" t="s">
        <v>1</v>
      </c>
      <c r="G3" s="50"/>
      <c r="H3" s="51"/>
    </row>
    <row r="4" spans="1:15" ht="18" thickBot="1">
      <c r="A4" s="53"/>
      <c r="B4" s="50"/>
      <c r="C4" s="48" t="s">
        <v>2</v>
      </c>
      <c r="M4" s="54" t="s">
        <v>20</v>
      </c>
      <c r="N4" s="55" t="s">
        <v>21</v>
      </c>
      <c r="O4" s="56" t="s">
        <v>22</v>
      </c>
    </row>
    <row r="5" spans="1:15" ht="16.5" thickBot="1">
      <c r="M5" s="57">
        <v>1.88</v>
      </c>
      <c r="N5" s="58">
        <v>5.33</v>
      </c>
      <c r="O5" s="59">
        <v>6.27</v>
      </c>
    </row>
    <row r="6" spans="1:15" ht="17.25" customHeight="1" thickBot="1">
      <c r="B6" s="60"/>
      <c r="C6" s="61"/>
      <c r="D6" s="61"/>
      <c r="E6" s="61"/>
      <c r="F6" s="61"/>
      <c r="G6" s="61"/>
      <c r="H6" s="61"/>
      <c r="I6" s="61"/>
      <c r="J6" s="61"/>
      <c r="K6" s="62"/>
      <c r="M6" s="90">
        <f>ROUND(I8,2)</f>
        <v>33.86</v>
      </c>
      <c r="N6" s="91">
        <f>ROUND(I9,2)</f>
        <v>60.49</v>
      </c>
      <c r="O6" s="92">
        <f>ROUND(I10,2)</f>
        <v>64.64</v>
      </c>
    </row>
    <row r="7" spans="1:15" ht="16.5" thickBot="1">
      <c r="B7" s="63"/>
      <c r="C7" s="64"/>
      <c r="D7" s="64"/>
      <c r="E7" s="64"/>
      <c r="F7" s="64"/>
      <c r="G7" s="64"/>
      <c r="H7" s="64"/>
      <c r="I7" s="65" t="s">
        <v>3</v>
      </c>
      <c r="J7" s="65"/>
      <c r="K7" s="66"/>
    </row>
    <row r="8" spans="1:15" ht="18" thickBot="1">
      <c r="B8" s="63"/>
      <c r="C8" s="67" t="s">
        <v>4</v>
      </c>
      <c r="D8" s="64"/>
      <c r="E8" s="68">
        <v>50</v>
      </c>
      <c r="F8" s="64"/>
      <c r="G8" s="69" t="s">
        <v>20</v>
      </c>
      <c r="H8" s="70">
        <f>M5</f>
        <v>1.88</v>
      </c>
      <c r="I8" s="89">
        <f>IF($E$10="EQ%",(LOG($H8/$E$9,$E$8)+1),($H8/$E$9-1/$E$8)/(1-1/$E$8))*100</f>
        <v>33.855091229374132</v>
      </c>
      <c r="J8" s="71" t="s">
        <v>18</v>
      </c>
      <c r="K8" s="66"/>
      <c r="M8" s="72"/>
      <c r="N8" s="73" t="s">
        <v>6</v>
      </c>
    </row>
    <row r="9" spans="1:15" ht="18" thickBot="1">
      <c r="B9" s="63"/>
      <c r="C9" s="67" t="s">
        <v>7</v>
      </c>
      <c r="D9" s="64"/>
      <c r="E9" s="68">
        <v>25</v>
      </c>
      <c r="F9" s="64"/>
      <c r="G9" s="69" t="s">
        <v>21</v>
      </c>
      <c r="H9" s="70">
        <f>N5</f>
        <v>5.33</v>
      </c>
      <c r="I9" s="89">
        <f>IF($E$10="EQ%",(LOG($H9/$E$9,$E$8)+1),($H9/$E$9-1/$E$8)/(1-1/$E$8))*100</f>
        <v>60.492957619473408</v>
      </c>
      <c r="J9" s="71" t="s">
        <v>18</v>
      </c>
      <c r="K9" s="66"/>
      <c r="M9" s="74"/>
      <c r="N9" s="75" t="s">
        <v>9</v>
      </c>
    </row>
    <row r="10" spans="1:15" ht="18" thickBot="1">
      <c r="B10" s="63"/>
      <c r="C10" s="67" t="s">
        <v>10</v>
      </c>
      <c r="D10" s="64"/>
      <c r="E10" s="76" t="s">
        <v>17</v>
      </c>
      <c r="F10" s="64"/>
      <c r="G10" s="69" t="s">
        <v>22</v>
      </c>
      <c r="H10" s="70">
        <f>O5</f>
        <v>6.27</v>
      </c>
      <c r="I10" s="89">
        <f>IF($E$10="EQ%",(LOG($H10/$E$9,$E$8)+1),($H10/$E$9-1/$E$8)/(1-1/$E$8))*100</f>
        <v>64.644904482815008</v>
      </c>
      <c r="J10" s="71" t="s">
        <v>18</v>
      </c>
      <c r="K10" s="66"/>
      <c r="M10" s="77"/>
      <c r="N10" s="78" t="s">
        <v>12</v>
      </c>
    </row>
    <row r="11" spans="1:15" ht="11.25" customHeight="1">
      <c r="B11" s="63"/>
      <c r="C11" s="64"/>
      <c r="D11" s="64"/>
      <c r="E11" s="64"/>
      <c r="F11" s="64"/>
      <c r="G11" s="64"/>
      <c r="H11" s="64"/>
      <c r="I11" s="64"/>
      <c r="J11" s="64"/>
      <c r="K11" s="66"/>
      <c r="M11" s="77"/>
      <c r="N11" s="77"/>
    </row>
    <row r="12" spans="1:15" ht="15.75" customHeight="1">
      <c r="B12" s="63"/>
      <c r="C12" s="64"/>
      <c r="D12" s="64"/>
      <c r="E12" s="64"/>
      <c r="F12" s="64"/>
      <c r="G12" s="79"/>
      <c r="H12" s="79"/>
      <c r="I12" s="79"/>
      <c r="J12" s="64"/>
      <c r="K12" s="66"/>
      <c r="M12" s="77"/>
      <c r="N12" s="77"/>
    </row>
    <row r="13" spans="1:15" ht="12" customHeight="1">
      <c r="B13" s="63"/>
      <c r="C13" s="64"/>
      <c r="D13" s="64"/>
      <c r="E13" s="64"/>
      <c r="F13" s="64"/>
      <c r="G13" s="64"/>
      <c r="H13" s="64"/>
      <c r="I13" s="64"/>
      <c r="J13" s="64"/>
      <c r="K13" s="66"/>
      <c r="M13" s="77"/>
      <c r="N13" s="77"/>
    </row>
    <row r="14" spans="1:15" ht="10.5" customHeight="1">
      <c r="B14" s="80"/>
      <c r="C14" s="81"/>
      <c r="D14" s="81"/>
      <c r="E14" s="81"/>
      <c r="F14" s="81"/>
      <c r="G14" s="81"/>
      <c r="H14" s="81"/>
      <c r="I14" s="81"/>
      <c r="J14" s="81"/>
      <c r="K14" s="82"/>
    </row>
    <row r="15" spans="1:15">
      <c r="B15" s="63"/>
      <c r="C15" s="67" t="s">
        <v>23</v>
      </c>
      <c r="D15" s="64"/>
      <c r="E15" s="64"/>
      <c r="F15" s="64"/>
      <c r="G15" s="64"/>
      <c r="H15" s="64"/>
      <c r="I15" s="64"/>
      <c r="J15" s="64"/>
      <c r="K15" s="66"/>
    </row>
    <row r="16" spans="1:15">
      <c r="B16" s="63"/>
      <c r="C16" s="83" t="s">
        <v>14</v>
      </c>
      <c r="D16" s="83"/>
      <c r="E16" s="83"/>
      <c r="F16" s="83"/>
      <c r="G16" s="83"/>
      <c r="H16" s="83"/>
      <c r="I16" s="83"/>
      <c r="J16" s="83"/>
      <c r="K16" s="84"/>
      <c r="L16" s="85"/>
    </row>
    <row r="17" spans="2:12">
      <c r="B17" s="63"/>
      <c r="C17" s="83" t="s">
        <v>15</v>
      </c>
      <c r="D17" s="83"/>
      <c r="E17" s="83"/>
      <c r="F17" s="83"/>
      <c r="G17" s="83"/>
      <c r="H17" s="83"/>
      <c r="I17" s="83"/>
      <c r="J17" s="83"/>
      <c r="K17" s="84"/>
      <c r="L17" s="85"/>
    </row>
    <row r="18" spans="2:12" ht="16.5" thickBot="1">
      <c r="B18" s="86"/>
      <c r="C18" s="87"/>
      <c r="D18" s="87"/>
      <c r="E18" s="87"/>
      <c r="F18" s="87"/>
      <c r="G18" s="87"/>
      <c r="H18" s="87"/>
      <c r="I18" s="87"/>
      <c r="J18" s="87"/>
      <c r="K18" s="88"/>
    </row>
  </sheetData>
  <mergeCells count="4">
    <mergeCell ref="E1:F1"/>
    <mergeCell ref="I7:J7"/>
    <mergeCell ref="C16:K16"/>
    <mergeCell ref="C17:K17"/>
  </mergeCells>
  <phoneticPr fontId="2" type="noConversion"/>
  <dataValidations count="1">
    <dataValidation type="list" allowBlank="1" showInputMessage="1" showErrorMessage="1" sqref="E10" xr:uid="{00000000-0002-0000-0000-000000000000}">
      <formula1>$N$9:$N$10</formula1>
    </dataValidation>
  </dataValidation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2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8"/>
  <sheetViews>
    <sheetView showGridLines="0" workbookViewId="0">
      <selection activeCell="O5" sqref="O5"/>
    </sheetView>
  </sheetViews>
  <sheetFormatPr defaultRowHeight="14.25"/>
  <cols>
    <col min="1" max="1" width="4.5" customWidth="1"/>
    <col min="2" max="2" width="2" customWidth="1"/>
    <col min="4" max="4" width="1.625" customWidth="1"/>
    <col min="6" max="6" width="4.625" customWidth="1"/>
    <col min="7" max="7" width="8.5" customWidth="1"/>
    <col min="8" max="8" width="9.75" bestFit="1" customWidth="1"/>
    <col min="10" max="10" width="2.125" customWidth="1"/>
    <col min="11" max="11" width="3.375" customWidth="1"/>
  </cols>
  <sheetData>
    <row r="1" spans="1:15" ht="16.5">
      <c r="A1" s="1" t="s">
        <v>0</v>
      </c>
      <c r="B1" s="1"/>
      <c r="E1" s="43"/>
      <c r="F1" s="43"/>
      <c r="G1" s="2"/>
      <c r="H1" s="3"/>
    </row>
    <row r="2" spans="1:15" ht="15" thickBot="1"/>
    <row r="3" spans="1:15" ht="17.25" thickBot="1">
      <c r="A3" s="4"/>
      <c r="B3" s="2"/>
      <c r="C3" t="s">
        <v>1</v>
      </c>
      <c r="G3" s="2"/>
      <c r="H3" s="3"/>
    </row>
    <row r="4" spans="1:15" ht="18" thickBot="1">
      <c r="A4" s="5"/>
      <c r="B4" s="2"/>
      <c r="C4" t="s">
        <v>2</v>
      </c>
      <c r="M4" s="34" t="s">
        <v>16</v>
      </c>
      <c r="N4" s="35" t="s">
        <v>8</v>
      </c>
      <c r="O4" s="36" t="s">
        <v>11</v>
      </c>
    </row>
    <row r="5" spans="1:15" ht="15" thickBot="1">
      <c r="M5" s="37">
        <v>0.26500000000000001</v>
      </c>
      <c r="N5" s="38">
        <v>0.53900000000000003</v>
      </c>
      <c r="O5" s="39">
        <v>1.39</v>
      </c>
    </row>
    <row r="6" spans="1:15" ht="17.25" customHeight="1" thickBot="1">
      <c r="B6" s="13"/>
      <c r="C6" s="14"/>
      <c r="D6" s="14"/>
      <c r="E6" s="14"/>
      <c r="F6" s="14"/>
      <c r="G6" s="14"/>
      <c r="H6" s="14"/>
      <c r="I6" s="14"/>
      <c r="J6" s="14"/>
      <c r="K6" s="15"/>
      <c r="M6" s="40">
        <f>I8</f>
        <v>18.473970674474437</v>
      </c>
      <c r="N6" s="41">
        <f>I9</f>
        <v>49.225360869958322</v>
      </c>
      <c r="O6" s="42">
        <f>I10</f>
        <v>55.18154467852078</v>
      </c>
    </row>
    <row r="7" spans="1:15" ht="15" thickBot="1">
      <c r="B7" s="16"/>
      <c r="C7" s="17"/>
      <c r="D7" s="17"/>
      <c r="E7" s="17"/>
      <c r="F7" s="17"/>
      <c r="G7" s="17"/>
      <c r="H7" s="17"/>
      <c r="I7" s="44" t="s">
        <v>3</v>
      </c>
      <c r="J7" s="44"/>
      <c r="K7" s="18"/>
    </row>
    <row r="8" spans="1:15" ht="18" thickBot="1">
      <c r="B8" s="16"/>
      <c r="C8" s="19" t="s">
        <v>4</v>
      </c>
      <c r="D8" s="17"/>
      <c r="E8" s="20">
        <v>50</v>
      </c>
      <c r="F8" s="17"/>
      <c r="G8" s="32" t="s">
        <v>16</v>
      </c>
      <c r="H8" s="21">
        <v>0.10299999999999999</v>
      </c>
      <c r="I8" s="22">
        <f>IF(INDEX($N$9:$N$10,$E$10)="EQ%",(LOG($H8/$E$9,$E$8)+1)*100,($H8/$E$9-1/$E$8)/(1-1/$E$8)*100)</f>
        <v>18.473970674474437</v>
      </c>
      <c r="J8" s="23" t="s">
        <v>5</v>
      </c>
      <c r="K8" s="18"/>
      <c r="M8" s="6"/>
      <c r="N8" s="7" t="s">
        <v>6</v>
      </c>
    </row>
    <row r="9" spans="1:15" ht="18" thickBot="1">
      <c r="B9" s="16"/>
      <c r="C9" s="19" t="s">
        <v>7</v>
      </c>
      <c r="D9" s="17"/>
      <c r="E9" s="20">
        <v>2.5</v>
      </c>
      <c r="F9" s="17"/>
      <c r="G9" s="32" t="s">
        <v>8</v>
      </c>
      <c r="H9" s="21">
        <v>0.34300000000000003</v>
      </c>
      <c r="I9" s="22">
        <f>IF(INDEX($N$9:$N$10,$E$10)="EQ%",(LOG($H9/$E$9,$E$8)+1)*100,($H9/$E$9-1/$E$8)/(1-1/$E$8)*100)</f>
        <v>49.225360869958322</v>
      </c>
      <c r="J9" s="23" t="s">
        <v>5</v>
      </c>
      <c r="K9" s="18"/>
      <c r="M9" s="8"/>
      <c r="N9" s="9" t="s">
        <v>9</v>
      </c>
    </row>
    <row r="10" spans="1:15" ht="18" thickBot="1">
      <c r="B10" s="16"/>
      <c r="C10" s="19" t="s">
        <v>10</v>
      </c>
      <c r="D10" s="17"/>
      <c r="E10" s="24">
        <v>1</v>
      </c>
      <c r="F10" s="17"/>
      <c r="G10" s="32" t="s">
        <v>11</v>
      </c>
      <c r="H10" s="21">
        <v>0.433</v>
      </c>
      <c r="I10" s="22">
        <f>IF(INDEX($N$9:$N$10,$E$10)="EQ%",(LOG($H10/$E$9,$E$8)+1)*100,($H10/$E$9-1/$E$8)/(1-1/$E$8)*100)</f>
        <v>55.18154467852078</v>
      </c>
      <c r="J10" s="23" t="s">
        <v>5</v>
      </c>
      <c r="K10" s="18"/>
      <c r="M10" s="10"/>
      <c r="N10" s="11" t="s">
        <v>12</v>
      </c>
    </row>
    <row r="11" spans="1:15" ht="11.25" customHeight="1">
      <c r="B11" s="16"/>
      <c r="C11" s="17"/>
      <c r="D11" s="17"/>
      <c r="E11" s="17"/>
      <c r="F11" s="17"/>
      <c r="G11" s="17"/>
      <c r="H11" s="17"/>
      <c r="I11" s="17"/>
      <c r="J11" s="17"/>
      <c r="K11" s="18"/>
      <c r="M11" s="10"/>
      <c r="N11" s="10"/>
    </row>
    <row r="12" spans="1:15" ht="15.75" customHeight="1">
      <c r="B12" s="16"/>
      <c r="C12" s="17"/>
      <c r="D12" s="17"/>
      <c r="E12" s="17"/>
      <c r="F12" s="17"/>
      <c r="G12" s="33"/>
      <c r="H12" s="33"/>
      <c r="I12" s="33"/>
      <c r="J12" s="17"/>
      <c r="K12" s="18"/>
      <c r="M12" s="10"/>
      <c r="N12" s="10"/>
    </row>
    <row r="13" spans="1:15" ht="12" customHeight="1">
      <c r="B13" s="16"/>
      <c r="C13" s="17"/>
      <c r="D13" s="17"/>
      <c r="E13" s="17"/>
      <c r="F13" s="17"/>
      <c r="G13" s="17"/>
      <c r="H13" s="17"/>
      <c r="I13" s="17"/>
      <c r="J13" s="17"/>
      <c r="K13" s="18"/>
      <c r="M13" s="10"/>
      <c r="N13" s="10"/>
    </row>
    <row r="14" spans="1:15" ht="10.5" customHeight="1">
      <c r="B14" s="25"/>
      <c r="C14" s="26"/>
      <c r="D14" s="26"/>
      <c r="E14" s="26"/>
      <c r="F14" s="26"/>
      <c r="G14" s="26"/>
      <c r="H14" s="26"/>
      <c r="I14" s="26"/>
      <c r="J14" s="26"/>
      <c r="K14" s="27"/>
    </row>
    <row r="15" spans="1:15">
      <c r="B15" s="16"/>
      <c r="C15" s="28" t="s">
        <v>13</v>
      </c>
      <c r="D15" s="17"/>
      <c r="E15" s="17"/>
      <c r="F15" s="17"/>
      <c r="G15" s="17"/>
      <c r="H15" s="17"/>
      <c r="I15" s="17"/>
      <c r="J15" s="17"/>
      <c r="K15" s="18"/>
    </row>
    <row r="16" spans="1:15">
      <c r="B16" s="16"/>
      <c r="C16" s="45" t="s">
        <v>14</v>
      </c>
      <c r="D16" s="45"/>
      <c r="E16" s="45"/>
      <c r="F16" s="45"/>
      <c r="G16" s="45"/>
      <c r="H16" s="45"/>
      <c r="I16" s="45"/>
      <c r="J16" s="45"/>
      <c r="K16" s="46"/>
      <c r="L16" s="12"/>
    </row>
    <row r="17" spans="2:12">
      <c r="B17" s="16"/>
      <c r="C17" s="45" t="s">
        <v>15</v>
      </c>
      <c r="D17" s="45"/>
      <c r="E17" s="45"/>
      <c r="F17" s="45"/>
      <c r="G17" s="45"/>
      <c r="H17" s="45"/>
      <c r="I17" s="45"/>
      <c r="J17" s="45"/>
      <c r="K17" s="46"/>
      <c r="L17" s="12"/>
    </row>
    <row r="18" spans="2:12" ht="15" thickBot="1">
      <c r="B18" s="29"/>
      <c r="C18" s="30"/>
      <c r="D18" s="30"/>
      <c r="E18" s="30"/>
      <c r="F18" s="30"/>
      <c r="G18" s="30"/>
      <c r="H18" s="30"/>
      <c r="I18" s="30"/>
      <c r="J18" s="30"/>
      <c r="K18" s="31"/>
    </row>
  </sheetData>
  <mergeCells count="4">
    <mergeCell ref="E1:F1"/>
    <mergeCell ref="I7:J7"/>
    <mergeCell ref="C16:K16"/>
    <mergeCell ref="C17:K17"/>
  </mergeCells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4</xdr:col>
                    <xdr:colOff>0</xdr:colOff>
                    <xdr:row>9</xdr:row>
                    <xdr:rowOff>9525</xdr:rowOff>
                  </from>
                  <to>
                    <xdr:col>5</xdr:col>
                    <xdr:colOff>19050</xdr:colOff>
                    <xdr:row>9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(2)</vt:lpstr>
    </vt:vector>
  </TitlesOfParts>
  <Company>YADI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</dc:creator>
  <cp:lastModifiedBy>rong zhao</cp:lastModifiedBy>
  <dcterms:created xsi:type="dcterms:W3CDTF">2004-09-15T06:58:18Z</dcterms:created>
  <dcterms:modified xsi:type="dcterms:W3CDTF">2021-03-16T09:28:13Z</dcterms:modified>
</cp:coreProperties>
</file>