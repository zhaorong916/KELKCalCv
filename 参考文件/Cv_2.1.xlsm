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jpg" ContentType="image/jpeg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rry\Documents\Koso Data\SS\Technical\Sizing\"/>
    </mc:Choice>
  </mc:AlternateContent>
  <bookViews>
    <workbookView xWindow="-10" yWindow="0" windowWidth="12610" windowHeight="12900"/>
  </bookViews>
  <sheets>
    <sheet name="Liquid" sheetId="10" r:id="rId1"/>
    <sheet name="Gas" sheetId="9" r:id="rId2"/>
    <sheet name="LiqGas" sheetId="8" r:id="rId3"/>
    <sheet name="WtrStm" sheetId="7" r:id="rId4"/>
    <sheet name="FluidData" sheetId="12" r:id="rId5"/>
    <sheet name="ValveData" sheetId="6" r:id="rId6"/>
    <sheet name="Revisions" sheetId="4" r:id="rId7"/>
  </sheets>
  <functionGroups builtInGroupCount="18"/>
  <externalReferences>
    <externalReference r:id="rId8"/>
  </externalReferences>
  <definedNames>
    <definedName name="_Order1" localSheetId="4" hidden="1">255</definedName>
    <definedName name="_Order1" hidden="1">0</definedName>
    <definedName name="_Order2" localSheetId="4" hidden="1">255</definedName>
    <definedName name="_Order2" hidden="1">0</definedName>
    <definedName name="FluidNames">FluidData!$A$10:$A$86</definedName>
    <definedName name="gas_CompressibilityOption">Gas!$D$13</definedName>
    <definedName name="gas_FlowRateType">Gas!$D$11</definedName>
    <definedName name="gas_MethodOfSpecifyingDensity">Gas!$D$12</definedName>
    <definedName name="gas_PipeCorrectionFactorOption">Gas!$D$14</definedName>
    <definedName name="gas_TypeOfGas">Gas!$D$10</definedName>
    <definedName name="gas_ValveType">Gas!$D$15</definedName>
    <definedName name="liq_FlowRateType">Liquid!$D$11</definedName>
    <definedName name="liq_LaminarEffectOption">Liquid!$D$13</definedName>
    <definedName name="liq_MethodOfSpecifyingDensity">Liquid!$D$12</definedName>
    <definedName name="liq_PipeCorrectionFactorOption">Liquid!$D$14</definedName>
    <definedName name="liq_TypeofLiquid">Liquid!$D$10</definedName>
    <definedName name="liq_ValveType">Liquid!$D$15</definedName>
    <definedName name="liqgas_CompressibilityOption">LiqGas!$D$17</definedName>
    <definedName name="liqgas_GasFlowRateType">LiqGas!$D$15</definedName>
    <definedName name="liqgas_LiquidFlowRateType">LiqGas!$D$11</definedName>
    <definedName name="liqgas_MethodOfSpecifyingGasDensity">LiqGas!$D$16</definedName>
    <definedName name="liqgas_MethodOfSpecifyingLiquidDensity">LiqGas!$D$12</definedName>
    <definedName name="liqgas_PipeCorrectionFactorOption">LiqGas!$D$18</definedName>
    <definedName name="liqgas_TypeOfGas">LiqGas!$D$14</definedName>
    <definedName name="liqgas_TypeOfLiquid">LiqGas!$D$10</definedName>
    <definedName name="liqgas_ValveType">LiqGas!$D$19</definedName>
    <definedName name="Materials">[1]MatlData!$A$6:$A$52</definedName>
    <definedName name="_xlnm.Print_Area" localSheetId="1">Gas!$A$1:$K$73</definedName>
    <definedName name="_xlnm.Print_Area" localSheetId="2">LiqGas!$A$1:$K$95</definedName>
    <definedName name="_xlnm.Print_Area" localSheetId="0">Liquid!$A$1:$K$73</definedName>
    <definedName name="_xlnm.Print_Area" localSheetId="3">WtrStm!$A$1:$K$45</definedName>
    <definedName name="ValveTypes">ValveData!$A$4:$A$17</definedName>
    <definedName name="wtrstm_KnownInletProperty">WtrStm!$D$10</definedName>
    <definedName name="wtrstm_PipeCorrectionFactorOption">WtrStm!$D$11</definedName>
    <definedName name="wtrstm_ValveType">WtrStm!$D$12</definedName>
  </definedNames>
  <calcPr calcId="152511"/>
</workbook>
</file>

<file path=xl/calcChain.xml><?xml version="1.0" encoding="utf-8"?>
<calcChain xmlns="http://schemas.openxmlformats.org/spreadsheetml/2006/main">
  <c r="I140" i="8" l="1"/>
  <c r="H140" i="8"/>
  <c r="G140" i="8"/>
  <c r="F140" i="8"/>
  <c r="D31" i="10" l="1"/>
  <c r="D43" i="10"/>
  <c r="E107" i="9"/>
  <c r="G6" i="9" l="1"/>
  <c r="G5" i="9"/>
  <c r="D26" i="7" l="1"/>
  <c r="D24" i="7"/>
  <c r="D25" i="7" s="1"/>
  <c r="D37" i="8"/>
  <c r="D30" i="9"/>
  <c r="D34" i="7"/>
  <c r="D37" i="7" s="1"/>
  <c r="D30" i="7"/>
  <c r="D48" i="8"/>
  <c r="D44" i="8"/>
  <c r="D41" i="8"/>
  <c r="D38" i="8"/>
  <c r="D53" i="8" s="1"/>
  <c r="D35" i="8"/>
  <c r="D34" i="8"/>
  <c r="D28" i="9"/>
  <c r="D28" i="10"/>
  <c r="D12" i="8"/>
  <c r="L40" i="8" s="1"/>
  <c r="D17" i="8"/>
  <c r="I68" i="8"/>
  <c r="H68" i="8"/>
  <c r="G68" i="8"/>
  <c r="F68" i="8"/>
  <c r="E68" i="8"/>
  <c r="A72" i="8"/>
  <c r="L34" i="10"/>
  <c r="D23" i="7"/>
  <c r="D33" i="7" s="1"/>
  <c r="D36" i="7" s="1"/>
  <c r="D24" i="9"/>
  <c r="D35" i="9"/>
  <c r="D39" i="10"/>
  <c r="O82" i="9"/>
  <c r="F1" i="7"/>
  <c r="F1" i="8"/>
  <c r="D43" i="8"/>
  <c r="D31" i="8"/>
  <c r="N91" i="10"/>
  <c r="L35" i="10"/>
  <c r="L33" i="10"/>
  <c r="L32" i="10"/>
  <c r="L25" i="10"/>
  <c r="L24" i="10"/>
  <c r="L12" i="10"/>
  <c r="AO149" i="12"/>
  <c r="AO148" i="12"/>
  <c r="AR147" i="12"/>
  <c r="AO147" i="12"/>
  <c r="AR146" i="12"/>
  <c r="AR145" i="12"/>
  <c r="AQ145" i="12"/>
  <c r="AP145" i="12"/>
  <c r="AO145" i="12"/>
  <c r="AR144" i="12"/>
  <c r="AQ144" i="12"/>
  <c r="AP144" i="12"/>
  <c r="AO144" i="12"/>
  <c r="AR143" i="12"/>
  <c r="AR141" i="12"/>
  <c r="AQ141" i="12"/>
  <c r="AP141" i="12"/>
  <c r="AR140" i="12"/>
  <c r="AQ140" i="12"/>
  <c r="AP140" i="12"/>
  <c r="AO139" i="12"/>
  <c r="AO138" i="12"/>
  <c r="AO137" i="12"/>
  <c r="AQ135" i="12"/>
  <c r="AP135" i="12"/>
  <c r="AO135" i="12"/>
  <c r="AR134" i="12"/>
  <c r="AQ134" i="12"/>
  <c r="AP134" i="12"/>
  <c r="AO134" i="12"/>
  <c r="AQ133" i="12"/>
  <c r="AP133" i="12"/>
  <c r="AO133" i="12"/>
  <c r="AR132" i="12"/>
  <c r="AO132" i="12"/>
  <c r="AR130" i="12"/>
  <c r="AQ129" i="12"/>
  <c r="AP129" i="12"/>
  <c r="AO128" i="12"/>
  <c r="AR126" i="12"/>
  <c r="AR125" i="12"/>
  <c r="AQ125" i="12"/>
  <c r="AP125" i="12"/>
  <c r="AQ124" i="12"/>
  <c r="AP124" i="12"/>
  <c r="AR123" i="12"/>
  <c r="AO123" i="12"/>
  <c r="AR122" i="12"/>
  <c r="AQ122" i="12"/>
  <c r="AP122" i="12"/>
  <c r="AO122" i="12"/>
  <c r="AR121" i="12"/>
  <c r="AO121" i="12"/>
  <c r="AR120" i="12"/>
  <c r="AQ119" i="12"/>
  <c r="AP119" i="12"/>
  <c r="AO119" i="12"/>
  <c r="AR118" i="12"/>
  <c r="AQ118" i="12"/>
  <c r="AP118" i="12"/>
  <c r="AR117" i="12"/>
  <c r="AQ117" i="12"/>
  <c r="AP117" i="12"/>
  <c r="AO117" i="12"/>
  <c r="AR116" i="12"/>
  <c r="AQ116" i="12"/>
  <c r="AP116" i="12"/>
  <c r="AO116" i="12"/>
  <c r="AQ115" i="12"/>
  <c r="AP115" i="12"/>
  <c r="AO115" i="12"/>
  <c r="AR112" i="12"/>
  <c r="AQ112" i="12"/>
  <c r="AP112" i="12"/>
  <c r="AR111" i="12"/>
  <c r="AR110" i="12"/>
  <c r="AQ110" i="12"/>
  <c r="AP110" i="12"/>
  <c r="AO110" i="12"/>
  <c r="AR109" i="12"/>
  <c r="AO109" i="12"/>
  <c r="AQ108" i="12"/>
  <c r="AP108" i="12"/>
  <c r="AO107" i="12"/>
  <c r="AR106" i="12"/>
  <c r="AO106" i="12"/>
  <c r="AO105" i="12"/>
  <c r="AR104" i="12"/>
  <c r="AQ104" i="12"/>
  <c r="AP104" i="12"/>
  <c r="AO104" i="12"/>
  <c r="AR103" i="12"/>
  <c r="AQ103" i="12"/>
  <c r="AP103" i="12"/>
  <c r="AO103" i="12"/>
  <c r="D35" i="10"/>
  <c r="L31" i="9"/>
  <c r="L27" i="9"/>
  <c r="L23" i="9"/>
  <c r="L13" i="9"/>
  <c r="N96" i="10"/>
  <c r="O96" i="10"/>
  <c r="N88" i="10"/>
  <c r="N87" i="10"/>
  <c r="L42" i="10"/>
  <c r="L29" i="10"/>
  <c r="L28" i="10"/>
  <c r="A54" i="10"/>
  <c r="G6" i="7"/>
  <c r="G6" i="8"/>
  <c r="G6" i="10"/>
  <c r="G5" i="7"/>
  <c r="G5" i="8"/>
  <c r="G5" i="10"/>
  <c r="D30" i="8"/>
  <c r="D23" i="9"/>
  <c r="D25" i="10"/>
  <c r="L32" i="7"/>
  <c r="L31" i="7"/>
  <c r="L27" i="7"/>
  <c r="L26" i="7"/>
  <c r="L15" i="7"/>
  <c r="L14" i="7"/>
  <c r="L13" i="7"/>
  <c r="L63" i="8"/>
  <c r="L59" i="8"/>
  <c r="L58" i="8"/>
  <c r="L57" i="8"/>
  <c r="L55" i="8"/>
  <c r="L54" i="8"/>
  <c r="L53" i="8"/>
  <c r="L52" i="8"/>
  <c r="L49" i="8"/>
  <c r="L44" i="8"/>
  <c r="L43" i="8"/>
  <c r="L39" i="8"/>
  <c r="L35" i="8"/>
  <c r="L34" i="8"/>
  <c r="L29" i="8"/>
  <c r="L22" i="8"/>
  <c r="L21" i="8"/>
  <c r="L20" i="8"/>
  <c r="L16" i="8"/>
  <c r="L12" i="8"/>
  <c r="L45" i="9"/>
  <c r="L44" i="9"/>
  <c r="L42" i="9"/>
  <c r="L41" i="9"/>
  <c r="L40" i="9"/>
  <c r="L39" i="9"/>
  <c r="L36" i="9"/>
  <c r="L35" i="9"/>
  <c r="L34" i="9"/>
  <c r="L33" i="9"/>
  <c r="L32" i="9"/>
  <c r="L28" i="9"/>
  <c r="L24" i="9"/>
  <c r="L22" i="9"/>
  <c r="L18" i="9"/>
  <c r="L17" i="9"/>
  <c r="L16" i="9"/>
  <c r="L12" i="9"/>
  <c r="L43" i="10"/>
  <c r="L40" i="10"/>
  <c r="L39" i="10"/>
  <c r="L18" i="10"/>
  <c r="L17" i="10"/>
  <c r="L16" i="10"/>
  <c r="O51" i="7"/>
  <c r="E20" i="7"/>
  <c r="F20" i="7" s="1"/>
  <c r="E19" i="7"/>
  <c r="F19" i="7" s="1"/>
  <c r="E18" i="7"/>
  <c r="F18" i="7" s="1"/>
  <c r="E17" i="7"/>
  <c r="F17" i="7" s="1"/>
  <c r="D36" i="10"/>
  <c r="E20" i="9"/>
  <c r="F20" i="9" s="1"/>
  <c r="E20" i="10"/>
  <c r="F20" i="10" s="1"/>
  <c r="E1" i="9"/>
  <c r="E21" i="9"/>
  <c r="F21" i="9" s="1"/>
  <c r="E23" i="10"/>
  <c r="E22" i="10"/>
  <c r="F22" i="10" s="1"/>
  <c r="E21" i="10"/>
  <c r="D65" i="10"/>
  <c r="D64" i="10"/>
  <c r="D63" i="10"/>
  <c r="D62" i="10"/>
  <c r="D61" i="10"/>
  <c r="D60" i="10"/>
  <c r="D59" i="10"/>
  <c r="D58" i="10"/>
  <c r="D57" i="10"/>
  <c r="D56" i="10"/>
  <c r="D55" i="10"/>
  <c r="I50" i="10"/>
  <c r="H50" i="10"/>
  <c r="G50" i="10"/>
  <c r="F50" i="10"/>
  <c r="E50" i="10"/>
  <c r="D40" i="10"/>
  <c r="N84" i="10"/>
  <c r="N83" i="10"/>
  <c r="O82" i="10"/>
  <c r="N82" i="10"/>
  <c r="O81" i="10"/>
  <c r="N81" i="10"/>
  <c r="N80" i="10"/>
  <c r="N79" i="10"/>
  <c r="D18" i="10"/>
  <c r="I1" i="10"/>
  <c r="D65" i="9"/>
  <c r="D64" i="9"/>
  <c r="D63" i="9"/>
  <c r="D62" i="9"/>
  <c r="D61" i="9"/>
  <c r="D60" i="9"/>
  <c r="D59" i="9"/>
  <c r="D58" i="9"/>
  <c r="D57" i="9"/>
  <c r="D56" i="9"/>
  <c r="D55" i="9"/>
  <c r="A54" i="9"/>
  <c r="I50" i="9"/>
  <c r="H50" i="9"/>
  <c r="G50" i="9"/>
  <c r="F50" i="9"/>
  <c r="E50" i="9"/>
  <c r="D39" i="9"/>
  <c r="N101" i="9"/>
  <c r="N103" i="9"/>
  <c r="N92" i="9"/>
  <c r="O84" i="9"/>
  <c r="N84" i="9"/>
  <c r="O83" i="9"/>
  <c r="N83" i="9"/>
  <c r="N82" i="9"/>
  <c r="O81" i="9"/>
  <c r="N81" i="9"/>
  <c r="N80" i="9"/>
  <c r="N79" i="9"/>
  <c r="D40" i="9"/>
  <c r="D18" i="9"/>
  <c r="I1" i="9"/>
  <c r="D57" i="8"/>
  <c r="D55" i="8"/>
  <c r="D52" i="8"/>
  <c r="D73" i="8" s="1"/>
  <c r="O127" i="8"/>
  <c r="N127" i="8"/>
  <c r="O126" i="8"/>
  <c r="N126" i="8"/>
  <c r="N117" i="8"/>
  <c r="N116" i="8"/>
  <c r="N108" i="8"/>
  <c r="N107" i="8"/>
  <c r="O104" i="8"/>
  <c r="N104" i="8"/>
  <c r="N103" i="8"/>
  <c r="O102" i="8"/>
  <c r="N102" i="8"/>
  <c r="O101" i="8"/>
  <c r="N101" i="8"/>
  <c r="O100" i="8"/>
  <c r="N100" i="8"/>
  <c r="N99" i="8"/>
  <c r="N98" i="8"/>
  <c r="N22" i="8"/>
  <c r="N21" i="8"/>
  <c r="D21" i="8"/>
  <c r="D22" i="8" s="1"/>
  <c r="I1" i="8"/>
  <c r="O39" i="7"/>
  <c r="D29" i="7"/>
  <c r="O57" i="7"/>
  <c r="N57" i="7"/>
  <c r="N56" i="7"/>
  <c r="O52" i="7"/>
  <c r="N52" i="7"/>
  <c r="N51" i="7"/>
  <c r="O50" i="7"/>
  <c r="N50" i="7"/>
  <c r="C50" i="7"/>
  <c r="A50" i="7"/>
  <c r="O49" i="7"/>
  <c r="N49" i="7"/>
  <c r="C49" i="7"/>
  <c r="A49" i="7"/>
  <c r="N48" i="7"/>
  <c r="D48" i="7"/>
  <c r="C48" i="7"/>
  <c r="A48" i="7"/>
  <c r="N47" i="7"/>
  <c r="D47" i="7"/>
  <c r="C47" i="7"/>
  <c r="A47" i="7"/>
  <c r="N27" i="7"/>
  <c r="N26" i="7"/>
  <c r="N15" i="7"/>
  <c r="A15" i="7"/>
  <c r="N14" i="7"/>
  <c r="D14" i="7"/>
  <c r="D15" i="7" s="1"/>
  <c r="A14" i="7"/>
  <c r="I1" i="7"/>
  <c r="E27" i="8"/>
  <c r="F27" i="8" s="1"/>
  <c r="E25" i="8"/>
  <c r="F25" i="8" s="1"/>
  <c r="E24" i="8"/>
  <c r="F24" i="8" s="1"/>
  <c r="E26" i="8"/>
  <c r="F26" i="8" s="1"/>
  <c r="L44" i="10"/>
  <c r="L17" i="8"/>
  <c r="L46" i="8"/>
  <c r="L48" i="8"/>
  <c r="L60" i="8"/>
  <c r="L62" i="8"/>
  <c r="N118" i="8"/>
  <c r="L38" i="8"/>
  <c r="L45" i="8"/>
  <c r="I55" i="8"/>
  <c r="H55" i="8"/>
  <c r="H56" i="8"/>
  <c r="H62" i="8"/>
  <c r="I56" i="8"/>
  <c r="I62" i="8"/>
  <c r="I61" i="8"/>
  <c r="H60" i="8"/>
  <c r="H63" i="8"/>
  <c r="H61" i="8"/>
  <c r="I60" i="8"/>
  <c r="I63" i="8"/>
  <c r="H59" i="8"/>
  <c r="I59" i="8"/>
  <c r="I54" i="8"/>
  <c r="H54" i="8"/>
  <c r="I138" i="8"/>
  <c r="H138" i="8"/>
  <c r="I64" i="8"/>
  <c r="I69" i="8"/>
  <c r="H64" i="8"/>
  <c r="H69" i="8"/>
  <c r="H79" i="8"/>
  <c r="H75" i="8"/>
  <c r="H77" i="8"/>
  <c r="H83" i="8"/>
  <c r="H73" i="8"/>
  <c r="H81" i="8"/>
  <c r="I79" i="8"/>
  <c r="I82" i="8"/>
  <c r="I73" i="8"/>
  <c r="I83" i="8"/>
  <c r="I70" i="8"/>
  <c r="I75" i="8"/>
  <c r="H70" i="8"/>
  <c r="H74" i="8"/>
  <c r="H76" i="8"/>
  <c r="H82" i="8"/>
  <c r="H78" i="8"/>
  <c r="H80" i="8"/>
  <c r="I77" i="8"/>
  <c r="I78" i="8"/>
  <c r="I81" i="8"/>
  <c r="I74" i="8"/>
  <c r="I76" i="8"/>
  <c r="I80" i="8"/>
  <c r="G31" i="7"/>
  <c r="G30" i="7"/>
  <c r="G117" i="8"/>
  <c r="O117" i="8"/>
  <c r="H117" i="8"/>
  <c r="E117" i="8"/>
  <c r="F117" i="8"/>
  <c r="I117" i="8"/>
  <c r="E107" i="8"/>
  <c r="O107" i="8"/>
  <c r="H107" i="8"/>
  <c r="F107" i="8"/>
  <c r="G107" i="8"/>
  <c r="I107" i="8"/>
  <c r="I91" i="10"/>
  <c r="O91" i="10"/>
  <c r="H91" i="10"/>
  <c r="F91" i="10"/>
  <c r="G91" i="10"/>
  <c r="E91" i="10"/>
  <c r="AO3" i="12"/>
  <c r="N112" i="8"/>
  <c r="N113" i="8"/>
  <c r="AO4" i="12"/>
  <c r="N111" i="8"/>
  <c r="N87" i="9"/>
  <c r="L43" i="9"/>
  <c r="N114" i="8"/>
  <c r="O118" i="8"/>
  <c r="N95" i="9"/>
  <c r="N115" i="8"/>
  <c r="O94" i="9"/>
  <c r="E137" i="8"/>
  <c r="F118" i="8"/>
  <c r="E106" i="8"/>
  <c r="N86" i="9"/>
  <c r="N120" i="8"/>
  <c r="H118" i="8"/>
  <c r="N121" i="8"/>
  <c r="L61" i="8"/>
  <c r="O121" i="8"/>
  <c r="G14" i="8"/>
  <c r="O97" i="9"/>
  <c r="AO5" i="12"/>
  <c r="E118" i="8"/>
  <c r="I118" i="8"/>
  <c r="N97" i="9"/>
  <c r="G118" i="8"/>
  <c r="N94" i="9"/>
  <c r="G87" i="10"/>
  <c r="O87" i="10"/>
  <c r="F87" i="10"/>
  <c r="E87" i="10"/>
  <c r="I87" i="10"/>
  <c r="H87" i="10"/>
  <c r="F56" i="7"/>
  <c r="F53" i="7"/>
  <c r="G55" i="7"/>
  <c r="E54" i="7"/>
  <c r="I53" i="7"/>
  <c r="E47" i="7"/>
  <c r="E56" i="7"/>
  <c r="G53" i="7"/>
  <c r="H56" i="7"/>
  <c r="I54" i="7"/>
  <c r="I56" i="7"/>
  <c r="O47" i="7"/>
  <c r="O55" i="7"/>
  <c r="H53" i="7"/>
  <c r="O48" i="7"/>
  <c r="F55" i="7"/>
  <c r="I67" i="7"/>
  <c r="F48" i="7"/>
  <c r="E29" i="7"/>
  <c r="H54" i="7"/>
  <c r="H59" i="7" s="1"/>
  <c r="G56" i="7"/>
  <c r="E55" i="7"/>
  <c r="I59" i="7"/>
  <c r="I55" i="7"/>
  <c r="F47" i="7"/>
  <c r="H67" i="7"/>
  <c r="F54" i="7"/>
  <c r="G54" i="7"/>
  <c r="E53" i="7"/>
  <c r="E48" i="7"/>
  <c r="H55" i="7"/>
  <c r="O53" i="7"/>
  <c r="G67" i="7"/>
  <c r="O56" i="7"/>
  <c r="G59" i="7"/>
  <c r="O40" i="9"/>
  <c r="E90" i="9"/>
  <c r="O87" i="9"/>
  <c r="H90" i="9"/>
  <c r="O46" i="9"/>
  <c r="E92" i="9"/>
  <c r="O39" i="9"/>
  <c r="G91" i="9"/>
  <c r="F91" i="9"/>
  <c r="F92" i="9"/>
  <c r="H92" i="9"/>
  <c r="O90" i="9"/>
  <c r="I92" i="9"/>
  <c r="G90" i="9"/>
  <c r="O92" i="9"/>
  <c r="E91" i="9"/>
  <c r="H91" i="9"/>
  <c r="O44" i="9"/>
  <c r="F90" i="9"/>
  <c r="O91" i="9"/>
  <c r="O86" i="9"/>
  <c r="O41" i="9"/>
  <c r="I90" i="9"/>
  <c r="G92" i="9"/>
  <c r="I91" i="9"/>
  <c r="O95" i="9"/>
  <c r="G109" i="8"/>
  <c r="E111" i="8"/>
  <c r="O64" i="8"/>
  <c r="O113" i="8"/>
  <c r="O55" i="8"/>
  <c r="I119" i="8"/>
  <c r="O52" i="8"/>
  <c r="F116" i="8"/>
  <c r="E110" i="8"/>
  <c r="E115" i="8"/>
  <c r="H111" i="8"/>
  <c r="F119" i="8"/>
  <c r="H119" i="8"/>
  <c r="F121" i="8"/>
  <c r="E116" i="8"/>
  <c r="H109" i="8"/>
  <c r="E108" i="8"/>
  <c r="O99" i="8"/>
  <c r="H113" i="8"/>
  <c r="F111" i="8"/>
  <c r="O109" i="8"/>
  <c r="O57" i="8"/>
  <c r="I108" i="8"/>
  <c r="I109" i="8"/>
  <c r="E113" i="8"/>
  <c r="O111" i="8"/>
  <c r="H112" i="8"/>
  <c r="I112" i="8"/>
  <c r="E121" i="8"/>
  <c r="I110" i="8"/>
  <c r="O56" i="8"/>
  <c r="H110" i="8"/>
  <c r="I113" i="8"/>
  <c r="O120" i="8"/>
  <c r="O116" i="8"/>
  <c r="O98" i="8"/>
  <c r="F112" i="8"/>
  <c r="E114" i="8"/>
  <c r="G111" i="8"/>
  <c r="O115" i="8"/>
  <c r="H116" i="8"/>
  <c r="I111" i="8"/>
  <c r="O59" i="8"/>
  <c r="F98" i="8"/>
  <c r="E99" i="8"/>
  <c r="G113" i="8"/>
  <c r="G112" i="8"/>
  <c r="E112" i="8"/>
  <c r="G110" i="8"/>
  <c r="O112" i="8"/>
  <c r="H108" i="8"/>
  <c r="H121" i="8"/>
  <c r="G108" i="8"/>
  <c r="O114" i="8"/>
  <c r="O110" i="8"/>
  <c r="F109" i="8"/>
  <c r="F99" i="8"/>
  <c r="E119" i="8"/>
  <c r="O54" i="8"/>
  <c r="I116" i="8"/>
  <c r="O62" i="8"/>
  <c r="E109" i="8"/>
  <c r="I121" i="8"/>
  <c r="O53" i="8"/>
  <c r="G121" i="8"/>
  <c r="F110" i="8"/>
  <c r="G119" i="8"/>
  <c r="F108" i="8"/>
  <c r="O108" i="8"/>
  <c r="G116" i="8"/>
  <c r="F113" i="8"/>
  <c r="E98" i="8"/>
  <c r="I89" i="9"/>
  <c r="G89" i="9"/>
  <c r="E89" i="9"/>
  <c r="F89" i="9"/>
  <c r="O103" i="9"/>
  <c r="H89" i="9"/>
  <c r="G88" i="9"/>
  <c r="O101" i="9"/>
  <c r="E88" i="9"/>
  <c r="H93" i="9"/>
  <c r="E93" i="9"/>
  <c r="N93" i="9"/>
  <c r="F88" i="9"/>
  <c r="H88" i="9"/>
  <c r="O93" i="9"/>
  <c r="I88" i="9"/>
  <c r="F93" i="9"/>
  <c r="I93" i="9"/>
  <c r="G93" i="9"/>
  <c r="F79" i="9"/>
  <c r="E80" i="9"/>
  <c r="F80" i="9"/>
  <c r="E79" i="9"/>
  <c r="O79" i="9"/>
  <c r="O80" i="9"/>
  <c r="E87" i="9"/>
  <c r="E86" i="9"/>
  <c r="E94" i="9" s="1"/>
  <c r="G94" i="9"/>
  <c r="H94" i="9"/>
  <c r="I94" i="9"/>
  <c r="E86" i="10"/>
  <c r="O94" i="10"/>
  <c r="O88" i="10"/>
  <c r="O39" i="10"/>
  <c r="E80" i="10"/>
  <c r="E79" i="10"/>
  <c r="O45" i="10"/>
  <c r="E89" i="10"/>
  <c r="O93" i="10"/>
  <c r="N93" i="10"/>
  <c r="O86" i="10"/>
  <c r="H89" i="10"/>
  <c r="E88" i="10"/>
  <c r="H88" i="10"/>
  <c r="O42" i="10"/>
  <c r="L13" i="10"/>
  <c r="I89" i="10"/>
  <c r="G90" i="10"/>
  <c r="F79" i="10"/>
  <c r="O47" i="10"/>
  <c r="E90" i="10"/>
  <c r="N92" i="10"/>
  <c r="O43" i="10"/>
  <c r="O92" i="10"/>
  <c r="G88" i="10"/>
  <c r="I88" i="10"/>
  <c r="F89" i="10"/>
  <c r="F90" i="10"/>
  <c r="L45" i="10"/>
  <c r="N86" i="10"/>
  <c r="G89" i="10"/>
  <c r="H90" i="10"/>
  <c r="F80" i="10"/>
  <c r="I90" i="10"/>
  <c r="L36" i="10"/>
  <c r="O90" i="10"/>
  <c r="O44" i="10"/>
  <c r="O79" i="10"/>
  <c r="O89" i="10"/>
  <c r="O80" i="10"/>
  <c r="F88" i="10"/>
  <c r="N94" i="10"/>
  <c r="O40" i="10"/>
  <c r="D82" i="8" l="1"/>
  <c r="D80" i="8"/>
  <c r="D74" i="8"/>
  <c r="L41" i="8"/>
  <c r="E81" i="10"/>
  <c r="E82" i="10"/>
  <c r="F82" i="10"/>
  <c r="F81" i="10"/>
  <c r="E82" i="9"/>
  <c r="E81" i="9"/>
  <c r="F82" i="9"/>
  <c r="F81" i="9"/>
  <c r="E101" i="8"/>
  <c r="E100" i="8"/>
  <c r="F101" i="8"/>
  <c r="F100" i="8"/>
  <c r="L56" i="8"/>
  <c r="E50" i="7"/>
  <c r="F50" i="7"/>
  <c r="F49" i="7"/>
  <c r="E49" i="7"/>
  <c r="D78" i="8"/>
  <c r="L47" i="8"/>
  <c r="D35" i="7"/>
  <c r="D58" i="8"/>
  <c r="D77" i="8"/>
  <c r="D79" i="8"/>
  <c r="D76" i="8"/>
  <c r="D75" i="8"/>
  <c r="L30" i="8"/>
  <c r="L31" i="8"/>
  <c r="D83" i="8"/>
  <c r="D81" i="8"/>
  <c r="E55" i="8"/>
  <c r="F55" i="8"/>
  <c r="G55" i="8"/>
  <c r="I43" i="10"/>
  <c r="I44" i="10"/>
  <c r="I45" i="10"/>
  <c r="I41" i="10"/>
  <c r="I35" i="7"/>
  <c r="H35" i="7"/>
  <c r="I37" i="7"/>
  <c r="I30" i="7"/>
  <c r="G34" i="7"/>
  <c r="G37" i="7"/>
  <c r="G35" i="7"/>
  <c r="F35" i="7"/>
  <c r="F30" i="7"/>
  <c r="H30" i="7"/>
  <c r="I34" i="7"/>
  <c r="H37" i="7"/>
  <c r="F31" i="7"/>
  <c r="F34" i="7"/>
  <c r="AO136" i="12"/>
  <c r="AO120" i="12"/>
  <c r="AP150" i="12"/>
  <c r="AR142" i="12"/>
  <c r="AR136" i="12"/>
  <c r="AR129" i="12"/>
  <c r="AP121" i="12"/>
  <c r="AP111" i="12"/>
  <c r="AO146" i="12"/>
  <c r="AO129" i="12"/>
  <c r="AO113" i="12"/>
  <c r="AR148" i="12"/>
  <c r="AP139" i="12"/>
  <c r="AR133" i="12"/>
  <c r="AR127" i="12"/>
  <c r="AR115" i="12"/>
  <c r="AR107" i="12"/>
  <c r="AO150" i="12"/>
  <c r="AO130" i="12"/>
  <c r="AO114" i="12"/>
  <c r="AP149" i="12"/>
  <c r="AR139" i="12"/>
  <c r="AR135" i="12"/>
  <c r="AP128" i="12"/>
  <c r="AR119" i="12"/>
  <c r="AR108" i="12"/>
  <c r="AO142" i="12"/>
  <c r="AO126" i="12"/>
  <c r="AO111" i="12"/>
  <c r="AP147" i="12"/>
  <c r="AP138" i="12"/>
  <c r="AR131" i="12"/>
  <c r="AP126" i="12"/>
  <c r="AP114" i="12"/>
  <c r="AP106" i="12"/>
  <c r="AO143" i="12"/>
  <c r="AO127" i="12"/>
  <c r="AO112" i="12"/>
  <c r="AP148" i="12"/>
  <c r="AR138" i="12"/>
  <c r="AP132" i="12"/>
  <c r="AP127" i="12"/>
  <c r="AR114" i="12"/>
  <c r="AP107" i="12"/>
  <c r="AO140" i="12"/>
  <c r="AO124" i="12"/>
  <c r="AR150" i="12"/>
  <c r="AP143" i="12"/>
  <c r="AP137" i="12"/>
  <c r="AP130" i="12"/>
  <c r="AP123" i="12"/>
  <c r="AP113" i="12"/>
  <c r="AP105" i="12"/>
  <c r="AO141" i="12"/>
  <c r="AO125" i="12"/>
  <c r="AO108" i="12"/>
  <c r="AP146" i="12"/>
  <c r="AR137" i="12"/>
  <c r="AP131" i="12"/>
  <c r="AR124" i="12"/>
  <c r="AR113" i="12"/>
  <c r="AR105" i="12"/>
  <c r="AO131" i="12"/>
  <c r="AO118" i="12"/>
  <c r="AR149" i="12"/>
  <c r="AP142" i="12"/>
  <c r="AP136" i="12"/>
  <c r="AR128" i="12"/>
  <c r="AP120" i="12"/>
  <c r="AP109" i="12"/>
  <c r="H34" i="7"/>
  <c r="H31" i="7"/>
  <c r="I31" i="7"/>
  <c r="AQ139" i="12"/>
  <c r="AQ127" i="12"/>
  <c r="AQ109" i="12"/>
  <c r="AQ146" i="12"/>
  <c r="AQ131" i="12"/>
  <c r="AQ114" i="12"/>
  <c r="AQ149" i="12"/>
  <c r="AQ137" i="12"/>
  <c r="AQ123" i="12"/>
  <c r="AQ106" i="12"/>
  <c r="AQ142" i="12"/>
  <c r="AQ128" i="12"/>
  <c r="AQ111" i="12"/>
  <c r="AQ147" i="12"/>
  <c r="AQ132" i="12"/>
  <c r="AQ120" i="12"/>
  <c r="AQ150" i="12"/>
  <c r="AQ138" i="12"/>
  <c r="AQ126" i="12"/>
  <c r="AQ107" i="12"/>
  <c r="AQ143" i="12"/>
  <c r="AQ130" i="12"/>
  <c r="AQ113" i="12"/>
  <c r="AQ148" i="12"/>
  <c r="AQ136" i="12"/>
  <c r="AQ121" i="12"/>
  <c r="AQ105" i="12"/>
  <c r="E60" i="8"/>
  <c r="F60" i="8"/>
  <c r="G60" i="8"/>
  <c r="G61" i="8"/>
  <c r="G63" i="8"/>
  <c r="F63" i="8"/>
  <c r="F61" i="8"/>
  <c r="G39" i="7"/>
  <c r="G32" i="7"/>
  <c r="H32" i="7"/>
  <c r="H39" i="7"/>
  <c r="I32" i="7"/>
  <c r="I39" i="7"/>
  <c r="F32" i="7"/>
  <c r="F39" i="7"/>
  <c r="E32" i="7"/>
  <c r="E53" i="8"/>
  <c r="E63" i="8"/>
  <c r="E61" i="8"/>
  <c r="H127" i="8"/>
  <c r="H123" i="8"/>
  <c r="E123" i="8"/>
  <c r="H126" i="8"/>
  <c r="I127" i="8"/>
  <c r="G123" i="8"/>
  <c r="F126" i="8"/>
  <c r="E57" i="8"/>
  <c r="E58" i="8"/>
  <c r="E126" i="8"/>
  <c r="I126" i="8"/>
  <c r="G126" i="8"/>
  <c r="I123" i="8"/>
  <c r="F127" i="8"/>
  <c r="F123" i="8"/>
  <c r="G127" i="8"/>
  <c r="E127" i="8"/>
  <c r="I101" i="9"/>
  <c r="I103" i="9"/>
  <c r="E101" i="9"/>
  <c r="E103" i="9"/>
  <c r="H101" i="9"/>
  <c r="H103" i="9"/>
  <c r="F101" i="9"/>
  <c r="F103" i="9"/>
  <c r="G101" i="9"/>
  <c r="G103" i="9"/>
  <c r="F99" i="10"/>
  <c r="H99" i="10"/>
  <c r="I99" i="10"/>
  <c r="G99" i="10"/>
  <c r="E99" i="10"/>
  <c r="H36" i="7"/>
  <c r="I33" i="7"/>
  <c r="F36" i="7"/>
  <c r="G33" i="7"/>
  <c r="H33" i="7"/>
  <c r="I36" i="7"/>
  <c r="F33" i="7"/>
  <c r="G36" i="7"/>
  <c r="E37" i="7"/>
  <c r="E34" i="7"/>
  <c r="E36" i="7"/>
  <c r="E35" i="7"/>
  <c r="E30" i="7"/>
  <c r="E31" i="7"/>
  <c r="E33" i="7"/>
  <c r="G62" i="8"/>
  <c r="G54" i="8"/>
  <c r="G56" i="8"/>
  <c r="G59" i="8"/>
  <c r="F62" i="8"/>
  <c r="F54" i="8"/>
  <c r="F56" i="8"/>
  <c r="F59" i="8"/>
  <c r="E62" i="8"/>
  <c r="E54" i="8"/>
  <c r="E59" i="8"/>
  <c r="E56" i="8"/>
  <c r="F29" i="8"/>
  <c r="H43" i="10"/>
  <c r="H45" i="10"/>
  <c r="H44" i="10"/>
  <c r="E39" i="9"/>
  <c r="E40" i="9"/>
  <c r="N119" i="8"/>
  <c r="O119" i="8"/>
  <c r="E59" i="7"/>
  <c r="G57" i="7"/>
  <c r="F59" i="7"/>
  <c r="I57" i="7"/>
  <c r="F67" i="7"/>
  <c r="E57" i="7"/>
  <c r="F57" i="7"/>
  <c r="H57" i="7"/>
  <c r="O54" i="7"/>
  <c r="E67" i="7"/>
  <c r="F97" i="9"/>
  <c r="I97" i="9"/>
  <c r="E97" i="9"/>
  <c r="G97" i="9"/>
  <c r="H97" i="9"/>
  <c r="E120" i="8"/>
  <c r="H120" i="8"/>
  <c r="N105" i="8"/>
  <c r="E105" i="8"/>
  <c r="O105" i="8"/>
  <c r="F120" i="8"/>
  <c r="F133" i="8" s="1"/>
  <c r="O58" i="8"/>
  <c r="I120" i="8"/>
  <c r="G120" i="8"/>
  <c r="G95" i="9"/>
  <c r="I95" i="9"/>
  <c r="F94" i="9"/>
  <c r="H95" i="9"/>
  <c r="E95" i="9"/>
  <c r="G92" i="10"/>
  <c r="H93" i="10"/>
  <c r="G97" i="10"/>
  <c r="G94" i="10"/>
  <c r="I94" i="10"/>
  <c r="H92" i="10"/>
  <c r="H94" i="10"/>
  <c r="H97" i="10"/>
  <c r="G43" i="10"/>
  <c r="F94" i="10"/>
  <c r="I92" i="10"/>
  <c r="F92" i="10"/>
  <c r="E92" i="10"/>
  <c r="G93" i="10"/>
  <c r="E85" i="10"/>
  <c r="I93" i="10"/>
  <c r="F93" i="10"/>
  <c r="E102" i="10"/>
  <c r="E93" i="10"/>
  <c r="E94" i="10"/>
  <c r="E40" i="10"/>
  <c r="F25" i="10"/>
  <c r="N85" i="10"/>
  <c r="O85" i="10"/>
  <c r="G41" i="10" l="1"/>
  <c r="H41" i="10"/>
  <c r="H46" i="10" s="1"/>
  <c r="H135" i="8"/>
  <c r="H132" i="8"/>
  <c r="H96" i="10"/>
  <c r="G96" i="10"/>
  <c r="G98" i="10" s="1"/>
  <c r="G100" i="10" s="1"/>
  <c r="E41" i="10"/>
  <c r="E46" i="10" s="1"/>
  <c r="G135" i="8"/>
  <c r="E96" i="10"/>
  <c r="E98" i="10" s="1"/>
  <c r="E100" i="10" s="1"/>
  <c r="E60" i="7"/>
  <c r="E66" i="7"/>
  <c r="E58" i="7"/>
  <c r="I96" i="10"/>
  <c r="I98" i="10" s="1"/>
  <c r="I100" i="10" s="1"/>
  <c r="H66" i="7"/>
  <c r="H60" i="7"/>
  <c r="H58" i="7"/>
  <c r="I60" i="7"/>
  <c r="I66" i="7"/>
  <c r="I58" i="7"/>
  <c r="E135" i="8"/>
  <c r="F66" i="7"/>
  <c r="F60" i="7"/>
  <c r="F58" i="7"/>
  <c r="L28" i="8"/>
  <c r="E52" i="8"/>
  <c r="F135" i="8"/>
  <c r="I135" i="8"/>
  <c r="I132" i="8"/>
  <c r="F96" i="10"/>
  <c r="F98" i="10" s="1"/>
  <c r="F100" i="10" s="1"/>
  <c r="F41" i="10"/>
  <c r="F46" i="10" s="1"/>
  <c r="H98" i="10"/>
  <c r="H100" i="10" s="1"/>
  <c r="G66" i="7"/>
  <c r="G58" i="7"/>
  <c r="G60" i="7"/>
  <c r="I46" i="10"/>
  <c r="I106" i="10"/>
  <c r="I98" i="9"/>
  <c r="E98" i="9"/>
  <c r="F37" i="7"/>
  <c r="G106" i="9"/>
  <c r="F122" i="8"/>
  <c r="G132" i="8"/>
  <c r="F132" i="8"/>
  <c r="E132" i="8"/>
  <c r="G122" i="8"/>
  <c r="I122" i="8"/>
  <c r="H122" i="8"/>
  <c r="E122" i="8"/>
  <c r="G98" i="9"/>
  <c r="H98" i="9"/>
  <c r="F98" i="9"/>
  <c r="G95" i="10"/>
  <c r="E95" i="10"/>
  <c r="I95" i="10"/>
  <c r="H95" i="10"/>
  <c r="F95" i="10"/>
  <c r="H106" i="9"/>
  <c r="E106" i="9"/>
  <c r="I106" i="9"/>
  <c r="F38" i="7"/>
  <c r="H38" i="7"/>
  <c r="G38" i="7"/>
  <c r="I38" i="7"/>
  <c r="E51" i="7"/>
  <c r="E52" i="7" s="1"/>
  <c r="E38" i="7"/>
  <c r="G131" i="8"/>
  <c r="E131" i="8"/>
  <c r="H131" i="8"/>
  <c r="H134" i="8" s="1"/>
  <c r="E102" i="8"/>
  <c r="E104" i="8" s="1"/>
  <c r="E103" i="8"/>
  <c r="I131" i="8"/>
  <c r="F131" i="8"/>
  <c r="G42" i="9"/>
  <c r="G45" i="9"/>
  <c r="G43" i="9"/>
  <c r="G102" i="9"/>
  <c r="F45" i="9"/>
  <c r="F43" i="9"/>
  <c r="F42" i="9"/>
  <c r="F102" i="9"/>
  <c r="H84" i="9"/>
  <c r="E83" i="9"/>
  <c r="E84" i="9" s="1"/>
  <c r="H83" i="9"/>
  <c r="H102" i="9"/>
  <c r="H42" i="9"/>
  <c r="H45" i="9"/>
  <c r="H43" i="9"/>
  <c r="E45" i="9"/>
  <c r="E42" i="9"/>
  <c r="E102" i="9"/>
  <c r="E43" i="9"/>
  <c r="I45" i="9"/>
  <c r="I42" i="9"/>
  <c r="I102" i="9"/>
  <c r="I43" i="9"/>
  <c r="E83" i="10"/>
  <c r="E84" i="10"/>
  <c r="I42" i="10"/>
  <c r="I44" i="9"/>
  <c r="I41" i="9"/>
  <c r="H44" i="9"/>
  <c r="H41" i="9"/>
  <c r="G44" i="9"/>
  <c r="G41" i="9"/>
  <c r="I61" i="7"/>
  <c r="F61" i="7"/>
  <c r="H61" i="7"/>
  <c r="G61" i="7"/>
  <c r="E61" i="7"/>
  <c r="E44" i="9"/>
  <c r="E41" i="9"/>
  <c r="F41" i="9"/>
  <c r="E133" i="8"/>
  <c r="G133" i="8"/>
  <c r="I133" i="8"/>
  <c r="H133" i="8"/>
  <c r="F95" i="9"/>
  <c r="G105" i="9"/>
  <c r="E105" i="9"/>
  <c r="I105" i="9"/>
  <c r="H105" i="9"/>
  <c r="G44" i="10"/>
  <c r="H104" i="10"/>
  <c r="E39" i="10"/>
  <c r="E104" i="10"/>
  <c r="I97" i="10"/>
  <c r="E44" i="10"/>
  <c r="G45" i="10"/>
  <c r="G104" i="10"/>
  <c r="E43" i="10"/>
  <c r="I104" i="10"/>
  <c r="F97" i="10"/>
  <c r="F104" i="10"/>
  <c r="E97" i="10"/>
  <c r="F43" i="10"/>
  <c r="E103" i="10"/>
  <c r="F45" i="10"/>
  <c r="E45" i="10"/>
  <c r="F44" i="10"/>
  <c r="G42" i="10"/>
  <c r="G106" i="10" l="1"/>
  <c r="H106" i="10"/>
  <c r="G46" i="10"/>
  <c r="I134" i="8"/>
  <c r="F106" i="9"/>
  <c r="E106" i="10"/>
  <c r="F136" i="8"/>
  <c r="F106" i="10"/>
  <c r="E101" i="10"/>
  <c r="I108" i="9"/>
  <c r="I110" i="9"/>
  <c r="H108" i="9"/>
  <c r="G108" i="9"/>
  <c r="G134" i="8"/>
  <c r="G138" i="8" s="1"/>
  <c r="E108" i="9"/>
  <c r="F128" i="8"/>
  <c r="E134" i="8"/>
  <c r="E138" i="8" s="1"/>
  <c r="G110" i="9"/>
  <c r="H110" i="9"/>
  <c r="H99" i="9"/>
  <c r="H100" i="9" s="1"/>
  <c r="H104" i="9" s="1"/>
  <c r="E110" i="9"/>
  <c r="F101" i="10"/>
  <c r="H136" i="8"/>
  <c r="I99" i="9"/>
  <c r="I100" i="9" s="1"/>
  <c r="I104" i="9" s="1"/>
  <c r="E99" i="9"/>
  <c r="E100" i="9" s="1"/>
  <c r="E104" i="9" s="1"/>
  <c r="E136" i="8"/>
  <c r="G136" i="8"/>
  <c r="I136" i="8"/>
  <c r="F134" i="8"/>
  <c r="F138" i="8" s="1"/>
  <c r="F124" i="8"/>
  <c r="F125" i="8" s="1"/>
  <c r="F129" i="8"/>
  <c r="I129" i="8"/>
  <c r="H124" i="8"/>
  <c r="H125" i="8" s="1"/>
  <c r="H129" i="8"/>
  <c r="G129" i="8"/>
  <c r="E129" i="8"/>
  <c r="E124" i="8"/>
  <c r="E125" i="8" s="1"/>
  <c r="I124" i="8"/>
  <c r="I125" i="8" s="1"/>
  <c r="G124" i="8"/>
  <c r="G125" i="8" s="1"/>
  <c r="E128" i="8"/>
  <c r="I128" i="8"/>
  <c r="G128" i="8"/>
  <c r="H128" i="8"/>
  <c r="F99" i="9"/>
  <c r="F100" i="9" s="1"/>
  <c r="F104" i="9" s="1"/>
  <c r="G99" i="9"/>
  <c r="G100" i="9" s="1"/>
  <c r="G104" i="9" s="1"/>
  <c r="H101" i="10"/>
  <c r="G101" i="10"/>
  <c r="I101" i="10"/>
  <c r="I51" i="10"/>
  <c r="I47" i="10"/>
  <c r="H51" i="9"/>
  <c r="I46" i="9"/>
  <c r="H46" i="9"/>
  <c r="I51" i="9"/>
  <c r="G51" i="9"/>
  <c r="G46" i="9"/>
  <c r="H42" i="10"/>
  <c r="H47" i="10"/>
  <c r="H51" i="10"/>
  <c r="H62" i="7"/>
  <c r="H68" i="7"/>
  <c r="I68" i="7"/>
  <c r="E62" i="7"/>
  <c r="F62" i="7"/>
  <c r="G68" i="7"/>
  <c r="I62" i="7"/>
  <c r="E68" i="7"/>
  <c r="F68" i="7"/>
  <c r="G62" i="7"/>
  <c r="E51" i="9"/>
  <c r="F46" i="9"/>
  <c r="E46" i="9"/>
  <c r="F44" i="9"/>
  <c r="F105" i="9"/>
  <c r="F105" i="10"/>
  <c r="G105" i="10"/>
  <c r="G47" i="10"/>
  <c r="E105" i="10"/>
  <c r="E42" i="10"/>
  <c r="F47" i="10"/>
  <c r="F42" i="10"/>
  <c r="E47" i="10"/>
  <c r="H105" i="10"/>
  <c r="I105" i="10"/>
  <c r="E57" i="10"/>
  <c r="F55" i="10"/>
  <c r="G64" i="7" l="1"/>
  <c r="G65" i="7" s="1"/>
  <c r="F108" i="9"/>
  <c r="E109" i="9" s="1"/>
  <c r="F110" i="9"/>
  <c r="E111" i="9" s="1"/>
  <c r="H69" i="7"/>
  <c r="H64" i="7"/>
  <c r="H65" i="7" s="1"/>
  <c r="G69" i="7"/>
  <c r="G70" i="7" s="1"/>
  <c r="G71" i="7" s="1"/>
  <c r="G72" i="7" s="1"/>
  <c r="E69" i="7"/>
  <c r="E64" i="7"/>
  <c r="E65" i="7" s="1"/>
  <c r="I69" i="7"/>
  <c r="I64" i="7"/>
  <c r="I65" i="7" s="1"/>
  <c r="E107" i="10"/>
  <c r="F69" i="7"/>
  <c r="F64" i="7"/>
  <c r="F65" i="7" s="1"/>
  <c r="E139" i="8"/>
  <c r="E140" i="8"/>
  <c r="E141" i="8" s="1"/>
  <c r="F130" i="8"/>
  <c r="I130" i="8"/>
  <c r="H130" i="8"/>
  <c r="G130" i="8"/>
  <c r="E130" i="8"/>
  <c r="I65" i="10"/>
  <c r="I52" i="10"/>
  <c r="I63" i="10"/>
  <c r="I60" i="10"/>
  <c r="I62" i="10"/>
  <c r="I58" i="10"/>
  <c r="I59" i="10"/>
  <c r="I57" i="10"/>
  <c r="I55" i="10"/>
  <c r="I56" i="10"/>
  <c r="I64" i="10"/>
  <c r="I61" i="10"/>
  <c r="E39" i="7"/>
  <c r="G80" i="8"/>
  <c r="G82" i="8"/>
  <c r="G77" i="8"/>
  <c r="G81" i="8"/>
  <c r="G76" i="8"/>
  <c r="G73" i="8"/>
  <c r="G78" i="8"/>
  <c r="G64" i="8"/>
  <c r="G69" i="8"/>
  <c r="G70" i="8"/>
  <c r="F80" i="8"/>
  <c r="F78" i="8"/>
  <c r="F83" i="8"/>
  <c r="F73" i="8"/>
  <c r="F81" i="8"/>
  <c r="F76" i="8"/>
  <c r="F64" i="8"/>
  <c r="F69" i="8"/>
  <c r="E73" i="8"/>
  <c r="E76" i="8"/>
  <c r="E77" i="8"/>
  <c r="E83" i="8"/>
  <c r="E78" i="8"/>
  <c r="E81" i="8"/>
  <c r="E64" i="8"/>
  <c r="E69" i="8"/>
  <c r="E70" i="8"/>
  <c r="I59" i="9"/>
  <c r="I52" i="9"/>
  <c r="I61" i="9"/>
  <c r="I64" i="9"/>
  <c r="I55" i="9"/>
  <c r="I57" i="9"/>
  <c r="H60" i="9"/>
  <c r="H65" i="9"/>
  <c r="H62" i="9"/>
  <c r="H58" i="9"/>
  <c r="H57" i="9"/>
  <c r="H56" i="9"/>
  <c r="I60" i="9"/>
  <c r="I62" i="9"/>
  <c r="I58" i="9"/>
  <c r="I65" i="9"/>
  <c r="I63" i="9"/>
  <c r="I56" i="9"/>
  <c r="H59" i="9"/>
  <c r="H61" i="9"/>
  <c r="H55" i="9"/>
  <c r="H64" i="9"/>
  <c r="H63" i="9"/>
  <c r="H52" i="9"/>
  <c r="G59" i="9"/>
  <c r="G65" i="9"/>
  <c r="G55" i="9"/>
  <c r="G61" i="9"/>
  <c r="G58" i="9"/>
  <c r="G64" i="9"/>
  <c r="G57" i="9"/>
  <c r="G56" i="9"/>
  <c r="G63" i="9"/>
  <c r="G62" i="9"/>
  <c r="G60" i="9"/>
  <c r="G52" i="9"/>
  <c r="H59" i="10"/>
  <c r="H61" i="10"/>
  <c r="H57" i="10"/>
  <c r="H63" i="10"/>
  <c r="H58" i="10"/>
  <c r="H65" i="10"/>
  <c r="H55" i="10"/>
  <c r="H62" i="10"/>
  <c r="H64" i="10"/>
  <c r="H60" i="10"/>
  <c r="H56" i="10"/>
  <c r="H52" i="10"/>
  <c r="F51" i="9"/>
  <c r="F55" i="9"/>
  <c r="E65" i="9"/>
  <c r="F52" i="9"/>
  <c r="F64" i="9"/>
  <c r="F61" i="9"/>
  <c r="F60" i="9"/>
  <c r="E60" i="9"/>
  <c r="E61" i="9"/>
  <c r="F59" i="9"/>
  <c r="E55" i="9"/>
  <c r="F58" i="9"/>
  <c r="F57" i="9"/>
  <c r="E62" i="9"/>
  <c r="F63" i="9"/>
  <c r="E56" i="9"/>
  <c r="E57" i="9"/>
  <c r="F65" i="9"/>
  <c r="E59" i="9"/>
  <c r="E58" i="9"/>
  <c r="E64" i="9"/>
  <c r="F62" i="9"/>
  <c r="E63" i="9"/>
  <c r="F56" i="9"/>
  <c r="E52" i="9"/>
  <c r="G89" i="8"/>
  <c r="E89" i="8"/>
  <c r="F89" i="8"/>
  <c r="H89" i="8"/>
  <c r="F88" i="8"/>
  <c r="E71" i="9"/>
  <c r="F71" i="9"/>
  <c r="G71" i="9"/>
  <c r="H71" i="9"/>
  <c r="E70" i="9"/>
  <c r="F70" i="9"/>
  <c r="G70" i="9"/>
  <c r="H70" i="9"/>
  <c r="G58" i="10"/>
  <c r="G57" i="10"/>
  <c r="F63" i="10"/>
  <c r="E55" i="10"/>
  <c r="H71" i="10"/>
  <c r="F56" i="10"/>
  <c r="F59" i="10"/>
  <c r="F51" i="10"/>
  <c r="E62" i="10"/>
  <c r="G71" i="10"/>
  <c r="E59" i="10"/>
  <c r="G63" i="10"/>
  <c r="F62" i="10"/>
  <c r="G61" i="10"/>
  <c r="E63" i="10"/>
  <c r="E61" i="10"/>
  <c r="F70" i="10"/>
  <c r="F57" i="10"/>
  <c r="F65" i="10"/>
  <c r="E58" i="10"/>
  <c r="F61" i="10"/>
  <c r="F58" i="10"/>
  <c r="F71" i="10"/>
  <c r="G51" i="10"/>
  <c r="G52" i="10" s="1"/>
  <c r="F64" i="10"/>
  <c r="G65" i="10"/>
  <c r="G55" i="10"/>
  <c r="G60" i="10"/>
  <c r="E60" i="10"/>
  <c r="E64" i="10"/>
  <c r="E70" i="10"/>
  <c r="G56" i="10"/>
  <c r="E65" i="10"/>
  <c r="G70" i="10"/>
  <c r="G59" i="10"/>
  <c r="E56" i="10"/>
  <c r="H70" i="10"/>
  <c r="F60" i="10"/>
  <c r="G62" i="10"/>
  <c r="E51" i="10"/>
  <c r="E52" i="10" s="1"/>
  <c r="G64" i="10"/>
  <c r="E71" i="10"/>
  <c r="I73" i="7" l="1"/>
  <c r="I70" i="7"/>
  <c r="I71" i="7" s="1"/>
  <c r="I72" i="7" s="1"/>
  <c r="E70" i="7"/>
  <c r="E71" i="7" s="1"/>
  <c r="E72" i="7" s="1"/>
  <c r="E73" i="7"/>
  <c r="G73" i="7"/>
  <c r="G74" i="7" s="1"/>
  <c r="H70" i="7"/>
  <c r="H71" i="7" s="1"/>
  <c r="H72" i="7" s="1"/>
  <c r="H73" i="7"/>
  <c r="F70" i="7"/>
  <c r="F71" i="7" s="1"/>
  <c r="F72" i="7" s="1"/>
  <c r="F73" i="7"/>
  <c r="G74" i="8"/>
  <c r="G75" i="8"/>
  <c r="G83" i="8"/>
  <c r="G79" i="8"/>
  <c r="F74" i="8"/>
  <c r="F79" i="8"/>
  <c r="F75" i="8"/>
  <c r="F77" i="8"/>
  <c r="F82" i="8"/>
  <c r="F70" i="8"/>
  <c r="E74" i="8"/>
  <c r="E75" i="8"/>
  <c r="E80" i="8"/>
  <c r="E79" i="8"/>
  <c r="E82" i="8"/>
  <c r="E88" i="8"/>
  <c r="F90" i="8"/>
  <c r="G88" i="8"/>
  <c r="H88" i="8"/>
  <c r="H72" i="9"/>
  <c r="F72" i="9"/>
  <c r="E72" i="9"/>
  <c r="G72" i="9"/>
  <c r="F52" i="10"/>
  <c r="F72" i="10"/>
  <c r="H72" i="10"/>
  <c r="E72" i="10"/>
  <c r="G72" i="10"/>
  <c r="E74" i="7" l="1"/>
  <c r="H74" i="7"/>
  <c r="I74" i="7"/>
  <c r="F74" i="7"/>
  <c r="H90" i="8"/>
  <c r="G90" i="8"/>
  <c r="E90" i="8"/>
</calcChain>
</file>

<file path=xl/sharedStrings.xml><?xml version="1.0" encoding="utf-8"?>
<sst xmlns="http://schemas.openxmlformats.org/spreadsheetml/2006/main" count="1440" uniqueCount="544">
  <si>
    <t>Developer notes and revision information:</t>
  </si>
  <si>
    <t>Revision Date</t>
  </si>
  <si>
    <t>Worksheet Name</t>
  </si>
  <si>
    <t>Workbook Revision</t>
  </si>
  <si>
    <t>Author(s)</t>
  </si>
  <si>
    <t>Item No.</t>
  </si>
  <si>
    <t>Change Description</t>
  </si>
  <si>
    <t>LRS</t>
  </si>
  <si>
    <t>Released</t>
  </si>
  <si>
    <t>Liquid</t>
  </si>
  <si>
    <t>All</t>
  </si>
  <si>
    <t>Added KOSO logo, colors and border</t>
  </si>
  <si>
    <t>Gas</t>
  </si>
  <si>
    <t>LiqGas</t>
  </si>
  <si>
    <t>WtrStm</t>
  </si>
  <si>
    <t>ValveData</t>
  </si>
  <si>
    <t>FluidData</t>
  </si>
  <si>
    <t>Revisions</t>
  </si>
  <si>
    <t>Fluid Data</t>
  </si>
  <si>
    <t>deg F</t>
  </si>
  <si>
    <t>Sources:</t>
  </si>
  <si>
    <t>VALTEK Engineering DATA 10</t>
  </si>
  <si>
    <t>deg C</t>
  </si>
  <si>
    <t>http://webbook.nist.gov/chemistry/name-ser.html</t>
  </si>
  <si>
    <t>K</t>
  </si>
  <si>
    <t>Fluid Synonyms</t>
  </si>
  <si>
    <t>Fluid Name</t>
  </si>
  <si>
    <t>Specific Name</t>
  </si>
  <si>
    <t>Water/Steam</t>
  </si>
  <si>
    <t>Water</t>
  </si>
  <si>
    <t>Custom</t>
  </si>
  <si>
    <t>1-Propene, 2-methyl-</t>
  </si>
  <si>
    <t>1,3-Butadiene, 2-methyl-</t>
  </si>
  <si>
    <t>2-Methyl-1-propene</t>
  </si>
  <si>
    <t xml:space="preserve">2-Methylbutadiene </t>
  </si>
  <si>
    <t>2-Methylbutane</t>
  </si>
  <si>
    <t>Butane, 2-methyl-</t>
  </si>
  <si>
    <t>2-Methylpentane</t>
  </si>
  <si>
    <t>Pentane, 2-methyl-</t>
  </si>
  <si>
    <t>2-Methylpropene</t>
  </si>
  <si>
    <t>3-Methylpentane</t>
  </si>
  <si>
    <t>Pentane, 3-methyl-</t>
  </si>
  <si>
    <t>Acetene</t>
  </si>
  <si>
    <t>Ethylene</t>
  </si>
  <si>
    <t>Acetylene</t>
  </si>
  <si>
    <t>Air</t>
  </si>
  <si>
    <t>Alcohol</t>
  </si>
  <si>
    <t>Ethanol</t>
  </si>
  <si>
    <t>Ammonia</t>
  </si>
  <si>
    <t>Argon</t>
  </si>
  <si>
    <t>Benzene</t>
  </si>
  <si>
    <t>Benzene, (1-methylethyl)-</t>
  </si>
  <si>
    <t>Butane</t>
  </si>
  <si>
    <t>Carbon dioxide</t>
  </si>
  <si>
    <t>Carbon monoxide</t>
  </si>
  <si>
    <t>Chlorine</t>
  </si>
  <si>
    <t>Cyclohexane</t>
  </si>
  <si>
    <t>Cyclopentane</t>
  </si>
  <si>
    <t>Decane</t>
  </si>
  <si>
    <t>Dichlorodifluoromethane</t>
  </si>
  <si>
    <t>Ethane</t>
  </si>
  <si>
    <t>Ethene</t>
  </si>
  <si>
    <t>Ethyl alcohol</t>
  </si>
  <si>
    <t>Ethylbenzene</t>
  </si>
  <si>
    <t>Freon (F-12)</t>
  </si>
  <si>
    <t>Helium</t>
  </si>
  <si>
    <t>Heptane</t>
  </si>
  <si>
    <t>Hexane</t>
  </si>
  <si>
    <t>Hydrogen</t>
  </si>
  <si>
    <t>Hydrogen chloride</t>
  </si>
  <si>
    <t>Hydrogen sulfide</t>
  </si>
  <si>
    <t>Isobutane</t>
  </si>
  <si>
    <t>Isobutene</t>
  </si>
  <si>
    <t>Isobutylene</t>
  </si>
  <si>
    <t>Isohexane</t>
  </si>
  <si>
    <t>Isoprene</t>
  </si>
  <si>
    <t>Isopropilbenzene</t>
  </si>
  <si>
    <t>iso-Pentane</t>
  </si>
  <si>
    <t>Methane</t>
  </si>
  <si>
    <t>Methanol</t>
  </si>
  <si>
    <t>Methyl alcohol</t>
  </si>
  <si>
    <t>Methyl chloride</t>
  </si>
  <si>
    <t>Natural gas</t>
  </si>
  <si>
    <t>Neon</t>
  </si>
  <si>
    <t>Nitrogen</t>
  </si>
  <si>
    <t>Nitrous oxide</t>
  </si>
  <si>
    <t>Nonane</t>
  </si>
  <si>
    <t>n-Butane</t>
  </si>
  <si>
    <t>n-Decane</t>
  </si>
  <si>
    <t>n-Heptane</t>
  </si>
  <si>
    <t>n-Hexane</t>
  </si>
  <si>
    <t>n-Nonane</t>
  </si>
  <si>
    <t>n-Octane</t>
  </si>
  <si>
    <t>Octane</t>
  </si>
  <si>
    <t>n-Pentane</t>
  </si>
  <si>
    <t>Pentane</t>
  </si>
  <si>
    <t>n-Propane</t>
  </si>
  <si>
    <t>Propane</t>
  </si>
  <si>
    <t>Oxygen</t>
  </si>
  <si>
    <t>Propene</t>
  </si>
  <si>
    <t>Propene, 2-methyl-</t>
  </si>
  <si>
    <t>Propylene</t>
  </si>
  <si>
    <t>Sulfur dioxide</t>
  </si>
  <si>
    <t>Sulfur trioxide</t>
  </si>
  <si>
    <t>Fluid Properties</t>
  </si>
  <si>
    <t>Valtek Number</t>
  </si>
  <si>
    <t>Lower Limit</t>
  </si>
  <si>
    <r>
      <t>G</t>
    </r>
    <r>
      <rPr>
        <b/>
        <vertAlign val="subscript"/>
        <sz val="12"/>
        <rFont val="Arial"/>
        <family val="2"/>
      </rPr>
      <t>f</t>
    </r>
    <r>
      <rPr>
        <b/>
        <sz val="12"/>
        <rFont val="Arial"/>
        <family val="2"/>
      </rPr>
      <t xml:space="preserve"> Constants
Gf = GFB(2Tc-T)/(2Tc-TB)</t>
    </r>
  </si>
  <si>
    <t>Common Name</t>
  </si>
  <si>
    <t>Formula</t>
  </si>
  <si>
    <t>MW</t>
  </si>
  <si>
    <t>Tc</t>
  </si>
  <si>
    <t>Pc</t>
  </si>
  <si>
    <t>A</t>
  </si>
  <si>
    <t>B</t>
  </si>
  <si>
    <t>C</t>
  </si>
  <si>
    <t>GFB</t>
  </si>
  <si>
    <t>TB</t>
  </si>
  <si>
    <t>k</t>
  </si>
  <si>
    <t>c</t>
  </si>
  <si>
    <r>
      <t>C</t>
    </r>
    <r>
      <rPr>
        <b/>
        <vertAlign val="subscript"/>
        <sz val="12"/>
        <rFont val="Arial"/>
        <family val="2"/>
      </rPr>
      <t>4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8</t>
    </r>
  </si>
  <si>
    <r>
      <t>C</t>
    </r>
    <r>
      <rPr>
        <b/>
        <vertAlign val="subscript"/>
        <sz val="12"/>
        <rFont val="Arial"/>
        <family val="2"/>
      </rPr>
      <t>5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8</t>
    </r>
  </si>
  <si>
    <r>
      <t>C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2</t>
    </r>
  </si>
  <si>
    <r>
      <t>H</t>
    </r>
    <r>
      <rPr>
        <b/>
        <vertAlign val="subscript"/>
        <sz val="12"/>
        <rFont val="Arial"/>
        <family val="2"/>
      </rPr>
      <t>3</t>
    </r>
    <r>
      <rPr>
        <b/>
        <sz val="12"/>
        <rFont val="Arial"/>
        <family val="2"/>
      </rPr>
      <t>N</t>
    </r>
  </si>
  <si>
    <t>Ar</t>
  </si>
  <si>
    <r>
      <t>C</t>
    </r>
    <r>
      <rPr>
        <b/>
        <vertAlign val="subscript"/>
        <sz val="12"/>
        <rFont val="Arial"/>
        <family val="2"/>
      </rPr>
      <t>6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6</t>
    </r>
  </si>
  <si>
    <r>
      <t>C</t>
    </r>
    <r>
      <rPr>
        <b/>
        <vertAlign val="subscript"/>
        <sz val="12"/>
        <rFont val="Arial"/>
        <family val="2"/>
      </rPr>
      <t>9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12</t>
    </r>
  </si>
  <si>
    <r>
      <t>C</t>
    </r>
    <r>
      <rPr>
        <b/>
        <vertAlign val="subscript"/>
        <sz val="12"/>
        <rFont val="Arial"/>
        <family val="2"/>
      </rPr>
      <t>4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10</t>
    </r>
  </si>
  <si>
    <r>
      <t>C</t>
    </r>
    <r>
      <rPr>
        <b/>
        <vertAlign val="subscript"/>
        <sz val="12"/>
        <rFont val="Arial"/>
        <family val="2"/>
      </rPr>
      <t>5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12</t>
    </r>
  </si>
  <si>
    <r>
      <t>C</t>
    </r>
    <r>
      <rPr>
        <b/>
        <sz val="12"/>
        <rFont val="Arial"/>
        <family val="2"/>
      </rPr>
      <t>O</t>
    </r>
    <r>
      <rPr>
        <b/>
        <vertAlign val="subscript"/>
        <sz val="12"/>
        <rFont val="Arial"/>
        <family val="2"/>
      </rPr>
      <t>2</t>
    </r>
  </si>
  <si>
    <t>CO</t>
  </si>
  <si>
    <r>
      <t>Cl</t>
    </r>
    <r>
      <rPr>
        <b/>
        <vertAlign val="subscript"/>
        <sz val="12"/>
        <rFont val="Arial"/>
        <family val="2"/>
      </rPr>
      <t>2</t>
    </r>
  </si>
  <si>
    <r>
      <t>C</t>
    </r>
    <r>
      <rPr>
        <b/>
        <vertAlign val="subscript"/>
        <sz val="12"/>
        <rFont val="Arial"/>
        <family val="2"/>
      </rPr>
      <t>6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12</t>
    </r>
  </si>
  <si>
    <r>
      <t>C</t>
    </r>
    <r>
      <rPr>
        <b/>
        <vertAlign val="subscript"/>
        <sz val="12"/>
        <rFont val="Arial"/>
        <family val="2"/>
      </rPr>
      <t>5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10</t>
    </r>
  </si>
  <si>
    <r>
      <t>C</t>
    </r>
    <r>
      <rPr>
        <b/>
        <vertAlign val="subscript"/>
        <sz val="12"/>
        <rFont val="Arial"/>
        <family val="2"/>
      </rPr>
      <t>10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22</t>
    </r>
  </si>
  <si>
    <r>
      <t>CCl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F</t>
    </r>
    <r>
      <rPr>
        <b/>
        <vertAlign val="subscript"/>
        <sz val="12"/>
        <rFont val="Arial"/>
        <family val="2"/>
      </rPr>
      <t>2</t>
    </r>
  </si>
  <si>
    <r>
      <t>C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6</t>
    </r>
  </si>
  <si>
    <r>
      <t>C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6</t>
    </r>
    <r>
      <rPr>
        <b/>
        <sz val="12"/>
        <rFont val="Arial"/>
        <family val="2"/>
      </rPr>
      <t>O</t>
    </r>
  </si>
  <si>
    <r>
      <t>C</t>
    </r>
    <r>
      <rPr>
        <b/>
        <vertAlign val="subscript"/>
        <sz val="12"/>
        <rFont val="Arial"/>
        <family val="2"/>
      </rPr>
      <t>8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10</t>
    </r>
  </si>
  <si>
    <r>
      <t>C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4</t>
    </r>
  </si>
  <si>
    <t>He</t>
  </si>
  <si>
    <r>
      <t>C</t>
    </r>
    <r>
      <rPr>
        <b/>
        <vertAlign val="subscript"/>
        <sz val="12"/>
        <rFont val="Arial"/>
        <family val="2"/>
      </rPr>
      <t>7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16</t>
    </r>
  </si>
  <si>
    <r>
      <t>C</t>
    </r>
    <r>
      <rPr>
        <b/>
        <vertAlign val="subscript"/>
        <sz val="12"/>
        <rFont val="Arial"/>
        <family val="2"/>
      </rPr>
      <t>6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14</t>
    </r>
  </si>
  <si>
    <r>
      <t>H</t>
    </r>
    <r>
      <rPr>
        <b/>
        <vertAlign val="subscript"/>
        <sz val="12"/>
        <rFont val="Arial"/>
        <family val="2"/>
      </rPr>
      <t>2</t>
    </r>
  </si>
  <si>
    <t>HCl</t>
  </si>
  <si>
    <r>
      <t>H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S</t>
    </r>
  </si>
  <si>
    <r>
      <t>CH</t>
    </r>
    <r>
      <rPr>
        <b/>
        <vertAlign val="subscript"/>
        <sz val="12"/>
        <rFont val="Arial"/>
        <family val="2"/>
      </rPr>
      <t>4</t>
    </r>
  </si>
  <si>
    <r>
      <t>C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4</t>
    </r>
    <r>
      <rPr>
        <b/>
        <sz val="12"/>
        <rFont val="Arial"/>
        <family val="2"/>
      </rPr>
      <t>O</t>
    </r>
  </si>
  <si>
    <r>
      <t>CH</t>
    </r>
    <r>
      <rPr>
        <b/>
        <vertAlign val="subscript"/>
        <sz val="12"/>
        <rFont val="Arial"/>
        <family val="2"/>
      </rPr>
      <t>3</t>
    </r>
    <r>
      <rPr>
        <b/>
        <sz val="12"/>
        <rFont val="Arial"/>
        <family val="2"/>
      </rPr>
      <t>CL</t>
    </r>
  </si>
  <si>
    <t>Ne</t>
  </si>
  <si>
    <r>
      <t>N</t>
    </r>
    <r>
      <rPr>
        <b/>
        <vertAlign val="subscript"/>
        <sz val="12"/>
        <rFont val="Arial"/>
        <family val="2"/>
      </rPr>
      <t>2</t>
    </r>
  </si>
  <si>
    <t>Nitric oxide</t>
  </si>
  <si>
    <t>NO</t>
  </si>
  <si>
    <r>
      <t>N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O</t>
    </r>
  </si>
  <si>
    <t>Nitrogen dioxide</t>
  </si>
  <si>
    <r>
      <t>NO</t>
    </r>
    <r>
      <rPr>
        <b/>
        <vertAlign val="subscript"/>
        <sz val="12"/>
        <rFont val="Arial"/>
        <family val="2"/>
      </rPr>
      <t>2</t>
    </r>
  </si>
  <si>
    <r>
      <t>C</t>
    </r>
    <r>
      <rPr>
        <b/>
        <vertAlign val="subscript"/>
        <sz val="12"/>
        <rFont val="Arial"/>
        <family val="2"/>
      </rPr>
      <t>9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20</t>
    </r>
  </si>
  <si>
    <r>
      <t>C</t>
    </r>
    <r>
      <rPr>
        <b/>
        <vertAlign val="subscript"/>
        <sz val="12"/>
        <rFont val="Arial"/>
        <family val="2"/>
      </rPr>
      <t>8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18</t>
    </r>
  </si>
  <si>
    <r>
      <t>O</t>
    </r>
    <r>
      <rPr>
        <b/>
        <vertAlign val="subscript"/>
        <sz val="12"/>
        <rFont val="Arial"/>
        <family val="2"/>
      </rPr>
      <t>2</t>
    </r>
  </si>
  <si>
    <r>
      <t>C</t>
    </r>
    <r>
      <rPr>
        <b/>
        <vertAlign val="subscript"/>
        <sz val="12"/>
        <rFont val="Arial"/>
        <family val="2"/>
      </rPr>
      <t>3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8</t>
    </r>
  </si>
  <si>
    <r>
      <t>C</t>
    </r>
    <r>
      <rPr>
        <b/>
        <vertAlign val="subscript"/>
        <sz val="12"/>
        <rFont val="Arial"/>
        <family val="2"/>
      </rPr>
      <t>3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6</t>
    </r>
  </si>
  <si>
    <r>
      <t>O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S</t>
    </r>
  </si>
  <si>
    <r>
      <t>O</t>
    </r>
    <r>
      <rPr>
        <b/>
        <vertAlign val="subscript"/>
        <sz val="12"/>
        <rFont val="Arial"/>
        <family val="2"/>
      </rPr>
      <t>3</t>
    </r>
    <r>
      <rPr>
        <b/>
        <sz val="12"/>
        <rFont val="Arial"/>
        <family val="2"/>
      </rPr>
      <t>S</t>
    </r>
  </si>
  <si>
    <r>
      <t>H</t>
    </r>
    <r>
      <rPr>
        <b/>
        <vertAlign val="subscript"/>
        <sz val="12"/>
        <rFont val="Arial"/>
        <family val="2"/>
      </rPr>
      <t>2</t>
    </r>
    <r>
      <rPr>
        <b/>
        <sz val="12"/>
        <rFont val="Arial"/>
        <family val="2"/>
      </rPr>
      <t>O</t>
    </r>
  </si>
  <si>
    <t>Table 1.  Valve Sizing Indices</t>
  </si>
  <si>
    <t>Valve Type</t>
  </si>
  <si>
    <t>Cv/d^2</t>
  </si>
  <si>
    <t>FL</t>
  </si>
  <si>
    <t>XT</t>
  </si>
  <si>
    <t>Fd</t>
  </si>
  <si>
    <t>Kc</t>
  </si>
  <si>
    <t>N</t>
  </si>
  <si>
    <t>Calc'd</t>
  </si>
  <si>
    <t>Defaults</t>
  </si>
  <si>
    <t>Reference</t>
  </si>
  <si>
    <t>Equation</t>
  </si>
  <si>
    <t/>
  </si>
  <si>
    <t>OPTION DESCRIPTION</t>
  </si>
  <si>
    <t>OPTIONS</t>
  </si>
  <si>
    <t>Known Inlet Property</t>
  </si>
  <si>
    <t>Quality</t>
  </si>
  <si>
    <t>Pipe Correction Factor Option</t>
  </si>
  <si>
    <t>Calculate Correction</t>
  </si>
  <si>
    <t>PIPE &amp; VALVE SIZES</t>
  </si>
  <si>
    <t>UNITS</t>
  </si>
  <si>
    <t>INLET</t>
  </si>
  <si>
    <t>OUTLET</t>
  </si>
  <si>
    <t>VALVE/TRIM SIZING CONSTANTS</t>
  </si>
  <si>
    <t>ACTUAL</t>
  </si>
  <si>
    <t>Relative Capacity</t>
  </si>
  <si>
    <t>Cd</t>
  </si>
  <si>
    <t>Lookup</t>
  </si>
  <si>
    <t>Valve Type Table</t>
  </si>
  <si>
    <t>Pressure Recovery Factor</t>
  </si>
  <si>
    <t>Fl</t>
  </si>
  <si>
    <t>Pressure Drop Ratio Factor</t>
  </si>
  <si>
    <t>Xt</t>
  </si>
  <si>
    <t>Laminar Flow Factor</t>
  </si>
  <si>
    <t>Fs</t>
  </si>
  <si>
    <t>OPERATING CONDITIONS</t>
  </si>
  <si>
    <t>CONDITION VALUES</t>
  </si>
  <si>
    <t>Condition Label</t>
  </si>
  <si>
    <t>Total Mass Flow Rate</t>
  </si>
  <si>
    <t>lb/h</t>
  </si>
  <si>
    <t>Given</t>
  </si>
  <si>
    <t>Inlet Pressure</t>
  </si>
  <si>
    <t>Outlet Pressure</t>
  </si>
  <si>
    <t>Inlet Enthalpy</t>
  </si>
  <si>
    <t>Btu/lb</t>
  </si>
  <si>
    <t>Inlet Quality</t>
  </si>
  <si>
    <t>CALCULATIONS</t>
  </si>
  <si>
    <t>VARIABLE</t>
  </si>
  <si>
    <t>COMMENTS:</t>
  </si>
  <si>
    <t>Pipe Correction Factor</t>
  </si>
  <si>
    <t>Fp</t>
  </si>
  <si>
    <t>Valve/pipe dP Ratio Factor</t>
  </si>
  <si>
    <t>Xtp</t>
  </si>
  <si>
    <t>W</t>
  </si>
  <si>
    <t>kg/h</t>
  </si>
  <si>
    <t>Unit Conv</t>
  </si>
  <si>
    <t>P1</t>
  </si>
  <si>
    <t>P2</t>
  </si>
  <si>
    <t>H1</t>
  </si>
  <si>
    <t>kJ/kg</t>
  </si>
  <si>
    <t>Q</t>
  </si>
  <si>
    <t>Water Mass Flow Rate</t>
  </si>
  <si>
    <t>Wf</t>
  </si>
  <si>
    <t>Wf = (1 - Q)*W</t>
  </si>
  <si>
    <t>Water Inlet Density</t>
  </si>
  <si>
    <t>rho1f</t>
  </si>
  <si>
    <t>kg/m3</t>
  </si>
  <si>
    <t>rho1f = wtrPQD(P1,0)</t>
  </si>
  <si>
    <t>rho1fe</t>
  </si>
  <si>
    <t>rho1fe = rhof/(1 - Q)</t>
  </si>
  <si>
    <t>Inlet Temperature</t>
  </si>
  <si>
    <t>T1</t>
  </si>
  <si>
    <t>T1 = wtrPHT(P1, wtrPQH(P1, Q))</t>
  </si>
  <si>
    <t>Vapor Pressure</t>
  </si>
  <si>
    <t>Pv</t>
  </si>
  <si>
    <t>Pv = wtrTP(T1)</t>
  </si>
  <si>
    <t>Critical Pressure</t>
  </si>
  <si>
    <t>Pc = 220.694</t>
  </si>
  <si>
    <t>Critical Press. Ratio Factor</t>
  </si>
  <si>
    <t>Ff</t>
  </si>
  <si>
    <t>Ff = 0.96 - 0.28*(Pv/Pc)^0.5</t>
  </si>
  <si>
    <t>dPfe</t>
  </si>
  <si>
    <t>bar</t>
  </si>
  <si>
    <t>dPfe = MIN(P1 - P2, Fl^2*(P1 - Ff*Pv))</t>
  </si>
  <si>
    <t>Steam Mass Flow Rate</t>
  </si>
  <si>
    <t>Wg</t>
  </si>
  <si>
    <t>Wg = Q*W</t>
  </si>
  <si>
    <t>Steam Inlet Density</t>
  </si>
  <si>
    <t>rho1g</t>
  </si>
  <si>
    <t>rho1g = wtrPQD(P1, 1)</t>
  </si>
  <si>
    <t>Ratio of Spec. Heat</t>
  </si>
  <si>
    <t>k = wtrPTG(P1, T1 + 0.1)</t>
  </si>
  <si>
    <t>Ratio of Sp Heats Factor</t>
  </si>
  <si>
    <t>Fk</t>
  </si>
  <si>
    <t>Fk = k/1.4</t>
  </si>
  <si>
    <t>Pressure Drop Ratio</t>
  </si>
  <si>
    <t>x</t>
  </si>
  <si>
    <t>x = MIN(Fk*Xtp, (P1 - P2)/P1)</t>
  </si>
  <si>
    <t>Expansion Factor</t>
  </si>
  <si>
    <t>Y</t>
  </si>
  <si>
    <t>Y = 1 - x/(3*Fk*Xtp)</t>
  </si>
  <si>
    <t>rho1ge</t>
  </si>
  <si>
    <t>rho1ge = rho1g*Y^2/Q</t>
  </si>
  <si>
    <t>dPge</t>
  </si>
  <si>
    <t>dPge = MIN(P1 - P2, P1*Fk*Xtp)</t>
  </si>
  <si>
    <t>Valve Flow Coefficient</t>
  </si>
  <si>
    <t>Kv</t>
  </si>
  <si>
    <t>RESULTS</t>
  </si>
  <si>
    <t>Enthalpy</t>
  </si>
  <si>
    <t>Water Density</t>
  </si>
  <si>
    <t>lb/ft3</t>
  </si>
  <si>
    <t>Steam Density</t>
  </si>
  <si>
    <t>Ratio of Specific Heats</t>
  </si>
  <si>
    <t>Valve Flow Capacity</t>
  </si>
  <si>
    <t>Cv</t>
  </si>
  <si>
    <t>Notes:</t>
  </si>
  <si>
    <t>Type of Liquid</t>
  </si>
  <si>
    <t>Liquid Flow Rate Type</t>
  </si>
  <si>
    <t>Mass Flow Rate</t>
  </si>
  <si>
    <t>Method of Specifying Liquid Density</t>
  </si>
  <si>
    <t>Direct Input</t>
  </si>
  <si>
    <t>Type of Gas</t>
  </si>
  <si>
    <t>Gas Flow Rate Type</t>
  </si>
  <si>
    <t>Method of Specifing Gas Density</t>
  </si>
  <si>
    <t>Compressibility Option</t>
  </si>
  <si>
    <t>Assume 1</t>
  </si>
  <si>
    <t>Nominal Pipe Size</t>
  </si>
  <si>
    <t>in.</t>
  </si>
  <si>
    <t>Nominal Valve Size</t>
  </si>
  <si>
    <t>CRITICAL CONDITIONS</t>
  </si>
  <si>
    <t>Liquid Critical Pressure</t>
  </si>
  <si>
    <t>Gas Critical Pressure</t>
  </si>
  <si>
    <t>Gas Critical Temperature</t>
  </si>
  <si>
    <t>Liquid Volume Flow Rate</t>
  </si>
  <si>
    <t>Liquid Mass Flow Rate</t>
  </si>
  <si>
    <t>Liquid Vapor Pressure</t>
  </si>
  <si>
    <t>If unknown, enter 0</t>
  </si>
  <si>
    <t>Liquid Specific Gravity</t>
  </si>
  <si>
    <t>Gf</t>
  </si>
  <si>
    <t>Liquid Inlet Density</t>
  </si>
  <si>
    <t>Gas Mass Flow Rate</t>
  </si>
  <si>
    <t>Gas Volume Flow Rate</t>
  </si>
  <si>
    <t>Specific Gravity</t>
  </si>
  <si>
    <t>Gg</t>
  </si>
  <si>
    <t>Molecular Weight</t>
  </si>
  <si>
    <t>Compressibilty Factor</t>
  </si>
  <si>
    <t>Gas Inlet Density</t>
  </si>
  <si>
    <t>Inlet and Outlet Pipe Size</t>
  </si>
  <si>
    <t>D1 &amp; D2</t>
  </si>
  <si>
    <t>mm</t>
  </si>
  <si>
    <t>Inlet and Outlet Valve Size</t>
  </si>
  <si>
    <t>dv1 &amp; dv2</t>
  </si>
  <si>
    <t>Resistance Coefficient</t>
  </si>
  <si>
    <t>K1 &amp; K2</t>
  </si>
  <si>
    <t>Bernoulli Coefficient</t>
  </si>
  <si>
    <t>KB1 &amp; KB2</t>
  </si>
  <si>
    <t>Valve/Pipe Recovery Factor</t>
  </si>
  <si>
    <t>Flp</t>
  </si>
  <si>
    <t>Flp = Fl*((K1 + KB1)*Fl^2*Cd^2/0.00214 + 1)^-0.5</t>
  </si>
  <si>
    <t>Pcf</t>
  </si>
  <si>
    <t>Liquid Critical Temperature</t>
  </si>
  <si>
    <t>Tcf</t>
  </si>
  <si>
    <t>Qf</t>
  </si>
  <si>
    <t>m3/h</t>
  </si>
  <si>
    <t>Inlet Density</t>
  </si>
  <si>
    <t>Pcg</t>
  </si>
  <si>
    <t>Tcg</t>
  </si>
  <si>
    <t>Qg</t>
  </si>
  <si>
    <t>Nm3/h</t>
  </si>
  <si>
    <t>Mw</t>
  </si>
  <si>
    <t>Compressibility Factor</t>
  </si>
  <si>
    <t>Z</t>
  </si>
  <si>
    <t>IF Pcf &lt;= Pv THEN Ff = 0.68 ELSE Ff = 0.96 - 0.28*(Pv/Pc)^0.5</t>
  </si>
  <si>
    <t>Liquid Effective Pressure Drop</t>
  </si>
  <si>
    <t>dPfe = MIN(P1 - P2, (Flp/Fp)^2*(P1 - Ff*Pv))</t>
  </si>
  <si>
    <t>Gas Effective Pressure Drop</t>
  </si>
  <si>
    <t>C(Kv) = 1/(31.6*Fp)*((Wf + Wg)*(Wf/(rho1f*dPfe) + Wg/(rho1g*Y^2*dPge)))^0.5</t>
  </si>
  <si>
    <t>Unit Conversions</t>
  </si>
  <si>
    <t>Information only</t>
  </si>
  <si>
    <t>Flow Rate Type</t>
  </si>
  <si>
    <t>Volume Flow Rate</t>
  </si>
  <si>
    <t>Method of Specifing Density</t>
  </si>
  <si>
    <t>Valve Data</t>
  </si>
  <si>
    <t>From ValveData</t>
  </si>
  <si>
    <t>Critical Temperature</t>
  </si>
  <si>
    <t>Unit Conversion</t>
  </si>
  <si>
    <t>Compressibility</t>
  </si>
  <si>
    <t>rho1</t>
  </si>
  <si>
    <t>Eq. 34</t>
  </si>
  <si>
    <t>Sec. 7</t>
  </si>
  <si>
    <t>x = MIN(Fk*xTP, (P1 - P2)/P1)</t>
  </si>
  <si>
    <t>Eq. 32</t>
  </si>
  <si>
    <t>Y = 1 - x/(3*Fk*xTP)</t>
  </si>
  <si>
    <t>kg/s</t>
  </si>
  <si>
    <t>Eqs. 9, 15</t>
  </si>
  <si>
    <t>C(Kv) = W/(31.6*Fp*Y*(x*P1*rho1)^0.5)</t>
  </si>
  <si>
    <t>Speed of Sound</t>
  </si>
  <si>
    <t>m/s</t>
  </si>
  <si>
    <t>Outlet Density</t>
  </si>
  <si>
    <t>rho2</t>
  </si>
  <si>
    <t>KEallow</t>
  </si>
  <si>
    <t>UT Plug Size for Energy</t>
  </si>
  <si>
    <t>Dpu</t>
  </si>
  <si>
    <t>m</t>
  </si>
  <si>
    <t>Maximum UT Plug Size</t>
  </si>
  <si>
    <t>Dpumax</t>
  </si>
  <si>
    <t>OT Plug Size for Energy</t>
  </si>
  <si>
    <t>Maximum OT Plug Size</t>
  </si>
  <si>
    <t>Compressiblility Factor</t>
  </si>
  <si>
    <t>Fluid Kinetic Energy at Trim Outlet at Required Number of Stages</t>
  </si>
  <si>
    <t>Required Number of Stages</t>
  </si>
  <si>
    <t>Fluid Kinetic Energy at Trim Outlet</t>
  </si>
  <si>
    <t>Ported Cage</t>
  </si>
  <si>
    <t>Cage with Small Holes</t>
  </si>
  <si>
    <t>Minimum Valve Trim Sizes to Avoid Vibration and Erosion Related Problems</t>
  </si>
  <si>
    <t>Ang/Under</t>
  </si>
  <si>
    <t>Ang/Over</t>
  </si>
  <si>
    <t>Glb/Under</t>
  </si>
  <si>
    <t>Glb/Over</t>
  </si>
  <si>
    <t>Minimum Valve Inlet Size</t>
  </si>
  <si>
    <t>Minimum Plug Size, Cv</t>
  </si>
  <si>
    <t>Minimum Plug Size, Energy</t>
  </si>
  <si>
    <t>Minimum Standard Plug Size</t>
  </si>
  <si>
    <t>Minimum Valve Outlet Size</t>
  </si>
  <si>
    <t>Method of Specifying Density</t>
  </si>
  <si>
    <t>Laminar Effect Option</t>
  </si>
  <si>
    <t>Calculate Effect</t>
  </si>
  <si>
    <t>Hardware Cavitation Index</t>
  </si>
  <si>
    <t>Valve Style Modifier</t>
  </si>
  <si>
    <t>Viscosity</t>
  </si>
  <si>
    <t>cpoise</t>
  </si>
  <si>
    <t>Fp = ((K1 + K2 + KB1 - KB2)*Cd^2/0.00214 + 1)^-0.5</t>
  </si>
  <si>
    <t>Valve/pipe recovery factor</t>
  </si>
  <si>
    <t>mu</t>
  </si>
  <si>
    <t>Critical Pressure Ratio Factor</t>
  </si>
  <si>
    <t>Eq. 31</t>
  </si>
  <si>
    <t>IF Pc &lt;= Pv THEN Ff = 0.68 ELSE Ff = 0.96 - 0.28*(Pv/Pc)^0.5</t>
  </si>
  <si>
    <t>Reynold's Number</t>
  </si>
  <si>
    <t>Rev</t>
  </si>
  <si>
    <t>Eq. 28</t>
  </si>
  <si>
    <t>IF mu = 0 THEN Rev = 10001 ELSE Rev =  70.7*Fd*Qf/((mu/rho1)*(Qf*(rho1/(1000*(P1 - P2)))^0.5*Fl)^0.5)*(Fl^2*Cd^2/0.00214 + 1)^0.25</t>
  </si>
  <si>
    <t>Laminar Sizing Coefficient</t>
  </si>
  <si>
    <t>n</t>
  </si>
  <si>
    <t>Eqs. G.1b, G.3b</t>
  </si>
  <si>
    <t>IF Cd &gt;= 0.016 THEN n = 0.00214/Cd^2 ELSE n = 1 + 127*Cd^(2/3)</t>
  </si>
  <si>
    <t>Reynold's Number Factor</t>
  </si>
  <si>
    <t>Fr</t>
  </si>
  <si>
    <t>Eqs. G.1a, G.2, G.3a, G.4</t>
  </si>
  <si>
    <t>Fr =MIN(1 OR (IF Rev &lt; 10 THEN 0.026/Fl*(n*Rev)^0.5 ELSE MIN(1 + (0.33*Fl^0.5/n^0.25)*LOG(Rev/10000) OR 0.026/Fl*(n*Rev)^0.5)))</t>
  </si>
  <si>
    <t>Eq.2, Eq, 4</t>
  </si>
  <si>
    <t>C = IF P1 - P2 &lt; (Flp/Fp)^2*(P1 - Ff*Pv) THEN Qf/(1*Fp*Fr)*(rho1/(1000*(P1 - P2)))^0.5 ELSE Gf/(1*Flp*Fr)*(rho1/(1000*(P1 - Ff*Pv)))^0.5</t>
  </si>
  <si>
    <t>Allow. Fluid Vel. at Trim Outlet</t>
  </si>
  <si>
    <t>Vpallow</t>
  </si>
  <si>
    <t>Allowable Kinetic Energy</t>
  </si>
  <si>
    <t>Plug Size for Energy</t>
  </si>
  <si>
    <t>Dpe</t>
  </si>
  <si>
    <t>Maximum Plug Size for Energy</t>
  </si>
  <si>
    <t>Dpemax</t>
  </si>
  <si>
    <t>Fluid Condition</t>
  </si>
  <si>
    <t>Section 6.1</t>
  </si>
  <si>
    <t>Cavitation Index</t>
  </si>
  <si>
    <t>Kcc Def</t>
  </si>
  <si>
    <t>Kcc = (P1 - P2)/(P1 - Pv)</t>
  </si>
  <si>
    <t>Fluid Velocity at Trim Outlet at Required Number of Stages</t>
  </si>
  <si>
    <t>Fluid Velocity at Trim Outlet</t>
  </si>
  <si>
    <t>Minimum Valve Trim Sizes to Avoid Vibration, Cavitation and Erosion Related Problems</t>
  </si>
  <si>
    <t>LOCATION</t>
  </si>
  <si>
    <t>Input?</t>
  </si>
  <si>
    <t>barA</t>
  </si>
  <si>
    <t>Antoine's Coefficients
Pv(barA) = exp(A - B/(T(K) + C)</t>
  </si>
  <si>
    <t>Required</t>
  </si>
  <si>
    <t>Revised Unit strings</t>
  </si>
  <si>
    <t>Fixed Liquid stage versus turns for volume flow rate input</t>
  </si>
  <si>
    <t>Modified header to match datasheet</t>
  </si>
  <si>
    <t>PROJECT</t>
  </si>
  <si>
    <t>CUSTOMER</t>
  </si>
  <si>
    <t>P.O.</t>
  </si>
  <si>
    <t>INQ / REV</t>
  </si>
  <si>
    <t>SERVICE</t>
  </si>
  <si>
    <t>DATASHEET</t>
  </si>
  <si>
    <t>OF</t>
  </si>
  <si>
    <t>SPEC</t>
  </si>
  <si>
    <t>TAG #</t>
  </si>
  <si>
    <t>ITEM #</t>
  </si>
  <si>
    <t>QTY</t>
  </si>
  <si>
    <t>DRAWING</t>
  </si>
  <si>
    <t xml:space="preserve">UNIT </t>
  </si>
  <si>
    <t xml:space="preserve">DATE </t>
  </si>
  <si>
    <t>PROP / REV</t>
  </si>
  <si>
    <t>Allow. Fluid Kinetic Energy</t>
  </si>
  <si>
    <t>Num. of Stages in Trim</t>
  </si>
  <si>
    <t>Revision Date: 22-Apr-08</t>
  </si>
  <si>
    <t>deg R</t>
  </si>
  <si>
    <t>Acentric Factor</t>
  </si>
  <si>
    <t>Savage Specific Heat Formulation, 5th Int'l Sympos of Fluid Flow Measurement, 2002
Table A2 Data, Savage, 2002</t>
  </si>
  <si>
    <r>
      <t>B G Kyle Specific Heat Formulation, 1984
Cpo (kJ/kg-K) = a + b*t + c*t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 xml:space="preserve"> + d*t</t>
    </r>
    <r>
      <rPr>
        <b/>
        <vertAlign val="superscript"/>
        <sz val="12"/>
        <rFont val="Arial"/>
        <family val="2"/>
      </rPr>
      <t>3</t>
    </r>
    <r>
      <rPr>
        <b/>
        <sz val="12"/>
        <rFont val="Arial"/>
        <family val="2"/>
      </rPr>
      <t>,  t (K)</t>
    </r>
  </si>
  <si>
    <r>
      <t>B G Kyle Specific Heat Formulation, 1984
Cpo (Btu/lb-deg R) = a + b*t + c*t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 xml:space="preserve"> + d*t</t>
    </r>
    <r>
      <rPr>
        <b/>
        <vertAlign val="superscript"/>
        <sz val="12"/>
        <rFont val="Arial"/>
        <family val="2"/>
      </rPr>
      <t>3</t>
    </r>
    <r>
      <rPr>
        <b/>
        <sz val="12"/>
        <rFont val="Arial"/>
        <family val="2"/>
      </rPr>
      <t>,  t (deg R)</t>
    </r>
  </si>
  <si>
    <r>
      <t>NIST Internet (Shomate Equation)
Cpo(J/mol-K) = A + B*t + C*t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 xml:space="preserve"> + D*t</t>
    </r>
    <r>
      <rPr>
        <b/>
        <vertAlign val="superscript"/>
        <sz val="12"/>
        <rFont val="Arial"/>
        <family val="2"/>
      </rPr>
      <t>3</t>
    </r>
    <r>
      <rPr>
        <b/>
        <sz val="12"/>
        <rFont val="Arial"/>
        <family val="2"/>
      </rPr>
      <t xml:space="preserve"> + E/t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>, t = K/1000</t>
    </r>
  </si>
  <si>
    <t>Constant Pressure Ideal Gas Heat Capacity, Cpo (kJ/kg-K)</t>
  </si>
  <si>
    <t>omega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</si>
  <si>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</si>
  <si>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</si>
  <si>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</si>
  <si>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</si>
  <si>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</si>
  <si>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</si>
  <si>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</si>
  <si>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</si>
  <si>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</si>
  <si>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a</t>
  </si>
  <si>
    <t>b</t>
  </si>
  <si>
    <t>d</t>
  </si>
  <si>
    <t>D</t>
  </si>
  <si>
    <t>E</t>
  </si>
  <si>
    <t>F</t>
  </si>
  <si>
    <t>G</t>
  </si>
  <si>
    <t>H</t>
  </si>
  <si>
    <t>Savage</t>
  </si>
  <si>
    <t>Kyle(m)</t>
  </si>
  <si>
    <t>Kyle(e)</t>
  </si>
  <si>
    <t>Shomate</t>
  </si>
  <si>
    <t>Steam</t>
  </si>
  <si>
    <t>Revised formatting to "white-out" lines that are not required.</t>
  </si>
  <si>
    <t>Language</t>
  </si>
  <si>
    <t>Started collecting phrases to make spreadsheet multi-language</t>
  </si>
  <si>
    <r>
      <t>KOSO Liquid &amp; Gas Mixture Capacity Sizing</t>
    </r>
    <r>
      <rPr>
        <b/>
        <vertAlign val="superscript"/>
        <sz val="12"/>
        <rFont val="Arial"/>
        <family val="2"/>
      </rPr>
      <t>1</t>
    </r>
  </si>
  <si>
    <r>
      <t>KOSO Water &amp; Steam Mixture Capacity Sizing</t>
    </r>
    <r>
      <rPr>
        <b/>
        <vertAlign val="superscript"/>
        <sz val="12"/>
        <rFont val="Arial"/>
        <family val="2"/>
      </rPr>
      <t>1</t>
    </r>
  </si>
  <si>
    <t>Eff. Steam Pressure Drop</t>
  </si>
  <si>
    <t>Eff. Steam Inlet Density</t>
  </si>
  <si>
    <t>Eff. Water Pressure Drop</t>
  </si>
  <si>
    <t>Eff. Water Inlet Density</t>
  </si>
  <si>
    <t xml:space="preserve">      Measurement and Control, Volume 24, November 1991</t>
  </si>
  <si>
    <r>
      <t xml:space="preserve">  1. Singleton, E. W.,"</t>
    </r>
    <r>
      <rPr>
        <i/>
        <sz val="10"/>
        <rFont val="Arial"/>
        <family val="2"/>
      </rPr>
      <t>Development of a high-performance choke valve with reference to sizing for multiphase flow</t>
    </r>
    <r>
      <rPr>
        <sz val="10"/>
        <rFont val="Arial"/>
        <family val="2"/>
      </rPr>
      <t>",</t>
    </r>
  </si>
  <si>
    <t>%</t>
  </si>
  <si>
    <t>SUG'D</t>
  </si>
  <si>
    <t>Hid Data and Revisions worksheets</t>
  </si>
  <si>
    <t>Locked down VB code</t>
  </si>
  <si>
    <t>Added missing $'s to output formula for WtrStm worksheet</t>
  </si>
  <si>
    <t>Average Inlet Density</t>
  </si>
  <si>
    <t>Gas Outlet Density</t>
  </si>
  <si>
    <t>rho2g</t>
  </si>
  <si>
    <t>Average Outlet Density</t>
  </si>
  <si>
    <t>Sonic Velocity</t>
  </si>
  <si>
    <t>Added Kinetic Energy versus Turns table to LiqGas worksheet</t>
  </si>
  <si>
    <t>Deleted Language worksheet</t>
  </si>
  <si>
    <t>Cleaned up conditional formatting</t>
  </si>
  <si>
    <t>Chgd Cd FROM 0.0078 TO 0.0124 for 510D/520D valve type</t>
  </si>
  <si>
    <t>barG</t>
  </si>
  <si>
    <t>Added option to enter either P2 or dP</t>
  </si>
  <si>
    <r>
      <t xml:space="preserve">  1. ANSI/ISA-75.01.01-2002 (IEC 60534-2-1 Mod),"</t>
    </r>
    <r>
      <rPr>
        <i/>
        <sz val="10"/>
        <rFont val="Arial"/>
        <family val="2"/>
      </rPr>
      <t>Flow Equations for Sizing Control Valves"</t>
    </r>
  </si>
  <si>
    <r>
      <t>KOSO Liquid/Water Capacity Sizing</t>
    </r>
    <r>
      <rPr>
        <b/>
        <vertAlign val="superscript"/>
        <sz val="12"/>
        <rFont val="Arial"/>
        <family val="2"/>
      </rPr>
      <t>1</t>
    </r>
  </si>
  <si>
    <r>
      <t>KOSO Gas/Steam Capacity Sizing</t>
    </r>
    <r>
      <rPr>
        <b/>
        <vertAlign val="superscript"/>
        <sz val="12"/>
        <rFont val="Arial"/>
        <family val="2"/>
      </rPr>
      <t>1</t>
    </r>
  </si>
  <si>
    <t>Corrected conversion of Critical Temperature, which is needed to calculate Compressibility</t>
  </si>
  <si>
    <t>Calculate from MW</t>
  </si>
  <si>
    <t>Inlet Enthaply</t>
  </si>
  <si>
    <t>Outlet Quality</t>
  </si>
  <si>
    <t>Q2</t>
  </si>
  <si>
    <t>?</t>
  </si>
  <si>
    <t>Revised Loss Coefficients in case valve is larger than pipe</t>
  </si>
  <si>
    <t>Removed borders from pull down options</t>
  </si>
  <si>
    <t>Calculate from Spec Grav</t>
  </si>
  <si>
    <t>Calculate from Pc &amp; Tc</t>
  </si>
  <si>
    <t>530D/540D, Custom Vector</t>
  </si>
  <si>
    <t>510D/520D, Standard Vector</t>
  </si>
  <si>
    <t>550G/560G, Standard DHC</t>
  </si>
  <si>
    <t>Std Vector Spraywater</t>
  </si>
  <si>
    <t>Std Vector Recirc, P1&gt;3000 psi</t>
  </si>
  <si>
    <t>Std Vector Recirc, P1&lt;3000 psi</t>
  </si>
  <si>
    <t>501G/511G, Cage Guided</t>
  </si>
  <si>
    <t>Rev 2.1</t>
  </si>
  <si>
    <t>501T, Top Guided, Flow to Open</t>
  </si>
  <si>
    <t>501T, Top Guided, Flow to Close</t>
  </si>
  <si>
    <t>210C, Segmented Ball</t>
  </si>
  <si>
    <t>220E, Eccentric, Segmented Ball</t>
  </si>
  <si>
    <t>710E, Eccentric, High Perf. Butterfly</t>
  </si>
  <si>
    <t>710C, Concentric, High Perf. Butterfly</t>
  </si>
  <si>
    <t>230C, Concentric, Segmented Ball</t>
  </si>
  <si>
    <t>Revised valve names and sizing indices</t>
  </si>
  <si>
    <t>Pressure Drop</t>
  </si>
  <si>
    <t>From Specific Gravity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</si>
</sst>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[$-409]d\-mmm\-yy;@"/>
    <numFmt numFmtId="165" formatCode="0.0"/>
    <numFmt numFmtId="166" formatCode="0.0000"/>
    <numFmt numFmtId="167" formatCode="0.000"/>
    <numFmt numFmtId="168" formatCode="0.0000E+00"/>
    <numFmt numFmtId="169" formatCode="0.000000"/>
    <numFmt numFmtId="170" formatCode="0.0000000"/>
    <numFmt numFmtId="171" formatCode="0.0000_)"/>
    <numFmt numFmtId="172" formatCode="0.00_)"/>
    <numFmt numFmtId="173" formatCode="General_)"/>
    <numFmt numFmtId="174" formatCode="[$-F800]dddd\,\ mmmm\ dd\,\ yyyy"/>
    <numFmt numFmtId="175" formatCode="0.0%"/>
    <numFmt numFmtId="176" formatCode="0.000_)"/>
    <numFmt numFmtId="177" formatCode="0_)"/>
    <numFmt numFmtId="178" formatCode="0.0_)"/>
    <numFmt numFmtId="179" formatCode="0.00000E+00"/>
  </numFmts>
  <fonts count="21" x14ac:knownFonts="1">
    <font>
      <sz val="10"/>
      <color theme="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u/>
      <sz val="12"/>
      <color indexed="1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2"/>
      <color indexed="22"/>
      <name val="Arial"/>
      <family val="2"/>
    </font>
    <font>
      <b/>
      <vertAlign val="subscript"/>
      <sz val="1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vertAlign val="superscript"/>
      <sz val="12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i/>
      <sz val="10"/>
      <name val="Arial"/>
      <family val="2"/>
    </font>
    <font>
      <sz val="10"/>
      <name val="Helv"/>
    </font>
    <font>
      <sz val="11"/>
      <color theme="1"/>
      <name val="Calibri"/>
      <family val="2"/>
      <scheme val="minor"/>
    </font>
    <font>
      <sz val="10"/>
      <color theme="1"/>
      <name val="MS Gothic"/>
      <family val="3"/>
    </font>
    <font>
      <b/>
      <sz val="10"/>
      <color rgb="FF00B050"/>
      <name val="Arial"/>
      <family val="2"/>
    </font>
    <font>
      <sz val="10"/>
      <color theme="1"/>
      <name val="Calibri"/>
      <family val="2"/>
      <scheme val="minor"/>
    </font>
    <font>
      <sz val="10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DCF0"/>
        <bgColor indexed="64"/>
      </patternFill>
    </fill>
    <fill>
      <patternFill patternType="solid">
        <fgColor rgb="FFE1F5FA"/>
        <bgColor indexed="64"/>
      </patternFill>
    </fill>
    <fill>
      <patternFill patternType="solid">
        <fgColor rgb="FFE6DCF5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4" fillId="0" borderId="0"/>
    <xf numFmtId="9" fontId="16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396">
    <xf numFmtId="0" fontId="0" fillId="0" borderId="0" xfId="0"/>
    <xf numFmtId="0" fontId="2" fillId="0" borderId="0" xfId="2" applyFont="1" applyAlignment="1"/>
    <xf numFmtId="0" fontId="1" fillId="0" borderId="0" xfId="2" applyFont="1" applyAlignment="1">
      <alignment horizontal="center"/>
    </xf>
    <xf numFmtId="0" fontId="1" fillId="0" borderId="0" xfId="2" applyFont="1"/>
    <xf numFmtId="0" fontId="2" fillId="0" borderId="0" xfId="2" applyFont="1" applyAlignment="1">
      <alignment horizontal="center"/>
    </xf>
    <xf numFmtId="164" fontId="2" fillId="0" borderId="0" xfId="3" applyNumberFormat="1" applyFont="1" applyAlignment="1">
      <alignment horizontal="center" wrapText="1"/>
    </xf>
    <xf numFmtId="0" fontId="2" fillId="0" borderId="0" xfId="3" applyFont="1" applyAlignment="1">
      <alignment horizontal="center" wrapText="1"/>
    </xf>
    <xf numFmtId="0" fontId="2" fillId="0" borderId="0" xfId="3" applyFont="1" applyAlignment="1">
      <alignment wrapText="1"/>
    </xf>
    <xf numFmtId="164" fontId="1" fillId="0" borderId="0" xfId="3" applyNumberFormat="1" applyFont="1" applyAlignment="1">
      <alignment horizontal="center" wrapText="1"/>
    </xf>
    <xf numFmtId="0" fontId="1" fillId="0" borderId="0" xfId="3" applyFont="1" applyAlignment="1">
      <alignment horizontal="center" wrapText="1"/>
    </xf>
    <xf numFmtId="165" fontId="1" fillId="0" borderId="0" xfId="3" applyNumberFormat="1" applyFont="1" applyAlignment="1">
      <alignment horizontal="center" wrapText="1"/>
    </xf>
    <xf numFmtId="0" fontId="1" fillId="0" borderId="0" xfId="3" applyFont="1" applyAlignment="1">
      <alignment wrapText="1"/>
    </xf>
    <xf numFmtId="15" fontId="1" fillId="0" borderId="0" xfId="2" applyNumberFormat="1" applyFont="1" applyAlignment="1">
      <alignment horizontal="center"/>
    </xf>
    <xf numFmtId="0" fontId="1" fillId="0" borderId="0" xfId="2" applyFont="1" applyAlignment="1"/>
    <xf numFmtId="0" fontId="5" fillId="0" borderId="0" xfId="4" applyFont="1"/>
    <xf numFmtId="0" fontId="1" fillId="0" borderId="0" xfId="4"/>
    <xf numFmtId="0" fontId="5" fillId="0" borderId="0" xfId="4" applyFont="1" applyAlignment="1">
      <alignment horizontal="center"/>
    </xf>
    <xf numFmtId="0" fontId="2" fillId="0" borderId="0" xfId="4" applyFont="1" applyAlignment="1">
      <alignment horizontal="center"/>
    </xf>
    <xf numFmtId="0" fontId="2" fillId="0" borderId="0" xfId="4" applyFont="1"/>
    <xf numFmtId="0" fontId="1" fillId="0" borderId="0" xfId="4" applyFont="1"/>
    <xf numFmtId="0" fontId="3" fillId="0" borderId="0" xfId="1" applyAlignment="1" applyProtection="1"/>
    <xf numFmtId="0" fontId="2" fillId="0" borderId="0" xfId="4" applyFont="1" applyFill="1"/>
    <xf numFmtId="0" fontId="2" fillId="0" borderId="0" xfId="4" applyNumberFormat="1" applyFont="1" applyFill="1"/>
    <xf numFmtId="0" fontId="1" fillId="0" borderId="0" xfId="4" applyFont="1" applyAlignment="1"/>
    <xf numFmtId="0" fontId="5" fillId="0" borderId="0" xfId="1" applyFont="1" applyFill="1" applyAlignment="1" applyProtection="1"/>
    <xf numFmtId="0" fontId="6" fillId="0" borderId="0" xfId="4" applyFont="1" applyAlignment="1">
      <alignment horizontal="center"/>
    </xf>
    <xf numFmtId="0" fontId="1" fillId="0" borderId="0" xfId="4" applyAlignment="1">
      <alignment wrapText="1"/>
    </xf>
    <xf numFmtId="0" fontId="2" fillId="0" borderId="0" xfId="4" applyFont="1" applyAlignment="1">
      <alignment horizontal="center" wrapText="1"/>
    </xf>
    <xf numFmtId="0" fontId="2" fillId="0" borderId="0" xfId="4" applyFont="1" applyFill="1" applyAlignment="1">
      <alignment horizontal="center"/>
    </xf>
    <xf numFmtId="2" fontId="2" fillId="0" borderId="0" xfId="4" applyNumberFormat="1" applyFont="1" applyFill="1" applyAlignment="1">
      <alignment horizontal="center"/>
    </xf>
    <xf numFmtId="0" fontId="2" fillId="0" borderId="0" xfId="4" applyNumberFormat="1" applyFont="1" applyFill="1" applyAlignment="1">
      <alignment horizontal="center"/>
    </xf>
    <xf numFmtId="0" fontId="1" fillId="0" borderId="0" xfId="4" applyFont="1" applyFill="1"/>
    <xf numFmtId="0" fontId="1" fillId="0" borderId="0" xfId="4" applyFont="1" applyFill="1" applyAlignment="1">
      <alignment horizontal="center"/>
    </xf>
    <xf numFmtId="2" fontId="1" fillId="0" borderId="0" xfId="4" applyNumberFormat="1" applyFont="1" applyFill="1" applyAlignment="1">
      <alignment horizontal="center"/>
    </xf>
    <xf numFmtId="0" fontId="2" fillId="0" borderId="0" xfId="4" applyNumberFormat="1" applyFont="1" applyAlignment="1">
      <alignment horizontal="center"/>
    </xf>
    <xf numFmtId="0" fontId="1" fillId="0" borderId="0" xfId="4" applyNumberFormat="1" applyFont="1" applyFill="1"/>
    <xf numFmtId="0" fontId="1" fillId="0" borderId="0" xfId="4" applyNumberFormat="1" applyFill="1"/>
    <xf numFmtId="0" fontId="1" fillId="0" borderId="0" xfId="4" applyFill="1"/>
    <xf numFmtId="0" fontId="5" fillId="0" borderId="0" xfId="2" applyFont="1" applyProtection="1"/>
    <xf numFmtId="0" fontId="2" fillId="0" borderId="0" xfId="2" applyFont="1" applyProtection="1"/>
    <xf numFmtId="0" fontId="2" fillId="0" borderId="0" xfId="2" applyFont="1" applyAlignment="1" applyProtection="1">
      <alignment horizontal="center"/>
    </xf>
    <xf numFmtId="171" fontId="1" fillId="0" borderId="0" xfId="2" applyNumberFormat="1" applyFont="1" applyAlignment="1" applyProtection="1">
      <alignment horizontal="center"/>
    </xf>
    <xf numFmtId="172" fontId="1" fillId="0" borderId="0" xfId="2" applyNumberFormat="1" applyFont="1" applyAlignment="1" applyProtection="1">
      <alignment horizontal="center"/>
    </xf>
    <xf numFmtId="2" fontId="1" fillId="0" borderId="0" xfId="2" applyNumberFormat="1" applyFont="1" applyAlignment="1">
      <alignment horizontal="center"/>
    </xf>
    <xf numFmtId="172" fontId="1" fillId="0" borderId="0" xfId="2" applyNumberFormat="1" applyFont="1" applyAlignment="1">
      <alignment horizontal="center"/>
    </xf>
    <xf numFmtId="0" fontId="1" fillId="0" borderId="0" xfId="2" applyFont="1" applyProtection="1"/>
    <xf numFmtId="165" fontId="1" fillId="0" borderId="0" xfId="2" applyNumberFormat="1" applyFont="1" applyAlignment="1">
      <alignment horizontal="center"/>
    </xf>
    <xf numFmtId="0" fontId="8" fillId="0" borderId="0" xfId="4" applyFont="1"/>
    <xf numFmtId="0" fontId="1" fillId="0" borderId="0" xfId="4" applyNumberFormat="1"/>
    <xf numFmtId="0" fontId="1" fillId="0" borderId="0" xfId="4" applyNumberFormat="1" applyFont="1"/>
    <xf numFmtId="166" fontId="2" fillId="0" borderId="0" xfId="4" applyNumberFormat="1" applyFont="1" applyFill="1" applyAlignment="1">
      <alignment horizontal="center"/>
    </xf>
    <xf numFmtId="167" fontId="1" fillId="0" borderId="0" xfId="4" applyNumberFormat="1" applyAlignment="1">
      <alignment horizontal="center"/>
    </xf>
    <xf numFmtId="166" fontId="2" fillId="0" borderId="0" xfId="4" applyNumberFormat="1" applyFont="1" applyAlignment="1">
      <alignment horizontal="center"/>
    </xf>
    <xf numFmtId="168" fontId="2" fillId="0" borderId="0" xfId="4" applyNumberFormat="1" applyFont="1" applyAlignment="1">
      <alignment horizontal="center"/>
    </xf>
    <xf numFmtId="11" fontId="2" fillId="0" borderId="0" xfId="4" applyNumberFormat="1" applyFont="1" applyAlignment="1">
      <alignment horizontal="center"/>
    </xf>
    <xf numFmtId="169" fontId="1" fillId="0" borderId="0" xfId="4" applyNumberFormat="1" applyAlignment="1">
      <alignment horizontal="center"/>
    </xf>
    <xf numFmtId="170" fontId="1" fillId="0" borderId="0" xfId="4" applyNumberFormat="1" applyAlignment="1">
      <alignment horizontal="center"/>
    </xf>
    <xf numFmtId="0" fontId="2" fillId="0" borderId="0" xfId="4" quotePrefix="1" applyNumberFormat="1" applyFont="1" applyAlignment="1">
      <alignment horizontal="center"/>
    </xf>
    <xf numFmtId="0" fontId="1" fillId="0" borderId="0" xfId="4" applyNumberFormat="1" applyAlignment="1">
      <alignment horizontal="center"/>
    </xf>
    <xf numFmtId="0" fontId="2" fillId="2" borderId="0" xfId="4" applyNumberFormat="1" applyFont="1" applyFill="1" applyAlignment="1">
      <alignment horizontal="center"/>
    </xf>
    <xf numFmtId="0" fontId="1" fillId="0" borderId="0" xfId="4" applyNumberFormat="1" applyFill="1" applyAlignment="1">
      <alignment horizontal="center"/>
    </xf>
    <xf numFmtId="167" fontId="1" fillId="0" borderId="0" xfId="4" applyNumberFormat="1" applyFill="1" applyAlignment="1">
      <alignment horizontal="center"/>
    </xf>
    <xf numFmtId="0" fontId="2" fillId="2" borderId="0" xfId="4" applyFont="1" applyFill="1" applyAlignment="1">
      <alignment horizontal="center"/>
    </xf>
    <xf numFmtId="11" fontId="2" fillId="0" borderId="0" xfId="4" applyNumberFormat="1" applyFont="1" applyFill="1" applyAlignment="1">
      <alignment horizontal="center"/>
    </xf>
    <xf numFmtId="0" fontId="2" fillId="0" borderId="0" xfId="4" quotePrefix="1" applyFont="1" applyFill="1"/>
    <xf numFmtId="173" fontId="11" fillId="5" borderId="0" xfId="2" applyNumberFormat="1" applyFont="1" applyFill="1" applyAlignment="1">
      <alignment horizontal="center"/>
    </xf>
    <xf numFmtId="173" fontId="11" fillId="6" borderId="1" xfId="2" applyNumberFormat="1" applyFont="1" applyFill="1" applyBorder="1" applyAlignment="1"/>
    <xf numFmtId="173" fontId="11" fillId="5" borderId="0" xfId="2" applyNumberFormat="1" applyFont="1" applyFill="1" applyAlignment="1" applyProtection="1"/>
    <xf numFmtId="173" fontId="4" fillId="0" borderId="0" xfId="2" applyNumberFormat="1" applyFont="1"/>
    <xf numFmtId="173" fontId="4" fillId="0" borderId="0" xfId="2" applyNumberFormat="1" applyFont="1" applyAlignment="1">
      <alignment horizontal="center"/>
    </xf>
    <xf numFmtId="173" fontId="4" fillId="5" borderId="0" xfId="2" applyNumberFormat="1" applyFont="1" applyFill="1" applyAlignment="1">
      <alignment horizontal="center"/>
    </xf>
    <xf numFmtId="173" fontId="11" fillId="0" borderId="2" xfId="2" applyNumberFormat="1" applyFont="1" applyBorder="1"/>
    <xf numFmtId="173" fontId="4" fillId="0" borderId="3" xfId="2" applyNumberFormat="1" applyFont="1" applyBorder="1" applyAlignment="1">
      <alignment horizontal="left"/>
    </xf>
    <xf numFmtId="173" fontId="11" fillId="0" borderId="3" xfId="2" applyNumberFormat="1" applyFont="1" applyBorder="1" applyAlignment="1">
      <alignment horizontal="right"/>
    </xf>
    <xf numFmtId="173" fontId="4" fillId="0" borderId="4" xfId="2" applyNumberFormat="1" applyFont="1" applyBorder="1" applyAlignment="1">
      <alignment horizontal="left"/>
    </xf>
    <xf numFmtId="173" fontId="11" fillId="0" borderId="3" xfId="2" applyNumberFormat="1" applyFont="1" applyBorder="1" applyAlignment="1">
      <alignment horizontal="center"/>
    </xf>
    <xf numFmtId="173" fontId="4" fillId="5" borderId="0" xfId="2" applyNumberFormat="1" applyFont="1" applyFill="1"/>
    <xf numFmtId="173" fontId="11" fillId="0" borderId="5" xfId="2" applyNumberFormat="1" applyFont="1" applyBorder="1"/>
    <xf numFmtId="173" fontId="11" fillId="5" borderId="0" xfId="2" applyNumberFormat="1" applyFont="1" applyFill="1"/>
    <xf numFmtId="173" fontId="11" fillId="0" borderId="6" xfId="2" applyNumberFormat="1" applyFont="1" applyBorder="1" applyAlignment="1" applyProtection="1">
      <alignment horizontal="right"/>
    </xf>
    <xf numFmtId="15" fontId="4" fillId="0" borderId="6" xfId="2" applyNumberFormat="1" applyFont="1" applyFill="1" applyBorder="1" applyAlignment="1" applyProtection="1">
      <alignment horizontal="center"/>
      <protection locked="0"/>
    </xf>
    <xf numFmtId="173" fontId="11" fillId="0" borderId="7" xfId="2" applyNumberFormat="1" applyFont="1" applyBorder="1"/>
    <xf numFmtId="173" fontId="4" fillId="0" borderId="8" xfId="2" applyNumberFormat="1" applyFont="1" applyBorder="1" applyAlignment="1">
      <alignment horizontal="left"/>
    </xf>
    <xf numFmtId="173" fontId="11" fillId="0" borderId="7" xfId="2" applyNumberFormat="1" applyFont="1" applyBorder="1" applyAlignment="1">
      <alignment horizontal="left"/>
    </xf>
    <xf numFmtId="173" fontId="4" fillId="0" borderId="9" xfId="2" applyNumberFormat="1" applyFont="1" applyBorder="1" applyAlignment="1">
      <alignment horizontal="left"/>
    </xf>
    <xf numFmtId="173" fontId="4" fillId="0" borderId="0" xfId="2" quotePrefix="1" applyNumberFormat="1" applyFont="1" applyBorder="1" applyAlignment="1">
      <alignment horizontal="center"/>
    </xf>
    <xf numFmtId="173" fontId="11" fillId="0" borderId="0" xfId="2" applyNumberFormat="1" applyFont="1" applyBorder="1"/>
    <xf numFmtId="173" fontId="4" fillId="0" borderId="0" xfId="2" applyNumberFormat="1" applyFont="1" applyBorder="1" applyAlignment="1">
      <alignment horizontal="left"/>
    </xf>
    <xf numFmtId="173" fontId="11" fillId="0" borderId="0" xfId="2" applyNumberFormat="1" applyFont="1" applyBorder="1" applyAlignment="1">
      <alignment horizontal="left"/>
    </xf>
    <xf numFmtId="0" fontId="4" fillId="5" borderId="0" xfId="2" applyFont="1" applyFill="1" applyAlignment="1">
      <alignment horizontal="center"/>
    </xf>
    <xf numFmtId="0" fontId="4" fillId="0" borderId="0" xfId="2" applyFont="1" applyBorder="1"/>
    <xf numFmtId="0" fontId="4" fillId="5" borderId="0" xfId="2" applyFont="1" applyFill="1"/>
    <xf numFmtId="0" fontId="4" fillId="0" borderId="0" xfId="2" applyFont="1"/>
    <xf numFmtId="0" fontId="11" fillId="0" borderId="0" xfId="2" applyFont="1" applyBorder="1" applyAlignment="1">
      <alignment horizontal="left"/>
    </xf>
    <xf numFmtId="0" fontId="11" fillId="0" borderId="0" xfId="2" applyFont="1" applyBorder="1" applyAlignment="1" applyProtection="1">
      <alignment horizontal="center"/>
      <protection locked="0"/>
    </xf>
    <xf numFmtId="0" fontId="17" fillId="0" borderId="0" xfId="0" applyFont="1" applyAlignment="1">
      <alignment vertical="top" wrapText="1"/>
    </xf>
    <xf numFmtId="0" fontId="11" fillId="0" borderId="0" xfId="2" applyFont="1"/>
    <xf numFmtId="0" fontId="4" fillId="5" borderId="0" xfId="2" applyFont="1" applyFill="1" applyBorder="1" applyAlignment="1">
      <alignment horizontal="center"/>
    </xf>
    <xf numFmtId="173" fontId="11" fillId="6" borderId="0" xfId="2" applyNumberFormat="1" applyFont="1" applyFill="1" applyBorder="1" applyAlignment="1">
      <alignment horizontal="center"/>
    </xf>
    <xf numFmtId="0" fontId="4" fillId="0" borderId="0" xfId="2" applyFont="1" applyBorder="1" applyProtection="1"/>
    <xf numFmtId="173" fontId="11" fillId="7" borderId="0" xfId="2" applyNumberFormat="1" applyFont="1" applyFill="1" applyBorder="1" applyAlignment="1" applyProtection="1">
      <alignment horizontal="center"/>
      <protection locked="0"/>
    </xf>
    <xf numFmtId="0" fontId="12" fillId="0" borderId="0" xfId="2" applyFont="1" applyBorder="1" applyProtection="1">
      <protection locked="0"/>
    </xf>
    <xf numFmtId="0" fontId="4" fillId="0" borderId="0" xfId="2" applyFont="1" applyBorder="1" applyAlignment="1">
      <alignment horizontal="center"/>
    </xf>
    <xf numFmtId="173" fontId="11" fillId="6" borderId="0" xfId="2" applyNumberFormat="1" applyFont="1" applyFill="1" applyBorder="1" applyAlignment="1" applyProtection="1">
      <alignment horizontal="center"/>
    </xf>
    <xf numFmtId="0" fontId="11" fillId="0" borderId="0" xfId="2" applyFont="1" applyBorder="1" applyProtection="1"/>
    <xf numFmtId="0" fontId="11" fillId="0" borderId="0" xfId="2" applyFont="1" applyBorder="1" applyProtection="1">
      <protection locked="0"/>
    </xf>
    <xf numFmtId="0" fontId="13" fillId="0" borderId="0" xfId="2" applyFont="1" applyBorder="1" applyProtection="1">
      <protection locked="0"/>
    </xf>
    <xf numFmtId="0" fontId="14" fillId="0" borderId="0" xfId="2" applyFont="1" applyBorder="1"/>
    <xf numFmtId="0" fontId="4" fillId="5" borderId="0" xfId="2" applyFont="1" applyFill="1" applyProtection="1"/>
    <xf numFmtId="0" fontId="14" fillId="0" borderId="0" xfId="2" applyFont="1" applyBorder="1" applyProtection="1">
      <protection locked="0"/>
    </xf>
    <xf numFmtId="0" fontId="4" fillId="0" borderId="0" xfId="2" applyFont="1" applyBorder="1" applyProtection="1">
      <protection locked="0"/>
    </xf>
    <xf numFmtId="0" fontId="4" fillId="0" borderId="0" xfId="2" applyFont="1" applyBorder="1" applyAlignment="1" applyProtection="1">
      <alignment horizontal="center"/>
      <protection locked="0"/>
    </xf>
    <xf numFmtId="178" fontId="14" fillId="0" borderId="0" xfId="2" applyNumberFormat="1" applyFont="1" applyBorder="1" applyProtection="1">
      <protection locked="0"/>
    </xf>
    <xf numFmtId="0" fontId="11" fillId="6" borderId="0" xfId="2" applyFont="1" applyFill="1" applyBorder="1"/>
    <xf numFmtId="0" fontId="4" fillId="6" borderId="0" xfId="2" applyFont="1" applyFill="1" applyBorder="1"/>
    <xf numFmtId="0" fontId="11" fillId="6" borderId="0" xfId="2" applyFont="1" applyFill="1" applyBorder="1" applyProtection="1"/>
    <xf numFmtId="0" fontId="11" fillId="6" borderId="0" xfId="2" applyFont="1" applyFill="1" applyBorder="1" applyAlignment="1" applyProtection="1"/>
    <xf numFmtId="0" fontId="11" fillId="6" borderId="0" xfId="2" applyFont="1" applyFill="1" applyBorder="1" applyAlignment="1" applyProtection="1">
      <alignment horizontal="center"/>
    </xf>
    <xf numFmtId="0" fontId="4" fillId="0" borderId="0" xfId="2" applyFont="1" applyFill="1" applyBorder="1"/>
    <xf numFmtId="0" fontId="4" fillId="0" borderId="0" xfId="2" applyFont="1" applyFill="1"/>
    <xf numFmtId="0" fontId="4" fillId="5" borderId="0" xfId="2" applyFont="1" applyFill="1" applyAlignment="1">
      <alignment horizontal="center" vertical="top"/>
    </xf>
    <xf numFmtId="0" fontId="4" fillId="5" borderId="0" xfId="2" applyFont="1" applyFill="1" applyBorder="1" applyAlignment="1">
      <alignment vertical="top"/>
    </xf>
    <xf numFmtId="0" fontId="4" fillId="5" borderId="0" xfId="2" applyFont="1" applyFill="1" applyBorder="1" applyAlignment="1">
      <alignment horizontal="center" vertical="top"/>
    </xf>
    <xf numFmtId="0" fontId="4" fillId="5" borderId="0" xfId="2" applyFont="1" applyFill="1" applyAlignment="1">
      <alignment vertical="top"/>
    </xf>
    <xf numFmtId="0" fontId="4" fillId="5" borderId="0" xfId="2" applyFont="1" applyFill="1" applyAlignment="1" applyProtection="1">
      <alignment horizontal="center" vertical="top"/>
      <protection hidden="1"/>
    </xf>
    <xf numFmtId="0" fontId="4" fillId="5" borderId="0" xfId="2" applyFont="1" applyFill="1" applyBorder="1" applyAlignment="1" applyProtection="1">
      <alignment vertical="top"/>
      <protection hidden="1"/>
    </xf>
    <xf numFmtId="0" fontId="4" fillId="5" borderId="0" xfId="2" applyFont="1" applyFill="1" applyBorder="1" applyAlignment="1" applyProtection="1">
      <alignment horizontal="center" vertical="top"/>
      <protection hidden="1"/>
    </xf>
    <xf numFmtId="0" fontId="4" fillId="5" borderId="0" xfId="2" applyFont="1" applyFill="1" applyAlignment="1" applyProtection="1">
      <alignment vertical="top"/>
      <protection hidden="1"/>
    </xf>
    <xf numFmtId="1" fontId="4" fillId="5" borderId="0" xfId="2" applyNumberFormat="1" applyFont="1" applyFill="1" applyBorder="1" applyAlignment="1" applyProtection="1">
      <alignment vertical="top"/>
      <protection hidden="1"/>
    </xf>
    <xf numFmtId="0" fontId="4" fillId="5" borderId="0" xfId="2" applyNumberFormat="1" applyFont="1" applyFill="1" applyBorder="1" applyAlignment="1" applyProtection="1">
      <alignment horizontal="center" vertical="top"/>
      <protection hidden="1"/>
    </xf>
    <xf numFmtId="178" fontId="4" fillId="5" borderId="0" xfId="2" applyNumberFormat="1" applyFont="1" applyFill="1" applyBorder="1" applyAlignment="1" applyProtection="1">
      <alignment vertical="top"/>
    </xf>
    <xf numFmtId="0" fontId="4" fillId="5" borderId="0" xfId="2" applyFont="1" applyFill="1" applyBorder="1" applyAlignment="1" applyProtection="1">
      <alignment horizontal="center" vertical="top"/>
      <protection locked="0"/>
    </xf>
    <xf numFmtId="0" fontId="4" fillId="5" borderId="0" xfId="2" applyFont="1" applyFill="1" applyBorder="1" applyAlignment="1" applyProtection="1">
      <alignment vertical="top"/>
    </xf>
    <xf numFmtId="0" fontId="14" fillId="5" borderId="0" xfId="2" applyFont="1" applyFill="1" applyBorder="1" applyAlignment="1" applyProtection="1">
      <alignment vertical="top"/>
      <protection hidden="1"/>
    </xf>
    <xf numFmtId="167" fontId="4" fillId="5" borderId="0" xfId="2" applyNumberFormat="1" applyFont="1" applyFill="1" applyBorder="1" applyAlignment="1" applyProtection="1">
      <alignment horizontal="center" vertical="top"/>
      <protection hidden="1"/>
    </xf>
    <xf numFmtId="0" fontId="4" fillId="5" borderId="0" xfId="2" applyFont="1" applyFill="1" applyBorder="1"/>
    <xf numFmtId="2" fontId="4" fillId="5" borderId="0" xfId="2" applyNumberFormat="1" applyFont="1" applyFill="1" applyBorder="1" applyAlignment="1">
      <alignment horizontal="center"/>
    </xf>
    <xf numFmtId="0" fontId="4" fillId="0" borderId="0" xfId="2" applyFont="1" applyFill="1" applyAlignment="1">
      <alignment horizontal="center"/>
    </xf>
    <xf numFmtId="2" fontId="4" fillId="0" borderId="0" xfId="2" applyNumberFormat="1" applyFont="1" applyBorder="1" applyAlignment="1">
      <alignment horizontal="center"/>
    </xf>
    <xf numFmtId="165" fontId="4" fillId="0" borderId="0" xfId="2" applyNumberFormat="1" applyFont="1" applyBorder="1" applyAlignment="1">
      <alignment horizontal="center"/>
    </xf>
    <xf numFmtId="0" fontId="11" fillId="0" borderId="0" xfId="2" applyFont="1" applyBorder="1"/>
    <xf numFmtId="0" fontId="4" fillId="0" borderId="0" xfId="2" applyFont="1" applyBorder="1" applyAlignment="1" applyProtection="1">
      <alignment horizontal="center"/>
    </xf>
    <xf numFmtId="165" fontId="4" fillId="0" borderId="0" xfId="2" applyNumberFormat="1" applyFont="1" applyBorder="1" applyAlignment="1" applyProtection="1">
      <alignment horizontal="center"/>
    </xf>
    <xf numFmtId="0" fontId="4" fillId="5" borderId="0" xfId="2" applyFont="1" applyFill="1" applyAlignment="1" applyProtection="1">
      <alignment horizontal="center"/>
      <protection hidden="1"/>
    </xf>
    <xf numFmtId="0" fontId="4" fillId="0" borderId="0" xfId="2" applyFont="1" applyFill="1" applyBorder="1" applyAlignment="1" applyProtection="1">
      <alignment horizontal="center"/>
      <protection hidden="1"/>
    </xf>
    <xf numFmtId="2" fontId="4" fillId="0" borderId="0" xfId="2" applyNumberFormat="1" applyFont="1" applyFill="1" applyBorder="1" applyAlignment="1" applyProtection="1">
      <alignment horizontal="center"/>
      <protection hidden="1"/>
    </xf>
    <xf numFmtId="0" fontId="4" fillId="0" borderId="0" xfId="2" applyFont="1" applyFill="1" applyBorder="1" applyProtection="1">
      <protection hidden="1"/>
    </xf>
    <xf numFmtId="0" fontId="4" fillId="5" borderId="0" xfId="2" applyFont="1" applyFill="1" applyProtection="1">
      <protection hidden="1"/>
    </xf>
    <xf numFmtId="0" fontId="4" fillId="0" borderId="0" xfId="2" applyFont="1" applyFill="1" applyProtection="1">
      <protection hidden="1"/>
    </xf>
    <xf numFmtId="0" fontId="4" fillId="0" borderId="0" xfId="2" applyFont="1" applyBorder="1" applyAlignment="1">
      <alignment vertical="top"/>
    </xf>
    <xf numFmtId="0" fontId="4" fillId="0" borderId="0" xfId="2" applyFont="1" applyAlignment="1">
      <alignment vertical="top"/>
    </xf>
    <xf numFmtId="0" fontId="4" fillId="0" borderId="0" xfId="2" applyFont="1" applyAlignment="1">
      <alignment horizontal="center"/>
    </xf>
    <xf numFmtId="0" fontId="11" fillId="0" borderId="10" xfId="2" applyFont="1" applyFill="1" applyBorder="1" applyAlignment="1"/>
    <xf numFmtId="0" fontId="11" fillId="0" borderId="11" xfId="2" applyFont="1" applyFill="1" applyBorder="1" applyAlignment="1"/>
    <xf numFmtId="0" fontId="11" fillId="0" borderId="0" xfId="2" applyFont="1" applyAlignment="1"/>
    <xf numFmtId="0" fontId="4" fillId="0" borderId="12" xfId="2" applyFont="1" applyBorder="1" applyAlignment="1">
      <alignment horizontal="center"/>
    </xf>
    <xf numFmtId="0" fontId="4" fillId="0" borderId="13" xfId="2" applyFont="1" applyBorder="1"/>
    <xf numFmtId="165" fontId="4" fillId="0" borderId="15" xfId="2" applyNumberFormat="1" applyFont="1" applyBorder="1" applyAlignment="1">
      <alignment horizontal="center"/>
    </xf>
    <xf numFmtId="165" fontId="4" fillId="0" borderId="0" xfId="2" applyNumberFormat="1" applyFont="1" applyAlignment="1">
      <alignment horizontal="center"/>
    </xf>
    <xf numFmtId="0" fontId="4" fillId="0" borderId="16" xfId="2" applyFont="1" applyBorder="1" applyAlignment="1">
      <alignment horizontal="center"/>
    </xf>
    <xf numFmtId="0" fontId="11" fillId="0" borderId="17" xfId="2" applyFont="1" applyBorder="1" applyAlignment="1">
      <alignment horizontal="center"/>
    </xf>
    <xf numFmtId="0" fontId="4" fillId="0" borderId="18" xfId="2" applyFont="1" applyBorder="1" applyAlignment="1">
      <alignment horizontal="center"/>
    </xf>
    <xf numFmtId="165" fontId="18" fillId="0" borderId="19" xfId="2" applyNumberFormat="1" applyFont="1" applyBorder="1" applyAlignment="1">
      <alignment horizontal="center"/>
    </xf>
    <xf numFmtId="0" fontId="11" fillId="0" borderId="20" xfId="2" applyFont="1" applyBorder="1" applyAlignment="1">
      <alignment horizontal="center"/>
    </xf>
    <xf numFmtId="0" fontId="4" fillId="0" borderId="14" xfId="2" applyFont="1" applyBorder="1" applyAlignment="1">
      <alignment horizontal="center"/>
    </xf>
    <xf numFmtId="165" fontId="18" fillId="0" borderId="15" xfId="2" applyNumberFormat="1" applyFont="1" applyBorder="1" applyAlignment="1">
      <alignment horizontal="center"/>
    </xf>
    <xf numFmtId="0" fontId="4" fillId="0" borderId="1" xfId="2" applyFont="1" applyBorder="1"/>
    <xf numFmtId="0" fontId="11" fillId="0" borderId="1" xfId="2" applyFont="1" applyBorder="1" applyAlignment="1">
      <alignment horizontal="center"/>
    </xf>
    <xf numFmtId="0" fontId="11" fillId="0" borderId="21" xfId="2" applyFont="1" applyBorder="1" applyAlignment="1">
      <alignment horizontal="center"/>
    </xf>
    <xf numFmtId="0" fontId="4" fillId="0" borderId="22" xfId="2" applyFont="1" applyBorder="1" applyAlignment="1">
      <alignment horizontal="center"/>
    </xf>
    <xf numFmtId="0" fontId="4" fillId="0" borderId="13" xfId="2" applyFont="1" applyBorder="1" applyAlignment="1">
      <alignment horizontal="center"/>
    </xf>
    <xf numFmtId="0" fontId="4" fillId="0" borderId="23" xfId="2" applyFont="1" applyBorder="1" applyAlignment="1">
      <alignment horizontal="center"/>
    </xf>
    <xf numFmtId="2" fontId="4" fillId="0" borderId="19" xfId="2" applyNumberFormat="1" applyFont="1" applyBorder="1" applyAlignment="1">
      <alignment horizontal="center"/>
    </xf>
    <xf numFmtId="2" fontId="4" fillId="0" borderId="24" xfId="2" applyNumberFormat="1" applyFont="1" applyBorder="1" applyAlignment="1">
      <alignment horizontal="center"/>
    </xf>
    <xf numFmtId="0" fontId="4" fillId="0" borderId="25" xfId="2" applyFont="1" applyBorder="1" applyAlignment="1">
      <alignment horizontal="center"/>
    </xf>
    <xf numFmtId="0" fontId="4" fillId="0" borderId="15" xfId="2" applyFont="1" applyBorder="1"/>
    <xf numFmtId="0" fontId="4" fillId="0" borderId="15" xfId="2" applyFont="1" applyBorder="1" applyAlignment="1">
      <alignment horizontal="center"/>
    </xf>
    <xf numFmtId="0" fontId="4" fillId="0" borderId="26" xfId="2" applyFont="1" applyBorder="1" applyAlignment="1">
      <alignment horizontal="center"/>
    </xf>
    <xf numFmtId="0" fontId="11" fillId="5" borderId="0" xfId="2" applyFont="1" applyFill="1" applyAlignment="1">
      <alignment horizontal="center"/>
    </xf>
    <xf numFmtId="0" fontId="4" fillId="0" borderId="0" xfId="2" applyFont="1" applyProtection="1"/>
    <xf numFmtId="0" fontId="4" fillId="5" borderId="0" xfId="2" applyFont="1" applyFill="1" applyAlignment="1" applyProtection="1">
      <alignment horizontal="center"/>
    </xf>
    <xf numFmtId="0" fontId="4" fillId="5" borderId="0" xfId="5" applyFont="1" applyFill="1" applyAlignment="1">
      <alignment horizontal="center"/>
    </xf>
    <xf numFmtId="0" fontId="4" fillId="5" borderId="0" xfId="4" applyNumberFormat="1" applyFont="1" applyFill="1" applyAlignment="1">
      <alignment horizontal="center"/>
    </xf>
    <xf numFmtId="173" fontId="11" fillId="6" borderId="11" xfId="2" applyNumberFormat="1" applyFont="1" applyFill="1" applyBorder="1" applyAlignment="1"/>
    <xf numFmtId="0" fontId="4" fillId="0" borderId="0" xfId="2" applyFont="1" applyFill="1" applyBorder="1" applyAlignment="1">
      <alignment horizontal="center"/>
    </xf>
    <xf numFmtId="0" fontId="11" fillId="3" borderId="0" xfId="2" applyFont="1" applyFill="1" applyBorder="1" applyAlignment="1" applyProtection="1">
      <alignment horizontal="center"/>
      <protection locked="0"/>
    </xf>
    <xf numFmtId="175" fontId="19" fillId="0" borderId="0" xfId="7" applyNumberFormat="1" applyFont="1"/>
    <xf numFmtId="1" fontId="19" fillId="0" borderId="0" xfId="7" applyNumberFormat="1" applyFont="1"/>
    <xf numFmtId="0" fontId="14" fillId="0" borderId="0" xfId="2" applyFont="1" applyFill="1" applyBorder="1" applyProtection="1">
      <protection locked="0"/>
    </xf>
    <xf numFmtId="0" fontId="4" fillId="4" borderId="0" xfId="2" applyFont="1" applyFill="1" applyBorder="1"/>
    <xf numFmtId="0" fontId="4" fillId="4" borderId="0" xfId="2" applyNumberFormat="1" applyFont="1" applyFill="1" applyBorder="1" applyAlignment="1">
      <alignment horizontal="center"/>
    </xf>
    <xf numFmtId="0" fontId="4" fillId="4" borderId="0" xfId="2" applyFont="1" applyFill="1"/>
    <xf numFmtId="0" fontId="4" fillId="4" borderId="0" xfId="2" applyFont="1" applyFill="1" applyAlignment="1">
      <alignment horizontal="center"/>
    </xf>
    <xf numFmtId="165" fontId="4" fillId="4" borderId="0" xfId="2" applyNumberFormat="1" applyFont="1" applyFill="1" applyBorder="1"/>
    <xf numFmtId="0" fontId="4" fillId="4" borderId="0" xfId="2" applyNumberFormat="1" applyFont="1" applyFill="1" applyBorder="1"/>
    <xf numFmtId="0" fontId="4" fillId="4" borderId="0" xfId="2" applyFont="1" applyFill="1" applyBorder="1" applyAlignment="1">
      <alignment horizontal="center"/>
    </xf>
    <xf numFmtId="1" fontId="4" fillId="4" borderId="0" xfId="2" applyNumberFormat="1" applyFont="1" applyFill="1" applyBorder="1" applyProtection="1">
      <protection hidden="1"/>
    </xf>
    <xf numFmtId="0" fontId="4" fillId="4" borderId="0" xfId="2" applyFont="1" applyFill="1" applyBorder="1" applyProtection="1">
      <protection hidden="1"/>
    </xf>
    <xf numFmtId="0" fontId="4" fillId="4" borderId="0" xfId="2" applyNumberFormat="1" applyFont="1" applyFill="1" applyBorder="1" applyAlignment="1" applyProtection="1">
      <alignment horizontal="center"/>
      <protection hidden="1"/>
    </xf>
    <xf numFmtId="0" fontId="4" fillId="5" borderId="0" xfId="2" applyFont="1" applyFill="1" applyAlignment="1" applyProtection="1">
      <protection hidden="1"/>
    </xf>
    <xf numFmtId="175" fontId="19" fillId="4" borderId="0" xfId="7" applyNumberFormat="1" applyFont="1" applyFill="1"/>
    <xf numFmtId="1" fontId="19" fillId="4" borderId="0" xfId="7" applyNumberFormat="1" applyFont="1" applyFill="1"/>
    <xf numFmtId="0" fontId="4" fillId="4" borderId="0" xfId="2" applyFont="1" applyFill="1" applyBorder="1" applyProtection="1">
      <protection locked="0"/>
    </xf>
    <xf numFmtId="0" fontId="15" fillId="5" borderId="0" xfId="2" applyFont="1" applyFill="1" applyAlignment="1" applyProtection="1">
      <alignment horizontal="center"/>
      <protection hidden="1"/>
    </xf>
    <xf numFmtId="0" fontId="15" fillId="4" borderId="0" xfId="2" applyFont="1" applyFill="1" applyBorder="1" applyProtection="1">
      <protection hidden="1"/>
    </xf>
    <xf numFmtId="0" fontId="15" fillId="4" borderId="0" xfId="2" applyFont="1" applyFill="1" applyProtection="1">
      <protection hidden="1"/>
    </xf>
    <xf numFmtId="0" fontId="15" fillId="4" borderId="0" xfId="2" applyFont="1" applyFill="1" applyAlignment="1" applyProtection="1">
      <alignment horizontal="center"/>
      <protection hidden="1"/>
    </xf>
    <xf numFmtId="0" fontId="14" fillId="4" borderId="0" xfId="2" applyFont="1" applyFill="1" applyBorder="1" applyProtection="1">
      <protection hidden="1"/>
    </xf>
    <xf numFmtId="175" fontId="15" fillId="4" borderId="0" xfId="7" applyNumberFormat="1" applyFont="1" applyFill="1" applyProtection="1">
      <protection hidden="1"/>
    </xf>
    <xf numFmtId="1" fontId="15" fillId="4" borderId="0" xfId="7" applyNumberFormat="1" applyFont="1" applyFill="1" applyProtection="1">
      <protection hidden="1"/>
    </xf>
    <xf numFmtId="0" fontId="4" fillId="4" borderId="0" xfId="2" applyFont="1" applyFill="1" applyBorder="1" applyAlignment="1" applyProtection="1">
      <alignment vertical="top"/>
      <protection hidden="1"/>
    </xf>
    <xf numFmtId="167" fontId="4" fillId="5" borderId="0" xfId="2" applyNumberFormat="1" applyFont="1" applyFill="1" applyBorder="1" applyAlignment="1" applyProtection="1"/>
    <xf numFmtId="0" fontId="11" fillId="0" borderId="0" xfId="2" applyFont="1" applyBorder="1" applyAlignment="1">
      <alignment horizontal="center"/>
    </xf>
    <xf numFmtId="172" fontId="4" fillId="0" borderId="0" xfId="2" applyNumberFormat="1" applyFont="1" applyBorder="1" applyAlignment="1" applyProtection="1">
      <alignment horizontal="center"/>
    </xf>
    <xf numFmtId="0" fontId="11" fillId="0" borderId="27" xfId="2" applyFont="1" applyFill="1" applyBorder="1" applyAlignment="1"/>
    <xf numFmtId="0" fontId="11" fillId="0" borderId="1" xfId="2" applyFont="1" applyFill="1" applyBorder="1" applyAlignment="1"/>
    <xf numFmtId="173" fontId="11" fillId="0" borderId="1" xfId="2" applyNumberFormat="1" applyFont="1" applyFill="1" applyBorder="1" applyAlignment="1">
      <alignment horizontal="center"/>
    </xf>
    <xf numFmtId="173" fontId="11" fillId="0" borderId="21" xfId="2" applyNumberFormat="1" applyFont="1" applyFill="1" applyBorder="1" applyAlignment="1">
      <alignment horizontal="center"/>
    </xf>
    <xf numFmtId="0" fontId="4" fillId="0" borderId="22" xfId="2" applyFont="1" applyBorder="1"/>
    <xf numFmtId="2" fontId="4" fillId="0" borderId="15" xfId="2" applyNumberFormat="1" applyFont="1" applyBorder="1" applyAlignment="1">
      <alignment horizontal="center"/>
    </xf>
    <xf numFmtId="2" fontId="4" fillId="0" borderId="26" xfId="2" applyNumberFormat="1" applyFont="1" applyBorder="1" applyAlignment="1">
      <alignment horizontal="center"/>
    </xf>
    <xf numFmtId="2" fontId="4" fillId="0" borderId="0" xfId="2" applyNumberFormat="1" applyFont="1" applyAlignment="1">
      <alignment horizontal="center"/>
    </xf>
    <xf numFmtId="2" fontId="18" fillId="0" borderId="12" xfId="2" applyNumberFormat="1" applyFont="1" applyBorder="1" applyAlignment="1">
      <alignment horizontal="center"/>
    </xf>
    <xf numFmtId="2" fontId="18" fillId="0" borderId="13" xfId="2" applyNumberFormat="1" applyFont="1" applyBorder="1" applyAlignment="1">
      <alignment horizontal="center"/>
    </xf>
    <xf numFmtId="0" fontId="11" fillId="0" borderId="24" xfId="2" applyFont="1" applyBorder="1" applyAlignment="1">
      <alignment horizontal="center"/>
    </xf>
    <xf numFmtId="2" fontId="18" fillId="0" borderId="19" xfId="2" applyNumberFormat="1" applyFont="1" applyBorder="1" applyAlignment="1">
      <alignment horizontal="center"/>
    </xf>
    <xf numFmtId="2" fontId="18" fillId="0" borderId="24" xfId="2" applyNumberFormat="1" applyFont="1" applyBorder="1" applyAlignment="1">
      <alignment horizontal="center"/>
    </xf>
    <xf numFmtId="0" fontId="11" fillId="0" borderId="26" xfId="2" applyFont="1" applyBorder="1" applyAlignment="1">
      <alignment horizontal="center"/>
    </xf>
    <xf numFmtId="2" fontId="18" fillId="0" borderId="15" xfId="2" applyNumberFormat="1" applyFont="1" applyBorder="1" applyAlignment="1">
      <alignment horizontal="center"/>
    </xf>
    <xf numFmtId="2" fontId="18" fillId="0" borderId="26" xfId="2" applyNumberFormat="1" applyFont="1" applyBorder="1" applyAlignment="1">
      <alignment horizontal="center"/>
    </xf>
    <xf numFmtId="0" fontId="4" fillId="0" borderId="28" xfId="2" applyFont="1" applyBorder="1"/>
    <xf numFmtId="0" fontId="11" fillId="0" borderId="29" xfId="2" applyFont="1" applyBorder="1" applyAlignment="1">
      <alignment horizontal="center"/>
    </xf>
    <xf numFmtId="173" fontId="4" fillId="5" borderId="0" xfId="2" applyNumberFormat="1" applyFont="1" applyFill="1" applyAlignment="1"/>
    <xf numFmtId="173" fontId="11" fillId="5" borderId="0" xfId="2" applyNumberFormat="1" applyFont="1" applyFill="1" applyAlignment="1"/>
    <xf numFmtId="0" fontId="4" fillId="5" borderId="0" xfId="2" applyFont="1" applyFill="1" applyAlignment="1"/>
    <xf numFmtId="0" fontId="4" fillId="5" borderId="0" xfId="2" applyFont="1" applyFill="1" applyAlignment="1" applyProtection="1"/>
    <xf numFmtId="173" fontId="11" fillId="6" borderId="11" xfId="2" applyNumberFormat="1" applyFont="1" applyFill="1" applyBorder="1" applyAlignment="1" applyProtection="1"/>
    <xf numFmtId="0" fontId="12" fillId="5" borderId="0" xfId="2" applyFont="1" applyFill="1" applyBorder="1" applyProtection="1"/>
    <xf numFmtId="0" fontId="12" fillId="5" borderId="0" xfId="2" applyFont="1" applyFill="1" applyProtection="1"/>
    <xf numFmtId="166" fontId="11" fillId="3" borderId="0" xfId="2" applyNumberFormat="1" applyFont="1" applyFill="1" applyBorder="1" applyAlignment="1" applyProtection="1">
      <alignment horizontal="center"/>
      <protection locked="0"/>
    </xf>
    <xf numFmtId="176" fontId="4" fillId="5" borderId="0" xfId="2" applyNumberFormat="1" applyFont="1" applyFill="1" applyProtection="1"/>
    <xf numFmtId="0" fontId="4" fillId="4" borderId="0" xfId="2" applyNumberFormat="1" applyFont="1" applyFill="1" applyBorder="1" applyAlignment="1" applyProtection="1">
      <alignment horizontal="center"/>
    </xf>
    <xf numFmtId="0" fontId="12" fillId="4" borderId="0" xfId="2" applyFont="1" applyFill="1" applyBorder="1" applyProtection="1">
      <protection locked="0"/>
    </xf>
    <xf numFmtId="0" fontId="4" fillId="4" borderId="0" xfId="2" applyNumberFormat="1" applyFont="1" applyFill="1" applyBorder="1" applyAlignment="1" applyProtection="1">
      <alignment horizontal="center" vertical="top"/>
      <protection hidden="1"/>
    </xf>
    <xf numFmtId="1" fontId="4" fillId="4" borderId="0" xfId="2" quotePrefix="1" applyNumberFormat="1" applyFont="1" applyFill="1" applyBorder="1" applyProtection="1">
      <protection hidden="1"/>
    </xf>
    <xf numFmtId="0" fontId="4" fillId="4" borderId="0" xfId="2" applyNumberFormat="1" applyFont="1" applyFill="1" applyBorder="1" applyAlignment="1" applyProtection="1">
      <alignment horizontal="center"/>
      <protection locked="0"/>
    </xf>
    <xf numFmtId="0" fontId="11" fillId="4" borderId="0" xfId="2" applyNumberFormat="1" applyFont="1" applyFill="1" applyBorder="1" applyProtection="1"/>
    <xf numFmtId="0" fontId="4" fillId="4" borderId="0" xfId="2" applyFont="1" applyFill="1" applyBorder="1" applyAlignment="1">
      <alignment vertical="top"/>
    </xf>
    <xf numFmtId="178" fontId="4" fillId="4" borderId="0" xfId="2" applyNumberFormat="1" applyFont="1" applyFill="1" applyBorder="1" applyAlignment="1" applyProtection="1">
      <alignment vertical="top"/>
    </xf>
    <xf numFmtId="0" fontId="14" fillId="4" borderId="0" xfId="2" applyFont="1" applyFill="1" applyBorder="1" applyProtection="1"/>
    <xf numFmtId="0" fontId="4" fillId="4" borderId="0" xfId="2" applyNumberFormat="1" applyFont="1" applyFill="1" applyBorder="1" applyAlignment="1" applyProtection="1">
      <alignment horizontal="center" vertical="top"/>
      <protection locked="0"/>
    </xf>
    <xf numFmtId="0" fontId="4" fillId="4" borderId="0" xfId="2" applyFont="1" applyFill="1" applyBorder="1" applyProtection="1"/>
    <xf numFmtId="1" fontId="4" fillId="4" borderId="0" xfId="2" applyNumberFormat="1" applyFont="1" applyFill="1" applyBorder="1" applyProtection="1"/>
    <xf numFmtId="0" fontId="4" fillId="5" borderId="0" xfId="2" applyNumberFormat="1" applyFont="1" applyFill="1" applyAlignment="1" applyProtection="1"/>
    <xf numFmtId="0" fontId="4" fillId="0" borderId="0" xfId="2" applyNumberFormat="1" applyFont="1" applyFill="1" applyBorder="1" applyAlignment="1" applyProtection="1">
      <alignment horizontal="center"/>
    </xf>
    <xf numFmtId="0" fontId="11" fillId="5" borderId="0" xfId="2" applyFont="1" applyFill="1" applyBorder="1" applyProtection="1">
      <protection locked="0"/>
    </xf>
    <xf numFmtId="0" fontId="4" fillId="5" borderId="0" xfId="2" applyFont="1" applyFill="1" applyProtection="1">
      <protection locked="0"/>
    </xf>
    <xf numFmtId="176" fontId="4" fillId="4" borderId="0" xfId="2" applyNumberFormat="1" applyFont="1" applyFill="1" applyBorder="1" applyAlignment="1" applyProtection="1">
      <alignment horizontal="center"/>
    </xf>
    <xf numFmtId="0" fontId="4" fillId="4" borderId="0" xfId="2" applyFont="1" applyFill="1" applyBorder="1" applyAlignment="1" applyProtection="1">
      <alignment horizontal="center"/>
      <protection locked="0"/>
    </xf>
    <xf numFmtId="175" fontId="4" fillId="4" borderId="0" xfId="2" applyNumberFormat="1" applyFont="1" applyFill="1" applyBorder="1" applyAlignment="1" applyProtection="1">
      <alignment horizontal="center"/>
    </xf>
    <xf numFmtId="177" fontId="4" fillId="4" borderId="0" xfId="2" applyNumberFormat="1" applyFont="1" applyFill="1" applyBorder="1" applyAlignment="1" applyProtection="1">
      <alignment horizontal="center"/>
    </xf>
    <xf numFmtId="178" fontId="4" fillId="4" borderId="0" xfId="2" applyNumberFormat="1" applyFont="1" applyFill="1" applyBorder="1" applyAlignment="1" applyProtection="1">
      <alignment horizontal="center"/>
    </xf>
    <xf numFmtId="0" fontId="11" fillId="5" borderId="0" xfId="2" applyFont="1" applyFill="1" applyProtection="1"/>
    <xf numFmtId="178" fontId="4" fillId="4" borderId="0" xfId="2" applyNumberFormat="1" applyFont="1" applyFill="1" applyBorder="1" applyAlignment="1" applyProtection="1">
      <alignment horizontal="center"/>
      <protection locked="0"/>
    </xf>
    <xf numFmtId="178" fontId="11" fillId="4" borderId="0" xfId="2" applyNumberFormat="1" applyFont="1" applyFill="1" applyBorder="1" applyAlignment="1" applyProtection="1">
      <alignment horizontal="center"/>
    </xf>
    <xf numFmtId="176" fontId="11" fillId="4" borderId="0" xfId="2" applyNumberFormat="1" applyFont="1" applyFill="1" applyBorder="1" applyAlignment="1" applyProtection="1">
      <alignment horizontal="center"/>
    </xf>
    <xf numFmtId="172" fontId="4" fillId="4" borderId="0" xfId="2" applyNumberFormat="1" applyFont="1" applyFill="1" applyBorder="1" applyAlignment="1" applyProtection="1">
      <alignment horizontal="center"/>
    </xf>
    <xf numFmtId="0" fontId="4" fillId="0" borderId="0" xfId="2" applyFont="1" applyFill="1" applyBorder="1" applyAlignment="1" applyProtection="1">
      <alignment horizontal="center"/>
    </xf>
    <xf numFmtId="165" fontId="4" fillId="0" borderId="0" xfId="2" applyNumberFormat="1" applyFont="1" applyFill="1" applyBorder="1" applyAlignment="1" applyProtection="1">
      <alignment horizontal="center"/>
    </xf>
    <xf numFmtId="0" fontId="4" fillId="0" borderId="0" xfId="2" applyFont="1" applyFill="1" applyBorder="1" applyProtection="1"/>
    <xf numFmtId="2" fontId="4" fillId="0" borderId="0" xfId="2" applyNumberFormat="1" applyFont="1" applyFill="1" applyBorder="1" applyAlignment="1" applyProtection="1">
      <alignment horizontal="center"/>
    </xf>
    <xf numFmtId="167" fontId="4" fillId="0" borderId="0" xfId="2" applyNumberFormat="1" applyFont="1" applyFill="1" applyBorder="1" applyAlignment="1" applyProtection="1">
      <alignment horizontal="center"/>
    </xf>
    <xf numFmtId="172" fontId="4" fillId="0" borderId="0" xfId="2" applyNumberFormat="1" applyFont="1" applyFill="1" applyBorder="1" applyAlignment="1" applyProtection="1">
      <alignment horizontal="center"/>
    </xf>
    <xf numFmtId="0" fontId="11" fillId="6" borderId="0" xfId="2" applyFont="1" applyFill="1" applyBorder="1" applyAlignment="1" applyProtection="1">
      <alignment horizontal="center"/>
    </xf>
    <xf numFmtId="165" fontId="4" fillId="0" borderId="0" xfId="2" applyNumberFormat="1" applyFont="1" applyFill="1" applyBorder="1" applyAlignment="1" applyProtection="1">
      <alignment horizontal="center"/>
      <protection locked="0"/>
    </xf>
    <xf numFmtId="173" fontId="4" fillId="0" borderId="0" xfId="2" applyNumberFormat="1" applyFont="1" applyFill="1" applyBorder="1" applyAlignment="1" applyProtection="1">
      <alignment horizontal="center"/>
      <protection locked="0"/>
    </xf>
    <xf numFmtId="175" fontId="11" fillId="7" borderId="0" xfId="6" applyNumberFormat="1" applyFont="1" applyFill="1" applyBorder="1" applyAlignment="1" applyProtection="1">
      <alignment horizontal="center"/>
      <protection locked="0"/>
    </xf>
    <xf numFmtId="0" fontId="4" fillId="4" borderId="0" xfId="2" applyFont="1" applyFill="1" applyBorder="1" applyAlignment="1" applyProtection="1">
      <alignment horizontal="center" vertical="top"/>
      <protection hidden="1"/>
    </xf>
    <xf numFmtId="0" fontId="4" fillId="4" borderId="0" xfId="2" applyFont="1" applyFill="1" applyBorder="1" applyAlignment="1" applyProtection="1">
      <alignment horizontal="center"/>
      <protection hidden="1"/>
    </xf>
    <xf numFmtId="0" fontId="4" fillId="4" borderId="0" xfId="2" applyFont="1" applyFill="1" applyBorder="1" applyAlignment="1" applyProtection="1">
      <alignment horizontal="center" vertical="top"/>
      <protection locked="0"/>
    </xf>
    <xf numFmtId="172" fontId="11" fillId="4" borderId="0" xfId="2" applyNumberFormat="1" applyFont="1" applyFill="1" applyBorder="1" applyAlignment="1" applyProtection="1">
      <alignment horizontal="center"/>
      <protection locked="0"/>
    </xf>
    <xf numFmtId="176" fontId="11" fillId="4" borderId="0" xfId="2" applyNumberFormat="1" applyFont="1" applyFill="1" applyBorder="1" applyAlignment="1" applyProtection="1">
      <alignment horizontal="center"/>
      <protection locked="0"/>
    </xf>
    <xf numFmtId="0" fontId="11" fillId="7" borderId="0" xfId="2" applyNumberFormat="1" applyFont="1" applyFill="1" applyBorder="1" applyAlignment="1" applyProtection="1">
      <alignment horizontal="center"/>
      <protection locked="0"/>
    </xf>
    <xf numFmtId="0" fontId="11" fillId="7" borderId="0" xfId="2" applyFont="1" applyFill="1" applyBorder="1" applyAlignment="1" applyProtection="1">
      <alignment horizontal="center"/>
      <protection locked="0"/>
    </xf>
    <xf numFmtId="173" fontId="11" fillId="6" borderId="0" xfId="2" applyNumberFormat="1" applyFont="1" applyFill="1" applyBorder="1" applyAlignment="1" applyProtection="1">
      <alignment horizontal="center"/>
    </xf>
    <xf numFmtId="166" fontId="4" fillId="0" borderId="0" xfId="2" applyNumberFormat="1" applyFont="1" applyFill="1" applyBorder="1" applyAlignment="1" applyProtection="1">
      <alignment horizontal="center"/>
    </xf>
    <xf numFmtId="0" fontId="11" fillId="6" borderId="0" xfId="2" applyFont="1" applyFill="1" applyBorder="1" applyAlignment="1" applyProtection="1">
      <alignment horizontal="center"/>
    </xf>
    <xf numFmtId="172" fontId="4" fillId="4" borderId="0" xfId="2" applyNumberFormat="1" applyFont="1" applyFill="1" applyBorder="1" applyAlignment="1" applyProtection="1">
      <alignment horizontal="center"/>
      <protection hidden="1"/>
    </xf>
    <xf numFmtId="176" fontId="4" fillId="4" borderId="0" xfId="2" applyNumberFormat="1" applyFont="1" applyFill="1" applyBorder="1" applyAlignment="1" applyProtection="1">
      <alignment horizontal="center"/>
      <protection hidden="1"/>
    </xf>
    <xf numFmtId="0" fontId="15" fillId="4" borderId="0" xfId="2" applyFont="1" applyFill="1" applyBorder="1" applyAlignment="1" applyProtection="1">
      <alignment horizontal="center"/>
      <protection hidden="1"/>
    </xf>
    <xf numFmtId="0" fontId="4" fillId="0" borderId="30" xfId="2" applyFont="1" applyBorder="1"/>
    <xf numFmtId="0" fontId="4" fillId="0" borderId="31" xfId="2" applyFont="1" applyBorder="1" applyAlignment="1">
      <alignment horizontal="center"/>
    </xf>
    <xf numFmtId="0" fontId="4" fillId="0" borderId="32" xfId="2" applyFont="1" applyBorder="1" applyAlignment="1">
      <alignment horizontal="center"/>
    </xf>
    <xf numFmtId="165" fontId="4" fillId="0" borderId="26" xfId="2" applyNumberFormat="1" applyFont="1" applyBorder="1" applyAlignment="1">
      <alignment horizontal="center"/>
    </xf>
    <xf numFmtId="0" fontId="11" fillId="0" borderId="33" xfId="2" applyFont="1" applyFill="1" applyBorder="1" applyAlignment="1"/>
    <xf numFmtId="173" fontId="11" fillId="0" borderId="34" xfId="2" applyNumberFormat="1" applyFont="1" applyFill="1" applyBorder="1" applyAlignment="1">
      <alignment horizontal="center"/>
    </xf>
    <xf numFmtId="173" fontId="11" fillId="0" borderId="35" xfId="2" applyNumberFormat="1" applyFont="1" applyFill="1" applyBorder="1" applyAlignment="1">
      <alignment horizontal="center"/>
    </xf>
    <xf numFmtId="0" fontId="4" fillId="0" borderId="30" xfId="2" applyFont="1" applyBorder="1" applyAlignment="1">
      <alignment horizontal="center"/>
    </xf>
    <xf numFmtId="165" fontId="18" fillId="0" borderId="31" xfId="2" applyNumberFormat="1" applyFont="1" applyBorder="1" applyAlignment="1">
      <alignment horizontal="center"/>
    </xf>
    <xf numFmtId="165" fontId="18" fillId="0" borderId="32" xfId="2" applyNumberFormat="1" applyFont="1" applyBorder="1" applyAlignment="1">
      <alignment horizontal="center"/>
    </xf>
    <xf numFmtId="165" fontId="18" fillId="0" borderId="24" xfId="2" applyNumberFormat="1" applyFont="1" applyBorder="1" applyAlignment="1">
      <alignment horizontal="center"/>
    </xf>
    <xf numFmtId="165" fontId="18" fillId="0" borderId="26" xfId="2" applyNumberFormat="1" applyFont="1" applyBorder="1" applyAlignment="1">
      <alignment horizontal="center"/>
    </xf>
    <xf numFmtId="0" fontId="4" fillId="0" borderId="37" xfId="2" applyFont="1" applyBorder="1"/>
    <xf numFmtId="173" fontId="11" fillId="7" borderId="0" xfId="2" applyNumberFormat="1" applyFont="1" applyFill="1" applyBorder="1" applyAlignment="1" applyProtection="1">
      <alignment horizontal="center"/>
    </xf>
    <xf numFmtId="173" fontId="4" fillId="0" borderId="0" xfId="2" applyNumberFormat="1" applyFont="1" applyFill="1" applyBorder="1" applyAlignment="1" applyProtection="1">
      <alignment horizontal="center"/>
    </xf>
    <xf numFmtId="0" fontId="14" fillId="0" borderId="0" xfId="2" applyFont="1" applyBorder="1" applyAlignment="1">
      <alignment horizontal="left"/>
    </xf>
    <xf numFmtId="175" fontId="4" fillId="0" borderId="0" xfId="6" applyNumberFormat="1" applyFont="1" applyFill="1" applyBorder="1" applyAlignment="1" applyProtection="1">
      <alignment horizontal="center"/>
    </xf>
    <xf numFmtId="165" fontId="11" fillId="7" borderId="0" xfId="2" applyNumberFormat="1" applyFont="1" applyFill="1" applyBorder="1" applyAlignment="1" applyProtection="1">
      <alignment horizontal="center"/>
      <protection locked="0"/>
    </xf>
    <xf numFmtId="0" fontId="20" fillId="0" borderId="36" xfId="2" applyFont="1" applyBorder="1" applyAlignment="1">
      <alignment horizontal="center"/>
    </xf>
    <xf numFmtId="0" fontId="11" fillId="0" borderId="0" xfId="2" applyFont="1" applyAlignment="1">
      <alignment horizontal="center"/>
    </xf>
    <xf numFmtId="179" fontId="4" fillId="0" borderId="0" xfId="2" applyNumberFormat="1" applyFont="1" applyAlignment="1">
      <alignment horizontal="center"/>
    </xf>
    <xf numFmtId="173" fontId="4" fillId="0" borderId="3" xfId="2" applyNumberFormat="1" applyFont="1" applyBorder="1" applyAlignment="1">
      <alignment horizontal="left"/>
    </xf>
    <xf numFmtId="173" fontId="4" fillId="0" borderId="8" xfId="2" applyNumberFormat="1" applyFont="1" applyBorder="1" applyAlignment="1">
      <alignment horizontal="left"/>
    </xf>
    <xf numFmtId="9" fontId="4" fillId="0" borderId="0" xfId="6" applyFont="1" applyAlignment="1">
      <alignment horizontal="center"/>
    </xf>
    <xf numFmtId="0" fontId="11" fillId="8" borderId="0" xfId="2" applyFont="1" applyFill="1" applyBorder="1" applyAlignment="1" applyProtection="1">
      <alignment horizontal="center"/>
      <protection locked="0"/>
    </xf>
    <xf numFmtId="0" fontId="11" fillId="8" borderId="0" xfId="2" applyFont="1" applyFill="1" applyBorder="1" applyAlignment="1" applyProtection="1">
      <alignment horizontal="center"/>
    </xf>
    <xf numFmtId="0" fontId="11" fillId="0" borderId="31" xfId="2" applyFont="1" applyBorder="1" applyAlignment="1" applyProtection="1">
      <alignment horizontal="center"/>
    </xf>
    <xf numFmtId="0" fontId="11" fillId="8" borderId="0" xfId="2" applyFont="1" applyFill="1" applyBorder="1" applyAlignment="1">
      <alignment horizontal="center" vertical="top"/>
    </xf>
    <xf numFmtId="0" fontId="11" fillId="8" borderId="14" xfId="2" applyFont="1" applyFill="1" applyBorder="1" applyAlignment="1">
      <alignment horizontal="center"/>
    </xf>
    <xf numFmtId="0" fontId="11" fillId="8" borderId="0" xfId="2" applyFont="1" applyFill="1" applyBorder="1" applyAlignment="1">
      <alignment horizontal="center"/>
    </xf>
    <xf numFmtId="0" fontId="11" fillId="8" borderId="25" xfId="2" applyFont="1" applyFill="1" applyBorder="1" applyAlignment="1">
      <alignment horizontal="center"/>
    </xf>
    <xf numFmtId="0" fontId="11" fillId="8" borderId="0" xfId="2" applyFont="1" applyFill="1" applyBorder="1" applyAlignment="1" applyProtection="1">
      <alignment horizontal="center"/>
    </xf>
    <xf numFmtId="171" fontId="2" fillId="0" borderId="0" xfId="2" applyNumberFormat="1" applyFont="1" applyAlignment="1" applyProtection="1">
      <alignment horizontal="center"/>
    </xf>
    <xf numFmtId="176" fontId="2" fillId="0" borderId="0" xfId="2" applyNumberFormat="1" applyFont="1" applyAlignment="1" applyProtection="1">
      <alignment horizontal="center"/>
    </xf>
    <xf numFmtId="176" fontId="2" fillId="0" borderId="0" xfId="2" applyNumberFormat="1" applyFont="1" applyAlignment="1">
      <alignment horizontal="center"/>
    </xf>
    <xf numFmtId="171" fontId="2" fillId="0" borderId="0" xfId="2" applyNumberFormat="1" applyFont="1" applyFill="1" applyAlignment="1" applyProtection="1">
      <alignment horizontal="center"/>
    </xf>
    <xf numFmtId="166" fontId="4" fillId="0" borderId="0" xfId="2" applyNumberFormat="1" applyFont="1" applyBorder="1" applyAlignment="1" applyProtection="1">
      <alignment horizontal="center"/>
    </xf>
    <xf numFmtId="166" fontId="4" fillId="0" borderId="0" xfId="2" applyNumberFormat="1" applyFont="1" applyBorder="1" applyAlignment="1">
      <alignment horizontal="center"/>
    </xf>
    <xf numFmtId="173" fontId="4" fillId="0" borderId="6" xfId="2" applyNumberFormat="1" applyFont="1" applyBorder="1" applyAlignment="1">
      <alignment horizontal="left"/>
    </xf>
    <xf numFmtId="173" fontId="4" fillId="0" borderId="38" xfId="2" applyNumberFormat="1" applyFont="1" applyBorder="1" applyAlignment="1">
      <alignment horizontal="left"/>
    </xf>
    <xf numFmtId="173" fontId="4" fillId="0" borderId="8" xfId="2" applyNumberFormat="1" applyFont="1" applyBorder="1" applyAlignment="1">
      <alignment horizontal="left"/>
    </xf>
    <xf numFmtId="0" fontId="11" fillId="0" borderId="0" xfId="2" applyFont="1" applyBorder="1" applyAlignment="1">
      <alignment horizontal="left"/>
    </xf>
    <xf numFmtId="0" fontId="11" fillId="8" borderId="0" xfId="2" applyFont="1" applyFill="1" applyBorder="1" applyAlignment="1" applyProtection="1">
      <alignment horizontal="center"/>
      <protection locked="0"/>
    </xf>
    <xf numFmtId="173" fontId="11" fillId="6" borderId="0" xfId="2" applyNumberFormat="1" applyFont="1" applyFill="1" applyBorder="1" applyAlignment="1" applyProtection="1"/>
    <xf numFmtId="173" fontId="11" fillId="6" borderId="0" xfId="2" applyNumberFormat="1" applyFont="1" applyFill="1" applyBorder="1" applyAlignment="1" applyProtection="1">
      <alignment horizontal="center"/>
    </xf>
    <xf numFmtId="173" fontId="2" fillId="6" borderId="10" xfId="2" applyNumberFormat="1" applyFont="1" applyFill="1" applyBorder="1" applyAlignment="1" applyProtection="1"/>
    <xf numFmtId="173" fontId="2" fillId="6" borderId="11" xfId="2" applyNumberFormat="1" applyFont="1" applyFill="1" applyBorder="1" applyAlignment="1" applyProtection="1"/>
    <xf numFmtId="173" fontId="2" fillId="6" borderId="1" xfId="2" applyNumberFormat="1" applyFont="1" applyFill="1" applyBorder="1" applyAlignment="1" applyProtection="1"/>
    <xf numFmtId="173" fontId="11" fillId="6" borderId="1" xfId="2" applyNumberFormat="1" applyFont="1" applyFill="1" applyBorder="1" applyAlignment="1" applyProtection="1">
      <alignment horizontal="left"/>
    </xf>
    <xf numFmtId="174" fontId="11" fillId="6" borderId="1" xfId="2" applyNumberFormat="1" applyFont="1" applyFill="1" applyBorder="1" applyAlignment="1" applyProtection="1">
      <protection locked="0"/>
    </xf>
    <xf numFmtId="174" fontId="11" fillId="6" borderId="21" xfId="2" applyNumberFormat="1" applyFont="1" applyFill="1" applyBorder="1" applyAlignment="1" applyProtection="1">
      <protection locked="0"/>
    </xf>
    <xf numFmtId="173" fontId="4" fillId="0" borderId="27" xfId="2" quotePrefix="1" applyNumberFormat="1" applyFont="1" applyBorder="1" applyAlignment="1">
      <alignment horizontal="center"/>
    </xf>
    <xf numFmtId="173" fontId="4" fillId="0" borderId="21" xfId="2" quotePrefix="1" applyNumberFormat="1" applyFont="1" applyBorder="1" applyAlignment="1">
      <alignment horizontal="center"/>
    </xf>
    <xf numFmtId="173" fontId="4" fillId="0" borderId="28" xfId="2" quotePrefix="1" applyNumberFormat="1" applyFont="1" applyBorder="1" applyAlignment="1">
      <alignment horizontal="center"/>
    </xf>
    <xf numFmtId="173" fontId="4" fillId="0" borderId="29" xfId="2" quotePrefix="1" applyNumberFormat="1" applyFont="1" applyBorder="1" applyAlignment="1">
      <alignment horizontal="center"/>
    </xf>
    <xf numFmtId="173" fontId="4" fillId="0" borderId="7" xfId="2" quotePrefix="1" applyNumberFormat="1" applyFont="1" applyBorder="1" applyAlignment="1">
      <alignment horizontal="center"/>
    </xf>
    <xf numFmtId="173" fontId="4" fillId="0" borderId="9" xfId="2" quotePrefix="1" applyNumberFormat="1" applyFont="1" applyBorder="1" applyAlignment="1">
      <alignment horizontal="center"/>
    </xf>
    <xf numFmtId="173" fontId="4" fillId="0" borderId="3" xfId="2" applyNumberFormat="1" applyFont="1" applyBorder="1" applyAlignment="1">
      <alignment horizontal="left"/>
    </xf>
    <xf numFmtId="0" fontId="11" fillId="6" borderId="0" xfId="2" applyFont="1" applyFill="1" applyBorder="1" applyAlignment="1">
      <alignment horizontal="left"/>
    </xf>
    <xf numFmtId="0" fontId="11" fillId="8" borderId="0" xfId="2" applyFont="1" applyFill="1" applyBorder="1" applyAlignment="1">
      <alignment horizontal="left"/>
    </xf>
    <xf numFmtId="0" fontId="11" fillId="6" borderId="0" xfId="2" applyFont="1" applyFill="1" applyBorder="1"/>
    <xf numFmtId="0" fontId="11" fillId="6" borderId="27" xfId="2" applyFont="1" applyFill="1" applyBorder="1" applyAlignment="1">
      <alignment horizontal="center"/>
    </xf>
    <xf numFmtId="0" fontId="11" fillId="6" borderId="1" xfId="2" applyFont="1" applyFill="1" applyBorder="1" applyAlignment="1">
      <alignment horizontal="center"/>
    </xf>
    <xf numFmtId="0" fontId="11" fillId="6" borderId="21" xfId="2" applyFont="1" applyFill="1" applyBorder="1" applyAlignment="1">
      <alignment horizontal="center"/>
    </xf>
    <xf numFmtId="0" fontId="11" fillId="6" borderId="0" xfId="2" applyFont="1" applyFill="1" applyBorder="1" applyAlignment="1" applyProtection="1">
      <alignment horizontal="center"/>
    </xf>
    <xf numFmtId="0" fontId="11" fillId="0" borderId="0" xfId="2" applyFont="1" applyBorder="1"/>
    <xf numFmtId="0" fontId="11" fillId="0" borderId="0" xfId="2" applyFont="1" applyFill="1" applyBorder="1" applyProtection="1">
      <protection hidden="1"/>
    </xf>
    <xf numFmtId="0" fontId="11" fillId="0" borderId="0" xfId="2" applyFont="1" applyBorder="1" applyAlignment="1">
      <alignment vertical="top"/>
    </xf>
    <xf numFmtId="0" fontId="11" fillId="0" borderId="18" xfId="2" applyFont="1" applyBorder="1" applyAlignment="1">
      <alignment horizontal="left"/>
    </xf>
    <xf numFmtId="0" fontId="11" fillId="0" borderId="19" xfId="2" applyFont="1" applyBorder="1" applyAlignment="1">
      <alignment horizontal="left"/>
    </xf>
    <xf numFmtId="0" fontId="11" fillId="0" borderId="24" xfId="2" applyFont="1" applyBorder="1" applyAlignment="1">
      <alignment horizontal="left"/>
    </xf>
    <xf numFmtId="0" fontId="11" fillId="0" borderId="14" xfId="2" applyFont="1" applyBorder="1" applyAlignment="1">
      <alignment horizontal="left"/>
    </xf>
    <xf numFmtId="0" fontId="11" fillId="0" borderId="15" xfId="2" applyFont="1" applyBorder="1" applyAlignment="1">
      <alignment horizontal="left"/>
    </xf>
    <xf numFmtId="0" fontId="11" fillId="0" borderId="26" xfId="2" applyFont="1" applyBorder="1" applyAlignment="1">
      <alignment horizontal="left"/>
    </xf>
    <xf numFmtId="0" fontId="11" fillId="0" borderId="18" xfId="2" applyFont="1" applyBorder="1"/>
    <xf numFmtId="0" fontId="11" fillId="0" borderId="19" xfId="2" applyFont="1" applyBorder="1"/>
    <xf numFmtId="0" fontId="11" fillId="0" borderId="14" xfId="2" applyFont="1" applyBorder="1"/>
    <xf numFmtId="0" fontId="11" fillId="0" borderId="15" xfId="2" applyFont="1" applyBorder="1"/>
    <xf numFmtId="0" fontId="11" fillId="0" borderId="27" xfId="2" applyFont="1" applyBorder="1" applyAlignment="1">
      <alignment horizontal="left"/>
    </xf>
    <xf numFmtId="0" fontId="11" fillId="0" borderId="1" xfId="2" applyFont="1" applyBorder="1" applyAlignment="1">
      <alignment horizontal="left"/>
    </xf>
    <xf numFmtId="0" fontId="11" fillId="6" borderId="10" xfId="2" applyFont="1" applyFill="1" applyBorder="1" applyAlignment="1">
      <alignment horizontal="center"/>
    </xf>
    <xf numFmtId="0" fontId="11" fillId="6" borderId="11" xfId="2" applyFont="1" applyFill="1" applyBorder="1" applyAlignment="1">
      <alignment horizontal="center"/>
    </xf>
    <xf numFmtId="0" fontId="11" fillId="6" borderId="39" xfId="2" applyFont="1" applyFill="1" applyBorder="1" applyAlignment="1">
      <alignment horizontal="center"/>
    </xf>
    <xf numFmtId="0" fontId="11" fillId="0" borderId="16" xfId="2" applyFont="1" applyBorder="1" applyAlignment="1">
      <alignment horizontal="left"/>
    </xf>
    <xf numFmtId="0" fontId="11" fillId="0" borderId="12" xfId="2" applyFont="1" applyBorder="1" applyAlignment="1">
      <alignment horizontal="left"/>
    </xf>
    <xf numFmtId="0" fontId="11" fillId="0" borderId="13" xfId="2" applyFont="1" applyBorder="1" applyAlignment="1">
      <alignment horizontal="left"/>
    </xf>
    <xf numFmtId="0" fontId="11" fillId="0" borderId="16" xfId="2" applyFont="1" applyBorder="1"/>
    <xf numFmtId="0" fontId="11" fillId="0" borderId="12" xfId="2" applyFont="1" applyBorder="1"/>
    <xf numFmtId="0" fontId="11" fillId="0" borderId="40" xfId="2" applyFont="1" applyBorder="1"/>
    <xf numFmtId="0" fontId="11" fillId="0" borderId="20" xfId="2" applyFont="1" applyBorder="1"/>
    <xf numFmtId="0" fontId="11" fillId="0" borderId="30" xfId="2" applyFont="1" applyBorder="1"/>
    <xf numFmtId="0" fontId="11" fillId="0" borderId="31" xfId="2" applyFont="1" applyBorder="1"/>
    <xf numFmtId="173" fontId="11" fillId="6" borderId="11" xfId="2" applyNumberFormat="1" applyFont="1" applyFill="1" applyBorder="1" applyAlignment="1" applyProtection="1">
      <alignment horizontal="left"/>
    </xf>
    <xf numFmtId="174" fontId="11" fillId="6" borderId="11" xfId="2" applyNumberFormat="1" applyFont="1" applyFill="1" applyBorder="1" applyAlignment="1" applyProtection="1">
      <protection locked="0"/>
    </xf>
    <xf numFmtId="174" fontId="11" fillId="6" borderId="39" xfId="2" applyNumberFormat="1" applyFont="1" applyFill="1" applyBorder="1" applyAlignment="1" applyProtection="1">
      <protection locked="0"/>
    </xf>
    <xf numFmtId="0" fontId="11" fillId="8" borderId="0" xfId="2" applyFont="1" applyFill="1" applyBorder="1" applyAlignment="1" applyProtection="1">
      <alignment horizontal="center"/>
    </xf>
    <xf numFmtId="0" fontId="4" fillId="0" borderId="0" xfId="2" applyFont="1" applyBorder="1" applyAlignment="1">
      <alignment horizontal="left"/>
    </xf>
    <xf numFmtId="0" fontId="11" fillId="0" borderId="0" xfId="2" applyFont="1" applyBorder="1" applyAlignment="1"/>
    <xf numFmtId="0" fontId="11" fillId="0" borderId="0" xfId="2" applyFont="1" applyFill="1" applyBorder="1"/>
    <xf numFmtId="0" fontId="2" fillId="0" borderId="0" xfId="4" applyFont="1" applyFill="1" applyAlignment="1">
      <alignment horizontal="center" wrapText="1"/>
    </xf>
    <xf numFmtId="0" fontId="2" fillId="0" borderId="0" xfId="4" applyFont="1" applyAlignment="1">
      <alignment horizontal="center" wrapText="1"/>
    </xf>
    <xf numFmtId="0" fontId="2" fillId="0" borderId="0" xfId="4" applyNumberFormat="1" applyFont="1" applyAlignment="1">
      <alignment horizontal="center" wrapText="1"/>
    </xf>
    <xf numFmtId="0" fontId="2" fillId="9" borderId="0" xfId="4" applyFont="1" applyFill="1"/>
    <xf numFmtId="0" fontId="2" fillId="9" borderId="0" xfId="4" applyNumberFormat="1" applyFont="1" applyFill="1"/>
    <xf numFmtId="0" fontId="2" fillId="9" borderId="0" xfId="2" applyFont="1" applyFill="1"/>
    <xf numFmtId="0" fontId="2" fillId="9" borderId="0" xfId="2" applyFont="1" applyFill="1" applyProtection="1"/>
  </cellXfs>
  <cellStyles count="8">
    <cellStyle name="Hyperlink_Fluids" xfId="1"/>
    <cellStyle name="Normal" xfId="0" builtinId="0" customBuiltin="1"/>
    <cellStyle name="Normal 2" xfId="2"/>
    <cellStyle name="Normal_DS101 Revision Worksheet" xfId="3"/>
    <cellStyle name="Normal_Fluids" xfId="4"/>
    <cellStyle name="Normal_Functions5.1" xfId="5"/>
    <cellStyle name="Percent" xfId="6" builtinId="5"/>
    <cellStyle name="Percent 2" xfId="7"/>
  </cellStyles>
  <dxfs count="14"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</dxf>
    <dxf>
      <font>
        <b/>
        <i val="0"/>
        <strike val="0"/>
        <color rgb="FFFF000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</font>
      <fill>
        <patternFill patternType="none">
          <bgColor indexed="65"/>
        </patternFill>
      </fill>
    </dxf>
    <dxf>
      <font>
        <condense val="0"/>
        <extend val="0"/>
        <color rgb="FF9C0006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</font>
      <fill>
        <patternFill patternType="none">
          <bgColor indexed="6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strike val="0"/>
        <color rgb="FFFF000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</font>
      <fill>
        <patternFill patternType="none">
          <bgColor indexed="65"/>
        </patternFill>
      </fill>
    </dxf>
    <dxf>
      <font>
        <b/>
        <i val="0"/>
        <strike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E6DCF5"/>
      <color rgb="FFE1F5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21166</xdr:colOff>
      <xdr:row>2</xdr:row>
      <xdr:rowOff>70555</xdr:rowOff>
    </xdr:from>
    <xdr:to>
      <xdr:col>1</xdr:col>
      <xdr:colOff>816321</xdr:colOff>
      <xdr:row>5</xdr:row>
      <xdr:rowOff>99324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66" y="457905"/>
          <a:ext cx="1677805" cy="505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2</xdr:row>
      <xdr:rowOff>76200</xdr:rowOff>
    </xdr:from>
    <xdr:to>
      <xdr:col>1</xdr:col>
      <xdr:colOff>820555</xdr:colOff>
      <xdr:row>5</xdr:row>
      <xdr:rowOff>104969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469900"/>
          <a:ext cx="1677805" cy="5050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44450</xdr:colOff>
      <xdr:row>2</xdr:row>
      <xdr:rowOff>69850</xdr:rowOff>
    </xdr:from>
    <xdr:to>
      <xdr:col>1</xdr:col>
      <xdr:colOff>839605</xdr:colOff>
      <xdr:row>5</xdr:row>
      <xdr:rowOff>98619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50" y="482600"/>
          <a:ext cx="1677805" cy="5050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44450</xdr:colOff>
      <xdr:row>2</xdr:row>
      <xdr:rowOff>76200</xdr:rowOff>
    </xdr:from>
    <xdr:to>
      <xdr:col>1</xdr:col>
      <xdr:colOff>839605</xdr:colOff>
      <xdr:row>5</xdr:row>
      <xdr:rowOff>104969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50" y="488950"/>
          <a:ext cx="1677805" cy="5050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Larry%20Stratton/My%20Documents/KOSO%20Data/SS/Technical/VB%20Code/VB_Code_2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city"/>
      <sheetName val="Conversions"/>
      <sheetName val="Fluids"/>
      <sheetName val="FluidData"/>
      <sheetName val="H2O Properties"/>
      <sheetName val="Hardware"/>
      <sheetName val="Material"/>
      <sheetName val="MatlData"/>
      <sheetName val="Math"/>
      <sheetName val="Noise"/>
      <sheetName val="PipeData"/>
      <sheetName val="Orifice"/>
      <sheetName val="Revis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A350 LF1</v>
          </cell>
        </row>
        <row r="7">
          <cell r="A7" t="str">
            <v>A106B</v>
          </cell>
        </row>
        <row r="8">
          <cell r="A8" t="str">
            <v>A352 LCB</v>
          </cell>
        </row>
        <row r="9">
          <cell r="A9" t="str">
            <v>A105</v>
          </cell>
        </row>
        <row r="10">
          <cell r="A10" t="str">
            <v>A234 WPB</v>
          </cell>
        </row>
        <row r="11">
          <cell r="A11" t="str">
            <v>A216 WCB</v>
          </cell>
        </row>
        <row r="12">
          <cell r="A12" t="str">
            <v>A350 LF2 Cl. 1</v>
          </cell>
        </row>
        <row r="13">
          <cell r="A13" t="str">
            <v>A350 LF2 Cl. 2</v>
          </cell>
        </row>
        <row r="14">
          <cell r="A14" t="str">
            <v>A106C</v>
          </cell>
        </row>
        <row r="15">
          <cell r="A15" t="str">
            <v>A216 WCC</v>
          </cell>
        </row>
        <row r="16">
          <cell r="A16" t="str">
            <v>A352 LCC</v>
          </cell>
        </row>
        <row r="17">
          <cell r="A17" t="str">
            <v>A352 LC1</v>
          </cell>
        </row>
        <row r="18">
          <cell r="A18" t="str">
            <v>A234 WP12 Cl. 1</v>
          </cell>
        </row>
        <row r="19">
          <cell r="A19" t="str">
            <v>A335 P12</v>
          </cell>
        </row>
        <row r="20">
          <cell r="A20" t="str">
            <v>A182 F12 Cl. 2</v>
          </cell>
        </row>
        <row r="21">
          <cell r="A21" t="str">
            <v>A217 WC6</v>
          </cell>
        </row>
        <row r="22">
          <cell r="A22" t="str">
            <v>A234 WP11 Cl. 1</v>
          </cell>
        </row>
        <row r="23">
          <cell r="A23" t="str">
            <v>A335 P11</v>
          </cell>
        </row>
        <row r="24">
          <cell r="A24" t="str">
            <v>A387 11 Cl. 2</v>
          </cell>
        </row>
        <row r="25">
          <cell r="A25" t="str">
            <v>A182 F11 Cl. 2</v>
          </cell>
        </row>
        <row r="26">
          <cell r="A26" t="str">
            <v>A234 WP22 Cl. 1</v>
          </cell>
        </row>
        <row r="27">
          <cell r="A27" t="str">
            <v>A335 P22</v>
          </cell>
        </row>
        <row r="28">
          <cell r="A28" t="str">
            <v>A217 WC9</v>
          </cell>
        </row>
        <row r="29">
          <cell r="A29" t="str">
            <v>A182 F22 Cl. 3</v>
          </cell>
        </row>
        <row r="30">
          <cell r="A30" t="str">
            <v>A335 P21</v>
          </cell>
        </row>
        <row r="31">
          <cell r="A31" t="str">
            <v>A182 F21</v>
          </cell>
        </row>
        <row r="32">
          <cell r="A32" t="str">
            <v>A217 C5</v>
          </cell>
        </row>
        <row r="33">
          <cell r="A33" t="str">
            <v>A182 F91 &lt;=3</v>
          </cell>
        </row>
        <row r="34">
          <cell r="A34" t="str">
            <v>A182 F91 &gt;3</v>
          </cell>
        </row>
        <row r="35">
          <cell r="A35" t="str">
            <v>A217 C12A</v>
          </cell>
        </row>
        <row r="36">
          <cell r="A36" t="str">
            <v>A234 WP91 &lt;=3</v>
          </cell>
        </row>
        <row r="37">
          <cell r="A37" t="str">
            <v>A234 WP91 &gt;3</v>
          </cell>
        </row>
        <row r="38">
          <cell r="A38" t="str">
            <v>A335 P91 &lt;3</v>
          </cell>
        </row>
        <row r="39">
          <cell r="A39" t="str">
            <v>A335 P91 &gt;=3</v>
          </cell>
        </row>
        <row r="40">
          <cell r="A40" t="str">
            <v>A240 410</v>
          </cell>
        </row>
        <row r="41">
          <cell r="A41" t="str">
            <v>A279 410</v>
          </cell>
        </row>
        <row r="42">
          <cell r="A42" t="str">
            <v>A182 F6a Cl. 2</v>
          </cell>
        </row>
        <row r="43">
          <cell r="A43" t="str">
            <v>A351-CF8M</v>
          </cell>
        </row>
        <row r="44">
          <cell r="A44" t="str">
            <v>A182 F316</v>
          </cell>
        </row>
        <row r="45">
          <cell r="A45" t="str">
            <v>A240 316</v>
          </cell>
        </row>
        <row r="46">
          <cell r="A46" t="str">
            <v>A312 TP316</v>
          </cell>
        </row>
        <row r="47">
          <cell r="A47" t="str">
            <v>A182 F304</v>
          </cell>
        </row>
        <row r="48">
          <cell r="A48" t="str">
            <v>A240 304</v>
          </cell>
        </row>
        <row r="49">
          <cell r="A49" t="str">
            <v>A312 TP304</v>
          </cell>
        </row>
        <row r="50">
          <cell r="A50" t="str">
            <v>A351-CK3MCuN</v>
          </cell>
        </row>
        <row r="51">
          <cell r="A51" t="str">
            <v>A182 F44</v>
          </cell>
        </row>
        <row r="52">
          <cell r="A52" t="str">
            <v>A182 F51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ebbook.nist.gov/chemistry/name-ser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Sheet1">
    <pageSetUpPr fitToPage="1"/>
  </sheetPr>
  <dimension ref="A1:T197"/>
  <sheetViews>
    <sheetView showGridLines="0" tabSelected="1" zoomScale="85" zoomScaleNormal="85" zoomScaleSheetLayoutView="85" workbookViewId="0">
      <selection activeCell="D2" sqref="D2:E2"/>
    </sheetView>
  </sheetViews>
  <sheetFormatPr defaultColWidth="13.90625" defaultRowHeight="12.75" customHeight="1" outlineLevelRow="1" x14ac:dyDescent="0.25"/>
  <cols>
    <col min="1" max="11" width="12.6328125" style="92" customWidth="1"/>
    <col min="12" max="12" width="12.6328125" style="89" hidden="1" customWidth="1"/>
    <col min="13" max="13" width="15.6328125" style="89" hidden="1" customWidth="1"/>
    <col min="14" max="14" width="23.08984375" style="91" hidden="1" customWidth="1"/>
    <col min="15" max="15" width="65.36328125" style="234" hidden="1" customWidth="1"/>
    <col min="16" max="16" width="13.90625" style="92" customWidth="1"/>
    <col min="17" max="16384" width="13.90625" style="92"/>
  </cols>
  <sheetData>
    <row r="1" spans="1:20" s="68" customFormat="1" ht="18" thickBot="1" x14ac:dyDescent="0.4">
      <c r="A1" s="335" t="s">
        <v>514</v>
      </c>
      <c r="B1" s="336"/>
      <c r="C1" s="337"/>
      <c r="D1" s="337"/>
      <c r="E1" s="66" t="s">
        <v>533</v>
      </c>
      <c r="F1" s="338"/>
      <c r="G1" s="338"/>
      <c r="H1" s="338"/>
      <c r="I1" s="339">
        <f ca="1">NOW()</f>
        <v>42845.618730902781</v>
      </c>
      <c r="J1" s="339"/>
      <c r="K1" s="340"/>
      <c r="L1" s="65" t="s">
        <v>431</v>
      </c>
      <c r="M1" s="65" t="s">
        <v>173</v>
      </c>
      <c r="N1" s="67" t="s">
        <v>174</v>
      </c>
      <c r="O1" s="67" t="s">
        <v>175</v>
      </c>
      <c r="R1" s="69"/>
      <c r="S1" s="69"/>
    </row>
    <row r="2" spans="1:20" s="68" customFormat="1" ht="12.75" customHeight="1" x14ac:dyDescent="0.3">
      <c r="A2" s="341" t="s">
        <v>176</v>
      </c>
      <c r="B2" s="342"/>
      <c r="C2" s="71" t="s">
        <v>438</v>
      </c>
      <c r="D2" s="347"/>
      <c r="E2" s="347"/>
      <c r="F2" s="73" t="s">
        <v>450</v>
      </c>
      <c r="G2" s="74"/>
      <c r="H2" s="71" t="s">
        <v>443</v>
      </c>
      <c r="I2" s="72">
        <v>1</v>
      </c>
      <c r="J2" s="75" t="s">
        <v>444</v>
      </c>
      <c r="K2" s="74">
        <v>1</v>
      </c>
      <c r="L2" s="70"/>
      <c r="M2" s="70"/>
      <c r="N2" s="76"/>
      <c r="O2" s="232"/>
      <c r="S2" s="69"/>
    </row>
    <row r="3" spans="1:20" s="68" customFormat="1" ht="12.75" customHeight="1" x14ac:dyDescent="0.3">
      <c r="A3" s="343"/>
      <c r="B3" s="344"/>
      <c r="C3" s="77" t="s">
        <v>439</v>
      </c>
      <c r="D3" s="328"/>
      <c r="E3" s="328"/>
      <c r="F3" s="328"/>
      <c r="G3" s="329"/>
      <c r="H3" s="77" t="s">
        <v>445</v>
      </c>
      <c r="I3" s="328"/>
      <c r="J3" s="328"/>
      <c r="K3" s="329"/>
      <c r="L3" s="70"/>
      <c r="M3" s="70"/>
      <c r="N3" s="78"/>
      <c r="O3" s="233"/>
      <c r="S3" s="69"/>
    </row>
    <row r="4" spans="1:20" s="68" customFormat="1" ht="12.75" customHeight="1" x14ac:dyDescent="0.3">
      <c r="A4" s="343"/>
      <c r="B4" s="344"/>
      <c r="C4" s="77" t="s">
        <v>440</v>
      </c>
      <c r="D4" s="328"/>
      <c r="E4" s="328"/>
      <c r="F4" s="328"/>
      <c r="G4" s="328"/>
      <c r="H4" s="77" t="s">
        <v>446</v>
      </c>
      <c r="I4" s="328"/>
      <c r="J4" s="328"/>
      <c r="K4" s="329"/>
      <c r="L4" s="70"/>
      <c r="M4" s="70"/>
      <c r="N4" s="78"/>
      <c r="O4" s="233"/>
      <c r="S4" s="69"/>
    </row>
    <row r="5" spans="1:20" s="68" customFormat="1" ht="12.75" customHeight="1" x14ac:dyDescent="0.3">
      <c r="A5" s="343"/>
      <c r="B5" s="344"/>
      <c r="C5" s="77" t="s">
        <v>441</v>
      </c>
      <c r="D5" s="328"/>
      <c r="E5" s="328"/>
      <c r="F5" s="79" t="s">
        <v>451</v>
      </c>
      <c r="G5" s="80">
        <f ca="1">NOW()</f>
        <v>42845.618730902781</v>
      </c>
      <c r="H5" s="77" t="s">
        <v>447</v>
      </c>
      <c r="I5" s="328">
        <v>1</v>
      </c>
      <c r="J5" s="328"/>
      <c r="K5" s="329"/>
      <c r="L5" s="70"/>
      <c r="M5" s="70"/>
      <c r="N5" s="76"/>
      <c r="O5" s="232"/>
      <c r="R5" s="69"/>
      <c r="S5" s="69"/>
    </row>
    <row r="6" spans="1:20" s="68" customFormat="1" ht="12.75" customHeight="1" x14ac:dyDescent="0.3">
      <c r="A6" s="343"/>
      <c r="B6" s="344"/>
      <c r="C6" s="77" t="s">
        <v>452</v>
      </c>
      <c r="D6" s="328"/>
      <c r="E6" s="328"/>
      <c r="F6" s="79" t="s">
        <v>451</v>
      </c>
      <c r="G6" s="80">
        <f ca="1">NOW()</f>
        <v>42845.618730902781</v>
      </c>
      <c r="H6" s="77" t="s">
        <v>448</v>
      </c>
      <c r="I6" s="328"/>
      <c r="J6" s="328"/>
      <c r="K6" s="329"/>
      <c r="L6" s="70"/>
      <c r="M6" s="70"/>
      <c r="N6" s="76"/>
      <c r="O6" s="232"/>
      <c r="R6" s="69"/>
      <c r="S6" s="69"/>
    </row>
    <row r="7" spans="1:20" s="68" customFormat="1" ht="12.75" customHeight="1" thickBot="1" x14ac:dyDescent="0.35">
      <c r="A7" s="345"/>
      <c r="B7" s="346"/>
      <c r="C7" s="81" t="s">
        <v>442</v>
      </c>
      <c r="D7" s="330"/>
      <c r="E7" s="330"/>
      <c r="F7" s="330"/>
      <c r="G7" s="330"/>
      <c r="H7" s="83" t="s">
        <v>449</v>
      </c>
      <c r="I7" s="82"/>
      <c r="J7" s="82"/>
      <c r="K7" s="84"/>
      <c r="L7" s="70"/>
      <c r="M7" s="70"/>
      <c r="N7" s="76"/>
      <c r="O7" s="232"/>
      <c r="R7" s="69"/>
      <c r="S7" s="69"/>
    </row>
    <row r="8" spans="1:20" s="68" customFormat="1" ht="12.75" customHeight="1" x14ac:dyDescent="0.3">
      <c r="A8" s="85"/>
      <c r="B8" s="85"/>
      <c r="C8" s="86"/>
      <c r="D8" s="87"/>
      <c r="E8" s="87"/>
      <c r="F8" s="87"/>
      <c r="G8" s="87"/>
      <c r="H8" s="88"/>
      <c r="I8" s="87"/>
      <c r="J8" s="87"/>
      <c r="K8" s="87"/>
      <c r="L8" s="70"/>
      <c r="M8" s="70"/>
      <c r="N8" s="76"/>
      <c r="O8" s="232"/>
      <c r="R8" s="69"/>
      <c r="S8" s="69"/>
    </row>
    <row r="9" spans="1:20" ht="12.75" customHeight="1" x14ac:dyDescent="0.3">
      <c r="A9" s="333" t="s">
        <v>177</v>
      </c>
      <c r="B9" s="333"/>
      <c r="C9" s="333"/>
      <c r="D9" s="334" t="s">
        <v>178</v>
      </c>
      <c r="E9" s="334"/>
      <c r="F9" s="334"/>
      <c r="G9" s="90"/>
      <c r="H9" s="90"/>
      <c r="I9" s="90"/>
      <c r="J9" s="90"/>
      <c r="K9" s="90"/>
    </row>
    <row r="10" spans="1:20" ht="12.75" customHeight="1" x14ac:dyDescent="0.3">
      <c r="A10" s="331" t="s">
        <v>280</v>
      </c>
      <c r="B10" s="331"/>
      <c r="C10" s="331"/>
      <c r="D10" s="332" t="s">
        <v>30</v>
      </c>
      <c r="E10" s="332"/>
      <c r="F10" s="332"/>
      <c r="G10" s="90"/>
      <c r="H10" s="90"/>
      <c r="I10" s="90"/>
      <c r="J10" s="90"/>
      <c r="K10" s="90"/>
      <c r="T10" s="95"/>
    </row>
    <row r="11" spans="1:20" ht="12.75" customHeight="1" x14ac:dyDescent="0.3">
      <c r="A11" s="331" t="s">
        <v>343</v>
      </c>
      <c r="B11" s="331"/>
      <c r="C11" s="331"/>
      <c r="D11" s="332" t="s">
        <v>282</v>
      </c>
      <c r="E11" s="332"/>
      <c r="F11" s="332"/>
      <c r="G11" s="90"/>
      <c r="H11" s="90"/>
      <c r="I11" s="90"/>
      <c r="J11" s="90"/>
      <c r="K11" s="90"/>
      <c r="Q11" s="96"/>
    </row>
    <row r="12" spans="1:20" ht="12.75" customHeight="1" x14ac:dyDescent="0.3">
      <c r="A12" s="331" t="s">
        <v>388</v>
      </c>
      <c r="B12" s="331"/>
      <c r="C12" s="331"/>
      <c r="D12" s="332" t="s">
        <v>543</v>
      </c>
      <c r="E12" s="332"/>
      <c r="F12" s="332"/>
      <c r="G12" s="90"/>
      <c r="H12" s="90"/>
      <c r="I12" s="90"/>
      <c r="J12" s="90"/>
      <c r="K12" s="90"/>
      <c r="L12" s="89" t="str">
        <f>IF(liq_TypeofLiquid="Custom","Required","Not Req'd")</f>
        <v>Required</v>
      </c>
      <c r="M12" s="97" t="s">
        <v>284</v>
      </c>
      <c r="Q12" s="96"/>
    </row>
    <row r="13" spans="1:20" ht="12.75" customHeight="1" x14ac:dyDescent="0.3">
      <c r="A13" s="331" t="s">
        <v>389</v>
      </c>
      <c r="B13" s="331"/>
      <c r="C13" s="331"/>
      <c r="D13" s="332" t="s">
        <v>390</v>
      </c>
      <c r="E13" s="332"/>
      <c r="F13" s="332"/>
      <c r="G13" s="90"/>
      <c r="H13" s="90"/>
      <c r="I13" s="90"/>
      <c r="J13" s="90"/>
      <c r="K13" s="90"/>
      <c r="L13" s="89" t="str">
        <f>IF(FluidNameSN(liq_TypeofLiquid)&lt;&gt;"Water","Required","Not Req'd")</f>
        <v>Required</v>
      </c>
      <c r="M13" s="97" t="s">
        <v>390</v>
      </c>
    </row>
    <row r="14" spans="1:20" ht="12.75" customHeight="1" x14ac:dyDescent="0.3">
      <c r="A14" s="331" t="s">
        <v>181</v>
      </c>
      <c r="B14" s="331"/>
      <c r="C14" s="331"/>
      <c r="D14" s="332" t="s">
        <v>182</v>
      </c>
      <c r="E14" s="332"/>
      <c r="F14" s="332"/>
      <c r="G14" s="90"/>
      <c r="H14" s="90"/>
      <c r="I14" s="90"/>
      <c r="J14" s="90"/>
      <c r="K14" s="90"/>
    </row>
    <row r="15" spans="1:20" ht="12.75" customHeight="1" x14ac:dyDescent="0.3">
      <c r="A15" s="331" t="s">
        <v>165</v>
      </c>
      <c r="B15" s="331"/>
      <c r="C15" s="331"/>
      <c r="D15" s="332" t="s">
        <v>534</v>
      </c>
      <c r="E15" s="332"/>
      <c r="F15" s="332"/>
      <c r="G15" s="90"/>
      <c r="H15" s="90"/>
      <c r="I15" s="90"/>
      <c r="J15" s="90"/>
      <c r="K15" s="90"/>
    </row>
    <row r="16" spans="1:20" ht="12.75" customHeight="1" x14ac:dyDescent="0.3">
      <c r="A16" s="348" t="s">
        <v>183</v>
      </c>
      <c r="B16" s="348"/>
      <c r="C16" s="348"/>
      <c r="D16" s="98" t="s">
        <v>184</v>
      </c>
      <c r="E16" s="98" t="s">
        <v>185</v>
      </c>
      <c r="F16" s="98" t="s">
        <v>186</v>
      </c>
      <c r="G16" s="99"/>
      <c r="H16" s="90"/>
      <c r="I16" s="90"/>
      <c r="J16" s="90"/>
      <c r="K16" s="90"/>
      <c r="L16" s="89" t="str">
        <f>IF(liq_PipeCorrectionFactorOption="Calculate Correction","Required","Not Req'd")</f>
        <v>Required</v>
      </c>
    </row>
    <row r="17" spans="1:15" ht="12.75" customHeight="1" x14ac:dyDescent="0.3">
      <c r="A17" s="331" t="s">
        <v>290</v>
      </c>
      <c r="B17" s="331"/>
      <c r="C17" s="331"/>
      <c r="D17" s="315" t="s">
        <v>291</v>
      </c>
      <c r="E17" s="100"/>
      <c r="F17" s="100"/>
      <c r="G17" s="90"/>
      <c r="H17" s="90"/>
      <c r="I17" s="90"/>
      <c r="J17" s="90"/>
      <c r="K17" s="101"/>
      <c r="L17" s="89" t="str">
        <f>IF(liq_PipeCorrectionFactorOption="Calculate Correction","Required","Not Req'd")</f>
        <v>Required</v>
      </c>
      <c r="M17" s="97" t="s">
        <v>313</v>
      </c>
      <c r="N17" s="91" t="s">
        <v>204</v>
      </c>
    </row>
    <row r="18" spans="1:15" ht="12.75" customHeight="1" x14ac:dyDescent="0.3">
      <c r="A18" s="331" t="s">
        <v>292</v>
      </c>
      <c r="B18" s="331"/>
      <c r="C18" s="331"/>
      <c r="D18" s="102" t="str">
        <f>D17</f>
        <v>in.</v>
      </c>
      <c r="E18" s="100"/>
      <c r="F18" s="100"/>
      <c r="G18" s="90"/>
      <c r="H18" s="90"/>
      <c r="I18" s="90"/>
      <c r="J18" s="90"/>
      <c r="K18" s="101"/>
      <c r="L18" s="89" t="str">
        <f>IF(liq_PipeCorrectionFactorOption="Calculate Correction","Required","Not Req'd")</f>
        <v>Required</v>
      </c>
      <c r="N18" s="91" t="s">
        <v>204</v>
      </c>
    </row>
    <row r="19" spans="1:15" ht="12.75" customHeight="1" x14ac:dyDescent="0.3">
      <c r="A19" s="333" t="s">
        <v>187</v>
      </c>
      <c r="B19" s="333"/>
      <c r="C19" s="333"/>
      <c r="D19" s="116"/>
      <c r="E19" s="284" t="s">
        <v>498</v>
      </c>
      <c r="F19" s="103" t="s">
        <v>188</v>
      </c>
      <c r="G19" s="90"/>
      <c r="H19" s="90"/>
      <c r="I19" s="90"/>
      <c r="J19" s="90"/>
      <c r="K19" s="90"/>
    </row>
    <row r="20" spans="1:15" ht="12.75" customHeight="1" x14ac:dyDescent="0.3">
      <c r="A20" s="331" t="s">
        <v>189</v>
      </c>
      <c r="B20" s="331"/>
      <c r="C20" s="90" t="s">
        <v>190</v>
      </c>
      <c r="E20" s="184">
        <f>VLOOKUP(liq_ValveType,ValveData!$A$4:$G$17,2)</f>
        <v>1.6E-2</v>
      </c>
      <c r="F20" s="100">
        <f>E20</f>
        <v>1.6E-2</v>
      </c>
      <c r="G20" s="90"/>
      <c r="H20" s="102"/>
      <c r="I20" s="90"/>
      <c r="J20" s="104"/>
      <c r="K20" s="105"/>
      <c r="N20" s="91" t="s">
        <v>346</v>
      </c>
      <c r="O20" s="234" t="s">
        <v>347</v>
      </c>
    </row>
    <row r="21" spans="1:15" ht="12.75" customHeight="1" x14ac:dyDescent="0.3">
      <c r="A21" s="331" t="s">
        <v>193</v>
      </c>
      <c r="B21" s="331"/>
      <c r="C21" s="90" t="s">
        <v>194</v>
      </c>
      <c r="E21" s="184">
        <f>VLOOKUP(liq_ValveType,ValveData!$A$4:$G$17,3)</f>
        <v>0.9</v>
      </c>
      <c r="F21" s="100">
        <v>0.95</v>
      </c>
      <c r="G21" s="90"/>
      <c r="H21" s="90"/>
      <c r="I21" s="90"/>
      <c r="J21" s="104"/>
      <c r="K21" s="105"/>
      <c r="N21" s="91" t="s">
        <v>346</v>
      </c>
      <c r="O21" s="234" t="s">
        <v>347</v>
      </c>
    </row>
    <row r="22" spans="1:15" ht="12.75" customHeight="1" x14ac:dyDescent="0.3">
      <c r="A22" s="331" t="s">
        <v>391</v>
      </c>
      <c r="B22" s="331"/>
      <c r="C22" s="90" t="s">
        <v>170</v>
      </c>
      <c r="E22" s="184">
        <f>VLOOKUP(liq_ValveType,ValveData!$A$4:$G$17,6)</f>
        <v>0.65</v>
      </c>
      <c r="F22" s="100">
        <f>E22</f>
        <v>0.65</v>
      </c>
      <c r="G22" s="90"/>
      <c r="H22" s="90"/>
      <c r="I22" s="90"/>
      <c r="J22" s="104"/>
      <c r="K22" s="105"/>
      <c r="N22" s="91" t="s">
        <v>346</v>
      </c>
      <c r="O22" s="234" t="s">
        <v>347</v>
      </c>
    </row>
    <row r="23" spans="1:15" ht="12.75" customHeight="1" x14ac:dyDescent="0.3">
      <c r="A23" s="331" t="s">
        <v>392</v>
      </c>
      <c r="B23" s="331"/>
      <c r="C23" s="90" t="s">
        <v>169</v>
      </c>
      <c r="E23" s="184">
        <f>VLOOKUP(liq_ValveType,ValveData!$A$4:$G$17,5)</f>
        <v>1</v>
      </c>
      <c r="F23" s="100">
        <v>0.08</v>
      </c>
      <c r="G23" s="90"/>
      <c r="H23" s="90"/>
      <c r="I23" s="90"/>
      <c r="J23" s="104"/>
      <c r="K23" s="105"/>
      <c r="N23" s="91" t="s">
        <v>346</v>
      </c>
      <c r="O23" s="234" t="s">
        <v>347</v>
      </c>
    </row>
    <row r="24" spans="1:15" ht="12.75" customHeight="1" x14ac:dyDescent="0.3">
      <c r="A24" s="348" t="s">
        <v>293</v>
      </c>
      <c r="B24" s="348"/>
      <c r="C24" s="348"/>
      <c r="D24" s="98" t="s">
        <v>184</v>
      </c>
      <c r="E24" s="284" t="s">
        <v>188</v>
      </c>
      <c r="F24" s="90"/>
      <c r="G24" s="90"/>
      <c r="H24" s="90"/>
      <c r="I24" s="90"/>
      <c r="J24" s="90"/>
      <c r="K24" s="90"/>
      <c r="L24" s="89" t="str">
        <f>IF(liq_TypeofLiquid="Custom","Required","Not Req'd")</f>
        <v>Required</v>
      </c>
    </row>
    <row r="25" spans="1:15" ht="12.75" customHeight="1" x14ac:dyDescent="0.3">
      <c r="A25" s="331" t="s">
        <v>240</v>
      </c>
      <c r="B25" s="331"/>
      <c r="C25" s="331"/>
      <c r="D25" s="321" t="str">
        <f>M25</f>
        <v>barA</v>
      </c>
      <c r="E25" s="100"/>
      <c r="F25" s="106" t="str">
        <f>IF(liq_TypeofLiquid&lt;&gt;"Custom","",
    IF(ISBLANK(E25),"If unknown, set to largest Vapor Pressure",
      IF(Conv("P",E25,$D$25,$D$85)&lt;MAX(E92:I92),"Using largest Vapor Press for calculations","")))</f>
        <v>If unknown, set to largest Vapor Pressure</v>
      </c>
      <c r="G25" s="90"/>
      <c r="H25" s="90"/>
      <c r="I25" s="90"/>
      <c r="J25" s="90"/>
      <c r="K25" s="90"/>
      <c r="L25" s="89" t="str">
        <f>IF(liq_TypeofLiquid="Custom","Required","Not Req'd")</f>
        <v>Required</v>
      </c>
      <c r="M25" s="97" t="s">
        <v>432</v>
      </c>
      <c r="N25" s="91" t="s">
        <v>204</v>
      </c>
    </row>
    <row r="26" spans="1:15" ht="12.75" customHeight="1" x14ac:dyDescent="0.3">
      <c r="A26" s="333" t="s">
        <v>199</v>
      </c>
      <c r="B26" s="333"/>
      <c r="C26" s="333"/>
      <c r="D26" s="98" t="s">
        <v>184</v>
      </c>
      <c r="E26" s="334" t="s">
        <v>200</v>
      </c>
      <c r="F26" s="334"/>
      <c r="G26" s="334"/>
      <c r="H26" s="334"/>
      <c r="I26" s="334"/>
      <c r="J26" s="90"/>
      <c r="K26" s="90"/>
    </row>
    <row r="27" spans="1:15" ht="12.75" customHeight="1" x14ac:dyDescent="0.3">
      <c r="A27" s="331" t="s">
        <v>201</v>
      </c>
      <c r="B27" s="331"/>
      <c r="C27" s="331"/>
      <c r="D27" s="102"/>
      <c r="E27" s="100"/>
      <c r="F27" s="100"/>
      <c r="G27" s="100"/>
      <c r="H27" s="100"/>
      <c r="I27" s="100"/>
      <c r="J27" s="90"/>
      <c r="K27" s="90"/>
      <c r="N27" s="91" t="s">
        <v>204</v>
      </c>
    </row>
    <row r="28" spans="1:15" ht="12.75" customHeight="1" x14ac:dyDescent="0.3">
      <c r="A28" s="331" t="s">
        <v>297</v>
      </c>
      <c r="B28" s="331"/>
      <c r="C28" s="331"/>
      <c r="D28" s="315" t="str">
        <f>M28</f>
        <v>m3/h</v>
      </c>
      <c r="E28" s="100"/>
      <c r="F28" s="100"/>
      <c r="G28" s="100"/>
      <c r="H28" s="100"/>
      <c r="I28" s="100"/>
      <c r="J28" s="107"/>
      <c r="K28" s="90"/>
      <c r="L28" s="89" t="str">
        <f>IF(liq_FlowRateType="Liquid Volume Flow Rate","Required","Not Req'd")</f>
        <v>Not Req'd</v>
      </c>
      <c r="M28" s="97" t="s">
        <v>327</v>
      </c>
      <c r="N28" s="91" t="s">
        <v>204</v>
      </c>
      <c r="O28" s="235"/>
    </row>
    <row r="29" spans="1:15" ht="12.75" customHeight="1" x14ac:dyDescent="0.3">
      <c r="A29" s="331" t="s">
        <v>282</v>
      </c>
      <c r="B29" s="331"/>
      <c r="C29" s="331"/>
      <c r="D29" s="315" t="s">
        <v>218</v>
      </c>
      <c r="E29" s="100"/>
      <c r="F29" s="100"/>
      <c r="G29" s="100"/>
      <c r="H29" s="100"/>
      <c r="I29" s="100"/>
      <c r="J29" s="109"/>
      <c r="K29" s="90"/>
      <c r="L29" s="89" t="str">
        <f>IF(liq_FlowRateType="Mass Flow Rate","Required","Not Req'd")</f>
        <v>Required</v>
      </c>
      <c r="M29" s="97" t="s">
        <v>218</v>
      </c>
      <c r="N29" s="91" t="s">
        <v>204</v>
      </c>
      <c r="O29" s="235"/>
    </row>
    <row r="30" spans="1:15" ht="12.75" customHeight="1" x14ac:dyDescent="0.3">
      <c r="A30" s="331" t="s">
        <v>205</v>
      </c>
      <c r="B30" s="331"/>
      <c r="C30" s="331"/>
      <c r="D30" s="314" t="s">
        <v>432</v>
      </c>
      <c r="E30" s="100"/>
      <c r="F30" s="100"/>
      <c r="G30" s="100"/>
      <c r="H30" s="100"/>
      <c r="I30" s="100"/>
      <c r="J30" s="110"/>
      <c r="K30" s="90"/>
      <c r="L30" s="89" t="s">
        <v>434</v>
      </c>
      <c r="M30" s="97"/>
      <c r="N30" s="91" t="s">
        <v>204</v>
      </c>
    </row>
    <row r="31" spans="1:15" ht="12.75" customHeight="1" x14ac:dyDescent="0.3">
      <c r="A31" s="349" t="s">
        <v>542</v>
      </c>
      <c r="B31" s="349"/>
      <c r="C31" s="349"/>
      <c r="D31" s="141" t="str">
        <f>IF(A31="Outlet Pressure",D30,LEFT(D30,LEN(D30)-1))</f>
        <v>bar</v>
      </c>
      <c r="E31" s="100"/>
      <c r="F31" s="100"/>
      <c r="G31" s="100"/>
      <c r="H31" s="100"/>
      <c r="I31" s="100"/>
      <c r="J31" s="110"/>
      <c r="K31" s="90"/>
      <c r="L31" s="89" t="s">
        <v>434</v>
      </c>
      <c r="M31" s="97"/>
      <c r="N31" s="91" t="s">
        <v>204</v>
      </c>
    </row>
    <row r="32" spans="1:15" ht="12.75" customHeight="1" x14ac:dyDescent="0.3">
      <c r="A32" s="331" t="s">
        <v>234</v>
      </c>
      <c r="B32" s="331"/>
      <c r="C32" s="331"/>
      <c r="D32" s="315" t="s">
        <v>22</v>
      </c>
      <c r="E32" s="100"/>
      <c r="F32" s="100"/>
      <c r="G32" s="100"/>
      <c r="H32" s="100"/>
      <c r="I32" s="100"/>
      <c r="J32" s="109"/>
      <c r="K32" s="90"/>
      <c r="L32" s="89" t="str">
        <f>IF(liq_TypeofLiquid&lt;&gt;"Custom","Required","Not Req'd")</f>
        <v>Not Req'd</v>
      </c>
      <c r="M32" s="97" t="s">
        <v>22</v>
      </c>
      <c r="N32" s="91" t="s">
        <v>204</v>
      </c>
    </row>
    <row r="33" spans="1:15" ht="12.75" customHeight="1" x14ac:dyDescent="0.3">
      <c r="A33" s="331" t="s">
        <v>237</v>
      </c>
      <c r="B33" s="331"/>
      <c r="C33" s="331"/>
      <c r="D33" s="321" t="s">
        <v>432</v>
      </c>
      <c r="E33" s="100"/>
      <c r="F33" s="100"/>
      <c r="G33" s="100"/>
      <c r="H33" s="100"/>
      <c r="I33" s="100"/>
      <c r="J33" s="109" t="s">
        <v>300</v>
      </c>
      <c r="K33" s="90"/>
      <c r="L33" s="89" t="str">
        <f>IF(liq_TypeofLiquid="Custom","Required","Not Req'd")</f>
        <v>Required</v>
      </c>
      <c r="M33" s="97" t="s">
        <v>432</v>
      </c>
      <c r="N33" s="91" t="s">
        <v>204</v>
      </c>
      <c r="O33" s="235"/>
    </row>
    <row r="34" spans="1:15" ht="12.75" customHeight="1" x14ac:dyDescent="0.3">
      <c r="A34" s="331" t="s">
        <v>301</v>
      </c>
      <c r="B34" s="331"/>
      <c r="C34" s="331"/>
      <c r="D34" s="94"/>
      <c r="E34" s="100"/>
      <c r="F34" s="100"/>
      <c r="G34" s="100"/>
      <c r="H34" s="100"/>
      <c r="I34" s="100"/>
      <c r="J34" s="109"/>
      <c r="K34" s="90"/>
      <c r="L34" s="89" t="str">
        <f>IF(AND(liq_TypeofLiquid="Custom",liq_MethodOfSpecifyingDensity="From Specific Gravity"),"Required","Not Req'd")</f>
        <v>Required</v>
      </c>
      <c r="N34" s="91" t="s">
        <v>204</v>
      </c>
    </row>
    <row r="35" spans="1:15" ht="12.75" customHeight="1" x14ac:dyDescent="0.3">
      <c r="A35" s="331" t="s">
        <v>328</v>
      </c>
      <c r="B35" s="331"/>
      <c r="C35" s="331"/>
      <c r="D35" s="321" t="str">
        <f>M35</f>
        <v>kg/m3</v>
      </c>
      <c r="E35" s="100"/>
      <c r="F35" s="100"/>
      <c r="G35" s="100"/>
      <c r="H35" s="100"/>
      <c r="I35" s="100"/>
      <c r="J35" s="112"/>
      <c r="K35" s="90"/>
      <c r="L35" s="89" t="str">
        <f>IF(AND(liq_TypeofLiquid="Custom",liq_MethodOfSpecifyingDensity="Direct Input"),"Required","Not Req'd")</f>
        <v>Not Req'd</v>
      </c>
      <c r="M35" s="97" t="s">
        <v>230</v>
      </c>
      <c r="N35" s="91" t="s">
        <v>204</v>
      </c>
      <c r="O35" s="235"/>
    </row>
    <row r="36" spans="1:15" ht="12.75" customHeight="1" x14ac:dyDescent="0.3">
      <c r="A36" s="331" t="s">
        <v>393</v>
      </c>
      <c r="B36" s="331"/>
      <c r="C36" s="331"/>
      <c r="D36" s="321" t="str">
        <f>M36</f>
        <v>cpoise</v>
      </c>
      <c r="E36" s="100"/>
      <c r="F36" s="100"/>
      <c r="G36" s="100"/>
      <c r="H36" s="100"/>
      <c r="I36" s="100"/>
      <c r="J36" s="109"/>
      <c r="K36" s="90"/>
      <c r="L36" s="89" t="str">
        <f>IF(AND(FluidNameSN(liq_TypeofLiquid)&lt;&gt;"Water",liq_LaminarEffectOption="Calculate Effect"),"Required","Not Req'd")</f>
        <v>Required</v>
      </c>
      <c r="M36" s="97" t="s">
        <v>394</v>
      </c>
      <c r="N36" s="91" t="s">
        <v>204</v>
      </c>
    </row>
    <row r="38" spans="1:15" ht="12.75" customHeight="1" x14ac:dyDescent="0.3">
      <c r="A38" s="350" t="s">
        <v>271</v>
      </c>
      <c r="B38" s="350"/>
      <c r="C38" s="350"/>
      <c r="D38" s="98" t="s">
        <v>184</v>
      </c>
      <c r="E38" s="354" t="s">
        <v>200</v>
      </c>
      <c r="F38" s="354"/>
      <c r="G38" s="354"/>
      <c r="H38" s="354"/>
      <c r="I38" s="354"/>
      <c r="J38" s="90"/>
      <c r="K38" s="90"/>
    </row>
    <row r="39" spans="1:15" ht="12.75" customHeight="1" x14ac:dyDescent="0.3">
      <c r="A39" s="331" t="s">
        <v>240</v>
      </c>
      <c r="B39" s="331"/>
      <c r="C39" s="331"/>
      <c r="D39" s="141" t="str">
        <f>D30</f>
        <v>barA</v>
      </c>
      <c r="E39" s="138" t="str">
        <f>IF(E30="","",
    Conv("P",E85,$D$85,$D$39))</f>
        <v/>
      </c>
      <c r="F39" s="138"/>
      <c r="G39" s="138"/>
      <c r="H39" s="138"/>
      <c r="I39" s="138"/>
      <c r="J39" s="90"/>
      <c r="K39" s="90"/>
      <c r="L39" s="89" t="str">
        <f>IF(liq_TypeofLiquid&lt;&gt;"Custom","Required","Not Req'd")</f>
        <v>Not Req'd</v>
      </c>
      <c r="N39" s="127" t="s">
        <v>341</v>
      </c>
      <c r="O39" s="123" t="str">
        <f>"Pc("&amp;D39&amp;") = "&amp;TEXT((Conv("P",1,$D$85,$D$39)-Conv("P",0,$D$85,$D$39))/1,"General")&amp;"*Pc("&amp;$D$85&amp;") + "&amp;TEXT(Conv("P",0,$D$85,$D$39),"General")</f>
        <v>Pc(barA) = 1*Pc(barA) + 0</v>
      </c>
    </row>
    <row r="40" spans="1:15" ht="12.75" customHeight="1" x14ac:dyDescent="0.3">
      <c r="A40" s="331" t="s">
        <v>348</v>
      </c>
      <c r="B40" s="331"/>
      <c r="C40" s="331"/>
      <c r="D40" s="141" t="str">
        <f>D32</f>
        <v>deg C</v>
      </c>
      <c r="E40" s="139" t="str">
        <f>IF(E30="","",
    Conv("T",$E$86,$D$86,$D$40))</f>
        <v/>
      </c>
      <c r="F40" s="139"/>
      <c r="G40" s="139"/>
      <c r="H40" s="139"/>
      <c r="I40" s="139"/>
      <c r="J40" s="107" t="s">
        <v>342</v>
      </c>
      <c r="K40" s="90"/>
      <c r="L40" s="89" t="str">
        <f>IF(liq_TypeofLiquid&lt;&gt;"Custom","Required","Not Req'd")</f>
        <v>Not Req'd</v>
      </c>
      <c r="N40" s="127" t="s">
        <v>341</v>
      </c>
      <c r="O40" s="234" t="str">
        <f>"Tc("&amp;D40&amp;") = "&amp;TEXT((Conv("T",1,$D$86,$D$40)-Conv("T",0,$D$86,$D$40))/1,"General")&amp;"*Tc("&amp;$D$86&amp;") + "&amp;TEXT(Conv("T",0,$D$86,$D$40),"General")</f>
        <v>Tc(deg C) = 1*Tc(deg C) + 0</v>
      </c>
    </row>
    <row r="41" spans="1:15" ht="12.75" customHeight="1" x14ac:dyDescent="0.3">
      <c r="A41" s="355" t="s">
        <v>422</v>
      </c>
      <c r="B41" s="355"/>
      <c r="C41" s="355"/>
      <c r="D41" s="102"/>
      <c r="E41" s="141" t="str">
        <f>IF(E30="","",
    IF(OR(E89&lt;E92,$E$86&lt;E91),"Gas",
      IF(E90&lt;E92,"Flashing",
        IF((E89*$F$22-E89+E90)/$F$22&lt;E92,"Cavitating",
          "Liquid"))))</f>
        <v/>
      </c>
      <c r="F41" s="141" t="str">
        <f>IF(F30="","",
    IF(OR(F89&lt;F92,$E$86&lt;F91),"Gas",
      IF(F90&lt;F92,"Flashing",
        IF((F89*$F$22-F89+F90)/$F$22&lt;F92,"Cavitating",
          "Liquid"))))</f>
        <v/>
      </c>
      <c r="G41" s="141" t="str">
        <f>IF(G30="","",
    IF(OR(G89&lt;G92,$E$86&lt;G91),"Gas",
      IF(G90&lt;G92,"Flashing",
        IF((G89*$F$22-G89+G90)/$F$22&lt;G92,"Cavitating",
          "Liquid"))))</f>
        <v/>
      </c>
      <c r="H41" s="141" t="str">
        <f>IF(H30="","",
    IF(OR(H89&lt;H92,$E$86&lt;H91),"Gas",
      IF(H90&lt;H92,"Flashing",
        IF((H89*$F$22-H89+H90)/$F$22&lt;H92,"Cavitating",
          "Liquid"))))</f>
        <v/>
      </c>
      <c r="I41" s="141" t="str">
        <f>IF(I30="","",
    IF(OR(I89&lt;I92,$E$86&lt;I91),"Gas",
      IF(I90&lt;I92,"Flashing",
        IF((I89*$F$22-I89+I90)/$F$22&lt;I92,"Cavitating",
          "Liquid"))))</f>
        <v/>
      </c>
      <c r="J41" s="107" t="s">
        <v>342</v>
      </c>
      <c r="K41" s="90"/>
      <c r="N41" s="91" t="s">
        <v>423</v>
      </c>
    </row>
    <row r="42" spans="1:15" ht="12.75" customHeight="1" x14ac:dyDescent="0.3">
      <c r="A42" s="331" t="s">
        <v>297</v>
      </c>
      <c r="B42" s="331"/>
      <c r="C42" s="331"/>
      <c r="D42" s="314" t="s">
        <v>327</v>
      </c>
      <c r="E42" s="326" t="str">
        <f>IF(OR(E30="",E41="Gas"),"",
    Conv("Qf",E96,$D$96,$D$42))</f>
        <v/>
      </c>
      <c r="F42" s="326" t="str">
        <f>IF(OR(F30="",F41="Gas"),"",
    Conv("Qf",F96,$D$96,$D$42))</f>
        <v/>
      </c>
      <c r="G42" s="326" t="str">
        <f>IF(OR(G30="",G41="Gas"),"",
    Conv("Qf",G96,$D$96,$D$42))</f>
        <v/>
      </c>
      <c r="H42" s="142" t="str">
        <f>IF(OR(H30="",H41="Gas"),"",
    Conv("Qf",H96,$D$96,$D$42))</f>
        <v/>
      </c>
      <c r="I42" s="142" t="str">
        <f>IF(OR(I30="",I41="Gas"),"",
    Conv("Qf",I96,$D$96,$D$42))</f>
        <v/>
      </c>
      <c r="J42" s="107"/>
      <c r="K42" s="90"/>
      <c r="L42" s="89" t="str">
        <f>IF(liq_FlowRateType="Mass Flow Rate","Required","Not Req'd")</f>
        <v>Required</v>
      </c>
      <c r="N42" s="127" t="s">
        <v>341</v>
      </c>
      <c r="O42" s="123" t="str">
        <f>"Qf("&amp;D42&amp;") = "&amp;TEXT((Conv("Qf",1,$D$96,$D$42)-Conv("Qf",0,$D$96,$D$42))/1,"General")&amp;"*Qf("&amp;$D$96&amp;") + "&amp;TEXT(Conv("Qf",0,$D$96,$D$42),"General")</f>
        <v>Qf(m3/h) = 1*Qf(m3/h) + 0</v>
      </c>
    </row>
    <row r="43" spans="1:15" ht="12.75" customHeight="1" x14ac:dyDescent="0.3">
      <c r="A43" s="331" t="s">
        <v>237</v>
      </c>
      <c r="B43" s="331"/>
      <c r="C43" s="331"/>
      <c r="D43" s="141" t="str">
        <f>D30</f>
        <v>barA</v>
      </c>
      <c r="E43" s="138" t="str">
        <f>IF(E30="","",
    Conv("P",E92,$D$92,$D$43))</f>
        <v/>
      </c>
      <c r="F43" s="138" t="str">
        <f>IF(F30="","",
    Conv("P",F92,$D$92,$D$43))</f>
        <v/>
      </c>
      <c r="G43" s="138" t="str">
        <f>IF(G30="","",
    Conv("P",G92,$D$92,$D$43))</f>
        <v/>
      </c>
      <c r="H43" s="138" t="str">
        <f>IF(H30="","",
    Conv("P",H92,$D$92,$D$43))</f>
        <v/>
      </c>
      <c r="I43" s="138" t="str">
        <f>IF(I30="","",
    Conv("P",I92,$D$92,$D$43))</f>
        <v/>
      </c>
      <c r="J43" s="90"/>
      <c r="K43" s="90"/>
      <c r="L43" s="89" t="str">
        <f>IF(liq_TypeofLiquid&lt;&gt;"Custom","Required","Not Req'd")</f>
        <v>Not Req'd</v>
      </c>
      <c r="N43" s="127" t="s">
        <v>341</v>
      </c>
      <c r="O43" s="123" t="str">
        <f>"Pv("&amp;D43&amp;") = "&amp;TEXT((Conv("P",1,$D$92,$D$43)-Conv("P",0,$D$92,$D$43))/1,"General")&amp;"*Pv("&amp;$D$92&amp;") + "&amp;TEXT(Conv("P",0,$D$92,$D$43),"General")</f>
        <v>Pv(barA) = 1*Pv(barA) + 0</v>
      </c>
    </row>
    <row r="44" spans="1:15" ht="12.75" customHeight="1" x14ac:dyDescent="0.3">
      <c r="A44" s="331" t="s">
        <v>328</v>
      </c>
      <c r="B44" s="331"/>
      <c r="C44" s="331"/>
      <c r="D44" s="314" t="s">
        <v>230</v>
      </c>
      <c r="E44" s="139" t="str">
        <f>IF(E30="","",
    Conv("rho",E93,$D$93,$D$44))</f>
        <v/>
      </c>
      <c r="F44" s="139" t="str">
        <f>IF(F30="","",
    Conv("rho",F93,$D$93,$D$44))</f>
        <v/>
      </c>
      <c r="G44" s="139" t="str">
        <f>IF(G30="","",
    Conv("rho",G93,$D$93,$D$44))</f>
        <v/>
      </c>
      <c r="H44" s="139" t="str">
        <f>IF(H30="","",
    Conv("rho",H93,$D$93,$D$44))</f>
        <v/>
      </c>
      <c r="I44" s="139" t="str">
        <f>IF(I30="","",
    Conv("rho",I93,$D$93,$D$44))</f>
        <v/>
      </c>
      <c r="J44" s="90"/>
      <c r="K44" s="90"/>
      <c r="L44" s="89" t="str">
        <f>IF(OR(liq_TypeofLiquid&lt;&gt;"Custom",liq_MethodOfSpecifyingDensity&lt;&gt;"Direct Input"),"Required","Not Req'd")</f>
        <v>Required</v>
      </c>
      <c r="N44" s="127" t="s">
        <v>341</v>
      </c>
      <c r="O44" s="123" t="str">
        <f>"rho1("&amp;D44&amp;") = "&amp;TEXT((Conv("rho",1,$D$93,$D$44)-Conv("rho",0,$D$93,$D$44))/1,"General")&amp;"*rho1("&amp;$D$93&amp;") + "&amp;TEXT(Conv("rho",0,$D$93,$D$44),"General")</f>
        <v>rho1(kg/m3) = 1*rho1(kg/m3) + 0</v>
      </c>
    </row>
    <row r="45" spans="1:15" ht="12.75" customHeight="1" x14ac:dyDescent="0.3">
      <c r="A45" s="331" t="s">
        <v>393</v>
      </c>
      <c r="B45" s="331"/>
      <c r="C45" s="331"/>
      <c r="D45" s="314" t="s">
        <v>394</v>
      </c>
      <c r="E45" s="138" t="str">
        <f>IF(E30="","",
    Conv("mu",E94,$D$94,$D$45))</f>
        <v/>
      </c>
      <c r="F45" s="138" t="str">
        <f>IF(F30="","",
    Conv("mu",F94,$D$94,$D$45))</f>
        <v/>
      </c>
      <c r="G45" s="138" t="str">
        <f>IF(G30="","",
    Conv("mu",G94,$D$94,$D$45))</f>
        <v/>
      </c>
      <c r="H45" s="138" t="str">
        <f>IF(H30="","",
    Conv("mu",H94,$D$94,$D$45))</f>
        <v/>
      </c>
      <c r="I45" s="138" t="str">
        <f>IF(I30="","",
    Conv("mu",I94,$D$94,$D$45))</f>
        <v/>
      </c>
      <c r="J45" s="90"/>
      <c r="K45" s="90"/>
      <c r="L45" s="89" t="str">
        <f>IF(FluidNameSN(liq_TypeofLiquid)="Water","Required","Not Req'd")</f>
        <v>Not Req'd</v>
      </c>
      <c r="N45" s="127" t="s">
        <v>341</v>
      </c>
      <c r="O45" s="123" t="str">
        <f>"mu("&amp;D45&amp;") = "&amp;TEXT((Conv("mu",1,$D$94,$D$45)-Conv("mu",0,$D$94,$D$45))/1,"General")&amp;"*mu("&amp;$D$94&amp;") + "&amp;TEXT(Conv("mu",0,$D$94,$D$45),"General")</f>
        <v>mu(cpoise) = 1*mu(cpoise) + 0</v>
      </c>
    </row>
    <row r="46" spans="1:15" s="148" customFormat="1" ht="12.75" customHeight="1" x14ac:dyDescent="0.3">
      <c r="A46" s="356" t="s">
        <v>424</v>
      </c>
      <c r="B46" s="356"/>
      <c r="C46" s="356"/>
      <c r="D46" s="144"/>
      <c r="E46" s="145" t="str">
        <f>IF(OR(E30="",E41="Gas",E41="Flashing"),"",
    (E89-E90)/(E89-E92))</f>
        <v/>
      </c>
      <c r="F46" s="145" t="str">
        <f>IF(OR(F30="",F41="Gas",F41="Flashing"),"",
    (F89-F90)/(F89-F92))</f>
        <v/>
      </c>
      <c r="G46" s="145" t="str">
        <f>IF(OR(G30="",G41="Gas",G41="Flashing"),"",
    (G89-G90)/(G89-G92))</f>
        <v/>
      </c>
      <c r="H46" s="145" t="str">
        <f>IF(OR(H30="",H41="Gas",H41="Flashing"),"",
    (H89-H90)/(H89-H92))</f>
        <v/>
      </c>
      <c r="I46" s="145" t="str">
        <f>IF(OR(I30="",I41="Gas",I41="Flashing"),"",
    (I89-I90)/(I89-I92))</f>
        <v/>
      </c>
      <c r="J46" s="107" t="s">
        <v>342</v>
      </c>
      <c r="K46" s="146"/>
      <c r="L46" s="143"/>
      <c r="M46" s="143"/>
      <c r="N46" s="147" t="s">
        <v>425</v>
      </c>
      <c r="O46" s="199" t="s">
        <v>426</v>
      </c>
    </row>
    <row r="47" spans="1:15" s="150" customFormat="1" ht="12.75" customHeight="1" x14ac:dyDescent="0.25">
      <c r="A47" s="357" t="s">
        <v>269</v>
      </c>
      <c r="B47" s="357"/>
      <c r="C47" s="357"/>
      <c r="D47" s="317" t="s">
        <v>278</v>
      </c>
      <c r="E47" s="327" t="str">
        <f>IF(OR(E30="",E41="Gas"),"",
    Conv("C",E101,$D$101,$D$47))</f>
        <v/>
      </c>
      <c r="F47" s="327" t="str">
        <f>IF(OR(F30="",F41="Gas"),"",
    Conv("C",F101,$D$101,$D$47))</f>
        <v/>
      </c>
      <c r="G47" s="327" t="str">
        <f>IF(OR(G30="",G41="Gas"),"",
    Conv("C",G101,$D$101,$D$47))</f>
        <v/>
      </c>
      <c r="H47" s="138" t="str">
        <f>IF(OR(H30="",H41="Gas"),"",
    Conv("C",H101,$D$101,$D$47))</f>
        <v/>
      </c>
      <c r="I47" s="138" t="str">
        <f>IF(OR(I30="",I41="Gas"),"",
    Conv("C",I101,$D$101,$D$47))</f>
        <v/>
      </c>
      <c r="J47" s="149"/>
      <c r="K47" s="149"/>
      <c r="L47" s="120"/>
      <c r="M47" s="120"/>
      <c r="N47" s="123" t="s">
        <v>219</v>
      </c>
      <c r="O47" s="123" t="str">
        <f>"C("&amp;D47&amp;") = "&amp;TEXT(Conv("C",1,D101,D47),"General")&amp;"*C("&amp;D101&amp;")"</f>
        <v>C(Cv) = 1.156098639*C(Kv)</v>
      </c>
    </row>
    <row r="48" spans="1:15" ht="12.75" customHeight="1" thickBot="1" x14ac:dyDescent="0.3">
      <c r="E48" s="313"/>
    </row>
    <row r="49" spans="1:19" ht="12.75" customHeight="1" thickBot="1" x14ac:dyDescent="0.35">
      <c r="A49" s="351" t="s">
        <v>427</v>
      </c>
      <c r="B49" s="352"/>
      <c r="C49" s="352"/>
      <c r="D49" s="352"/>
      <c r="E49" s="352"/>
      <c r="F49" s="352"/>
      <c r="G49" s="352"/>
      <c r="H49" s="352"/>
      <c r="I49" s="353"/>
      <c r="J49" s="151"/>
    </row>
    <row r="50" spans="1:19" ht="12.75" customHeight="1" thickBot="1" x14ac:dyDescent="0.35">
      <c r="A50" s="152"/>
      <c r="B50" s="153"/>
      <c r="C50" s="153"/>
      <c r="D50" s="294"/>
      <c r="E50" s="295" t="str">
        <f>IF(ISBLANK(E27),"",E27)</f>
        <v/>
      </c>
      <c r="F50" s="295" t="str">
        <f>IF(ISBLANK(F27),"",F27)</f>
        <v/>
      </c>
      <c r="G50" s="295" t="str">
        <f>IF(ISBLANK(G27),"",G27)</f>
        <v/>
      </c>
      <c r="H50" s="295" t="str">
        <f>IF(ISBLANK(H27),"",H27)</f>
        <v/>
      </c>
      <c r="I50" s="296" t="str">
        <f>IF(ISBLANK(I27),"",I27)</f>
        <v/>
      </c>
      <c r="J50" s="154"/>
    </row>
    <row r="51" spans="1:19" ht="12.75" customHeight="1" x14ac:dyDescent="0.3">
      <c r="A51" s="376" t="s">
        <v>374</v>
      </c>
      <c r="B51" s="377"/>
      <c r="C51" s="378"/>
      <c r="D51" s="290"/>
      <c r="E51" s="291" t="str">
        <f>IF(E30="","",
    StgNeeded(E97,E93,1000,E101,E105,2^0.1,1))</f>
        <v/>
      </c>
      <c r="F51" s="291" t="str">
        <f>IF(F30="","",
    StgNeeded(F97,F93,1000,F101,F105,2^0.1,1))</f>
        <v/>
      </c>
      <c r="G51" s="291" t="str">
        <f>IF(G30="","",
    StgNeeded(G97,G93,1000,G101,G105,2^0.1,1))</f>
        <v/>
      </c>
      <c r="H51" s="291" t="str">
        <f>IF(H30="","",
    StgNeeded(H97,H93,1000,H101,H105,2^0.1,1))</f>
        <v/>
      </c>
      <c r="I51" s="292" t="str">
        <f>IF(I30="","",
    StgNeeded(I97,I93,1000,I101,I105,2^0.1,1))</f>
        <v/>
      </c>
    </row>
    <row r="52" spans="1:19" ht="12.75" customHeight="1" thickBot="1" x14ac:dyDescent="0.35">
      <c r="A52" s="366" t="s">
        <v>428</v>
      </c>
      <c r="B52" s="367"/>
      <c r="C52" s="379"/>
      <c r="D52" s="318" t="s">
        <v>361</v>
      </c>
      <c r="E52" s="157" t="str">
        <f>IF(E30="","",
    Conv("U",LiqWRhoAV(E97,E93,10^6*E101/CpAo(E51,2^0.1,1),1),"m/s",$D$52))</f>
        <v/>
      </c>
      <c r="F52" s="157" t="str">
        <f>IF(F30="","",
    Conv("U",LiqWRhoAV(F97,F93,10^6*F101/CpAo(F51,2^0.1,1),1),"m/s",$D$52))</f>
        <v/>
      </c>
      <c r="G52" s="157" t="str">
        <f>IF(G30="","",
    Conv("U",LiqWRhoAV(G97,G93,10^6*G101/CpAo(G51,2^0.1,1),1),"m/s",$D$52))</f>
        <v/>
      </c>
      <c r="H52" s="157" t="str">
        <f>IF(H30="","",
    Conv("U",LiqWRhoAV(H97,H93,10^6*H101/CpAo(H51,2^0.1,1),1),"m/s",$D$52))</f>
        <v/>
      </c>
      <c r="I52" s="293" t="str">
        <f>IF(I30="","",
    Conv("U",LiqWRhoAV(I97,I93,10^6*I101/CpAo(I51,2^0.1,1),1),"m/s",$D$52))</f>
        <v/>
      </c>
    </row>
    <row r="53" spans="1:19" ht="12.75" customHeight="1" thickBot="1" x14ac:dyDescent="0.35">
      <c r="A53" s="96"/>
      <c r="D53" s="158"/>
      <c r="E53" s="158"/>
      <c r="F53" s="158"/>
      <c r="G53" s="158"/>
      <c r="H53" s="158"/>
      <c r="J53" s="158"/>
    </row>
    <row r="54" spans="1:19" ht="12.75" customHeight="1" thickBot="1" x14ac:dyDescent="0.35">
      <c r="A54" s="370" t="str">
        <f>"Fluid Velocity at Trim Outlet versus Number of Stages, "&amp;D52</f>
        <v>Fluid Velocity at Trim Outlet versus Number of Stages, m/s</v>
      </c>
      <c r="B54" s="371"/>
      <c r="C54" s="371"/>
      <c r="D54" s="371"/>
      <c r="E54" s="371"/>
      <c r="F54" s="371"/>
      <c r="G54" s="371"/>
      <c r="H54" s="371"/>
      <c r="I54" s="372"/>
      <c r="K54" s="309"/>
      <c r="N54" s="89"/>
      <c r="O54" s="89"/>
      <c r="P54" s="151"/>
      <c r="Q54" s="151"/>
      <c r="R54" s="151"/>
      <c r="S54" s="151"/>
    </row>
    <row r="55" spans="1:19" ht="12.75" customHeight="1" x14ac:dyDescent="0.3">
      <c r="A55" s="380" t="s">
        <v>376</v>
      </c>
      <c r="B55" s="381"/>
      <c r="C55" s="308">
        <v>-1</v>
      </c>
      <c r="D55" s="297" t="str">
        <f>$D$52</f>
        <v>m/s</v>
      </c>
      <c r="E55" s="298" t="str">
        <f>IF(E$30="","",
    Conv("U",LiqWRhoAV(E$97,E$93,10^6*E$101/(CpAo($C56,2^0.1,1)*37.99/CpAo($C56,2^0.1,0)),1),"m/s",$D$52))</f>
        <v/>
      </c>
      <c r="F55" s="298" t="str">
        <f>IF(F$30="","",
    Conv("U",LiqWRhoAV(F$97,F$93,10^6*F$101/CpAo($C55,2^0.1,1),1),"m/s",$D$52))</f>
        <v/>
      </c>
      <c r="G55" s="298" t="str">
        <f>IF(G$30="","",
    Conv("U",LiqWRhoAV(G$97,G$93,10^6*G$101/(CpAo($C56,2^0.1,1)*37.99/CpAo($C56,2^0.1,0)),1),"m/s",$D$52))</f>
        <v/>
      </c>
      <c r="H55" s="298" t="str">
        <f>IF(H$30="","",
    Conv("U",LiqWRhoAV(H$97,H$93,10^6*H$101/(CpAo($C56,2^0.1,1)*37.99/CpAo($C56,2^0.1,0)),1),"m/s",$D$52))</f>
        <v/>
      </c>
      <c r="I55" s="299" t="str">
        <f>IF(I$30="","",
    Conv("U",LiqWRhoAV(I$97,I$93,10^6*I$101/(CpAo($C56,2^0.1,1)*37.99/CpAo($C56,2^0.1,0)),1),"m/s",$D$52))</f>
        <v/>
      </c>
      <c r="J55" s="151"/>
      <c r="K55" s="310"/>
      <c r="N55" s="89"/>
      <c r="O55" s="89"/>
      <c r="P55" s="151"/>
      <c r="Q55" s="151"/>
      <c r="R55" s="151"/>
      <c r="S55" s="151"/>
    </row>
    <row r="56" spans="1:19" ht="12.75" customHeight="1" x14ac:dyDescent="0.3">
      <c r="A56" s="364" t="s">
        <v>377</v>
      </c>
      <c r="B56" s="365"/>
      <c r="C56" s="160">
        <v>0</v>
      </c>
      <c r="D56" s="161" t="str">
        <f t="shared" ref="D56:D65" si="0">$D$52</f>
        <v>m/s</v>
      </c>
      <c r="E56" s="162" t="str">
        <f>IF(E$30="","",
    Conv("U",LiqWRhoAV(E$97,E$93,10^6*E$101/CpAo($C56,2^0.1,1),1),"m/s",$D$52))</f>
        <v/>
      </c>
      <c r="F56" s="162" t="str">
        <f>IF(F$30="","",
    Conv("U",LiqWRhoAV(F$97,F$93,10^6*F$101/CpAo($C56,2^0.1,1),1),"m/s",$D$52))</f>
        <v/>
      </c>
      <c r="G56" s="162" t="str">
        <f>IF(G$30="","",
    Conv("U",LiqWRhoAV(G$97,G$93,10^6*G$101/CpAo($C56,2^0.1,1),1),"m/s",$D$52))</f>
        <v/>
      </c>
      <c r="H56" s="162" t="str">
        <f>IF(H$30="","",
    Conv("U",LiqWRhoAV(H$97,H$93,10^6*H$101/CpAo($C56,2^0.1,1),1),"m/s",$D$52))</f>
        <v/>
      </c>
      <c r="I56" s="300" t="str">
        <f>IF(I$30="","",
    Conv("U",LiqWRhoAV(I$97,I$93,10^6*I$101/CpAo($C56,2^0.1,1),1),"m/s",$D$52))</f>
        <v/>
      </c>
      <c r="J56" s="151"/>
      <c r="K56" s="310"/>
      <c r="N56" s="89"/>
      <c r="O56" s="89"/>
      <c r="P56" s="151"/>
      <c r="Q56" s="151"/>
      <c r="R56" s="151"/>
      <c r="S56" s="151"/>
    </row>
    <row r="57" spans="1:19" ht="12.75" customHeight="1" x14ac:dyDescent="0.3">
      <c r="A57" s="364" t="s">
        <v>454</v>
      </c>
      <c r="B57" s="365"/>
      <c r="C57" s="160">
        <v>2</v>
      </c>
      <c r="D57" s="161" t="str">
        <f t="shared" si="0"/>
        <v>m/s</v>
      </c>
      <c r="E57" s="162" t="str">
        <f>IF(E$30="","",
    Conv("U",LiqWRhoAV(E$97,E$93,10^6*E$101/CpAo($C57,2^0.1,1),1),"m/s",$D$52))</f>
        <v/>
      </c>
      <c r="F57" s="162" t="str">
        <f>IF(F$30="","",
    Conv("U",LiqWRhoAV(F$97,F$93,10^6*F$101/CpAo($C57,2^0.1,1),1),"m/s",$D$52))</f>
        <v/>
      </c>
      <c r="G57" s="162" t="str">
        <f>IF(G$30="","",
    Conv("U",LiqWRhoAV(G$97,G$93,10^6*G$101/CpAo($C57,2^0.1,1),1),"m/s",$D$52))</f>
        <v/>
      </c>
      <c r="H57" s="162" t="str">
        <f>IF(H$30="","",
    Conv("U",LiqWRhoAV(H$97,H$93,10^6*H$101/CpAo($C57,2^0.1,1),1),"m/s",$D$52))</f>
        <v/>
      </c>
      <c r="I57" s="300" t="str">
        <f>IF(I$30="","",
    Conv("U",LiqWRhoAV(I$97,I$93,10^6*I$101/CpAo($C57,2^0.1,1),1),"m/s",$D$52))</f>
        <v/>
      </c>
      <c r="J57" s="151"/>
      <c r="K57" s="310"/>
      <c r="N57" s="89"/>
      <c r="O57" s="89"/>
      <c r="P57" s="151"/>
      <c r="Q57" s="151"/>
      <c r="R57" s="151"/>
      <c r="S57" s="151"/>
    </row>
    <row r="58" spans="1:19" ht="12.75" customHeight="1" x14ac:dyDescent="0.3">
      <c r="A58" s="364" t="s">
        <v>454</v>
      </c>
      <c r="B58" s="365"/>
      <c r="C58" s="160">
        <v>4</v>
      </c>
      <c r="D58" s="161" t="str">
        <f t="shared" si="0"/>
        <v>m/s</v>
      </c>
      <c r="E58" s="162" t="str">
        <f>IF(E$30="","",
    Conv("U",LiqWRhoAV(E$97,E$93,10^6*E$101/CpAo($C58,2^0.1,1),1),"m/s",$D$52))</f>
        <v/>
      </c>
      <c r="F58" s="162" t="str">
        <f>IF(F$30="","",
    Conv("U",LiqWRhoAV(F$97,F$93,10^6*F$101/CpAo($C58,2^0.1,1),1),"m/s",$D$52))</f>
        <v/>
      </c>
      <c r="G58" s="162" t="str">
        <f>IF(G$30="","",
    Conv("U",LiqWRhoAV(G$97,G$93,10^6*G$101/CpAo($C58,2^0.1,1),1),"m/s",$D$52))</f>
        <v/>
      </c>
      <c r="H58" s="162" t="str">
        <f>IF(H$30="","",
    Conv("U",LiqWRhoAV(H$97,H$93,10^6*H$101/CpAo($C58,2^0.1,1),1),"m/s",$D$52))</f>
        <v/>
      </c>
      <c r="I58" s="300" t="str">
        <f>IF(I$30="","",
    Conv("U",LiqWRhoAV(I$97,I$93,10^6*I$101/CpAo($C58,2^0.1,1),1),"m/s",$D$52))</f>
        <v/>
      </c>
      <c r="J58" s="151"/>
      <c r="K58" s="310"/>
      <c r="N58" s="89"/>
      <c r="O58" s="89"/>
      <c r="P58" s="151"/>
      <c r="Q58" s="151"/>
      <c r="R58" s="151"/>
      <c r="S58" s="151"/>
    </row>
    <row r="59" spans="1:19" ht="12.75" customHeight="1" x14ac:dyDescent="0.3">
      <c r="A59" s="364" t="s">
        <v>454</v>
      </c>
      <c r="B59" s="365"/>
      <c r="C59" s="160">
        <v>6</v>
      </c>
      <c r="D59" s="161" t="str">
        <f t="shared" si="0"/>
        <v>m/s</v>
      </c>
      <c r="E59" s="162" t="str">
        <f>IF(E$30="","",
    Conv("U",LiqWRhoAV(E$97,E$93,10^6*E$101/CpAo($C59,2^0.1,1),1),"m/s",$D$52))</f>
        <v/>
      </c>
      <c r="F59" s="162" t="str">
        <f>IF(F$30="","",
    Conv("U",LiqWRhoAV(F$97,F$93,10^6*F$101/CpAo($C59,2^0.1,1),1),"m/s",$D$52))</f>
        <v/>
      </c>
      <c r="G59" s="162" t="str">
        <f>IF(G$30="","",
    Conv("U",LiqWRhoAV(G$97,G$93,10^6*G$101/CpAo($C59,2^0.1,1),1),"m/s",$D$52))</f>
        <v/>
      </c>
      <c r="H59" s="162" t="str">
        <f>IF(H$30="","",
    Conv("U",LiqWRhoAV(H$97,H$93,10^6*H$101/CpAo($C59,2^0.1,1),1),"m/s",$D$52))</f>
        <v/>
      </c>
      <c r="I59" s="300" t="str">
        <f>IF(I$30="","",
    Conv("U",LiqWRhoAV(I$97,I$93,10^6*I$101/CpAo($C59,2^0.1,1),1),"m/s",$D$52))</f>
        <v/>
      </c>
      <c r="J59" s="151"/>
      <c r="K59" s="310"/>
      <c r="N59" s="89"/>
      <c r="O59" s="89"/>
      <c r="P59" s="151"/>
      <c r="Q59" s="151"/>
      <c r="R59" s="151"/>
      <c r="S59" s="151"/>
    </row>
    <row r="60" spans="1:19" ht="12.75" customHeight="1" x14ac:dyDescent="0.3">
      <c r="A60" s="364" t="s">
        <v>454</v>
      </c>
      <c r="B60" s="365"/>
      <c r="C60" s="160">
        <v>8</v>
      </c>
      <c r="D60" s="161" t="str">
        <f t="shared" si="0"/>
        <v>m/s</v>
      </c>
      <c r="E60" s="162" t="str">
        <f>IF(E$30="","",
    Conv("U",LiqWRhoAV(E$97,E$93,10^6*E$101/CpAo($C60,2^0.1,1),1),"m/s",$D$52))</f>
        <v/>
      </c>
      <c r="F60" s="162" t="str">
        <f>IF(F$30="","",
    Conv("U",LiqWRhoAV(F$97,F$93,10^6*F$101/CpAo($C60,2^0.1,1),1),"m/s",$D$52))</f>
        <v/>
      </c>
      <c r="G60" s="162" t="str">
        <f>IF(G$30="","",
    Conv("U",LiqWRhoAV(G$97,G$93,10^6*G$101/CpAo($C60,2^0.1,1),1),"m/s",$D$52))</f>
        <v/>
      </c>
      <c r="H60" s="162" t="str">
        <f>IF(H$30="","",
    Conv("U",LiqWRhoAV(H$97,H$93,10^6*H$101/CpAo($C60,2^0.1,1),1),"m/s",$D$52))</f>
        <v/>
      </c>
      <c r="I60" s="300" t="str">
        <f>IF(I$30="","",
    Conv("U",LiqWRhoAV(I$97,I$93,10^6*I$101/CpAo($C60,2^0.1,1),1),"m/s",$D$52))</f>
        <v/>
      </c>
      <c r="J60" s="151"/>
      <c r="K60" s="310"/>
      <c r="N60" s="89"/>
      <c r="O60" s="89"/>
      <c r="P60" s="151"/>
      <c r="Q60" s="151"/>
      <c r="R60" s="151"/>
      <c r="S60" s="151"/>
    </row>
    <row r="61" spans="1:19" ht="12.75" customHeight="1" x14ac:dyDescent="0.3">
      <c r="A61" s="364" t="s">
        <v>454</v>
      </c>
      <c r="B61" s="365"/>
      <c r="C61" s="160">
        <v>12</v>
      </c>
      <c r="D61" s="161" t="str">
        <f t="shared" si="0"/>
        <v>m/s</v>
      </c>
      <c r="E61" s="162" t="str">
        <f>IF(E$30="","",
    Conv("U",LiqWRhoAV(E$97,E$93,10^6*E$101/CpAo($C61,2^0.1,1),1),"m/s",$D$52))</f>
        <v/>
      </c>
      <c r="F61" s="162" t="str">
        <f>IF(F$30="","",
    Conv("U",LiqWRhoAV(F$97,F$93,10^6*F$101/CpAo($C61,2^0.1,1),1),"m/s",$D$52))</f>
        <v/>
      </c>
      <c r="G61" s="162" t="str">
        <f>IF(G$30="","",
    Conv("U",LiqWRhoAV(G$97,G$93,10^6*G$101/CpAo($C61,2^0.1,1),1),"m/s",$D$52))</f>
        <v/>
      </c>
      <c r="H61" s="162" t="str">
        <f>IF(H$30="","",
    Conv("U",LiqWRhoAV(H$97,H$93,10^6*H$101/CpAo($C61,2^0.1,1),1),"m/s",$D$52))</f>
        <v/>
      </c>
      <c r="I61" s="300" t="str">
        <f>IF(I$30="","",
    Conv("U",LiqWRhoAV(I$97,I$93,10^6*I$101/CpAo($C61,2^0.1,1),1),"m/s",$D$52))</f>
        <v/>
      </c>
    </row>
    <row r="62" spans="1:19" ht="12.75" customHeight="1" x14ac:dyDescent="0.3">
      <c r="A62" s="364" t="s">
        <v>454</v>
      </c>
      <c r="B62" s="365"/>
      <c r="C62" s="160">
        <v>16</v>
      </c>
      <c r="D62" s="161" t="str">
        <f t="shared" si="0"/>
        <v>m/s</v>
      </c>
      <c r="E62" s="162" t="str">
        <f>IF(E$30="","",
    Conv("U",LiqWRhoAV(E$97,E$93,10^6*E$101/CpAo($C62,2^0.1,1),1),"m/s",$D$52))</f>
        <v/>
      </c>
      <c r="F62" s="162" t="str">
        <f>IF(F$30="","",
    Conv("U",LiqWRhoAV(F$97,F$93,10^6*F$101/CpAo($C62,2^0.1,1),1),"m/s",$D$52))</f>
        <v/>
      </c>
      <c r="G62" s="162" t="str">
        <f>IF(G$30="","",
    Conv("U",LiqWRhoAV(G$97,G$93,10^6*G$101/CpAo($C62,2^0.1,1),1),"m/s",$D$52))</f>
        <v/>
      </c>
      <c r="H62" s="162" t="str">
        <f>IF(H$30="","",
    Conv("U",LiqWRhoAV(H$97,H$93,10^6*H$101/CpAo($C62,2^0.1,1),1),"m/s",$D$52))</f>
        <v/>
      </c>
      <c r="I62" s="300" t="str">
        <f>IF(I$30="","",
    Conv("U",LiqWRhoAV(I$97,I$93,10^6*I$101/CpAo($C62,2^0.1,1),1),"m/s",$D$52))</f>
        <v/>
      </c>
    </row>
    <row r="63" spans="1:19" ht="12.75" customHeight="1" x14ac:dyDescent="0.3">
      <c r="A63" s="364" t="s">
        <v>454</v>
      </c>
      <c r="B63" s="365"/>
      <c r="C63" s="160">
        <v>22</v>
      </c>
      <c r="D63" s="161" t="str">
        <f t="shared" si="0"/>
        <v>m/s</v>
      </c>
      <c r="E63" s="162" t="str">
        <f>IF(E$30="","",
    Conv("U",LiqWRhoAV(E$97,E$93,10^6*E$101/CpAo($C63,2^0.1,1),1),"m/s",$D$52))</f>
        <v/>
      </c>
      <c r="F63" s="162" t="str">
        <f>IF(F$30="","",
    Conv("U",LiqWRhoAV(F$97,F$93,10^6*F$101/CpAo($C63,2^0.1,1),1),"m/s",$D$52))</f>
        <v/>
      </c>
      <c r="G63" s="162" t="str">
        <f>IF(G$30="","",
    Conv("U",LiqWRhoAV(G$97,G$93,10^6*G$101/CpAo($C63,2^0.1,1),1),"m/s",$D$52))</f>
        <v/>
      </c>
      <c r="H63" s="162" t="str">
        <f>IF(H$30="","",
    Conv("U",LiqWRhoAV(H$97,H$93,10^6*H$101/CpAo($C63,2^0.1,1),1),"m/s",$D$52))</f>
        <v/>
      </c>
      <c r="I63" s="300" t="str">
        <f>IF(I$30="","",
    Conv("U",LiqWRhoAV(I$97,I$93,10^6*I$101/CpAo($C63,2^0.1,1),1),"m/s",$D$52))</f>
        <v/>
      </c>
    </row>
    <row r="64" spans="1:19" ht="12.75" customHeight="1" x14ac:dyDescent="0.3">
      <c r="A64" s="364" t="s">
        <v>454</v>
      </c>
      <c r="B64" s="365"/>
      <c r="C64" s="160">
        <v>26</v>
      </c>
      <c r="D64" s="161" t="str">
        <f t="shared" si="0"/>
        <v>m/s</v>
      </c>
      <c r="E64" s="162" t="str">
        <f>IF(E$30="","",
    Conv("U",LiqWRhoAV(E$97,E$93,10^6*E$101/CpAo($C64,2^0.1,1),1),"m/s",$D$52))</f>
        <v/>
      </c>
      <c r="F64" s="162" t="str">
        <f>IF(F$30="","",
    Conv("U",LiqWRhoAV(F$97,F$93,10^6*F$101/CpAo($C64,2^0.1,1),1),"m/s",$D$52))</f>
        <v/>
      </c>
      <c r="G64" s="162" t="str">
        <f>IF(G$30="","",
    Conv("U",LiqWRhoAV(G$97,G$93,10^6*G$101/CpAo($C64,2^0.1,1),1),"m/s",$D$52))</f>
        <v/>
      </c>
      <c r="H64" s="162" t="str">
        <f>IF(H$30="","",
    Conv("U",LiqWRhoAV(H$97,H$93,10^6*H$101/CpAo($C64,2^0.1,1),1),"m/s",$D$52))</f>
        <v/>
      </c>
      <c r="I64" s="300" t="str">
        <f>IF(I$30="","",
    Conv("U",LiqWRhoAV(I$97,I$93,10^6*I$101/CpAo($C64,2^0.1,1),1),"m/s",$D$52))</f>
        <v/>
      </c>
    </row>
    <row r="65" spans="1:15" ht="12.75" customHeight="1" thickBot="1" x14ac:dyDescent="0.35">
      <c r="A65" s="366" t="s">
        <v>454</v>
      </c>
      <c r="B65" s="367"/>
      <c r="C65" s="163">
        <v>30</v>
      </c>
      <c r="D65" s="164" t="str">
        <f t="shared" si="0"/>
        <v>m/s</v>
      </c>
      <c r="E65" s="165" t="str">
        <f>IF(E$30="","",
    Conv("U",LiqWRhoAV(E$97,E$93,10^6*E$101/CpAo($C65,2^0.1,1),1),"m/s",$D$52))</f>
        <v/>
      </c>
      <c r="F65" s="165" t="str">
        <f>IF(F$30="","",
    Conv("U",LiqWRhoAV(F$97,F$93,10^6*F$101/CpAo($C65,2^0.1,1),1),"m/s",$D$52))</f>
        <v/>
      </c>
      <c r="G65" s="165" t="str">
        <f>IF(G$30="","",
    Conv("U",LiqWRhoAV(G$97,G$93,10^6*G$101/CpAo($C65,2^0.1,1),1),"m/s",$D$52))</f>
        <v/>
      </c>
      <c r="H65" s="165" t="str">
        <f>IF(H$30="","",
    Conv("U",LiqWRhoAV(H$97,H$93,10^6*H$101/CpAo($C65,2^0.1,1),1),"m/s",$D$52))</f>
        <v/>
      </c>
      <c r="I65" s="301" t="str">
        <f>IF(I$30="","",
    Conv("U",LiqWRhoAV(I$97,I$93,10^6*I$101/CpAo($C65,2^0.1,1),1),"m/s",$D$52))</f>
        <v/>
      </c>
    </row>
    <row r="66" spans="1:15" ht="12.75" customHeight="1" thickBot="1" x14ac:dyDescent="0.3">
      <c r="F66" s="151"/>
      <c r="G66" s="151"/>
      <c r="H66" s="151"/>
      <c r="I66" s="151"/>
      <c r="J66" s="151"/>
    </row>
    <row r="67" spans="1:15" ht="12.75" customHeight="1" thickBot="1" x14ac:dyDescent="0.35">
      <c r="A67" s="370" t="s">
        <v>429</v>
      </c>
      <c r="B67" s="371"/>
      <c r="C67" s="371"/>
      <c r="D67" s="371"/>
      <c r="E67" s="371"/>
      <c r="F67" s="371"/>
      <c r="G67" s="371"/>
      <c r="H67" s="372"/>
      <c r="I67" s="151"/>
      <c r="J67" s="151"/>
    </row>
    <row r="68" spans="1:15" ht="12.75" customHeight="1" thickBot="1" x14ac:dyDescent="0.35">
      <c r="A68" s="368" t="s">
        <v>430</v>
      </c>
      <c r="B68" s="369"/>
      <c r="C68" s="369"/>
      <c r="D68" s="166"/>
      <c r="E68" s="167" t="s">
        <v>379</v>
      </c>
      <c r="F68" s="167" t="s">
        <v>380</v>
      </c>
      <c r="G68" s="167" t="s">
        <v>381</v>
      </c>
      <c r="H68" s="168" t="s">
        <v>382</v>
      </c>
      <c r="I68" s="151"/>
      <c r="J68" s="151"/>
    </row>
    <row r="69" spans="1:15" ht="12.75" customHeight="1" x14ac:dyDescent="0.3">
      <c r="A69" s="373" t="s">
        <v>383</v>
      </c>
      <c r="B69" s="374"/>
      <c r="C69" s="375"/>
      <c r="D69" s="169" t="s">
        <v>291</v>
      </c>
      <c r="E69" s="155"/>
      <c r="F69" s="155"/>
      <c r="G69" s="155"/>
      <c r="H69" s="170"/>
      <c r="I69" s="151"/>
      <c r="J69" s="151"/>
    </row>
    <row r="70" spans="1:15" ht="12.75" customHeight="1" x14ac:dyDescent="0.3">
      <c r="A70" s="358" t="s">
        <v>384</v>
      </c>
      <c r="B70" s="359"/>
      <c r="C70" s="360"/>
      <c r="D70" s="171" t="s">
        <v>291</v>
      </c>
      <c r="E70" s="172">
        <f>(4*2^0.5*Conv("C",MAX($E$47:$I$47),$D$47,"Cv")/(PI()*30))^0.5</f>
        <v>0</v>
      </c>
      <c r="F70" s="172">
        <f>(4*2^0.5*Conv("C",MAX($E$47:$I$47),$D$47,"Cv")/(PI()*30))^0.5</f>
        <v>0</v>
      </c>
      <c r="G70" s="172">
        <f>(4*2^0.5*Conv("C",MAX($E$47:$I$47),$D$47,"Cv")/(PI()*21))^0.5</f>
        <v>0</v>
      </c>
      <c r="H70" s="173">
        <f>(4*2^0.5*Conv("C",MAX($E$47:$I$47),$D$47,"Cv")/(PI()*21))^0.5</f>
        <v>0</v>
      </c>
      <c r="I70" s="151"/>
      <c r="J70" s="151"/>
    </row>
    <row r="71" spans="1:15" ht="12.75" customHeight="1" x14ac:dyDescent="0.3">
      <c r="A71" s="358" t="s">
        <v>385</v>
      </c>
      <c r="B71" s="359"/>
      <c r="C71" s="360"/>
      <c r="D71" s="171" t="s">
        <v>291</v>
      </c>
      <c r="E71" s="172">
        <f>Conv("L",$E$107,"m","in.")</f>
        <v>0</v>
      </c>
      <c r="F71" s="172">
        <f>Conv("L",$E$107,"m","in.")</f>
        <v>0</v>
      </c>
      <c r="G71" s="172">
        <f>Conv("L",$E$107,"m","in.")</f>
        <v>0</v>
      </c>
      <c r="H71" s="173">
        <f>Conv("L",$E$107,"m","in.")</f>
        <v>0</v>
      </c>
      <c r="I71" s="151"/>
      <c r="J71" s="151"/>
    </row>
    <row r="72" spans="1:15" ht="12.75" customHeight="1" x14ac:dyDescent="0.3">
      <c r="A72" s="358" t="s">
        <v>386</v>
      </c>
      <c r="B72" s="359"/>
      <c r="C72" s="360"/>
      <c r="D72" s="171" t="s">
        <v>291</v>
      </c>
      <c r="E72" s="172">
        <f>NomPlugSize(MAX(E70:E71),0)</f>
        <v>0.31</v>
      </c>
      <c r="F72" s="172">
        <f>NomPlugSize(MAX(F70:F71),0)</f>
        <v>0.31</v>
      </c>
      <c r="G72" s="172">
        <f>NomPlugSize(MAX(G70:G71),0)</f>
        <v>0.31</v>
      </c>
      <c r="H72" s="173">
        <f>NomPlugSize(MAX(H70:H71),0)</f>
        <v>0.31</v>
      </c>
      <c r="I72" s="151"/>
    </row>
    <row r="73" spans="1:15" ht="12.75" customHeight="1" thickBot="1" x14ac:dyDescent="0.35">
      <c r="A73" s="361" t="s">
        <v>387</v>
      </c>
      <c r="B73" s="362"/>
      <c r="C73" s="363"/>
      <c r="D73" s="174" t="s">
        <v>291</v>
      </c>
      <c r="E73" s="175"/>
      <c r="F73" s="176"/>
      <c r="G73" s="176"/>
      <c r="H73" s="177"/>
      <c r="I73" s="151"/>
    </row>
    <row r="75" spans="1:15" ht="12.75" customHeight="1" x14ac:dyDescent="0.25">
      <c r="A75" s="90" t="s">
        <v>279</v>
      </c>
    </row>
    <row r="76" spans="1:15" ht="12.75" customHeight="1" x14ac:dyDescent="0.3">
      <c r="A76" s="90" t="s">
        <v>513</v>
      </c>
    </row>
    <row r="78" spans="1:15" s="119" customFormat="1" ht="12.75" hidden="1" customHeight="1" outlineLevel="1" x14ac:dyDescent="0.3">
      <c r="A78" s="113" t="s">
        <v>210</v>
      </c>
      <c r="B78" s="114"/>
      <c r="C78" s="115" t="s">
        <v>211</v>
      </c>
      <c r="D78" s="286" t="s">
        <v>184</v>
      </c>
      <c r="E78" s="116"/>
      <c r="F78" s="116"/>
      <c r="G78" s="117" t="s">
        <v>200</v>
      </c>
      <c r="H78" s="116"/>
      <c r="I78" s="116"/>
      <c r="J78" s="115" t="s">
        <v>212</v>
      </c>
      <c r="K78" s="118"/>
      <c r="L78" s="89"/>
      <c r="M78" s="89"/>
      <c r="N78" s="91"/>
      <c r="O78" s="234"/>
    </row>
    <row r="79" spans="1:15" s="123" customFormat="1" ht="12.75" hidden="1" customHeight="1" outlineLevel="1" x14ac:dyDescent="0.25">
      <c r="A79" s="121" t="s">
        <v>311</v>
      </c>
      <c r="B79" s="121"/>
      <c r="C79" s="121" t="s">
        <v>312</v>
      </c>
      <c r="D79" s="122" t="s">
        <v>313</v>
      </c>
      <c r="E79" s="122">
        <f>IF(liq_PipeCorrectionFactorOption="Ignore Correction","",Conv("L",E17,$D$17,$D$79))</f>
        <v>0</v>
      </c>
      <c r="F79" s="122">
        <f>IF(liq_PipeCorrectionFactorOption="Ignore Correction","",Conv("L",F17,$D$17,$D$79))</f>
        <v>0</v>
      </c>
      <c r="G79" s="121"/>
      <c r="H79" s="121"/>
      <c r="I79" s="121"/>
      <c r="J79" s="121"/>
      <c r="K79" s="121"/>
      <c r="L79" s="120"/>
      <c r="M79" s="120"/>
      <c r="N79" s="123" t="str">
        <f>IF(liq_PipeCorrectionFactorOption="Ignore Correction","","Unit Conversion")</f>
        <v>Unit Conversion</v>
      </c>
      <c r="O79" s="123" t="str">
        <f>IF(liq_PipeCorrectionFactorOption="Ignore Correction","","D(mm) = "&amp;TEXT(Conv("L",1,D17,D79),"General")&amp;"*D("&amp;D17&amp;")")</f>
        <v>D(mm) = 25.4*D(in.)</v>
      </c>
    </row>
    <row r="80" spans="1:15" s="123" customFormat="1" ht="12.75" hidden="1" customHeight="1" outlineLevel="1" x14ac:dyDescent="0.25">
      <c r="A80" s="121" t="s">
        <v>314</v>
      </c>
      <c r="B80" s="121"/>
      <c r="C80" s="121" t="s">
        <v>315</v>
      </c>
      <c r="D80" s="122" t="s">
        <v>313</v>
      </c>
      <c r="E80" s="122">
        <f>IF(liq_PipeCorrectionFactorOption="Ignore Correction","",Conv("L",E18,$D$18,$D$80))</f>
        <v>0</v>
      </c>
      <c r="F80" s="122">
        <f>IF(liq_PipeCorrectionFactorOption="Ignore Correction","",Conv("L",F18,$D$18,$D$80))</f>
        <v>0</v>
      </c>
      <c r="G80" s="121"/>
      <c r="H80" s="121"/>
      <c r="I80" s="121"/>
      <c r="J80" s="121"/>
      <c r="K80" s="121"/>
      <c r="L80" s="120"/>
      <c r="M80" s="120"/>
      <c r="N80" s="123" t="str">
        <f>IF(liq_PipeCorrectionFactorOption="Ignore Correction","","Unit Conversion")</f>
        <v>Unit Conversion</v>
      </c>
      <c r="O80" s="123" t="str">
        <f>IF(liq_PipeCorrectionFactorOption="Ignore Correction","","Dv(mm) = "&amp;TEXT(Conv("L",1,D17,D80),"General")&amp;"*Dv("&amp;D17&amp;")")</f>
        <v>Dv(mm) = 25.4*Dv(in.)</v>
      </c>
    </row>
    <row r="81" spans="1:15" s="127" customFormat="1" ht="12.75" hidden="1" customHeight="1" outlineLevel="1" x14ac:dyDescent="0.25">
      <c r="A81" s="125" t="s">
        <v>316</v>
      </c>
      <c r="B81" s="125"/>
      <c r="C81" s="125" t="s">
        <v>317</v>
      </c>
      <c r="D81" s="126"/>
      <c r="E81" s="126" t="e">
        <f>IF(liq_PipeCorrectionFactorOption="Ignore Correction",  0,
    IF($E80&lt;$E79,
      0.5*(1-($E80/$E79)^2)^2,
      (1 - ($E79/$E80)^2)^2/($E79/$E80)^4))</f>
        <v>#DIV/0!</v>
      </c>
      <c r="F81" s="126" t="e">
        <f>IF(liq_PipeCorrectionFactorOption="Ignore Correction",  0,
    IF($F80&lt;$F79,
      1*(1-($F80/$F79)^2)^2,
      0.5*(1 - ($F79/$F80)^2)^2/($F79/$F80)^4))</f>
        <v>#DIV/0!</v>
      </c>
      <c r="G81" s="125"/>
      <c r="H81" s="125"/>
      <c r="I81" s="125"/>
      <c r="J81" s="125"/>
      <c r="K81" s="125"/>
      <c r="L81" s="124"/>
      <c r="M81" s="124"/>
      <c r="N81" s="127" t="str">
        <f>IF(liq_PipeCorrectionFactorOption="Ignore Correction","","Eqs. 23 &amp; 24")</f>
        <v>Eqs. 23 &amp; 24</v>
      </c>
      <c r="O81" s="127" t="str">
        <f>IF(liq_PipeCorrectionFactorOption="Ignore Correction","","K1 = 0.5*(1 - (dv1/D1)^2)^2,      K2 = 1*(1 - (dv2/D2)^2)^2")</f>
        <v>K1 = 0.5*(1 - (dv1/D1)^2)^2,      K2 = 1*(1 - (dv2/D2)^2)^2</v>
      </c>
    </row>
    <row r="82" spans="1:15" s="127" customFormat="1" ht="12.75" hidden="1" customHeight="1" outlineLevel="1" x14ac:dyDescent="0.25">
      <c r="A82" s="125" t="s">
        <v>318</v>
      </c>
      <c r="B82" s="125"/>
      <c r="C82" s="125" t="s">
        <v>319</v>
      </c>
      <c r="D82" s="126"/>
      <c r="E82" s="126" t="e">
        <f>IF(liq_PipeCorrectionFactorOption="Ignore Correction",  0,
    IF($E80&lt;$E79,
      1-($E80/$E79)^4,
      (1-($E79/$E80)^4)/($E79/$E80)^4))</f>
        <v>#DIV/0!</v>
      </c>
      <c r="F82" s="126" t="e">
        <f>IF(liq_PipeCorrectionFactorOption="Ignore Correction",  0,
    IF($F80&lt;$F79,
      1-($F80/$F79)^4,
      (1 - ($F79/$F80)^4)/($F79/$F80)^4))</f>
        <v>#DIV/0!</v>
      </c>
      <c r="G82" s="125"/>
      <c r="H82" s="125"/>
      <c r="I82" s="125"/>
      <c r="J82" s="125"/>
      <c r="K82" s="125"/>
      <c r="L82" s="124"/>
      <c r="M82" s="124"/>
      <c r="N82" s="127" t="str">
        <f>IF(liq_PipeCorrectionFactorOption="Ignore Correction","","Eq. 22")</f>
        <v>Eq. 22</v>
      </c>
      <c r="O82" s="127" t="str">
        <f>IF(liq_PipeCorrectionFactorOption="Ignore Correction","","KB1 = 1 - (dv1/D1)^4,                  KB2 = 1 - (dv2/D2)^4")</f>
        <v>KB1 = 1 - (dv1/D1)^4,                  KB2 = 1 - (dv2/D2)^4</v>
      </c>
    </row>
    <row r="83" spans="1:15" s="127" customFormat="1" ht="12.75" hidden="1" customHeight="1" outlineLevel="1" x14ac:dyDescent="0.25">
      <c r="A83" s="125" t="s">
        <v>213</v>
      </c>
      <c r="B83" s="125"/>
      <c r="C83" s="125" t="s">
        <v>214</v>
      </c>
      <c r="D83" s="126"/>
      <c r="E83" s="126" t="e">
        <f>(($E$81+$F$81+$E$82-$F$82)*$F$20^2/0.00214+1)^-0.5</f>
        <v>#DIV/0!</v>
      </c>
      <c r="F83" s="126"/>
      <c r="G83" s="125"/>
      <c r="H83" s="125"/>
      <c r="I83" s="125"/>
      <c r="J83" s="125"/>
      <c r="K83" s="125"/>
      <c r="L83" s="124"/>
      <c r="M83" s="124"/>
      <c r="N83" s="127" t="str">
        <f>IF(liq_PipeCorrectionFactorOption="Ignore Correction","","Eq. 20")</f>
        <v>Eq. 20</v>
      </c>
      <c r="O83" s="127" t="s">
        <v>395</v>
      </c>
    </row>
    <row r="84" spans="1:15" s="127" customFormat="1" ht="12.75" hidden="1" customHeight="1" outlineLevel="1" x14ac:dyDescent="0.25">
      <c r="A84" s="125" t="s">
        <v>396</v>
      </c>
      <c r="B84" s="125"/>
      <c r="C84" s="125" t="s">
        <v>321</v>
      </c>
      <c r="D84" s="126"/>
      <c r="E84" s="126" t="e">
        <f>$F$21*(($E$81+$E$82)*$F$21^2*$F$20^2/0.00214+1)^-0.5</f>
        <v>#DIV/0!</v>
      </c>
      <c r="F84" s="126"/>
      <c r="G84" s="125"/>
      <c r="H84" s="125"/>
      <c r="I84" s="125"/>
      <c r="J84" s="125"/>
      <c r="K84" s="125"/>
      <c r="L84" s="124"/>
      <c r="M84" s="124"/>
      <c r="N84" s="127" t="str">
        <f>IF(liq_PipeCorrectionFactorOption="Ignore Correction","","Eq. 30")</f>
        <v>Eq. 30</v>
      </c>
      <c r="O84" s="127" t="s">
        <v>322</v>
      </c>
    </row>
    <row r="85" spans="1:15" s="127" customFormat="1" ht="12.75" hidden="1" customHeight="1" outlineLevel="1" x14ac:dyDescent="0.25">
      <c r="A85" s="128" t="s">
        <v>240</v>
      </c>
      <c r="B85" s="125"/>
      <c r="C85" s="125" t="s">
        <v>112</v>
      </c>
      <c r="D85" s="126" t="s">
        <v>432</v>
      </c>
      <c r="E85" s="129">
        <f>IF(FluidNameSN(liq_TypeofLiquid)="Water",220.64,
    IF(liq_TypeofLiquid&lt;&gt;"Custom",FLuidNamePc(liq_TypeofLiquid,1),
      IF(ISBLANK(E25),MAX(E92:I92),
        MAX(Conv("P",E25,$D$25,$D$85),MAX(E92:I92)))))</f>
        <v>0</v>
      </c>
      <c r="F85" s="121"/>
      <c r="G85" s="121"/>
      <c r="H85" s="121"/>
      <c r="I85" s="121"/>
      <c r="J85" s="125"/>
      <c r="K85" s="125"/>
      <c r="L85" s="124"/>
      <c r="M85" s="124"/>
      <c r="N85" s="127" t="str">
        <f>IF(FluidNameSN(liq_TypeofLiquid)="Water","Wtr Functions",
    IF(liq_TypeofLiquid&lt;&gt;"Custom","Fluid Data",
      IF(ISBLANK(E25),"Max Pv",
        IF(Conv("P",E25,$D$25,$D$85)&lt;MAX(E92:I92),"Max Pv",
          "Unit Conversion"))))</f>
        <v>Max Pv</v>
      </c>
      <c r="O85" s="127" t="str">
        <f>IF(FluidNameSN(liq_TypeofLiquid)="Water","From Water Functions",
    IF(liq_TypeofLiquid&lt;&gt;"Custom","From FluidData",
      IF(ISBLANK(E25),"Using largest Vapor Pressure",
        IF(Conv("P",E25,$D$25,$D$85)&lt;MAX(E92:I92),"Using largest Vapor Pressure",
          "Pc(barA) = "&amp;TEXT((Conv("P",1,D25,D85)-Conv("P",0,D25,D85))/1,"General")&amp;"*Pc("&amp;D25&amp;") + "&amp;TEXT(Conv("P",0,D25,D85),"General")))))</f>
        <v>Using largest Vapor Pressure</v>
      </c>
    </row>
    <row r="86" spans="1:15" s="127" customFormat="1" ht="12.75" hidden="1" customHeight="1" outlineLevel="1" x14ac:dyDescent="0.25">
      <c r="A86" s="128" t="s">
        <v>348</v>
      </c>
      <c r="B86" s="125"/>
      <c r="C86" s="125" t="s">
        <v>111</v>
      </c>
      <c r="D86" s="126" t="s">
        <v>22</v>
      </c>
      <c r="E86" s="129" t="str">
        <f>IF(FluidNameSN(liq_TypeofLiquid)="Water",647.096-273.15,
    IF(liq_TypeofLiquid&lt;&gt;"Custom",FluidNameTc(liq_TypeofLiquid,1),""))</f>
        <v/>
      </c>
      <c r="F86" s="121"/>
      <c r="G86" s="121"/>
      <c r="H86" s="121"/>
      <c r="I86" s="121"/>
      <c r="J86" s="125"/>
      <c r="K86" s="125"/>
      <c r="L86" s="124"/>
      <c r="M86" s="124"/>
      <c r="N86" s="127" t="str">
        <f>IF(FluidNameSN(liq_TypeofLiquid)="Water","Wtr Functions",
    IF(liq_TypeofLiquid&lt;&gt;"Custom","Fluid Data",""))</f>
        <v/>
      </c>
      <c r="O86" s="127" t="str">
        <f>IF(FluidNameSN(liq_TypeofLiquid)="Water","From Water Functions",
    IF(liq_TypeofLiquid&lt;&gt;"Custom","From FluidData",""))</f>
        <v/>
      </c>
    </row>
    <row r="87" spans="1:15" s="123" customFormat="1" ht="12.75" hidden="1" customHeight="1" outlineLevel="1" x14ac:dyDescent="0.25">
      <c r="A87" s="121" t="s">
        <v>344</v>
      </c>
      <c r="B87" s="121"/>
      <c r="C87" s="130" t="s">
        <v>326</v>
      </c>
      <c r="D87" s="131" t="s">
        <v>327</v>
      </c>
      <c r="E87" s="131" t="str">
        <f>IF(liq_FlowRateType="Liquid Volume Flow Rate",Conv("Qf",E28,$D$28,$D$87),"")</f>
        <v/>
      </c>
      <c r="F87" s="131" t="str">
        <f>IF(liq_FlowRateType="Liquid Volume Flow Rate",Conv("Qf",F28,$D$28,$D$87),"")</f>
        <v/>
      </c>
      <c r="G87" s="131" t="str">
        <f>IF(liq_FlowRateType="Liquid Volume Flow Rate",Conv("Qf",G28,$D$28,$D$87),"")</f>
        <v/>
      </c>
      <c r="H87" s="131" t="str">
        <f>IF(liq_FlowRateType="Liquid Volume Flow Rate",Conv("Qf",H28,$D$28,$D$87),"")</f>
        <v/>
      </c>
      <c r="I87" s="131" t="str">
        <f>IF(liq_FlowRateType="Liquid Volume Flow Rate",Conv("Qf",I28,$D$28,$D$87),"")</f>
        <v/>
      </c>
      <c r="J87" s="121"/>
      <c r="K87" s="121"/>
      <c r="L87" s="120"/>
      <c r="M87" s="120"/>
      <c r="N87" s="123" t="str">
        <f>IF(liq_FlowRateType="Liquid Volume Flow Rate","Unit Conversion","")</f>
        <v/>
      </c>
      <c r="O87" s="123" t="str">
        <f>IF(liq_FlowRateType="Liquid Volume Flow Rate","Qf(m3/h) = "&amp;TEXT(Conv("Qf",1,$D$28,$D$87),"General")&amp;"*Qf("&amp;$D$28&amp;")","")</f>
        <v/>
      </c>
    </row>
    <row r="88" spans="1:15" s="123" customFormat="1" ht="12.75" hidden="1" customHeight="1" outlineLevel="1" x14ac:dyDescent="0.25">
      <c r="A88" s="121" t="s">
        <v>282</v>
      </c>
      <c r="B88" s="121"/>
      <c r="C88" s="121" t="s">
        <v>217</v>
      </c>
      <c r="D88" s="131" t="s">
        <v>218</v>
      </c>
      <c r="E88" s="131">
        <f>IF(liq_FlowRateType="Mass Flow Rate",Conv("M",E29,$D$29,$D$88),"")</f>
        <v>0</v>
      </c>
      <c r="F88" s="131">
        <f>IF(liq_FlowRateType="Mass Flow Rate",Conv("M",F29,$D$29,$D$88),"")</f>
        <v>0</v>
      </c>
      <c r="G88" s="131">
        <f>IF(liq_FlowRateType="Mass Flow Rate",Conv("M",G29,$D$29,$D$88),"")</f>
        <v>0</v>
      </c>
      <c r="H88" s="131">
        <f>IF(liq_FlowRateType="Mass Flow Rate",Conv("M",H29,$D$29,$D$88),"")</f>
        <v>0</v>
      </c>
      <c r="I88" s="131">
        <f>IF(liq_FlowRateType="Mass Flow Rate",Conv("M",I29,$D$29,$D$88),"")</f>
        <v>0</v>
      </c>
      <c r="J88" s="132"/>
      <c r="K88" s="121"/>
      <c r="L88" s="120"/>
      <c r="M88" s="120"/>
      <c r="N88" s="123" t="str">
        <f>IF(liq_FlowRateType="Mass Flow Rate","Unit Conversion","")</f>
        <v>Unit Conversion</v>
      </c>
      <c r="O88" s="123" t="str">
        <f>IF(liq_FlowRateType="Mass Flow Rate","W(kg/h) = "&amp;TEXT(Conv("M",1,$D$29,$D$88),"General")&amp;"*W("&amp;$D$29&amp;")","")</f>
        <v>W(kg/h) = 1*W(kg/h)</v>
      </c>
    </row>
    <row r="89" spans="1:15" s="127" customFormat="1" ht="12.75" hidden="1" customHeight="1" outlineLevel="1" x14ac:dyDescent="0.25">
      <c r="A89" s="121" t="s">
        <v>205</v>
      </c>
      <c r="B89" s="125"/>
      <c r="C89" s="125" t="s">
        <v>220</v>
      </c>
      <c r="D89" s="126" t="s">
        <v>432</v>
      </c>
      <c r="E89" s="126">
        <f>Conv("P",E30,$D$30,$D$89)</f>
        <v>0</v>
      </c>
      <c r="F89" s="126">
        <f>Conv("P",F30,$D$30,$D$89)</f>
        <v>0</v>
      </c>
      <c r="G89" s="126">
        <f>Conv("P",G30,$D$30,$D$89)</f>
        <v>0</v>
      </c>
      <c r="H89" s="126">
        <f>Conv("P",H30,$D$30,$D$89)</f>
        <v>0</v>
      </c>
      <c r="I89" s="126">
        <f>Conv("P",I30,$D$30,$D$89)</f>
        <v>0</v>
      </c>
      <c r="J89" s="125"/>
      <c r="K89" s="125"/>
      <c r="L89" s="124"/>
      <c r="M89" s="124"/>
      <c r="N89" s="127" t="s">
        <v>349</v>
      </c>
      <c r="O89" s="123" t="str">
        <f>"P1(barA) = "&amp;TEXT((Conv("P",1,$D$30,$D$89)-Conv("P",0,$D$30,$D$89))/1,"General")&amp;"*P1("&amp;$D$30&amp;") + "&amp;TEXT(Conv("P",0,$D$30,$D$89),"General")</f>
        <v>P1(barA) = 1*P1(barA) + 0</v>
      </c>
    </row>
    <row r="90" spans="1:15" s="127" customFormat="1" ht="12.75" hidden="1" customHeight="1" outlineLevel="1" x14ac:dyDescent="0.25">
      <c r="A90" s="121" t="s">
        <v>206</v>
      </c>
      <c r="B90" s="125"/>
      <c r="C90" s="125" t="s">
        <v>221</v>
      </c>
      <c r="D90" s="126" t="s">
        <v>432</v>
      </c>
      <c r="E90" s="126">
        <f>Conv("P",IF($A$31="Outlet Pressure",E31,E30-E31),$D$30,$D$90)</f>
        <v>0</v>
      </c>
      <c r="F90" s="126">
        <f>Conv("P",IF($A$31="Outlet Pressure",F31,F30-F31),$D$30,$D$90)</f>
        <v>0</v>
      </c>
      <c r="G90" s="126">
        <f>Conv("P",IF($A$31="Outlet Pressure",G31,G30-G31),$D$30,$D$90)</f>
        <v>0</v>
      </c>
      <c r="H90" s="126">
        <f>Conv("P",IF($A$31="Outlet Pressure",H31,H30-H31),$D$30,$D$90)</f>
        <v>0</v>
      </c>
      <c r="I90" s="126">
        <f>Conv("P",IF($A$31="Outlet Pressure",I31,I30-I31),$D$30,$D$90)</f>
        <v>0</v>
      </c>
      <c r="J90" s="125"/>
      <c r="K90" s="125"/>
      <c r="L90" s="124"/>
      <c r="M90" s="124"/>
      <c r="N90" s="127" t="s">
        <v>349</v>
      </c>
      <c r="O90" s="123" t="str">
        <f>"P2(barA) = "&amp;TEXT((Conv("P",1,$D$30,$D$89)-Conv("P",0,$D$30,$D$89))/1,"General")&amp;"*P2("&amp;$D$30&amp;") + "&amp;TEXT(Conv("P",0,$D$30,$D$89),"General")</f>
        <v>P2(barA) = 1*P2(barA) + 0</v>
      </c>
    </row>
    <row r="91" spans="1:15" s="127" customFormat="1" ht="12.75" hidden="1" customHeight="1" outlineLevel="1" x14ac:dyDescent="0.25">
      <c r="A91" s="128" t="s">
        <v>234</v>
      </c>
      <c r="B91" s="125"/>
      <c r="C91" s="125" t="s">
        <v>235</v>
      </c>
      <c r="D91" s="126" t="s">
        <v>22</v>
      </c>
      <c r="E91" s="126" t="str">
        <f>IF(liq_TypeofLiquid&lt;&gt;"Custom",Conv("T",E32,$D$32,$D$91),"")</f>
        <v/>
      </c>
      <c r="F91" s="126" t="str">
        <f>IF(liq_TypeofLiquid&lt;&gt;"Custom",Conv("T",F32,$D$32,$D$91),"")</f>
        <v/>
      </c>
      <c r="G91" s="126" t="str">
        <f>IF(liq_TypeofLiquid&lt;&gt;"Custom",Conv("T",G32,$D$32,$D$91),"")</f>
        <v/>
      </c>
      <c r="H91" s="126" t="str">
        <f>IF(liq_TypeofLiquid&lt;&gt;"Custom",Conv("T",H32,$D$32,$D$91),"")</f>
        <v/>
      </c>
      <c r="I91" s="126" t="str">
        <f>IF(liq_TypeofLiquid&lt;&gt;"Custom",Conv("T",I32,$D$32,$D$91),"")</f>
        <v/>
      </c>
      <c r="J91" s="133"/>
      <c r="K91" s="125"/>
      <c r="L91" s="124"/>
      <c r="M91" s="124"/>
      <c r="N91" s="127" t="str">
        <f>IF(liq_TypeofLiquid&lt;&gt;"Custom","Unit Conversion","")</f>
        <v/>
      </c>
      <c r="O91" s="127" t="str">
        <f>IF(liq_TypeofLiquid&lt;&gt;"Custom",
    "T1(deg C) = "&amp;TEXT((Conv("T",1,$D$32,$D$91)-Conv("T",0,$D$32,$D$91))/1,"General")&amp;"*T1("&amp;D31&amp;") + "&amp;TEXT(Conv("T",0,$D$32,$D$91),"General"),"")</f>
        <v/>
      </c>
    </row>
    <row r="92" spans="1:15" s="127" customFormat="1" ht="12.75" hidden="1" customHeight="1" outlineLevel="1" x14ac:dyDescent="0.25">
      <c r="A92" s="128" t="s">
        <v>237</v>
      </c>
      <c r="B92" s="125"/>
      <c r="C92" s="125" t="s">
        <v>238</v>
      </c>
      <c r="D92" s="126" t="s">
        <v>432</v>
      </c>
      <c r="E92" s="126">
        <f>IF(FluidNameSN(liq_TypeofLiquid)="Water",wtrtp(E91,1),
    IF(liq_TypeofLiquid&lt;&gt;"Custom",FluidNameTP(liq_TypeofLiquid,E91,1),
      Conv("P",E33,$D$33,$D$92)))</f>
        <v>0</v>
      </c>
      <c r="F92" s="126">
        <f>IF(FluidNameSN(liq_TypeofLiquid)="Water",wtrtp(F91,1),
    IF(liq_TypeofLiquid&lt;&gt;"Custom",FluidNameTP(liq_TypeofLiquid,F91,1),
      Conv("P",F33,$D$33,$D$92)))</f>
        <v>0</v>
      </c>
      <c r="G92" s="126">
        <f>IF(FluidNameSN(liq_TypeofLiquid)="Water",wtrtp(G91,1),
    IF(liq_TypeofLiquid&lt;&gt;"Custom",FluidNameTP(liq_TypeofLiquid,G91,1),
      Conv("P",G33,$D$33,$D$92)))</f>
        <v>0</v>
      </c>
      <c r="H92" s="126">
        <f>IF(FluidNameSN(liq_TypeofLiquid)="Water",wtrtp(H91,1),
    IF(liq_TypeofLiquid&lt;&gt;"Custom",FluidNameTP(liq_TypeofLiquid,H91,1),
      Conv("P",H33,$D$33,$D$92)))</f>
        <v>0</v>
      </c>
      <c r="I92" s="126">
        <f>IF(FluidNameSN(liq_TypeofLiquid)="Water",wtrtp(I91,1),
    IF(liq_TypeofLiquid&lt;&gt;"Custom",FluidNameTP(liq_TypeofLiquid,I91,1),
      Conv("P",I33,$D$33,$D$92)))</f>
        <v>0</v>
      </c>
      <c r="J92" s="133"/>
      <c r="K92" s="125"/>
      <c r="L92" s="124"/>
      <c r="M92" s="124"/>
      <c r="N92" s="127" t="str">
        <f>IF(FluidNameSN(liq_TypeofLiquid)="Water","Wtr Functions",
    IF(liq_TypeofLiquid&lt;&gt;"Custom","Antoine Equation",
      "Unit Conversion"))</f>
        <v>Unit Conversion</v>
      </c>
      <c r="O92" s="127" t="str">
        <f>IF(FluidNameSN(liq_TypeofLiquid)="Water","Pv = wtrTP(T1)",
    IF(liq_TypeofLiquid&lt;&gt;"Custom","Pv(psiA) = EXP(A - B/(T1(deg F) + 459.67 + C))",
      "Pv(barA) = "&amp;TEXT((Conv("P",1,$D$33,$D$92)-Conv("P",0,$D$33,$D$92))/1,"General")&amp;"*Pv("&amp;D33&amp;") + "&amp;TEXT(Conv("P",0,$D$33,$D$92),"General")))</f>
        <v>Pv(barA) = 1*Pv(barA) + 0</v>
      </c>
    </row>
    <row r="93" spans="1:15" s="127" customFormat="1" ht="12.75" hidden="1" customHeight="1" outlineLevel="1" x14ac:dyDescent="0.25">
      <c r="A93" s="128" t="s">
        <v>328</v>
      </c>
      <c r="B93" s="125"/>
      <c r="C93" s="125" t="s">
        <v>351</v>
      </c>
      <c r="D93" s="126" t="s">
        <v>230</v>
      </c>
      <c r="E93" s="126">
        <f>IF(FluidNameSN(liq_TypeofLiquid)="Water",wtrPTD(E89,E91,1),
    IF(liq_TypeofLiquid&lt;&gt;"Custom",FluidNamePTRho(liq_TypeofLiquid,E89,E91,1),
      IF(liq_MethodOfSpecifyingDensity="Direct Input",Conv("rho",E35,$D$35,$D$93),
        1000*E34)))</f>
        <v>0</v>
      </c>
      <c r="F93" s="126">
        <f>IF(FluidNameSN(liq_TypeofLiquid)="Water",wtrPTD(F89,F91,1),
    IF(liq_TypeofLiquid&lt;&gt;"Custom",FluidNamePTRho(liq_TypeofLiquid,F89,F91,1),
      IF(liq_MethodOfSpecifyingDensity="Direct Input",Conv("rho",F35,$D$35,$D$93),
        1000*F34)))</f>
        <v>0</v>
      </c>
      <c r="G93" s="126">
        <f>IF(FluidNameSN(liq_TypeofLiquid)="Water",wtrPTD(G89,G91,1),
    IF(liq_TypeofLiquid&lt;&gt;"Custom",FluidNamePTRho(liq_TypeofLiquid,G89,G91,1),
      IF(liq_MethodOfSpecifyingDensity="Direct Input",Conv("rho",G35,$D$35,$D$93),
        1000*G34)))</f>
        <v>0</v>
      </c>
      <c r="H93" s="126">
        <f>IF(FluidNameSN(liq_TypeofLiquid)="Water",wtrPTD(H89,H91,1),
    IF(liq_TypeofLiquid&lt;&gt;"Custom",FluidNamePTRho(liq_TypeofLiquid,H89,H91,1),
      IF(liq_MethodOfSpecifyingDensity="Direct Input",Conv("rho",H35,$D$35,$D$93),
        1000*H34)))</f>
        <v>0</v>
      </c>
      <c r="I93" s="126">
        <f>IF(FluidNameSN(liq_TypeofLiquid)="Water",wtrPTD(I89,I91,1),
    IF(liq_TypeofLiquid&lt;&gt;"Custom",FluidNamePTRho(liq_TypeofLiquid,I89,I91,1),
      IF(liq_MethodOfSpecifyingDensity="Direct Input",Conv("rho",I35,$D$35,$D$93),
        1000*I34)))</f>
        <v>0</v>
      </c>
      <c r="J93" s="133"/>
      <c r="K93" s="125"/>
      <c r="L93" s="124"/>
      <c r="M93" s="124"/>
      <c r="N93" s="127" t="str">
        <f>IF(FluidNameSN(liq_TypeofLiquid)="Water","Wtr Functions",
    IF(liq_TypeofLiquid&lt;&gt;"Custom","Fluid Functions",
      IF(liq_MethodOfSpecifyingDensity="Direct Input","Unit Conversion",
      "Def of Gf")))</f>
        <v>Def of Gf</v>
      </c>
      <c r="O93" s="127" t="str">
        <f>IF(FluidNameSN(liq_TypeofLiquid)="Water","rho1 = wtrPTD(P1, T1)",
    IF(liq_TypeofLiquid&lt;&gt;"Custom","rho1(lb/ft3) = 1000*GFB*((2*Tc(deg F) - T1(deg F) + 459.67)/(2*Tc(deg F) - TB + 459.67))",
      IF(liq_MethodOfSpecifyingDensity="Direct Input","rho1(kg/m3) = "&amp;TEXT(Conv("rho",1,$D$35,$D$93),"General")&amp;"*Rho1("&amp;D35&amp;")",
      "rho1 = 1000*Gf")))</f>
        <v>rho1 = 1000*Gf</v>
      </c>
    </row>
    <row r="94" spans="1:15" s="127" customFormat="1" ht="12.75" hidden="1" customHeight="1" outlineLevel="1" x14ac:dyDescent="0.25">
      <c r="A94" s="128" t="s">
        <v>393</v>
      </c>
      <c r="B94" s="125"/>
      <c r="C94" s="125" t="s">
        <v>397</v>
      </c>
      <c r="D94" s="126" t="s">
        <v>394</v>
      </c>
      <c r="E94" s="134">
        <f>IF(FluidNameSN(liq_TypeofLiquid)="Water",wtrPTM(E89,E91,1),
    IF(liq_LaminarEffectOption="Ignore Effects","",
      Conv("mu",E36,$D$36,$D$94)))</f>
        <v>0</v>
      </c>
      <c r="F94" s="134">
        <f>IF(FluidNameSN(liq_TypeofLiquid)="Water",wtrPTM(F89,F91,1),
    IF(liq_LaminarEffectOption="Ignore Effects","",
      Conv("mu",F36,$D$36,$D$94)))</f>
        <v>0</v>
      </c>
      <c r="G94" s="134">
        <f>IF(FluidNameSN(liq_TypeofLiquid)="Water",wtrPTM(G89,G91,1),
    IF(liq_LaminarEffectOption="Ignore Effects","",
      Conv("mu",G36,$D$36,$D$94)))</f>
        <v>0</v>
      </c>
      <c r="H94" s="134">
        <f>IF(FluidNameSN(liq_TypeofLiquid)="Water",wtrPTM(H89,H91,1),
    IF(liq_LaminarEffectOption="Ignore Effects","",
      Conv("mu",H36,$D$36,$D$94)))</f>
        <v>0</v>
      </c>
      <c r="I94" s="134">
        <f>IF(FluidNameSN(liq_TypeofLiquid)="Water",wtrPTM(I89,I91,1),
    IF(liq_LaminarEffectOption="Ignore Effects","",
      Conv("mu",I36,$D$36,$D$94)))</f>
        <v>0</v>
      </c>
      <c r="J94" s="133"/>
      <c r="K94" s="125"/>
      <c r="L94" s="124"/>
      <c r="M94" s="124"/>
      <c r="N94" s="127" t="str">
        <f>IF(FluidNameSN(liq_TypeofLiquid)="Water","Wtr Functions",
    IF(liq_LaminarEffectOption="Ignore Effects","",
      "Unit Conversion"))</f>
        <v>Unit Conversion</v>
      </c>
      <c r="O94" s="127" t="str">
        <f>IF(FluidNameSN(liq_TypeofLiquid)="Water","mu = wtrPTM(P1, T1)",
    IF(liq_LaminarEffectOption="Ignore Effects","",
      "mu(cpoise) = "&amp;TEXT(Conv("mu",1,$D$36,$D$94),"General")&amp;"*mu("&amp;D36&amp;")"))</f>
        <v>mu(cpoise) = 1*mu(cpoise)</v>
      </c>
    </row>
    <row r="95" spans="1:15" s="127" customFormat="1" ht="12.75" hidden="1" customHeight="1" outlineLevel="1" x14ac:dyDescent="0.25">
      <c r="A95" s="125" t="s">
        <v>398</v>
      </c>
      <c r="B95" s="125"/>
      <c r="C95" s="125" t="s">
        <v>243</v>
      </c>
      <c r="D95" s="126"/>
      <c r="E95" s="126">
        <f>IF($E$85&lt;=E92,0.68,0.96-0.28*(E92/$E$85)^0.5)</f>
        <v>0.68</v>
      </c>
      <c r="F95" s="126">
        <f>IF($E$85&lt;=F92,0.68,0.96-0.28*(F92/$E$85)^0.5)</f>
        <v>0.68</v>
      </c>
      <c r="G95" s="126">
        <f>IF($E$85&lt;=G92,0.68,0.96-0.28*(G92/$E$85)^0.5)</f>
        <v>0.68</v>
      </c>
      <c r="H95" s="126">
        <f>IF($E$85&lt;=H92,0.68,0.96-0.28*(H92/$E$85)^0.5)</f>
        <v>0.68</v>
      </c>
      <c r="I95" s="126">
        <f>IF($E$85&lt;=I92,0.68,0.96-0.28*(I92/$E$85)^0.5)</f>
        <v>0.68</v>
      </c>
      <c r="J95" s="125"/>
      <c r="K95" s="125"/>
      <c r="L95" s="124"/>
      <c r="M95" s="124"/>
      <c r="N95" s="127" t="s">
        <v>399</v>
      </c>
      <c r="O95" s="127" t="s">
        <v>400</v>
      </c>
    </row>
    <row r="96" spans="1:15" s="127" customFormat="1" ht="12.75" hidden="1" customHeight="1" outlineLevel="1" x14ac:dyDescent="0.25">
      <c r="A96" s="125" t="s">
        <v>297</v>
      </c>
      <c r="B96" s="125"/>
      <c r="C96" s="125" t="s">
        <v>326</v>
      </c>
      <c r="D96" s="126" t="s">
        <v>327</v>
      </c>
      <c r="E96" s="126" t="e">
        <f>IF(liq_FlowRateType="Liquid Volume Flow Rate",E87,E88/E93)</f>
        <v>#DIV/0!</v>
      </c>
      <c r="F96" s="126" t="e">
        <f>IF(liq_FlowRateType="Liquid Volume Flow Rate",F87,F88/F93)</f>
        <v>#DIV/0!</v>
      </c>
      <c r="G96" s="126" t="e">
        <f>IF(liq_FlowRateType="Liquid Volume Flow Rate",G87,G88/G93)</f>
        <v>#DIV/0!</v>
      </c>
      <c r="H96" s="126" t="e">
        <f>IF(liq_FlowRateType="Liquid Volume Flow Rate",H87,H88/H93)</f>
        <v>#DIV/0!</v>
      </c>
      <c r="I96" s="126" t="e">
        <f>IF(liq_FlowRateType="Liquid Volume Flow Rate",I87,I88/I93)</f>
        <v>#DIV/0!</v>
      </c>
      <c r="J96" s="125"/>
      <c r="K96" s="125"/>
      <c r="L96" s="124"/>
      <c r="M96" s="124"/>
      <c r="N96" s="127" t="str">
        <f>IF(liq_FlowRateType="Liquid Volume Flow Rate","Given","Unit Conversion")</f>
        <v>Unit Conversion</v>
      </c>
      <c r="O96" s="127" t="str">
        <f>IF(liq_FlowRateType="Liquid Volume Flow Rate","Qf = Qf","Qf = W/rho1")</f>
        <v>Qf = W/rho1</v>
      </c>
    </row>
    <row r="97" spans="1:15" s="123" customFormat="1" ht="12.75" hidden="1" customHeight="1" outlineLevel="1" x14ac:dyDescent="0.25">
      <c r="A97" s="135" t="s">
        <v>298</v>
      </c>
      <c r="B97" s="135"/>
      <c r="C97" s="135" t="s">
        <v>217</v>
      </c>
      <c r="D97" s="97" t="s">
        <v>357</v>
      </c>
      <c r="E97" s="136">
        <f>IF(liq_FlowRateType="Liquid Volume Flow Rate",E87*E93/3600,Conv("m",E88,$D$88,$D$97))</f>
        <v>0</v>
      </c>
      <c r="F97" s="136">
        <f>IF(liq_FlowRateType="Liquid Volume Flow Rate",F87*F93/3600,Conv("m",F88,$D$88,$D$97))</f>
        <v>0</v>
      </c>
      <c r="G97" s="136">
        <f>IF(liq_FlowRateType="Liquid Volume Flow Rate",G87*G93/3600,Conv("m",G88,$D$88,$D$97))</f>
        <v>0</v>
      </c>
      <c r="H97" s="136">
        <f>IF(liq_FlowRateType="Liquid Volume Flow Rate",H87*H93/3600,Conv("m",H88,$D$88,$D$97))</f>
        <v>0</v>
      </c>
      <c r="I97" s="136">
        <f>IF(liq_FlowRateType="Liquid Volume Flow Rate",I87*I93/3600,Conv("m",I88,$D$88,$D$97))</f>
        <v>0</v>
      </c>
      <c r="J97" s="132"/>
      <c r="K97" s="121"/>
      <c r="L97" s="120"/>
      <c r="M97" s="120"/>
    </row>
    <row r="98" spans="1:15" s="127" customFormat="1" ht="12.75" hidden="1" customHeight="1" outlineLevel="1" x14ac:dyDescent="0.25">
      <c r="A98" s="125" t="s">
        <v>401</v>
      </c>
      <c r="B98" s="125"/>
      <c r="C98" s="125" t="s">
        <v>402</v>
      </c>
      <c r="D98" s="126"/>
      <c r="E98" s="126">
        <f>IF(E94=0,10001,
    70.7*$F$23*E96/((E94/E93)*(E96*(E93/(1000*(E89-E90)))^0.5*$F$21)^0.5)*($F$21^2*$F$20^2/0.00214+1)^0.25)</f>
        <v>10001</v>
      </c>
      <c r="F98" s="126">
        <f>IF(F94=0,10001,
    70.7*$F$23*F96/((F94/F93)*(F96*(F93/(1000*(F89-F90)))^0.5*$F$21)^0.5)*($F$21^2*$F$20^2/0.00214+1)^0.25)</f>
        <v>10001</v>
      </c>
      <c r="G98" s="126">
        <f>IF(G94=0,10001,
    70.7*$F$23*G96/((G94/G93)*(G96*(G93/(1000*(G89-G90)))^0.5*$F$21)^0.5)*($F$21^2*$F$20^2/0.00214+1)^0.25)</f>
        <v>10001</v>
      </c>
      <c r="H98" s="126">
        <f>IF(H94=0,10001,
    70.7*$F$23*H96/((H94/H93)*(H96*(H93/(1000*(H89-H90)))^0.5*$F$21)^0.5)*($F$21^2*$F$20^2/0.00214+1)^0.25)</f>
        <v>10001</v>
      </c>
      <c r="I98" s="126">
        <f>IF(I94=0,10001,
    70.7*$F$23*I96/((I94/I93)*(I96*(I93/(1000*(I89-I90)))^0.5*$F$21)^0.5)*($F$21^2*$F$20^2/0.00214+1)^0.25)</f>
        <v>10001</v>
      </c>
      <c r="J98" s="125"/>
      <c r="K98" s="125"/>
      <c r="L98" s="124"/>
      <c r="M98" s="124"/>
      <c r="N98" s="127" t="s">
        <v>403</v>
      </c>
      <c r="O98" s="127" t="s">
        <v>404</v>
      </c>
    </row>
    <row r="99" spans="1:15" s="127" customFormat="1" ht="12.75" hidden="1" customHeight="1" outlineLevel="1" x14ac:dyDescent="0.25">
      <c r="A99" s="125" t="s">
        <v>405</v>
      </c>
      <c r="B99" s="125"/>
      <c r="C99" s="125" t="s">
        <v>406</v>
      </c>
      <c r="D99" s="126"/>
      <c r="E99" s="126">
        <f>IF($F$20&gt;=0.016,
    0.00214/$F$20^2,
    1+127*$F$20^(2/3))</f>
        <v>8.359375</v>
      </c>
      <c r="F99" s="126">
        <f>IF($F$20&gt;=0.016,
    0.00214/$F$20^2,
    1+127*$F$20^(2/3))</f>
        <v>8.359375</v>
      </c>
      <c r="G99" s="126">
        <f>IF($F$20&gt;=0.016,
    0.00214/$F$20^2,
    1+127*$F$20^(2/3))</f>
        <v>8.359375</v>
      </c>
      <c r="H99" s="126">
        <f>IF($F$20&gt;=0.016,
    0.00214/$F$20^2,
    1+127*$F$20^(2/3))</f>
        <v>8.359375</v>
      </c>
      <c r="I99" s="126">
        <f>IF($F$20&gt;=0.016,
    0.00214/$F$20^2,
    1+127*$F$20^(2/3))</f>
        <v>8.359375</v>
      </c>
      <c r="J99" s="125"/>
      <c r="K99" s="125"/>
      <c r="L99" s="124"/>
      <c r="M99" s="124"/>
      <c r="N99" s="127" t="s">
        <v>407</v>
      </c>
      <c r="O99" s="127" t="s">
        <v>408</v>
      </c>
    </row>
    <row r="100" spans="1:15" s="127" customFormat="1" ht="12.75" hidden="1" customHeight="1" outlineLevel="1" x14ac:dyDescent="0.25">
      <c r="A100" s="125" t="s">
        <v>409</v>
      </c>
      <c r="B100" s="125"/>
      <c r="C100" s="125" t="s">
        <v>410</v>
      </c>
      <c r="D100" s="126"/>
      <c r="E100" s="126">
        <f>MIN(1,IF(E98&lt;10,
    0.026/$F$21*(E99*E98)^0.5,
      MIN(1+(0.33*$F$21^0.5/E99^0.25)*LOG(E98/10000),0.026/$F$21*(E99*E98)^0.5)))</f>
        <v>1</v>
      </c>
      <c r="F100" s="126">
        <f>MIN(1,IF(F98&lt;10,
    0.026/$F$21*(F99*F98)^0.5,
      MIN(1+(0.33*$F$21^0.5/F99^0.25)*LOG(F98/10000),0.026/$F$21*(F99*F98)^0.5)))</f>
        <v>1</v>
      </c>
      <c r="G100" s="126">
        <f>MIN(1,IF(G98&lt;10,
    0.026/$F$21*(G99*G98)^0.5,
      MIN(1+(0.33*$F$21^0.5/G99^0.25)*LOG(G98/10000),0.026/$F$21*(G99*G98)^0.5)))</f>
        <v>1</v>
      </c>
      <c r="H100" s="126">
        <f>MIN(1,IF(H98&lt;10,
    0.026/$F$21*(H99*H98)^0.5,
      MIN(1+(0.33*$F$21^0.5/H99^0.25)*LOG(H98/10000),0.026/$F$21*(H99*H98)^0.5)))</f>
        <v>1</v>
      </c>
      <c r="I100" s="126">
        <f>MIN(1,IF(I98&lt;10,
    0.026/$F$21*(I99*I98)^0.5,
      MIN(1+(0.33*$F$21^0.5/I99^0.25)*LOG(I98/10000),0.026/$F$21*(I99*I98)^0.5)))</f>
        <v>1</v>
      </c>
      <c r="J100" s="125"/>
      <c r="K100" s="125"/>
      <c r="L100" s="124"/>
      <c r="M100" s="124"/>
      <c r="N100" s="127" t="s">
        <v>411</v>
      </c>
      <c r="O100" s="127" t="s">
        <v>412</v>
      </c>
    </row>
    <row r="101" spans="1:15" s="127" customFormat="1" ht="12.75" hidden="1" customHeight="1" outlineLevel="1" x14ac:dyDescent="0.25">
      <c r="A101" s="125" t="s">
        <v>269</v>
      </c>
      <c r="B101" s="125"/>
      <c r="C101" s="125" t="s">
        <v>115</v>
      </c>
      <c r="D101" s="126" t="s">
        <v>270</v>
      </c>
      <c r="E101" s="126" t="e">
        <f>IF(E89-E90&lt;($E$84/$E$83)^2*(E89-E95*E92),
    E96/(1*$E$83*E100)*(E93/(1000*(E89-E90)))^0.5,
    E96/(1*$E$84*E100)*(E93/(1000*(E89-E95*E92)))^0.5)</f>
        <v>#DIV/0!</v>
      </c>
      <c r="F101" s="126" t="e">
        <f>IF(F89-F90&lt;($E$84/$E$83)^2*(F89-F95*F92),
    F96/(1*$E$83*F100)*(F93/(1000*(F89-F90)))^0.5,
    F96/(1*$E$84*F100)*(F93/(1000*(F89-F95*F92)))^0.5)</f>
        <v>#DIV/0!</v>
      </c>
      <c r="G101" s="126" t="e">
        <f>IF(G89-G90&lt;($E$84/$E$83)^2*(G89-G95*G92),
    G96/(1*$E$83*G100)*(G93/(1000*(G89-G90)))^0.5,
    G96/(1*$E$84*G100)*(G93/(1000*(G89-G95*G92)))^0.5)</f>
        <v>#DIV/0!</v>
      </c>
      <c r="H101" s="126" t="e">
        <f>IF(H89-H90&lt;($E$84/$E$83)^2*(H89-H95*H92),
    H96/(1*$E$83*H100)*(H93/(1000*(H89-H90)))^0.5,
    H96/(1*$E$84*H100)*(H93/(1000*(H89-H95*H92)))^0.5)</f>
        <v>#DIV/0!</v>
      </c>
      <c r="I101" s="126" t="e">
        <f>IF(I89-I90&lt;($E$84/$E$83)^2*(I89-I95*I92),
    I96/(1*$E$83*I100)*(I93/(1000*(I89-I90)))^0.5,
    I96/(1*$E$84*I100)*(I93/(1000*(I89-I95*I92)))^0.5)</f>
        <v>#DIV/0!</v>
      </c>
      <c r="J101" s="125"/>
      <c r="K101" s="125"/>
      <c r="L101" s="124"/>
      <c r="M101" s="124"/>
      <c r="N101" s="127" t="s">
        <v>413</v>
      </c>
      <c r="O101" s="127" t="s">
        <v>414</v>
      </c>
    </row>
    <row r="102" spans="1:15" s="127" customFormat="1" ht="12.75" hidden="1" customHeight="1" outlineLevel="1" x14ac:dyDescent="0.25">
      <c r="A102" s="125" t="s">
        <v>518</v>
      </c>
      <c r="B102" s="125"/>
      <c r="C102" s="125" t="s">
        <v>222</v>
      </c>
      <c r="D102" s="126"/>
      <c r="E102" s="126" t="e">
        <f>wtrpth(E89,E91,1)</f>
        <v>#VALUE!</v>
      </c>
      <c r="F102" s="126"/>
      <c r="G102" s="126"/>
      <c r="H102" s="126"/>
      <c r="I102" s="126"/>
      <c r="J102" s="125"/>
      <c r="K102" s="125"/>
      <c r="L102" s="124"/>
      <c r="M102" s="124"/>
    </row>
    <row r="103" spans="1:15" s="127" customFormat="1" ht="12.75" hidden="1" customHeight="1" outlineLevel="1" x14ac:dyDescent="0.25">
      <c r="A103" s="125" t="s">
        <v>519</v>
      </c>
      <c r="B103" s="125"/>
      <c r="C103" s="125" t="s">
        <v>520</v>
      </c>
      <c r="D103" s="126"/>
      <c r="E103" s="126" t="e">
        <f>wtrPHQ(E90,E102,1)</f>
        <v>#VALUE!</v>
      </c>
      <c r="F103" s="126"/>
      <c r="G103" s="126"/>
      <c r="H103" s="126"/>
      <c r="I103" s="126"/>
      <c r="J103" s="125"/>
      <c r="K103" s="125"/>
      <c r="L103" s="124"/>
      <c r="M103" s="124"/>
    </row>
    <row r="104" spans="1:15" s="127" customFormat="1" ht="12.75" hidden="1" customHeight="1" outlineLevel="1" x14ac:dyDescent="0.25">
      <c r="A104" s="125" t="s">
        <v>415</v>
      </c>
      <c r="B104" s="125"/>
      <c r="C104" s="125" t="s">
        <v>416</v>
      </c>
      <c r="D104" s="126" t="s">
        <v>361</v>
      </c>
      <c r="E104" s="126" t="e">
        <f>IF(E90&lt;E92,Conv("U",75,"ft/s","m/s"),
    MAX(MIN((2*10^5*(E90-E92)/E93)^0.5,Conv("U",100,"ft/s","m/s")),Conv("U",75,"ft/s","m/s")))</f>
        <v>#DIV/0!</v>
      </c>
      <c r="F104" s="126" t="e">
        <f>IF(F90&lt;F92,Conv("U",75,"ft/s","m/s"),
    MAX(MIN((200000*(F90-F92)/F93)^0.5,Conv("U",100,"ft/s","m/s")),Conv("U",75,"ft/s","m/s")))</f>
        <v>#DIV/0!</v>
      </c>
      <c r="G104" s="126" t="e">
        <f>IF(G90&lt;G92,Conv("U",75,"ft/s","m/s"),
    MAX(MIN((200000*(G90-G92)/G93)^0.5,Conv("U",100,"ft/s","m/s")),Conv("U",75,"ft/s","m/s")))</f>
        <v>#DIV/0!</v>
      </c>
      <c r="H104" s="126" t="e">
        <f>IF(H90&lt;H92,Conv("U",75,"ft/s","m/s"),
    MAX(MIN((200000*(H90-H92)/H93)^0.5,Conv("U",100,"ft/s","m/s")),Conv("U",75,"ft/s","m/s")))</f>
        <v>#DIV/0!</v>
      </c>
      <c r="I104" s="126" t="e">
        <f>IF(I90&lt;I92,Conv("U",75,"ft/s","m/s"),
    MAX(MIN((200000*(I90-I92)/I93)^0.5,Conv("U",100,"ft/s","m/s")),Conv("U",75,"ft/s","m/s")))</f>
        <v>#DIV/0!</v>
      </c>
      <c r="J104" s="125"/>
      <c r="K104" s="125"/>
      <c r="L104" s="124"/>
      <c r="M104" s="124"/>
    </row>
    <row r="105" spans="1:15" s="127" customFormat="1" ht="12.75" hidden="1" customHeight="1" outlineLevel="1" x14ac:dyDescent="0.25">
      <c r="A105" s="125" t="s">
        <v>417</v>
      </c>
      <c r="B105" s="125"/>
      <c r="C105" s="125" t="s">
        <v>364</v>
      </c>
      <c r="D105" s="126" t="s">
        <v>432</v>
      </c>
      <c r="E105" s="126" t="e">
        <f>LiqrhoVKE(E93,E104,1)</f>
        <v>#VALUE!</v>
      </c>
      <c r="F105" s="126" t="e">
        <f>LiqrhoVKE(F93,F104,1)</f>
        <v>#VALUE!</v>
      </c>
      <c r="G105" s="126" t="e">
        <f>LiqrhoVKE(G93,G104,1)</f>
        <v>#VALUE!</v>
      </c>
      <c r="H105" s="126" t="e">
        <f>LiqrhoVKE(H93,H104,1)</f>
        <v>#VALUE!</v>
      </c>
      <c r="I105" s="126" t="e">
        <f>LiqrhoVKE(I93,I104,1)</f>
        <v>#VALUE!</v>
      </c>
      <c r="J105" s="125"/>
      <c r="K105" s="125"/>
      <c r="L105" s="124"/>
      <c r="M105" s="124"/>
    </row>
    <row r="106" spans="1:15" s="127" customFormat="1" ht="12.75" hidden="1" customHeight="1" outlineLevel="1" x14ac:dyDescent="0.25">
      <c r="A106" s="125" t="s">
        <v>418</v>
      </c>
      <c r="B106" s="125"/>
      <c r="C106" s="125" t="s">
        <v>419</v>
      </c>
      <c r="D106" s="126" t="s">
        <v>367</v>
      </c>
      <c r="E106" s="126" t="str">
        <f>IF(E30="","",
    (4*E97/(PI()*E104*E93))^0.5)</f>
        <v/>
      </c>
      <c r="F106" s="126" t="str">
        <f>IF(F30="","",
    (4*F97/(PI()*F104*F93))^0.5)</f>
        <v/>
      </c>
      <c r="G106" s="126" t="str">
        <f>IF(G30="","",
    (4*G97/(PI()*G104*G93))^0.5)</f>
        <v/>
      </c>
      <c r="H106" s="126" t="str">
        <f>IF(H30="","",
    (4*H97/(PI()*H104*H93))^0.5)</f>
        <v/>
      </c>
      <c r="I106" s="126" t="str">
        <f>IF(I30="","",
    (4*I97/(PI()*I104*I93))^0.5)</f>
        <v/>
      </c>
      <c r="J106" s="125"/>
      <c r="K106" s="125"/>
      <c r="L106" s="124"/>
      <c r="M106" s="124"/>
    </row>
    <row r="107" spans="1:15" s="127" customFormat="1" ht="12.75" hidden="1" customHeight="1" outlineLevel="1" x14ac:dyDescent="0.25">
      <c r="A107" s="125" t="s">
        <v>420</v>
      </c>
      <c r="B107" s="125"/>
      <c r="C107" s="125" t="s">
        <v>421</v>
      </c>
      <c r="D107" s="126" t="s">
        <v>367</v>
      </c>
      <c r="E107" s="126">
        <f>MAX(E106:I106)</f>
        <v>0</v>
      </c>
      <c r="F107" s="126"/>
      <c r="G107" s="126"/>
      <c r="H107" s="126"/>
      <c r="I107" s="126"/>
      <c r="J107" s="125"/>
      <c r="K107" s="125"/>
      <c r="L107" s="124"/>
      <c r="M107" s="124"/>
    </row>
    <row r="108" spans="1:15" s="91" customFormat="1" ht="12.75" hidden="1" customHeight="1" outlineLevel="1" x14ac:dyDescent="0.25">
      <c r="A108" s="135"/>
      <c r="B108" s="135"/>
      <c r="C108" s="135"/>
      <c r="D108" s="97"/>
      <c r="E108" s="135"/>
      <c r="F108" s="135"/>
      <c r="G108" s="135"/>
      <c r="H108" s="135"/>
      <c r="I108" s="135"/>
      <c r="J108" s="135"/>
      <c r="K108" s="135"/>
      <c r="L108" s="89"/>
      <c r="M108" s="89"/>
      <c r="O108" s="234"/>
    </row>
    <row r="109" spans="1:15" ht="12.75" customHeight="1" collapsed="1" x14ac:dyDescent="0.25">
      <c r="G109" s="179"/>
    </row>
    <row r="110" spans="1:15" ht="12.75" customHeight="1" x14ac:dyDescent="0.25">
      <c r="G110" s="179"/>
    </row>
    <row r="111" spans="1:15" ht="12.75" customHeight="1" x14ac:dyDescent="0.25">
      <c r="G111" s="179"/>
    </row>
    <row r="112" spans="1:15" ht="12.75" customHeight="1" x14ac:dyDescent="0.25">
      <c r="G112" s="179"/>
    </row>
    <row r="113" spans="7:13" ht="12.75" customHeight="1" x14ac:dyDescent="0.25">
      <c r="G113" s="179"/>
    </row>
    <row r="114" spans="7:13" ht="12.75" customHeight="1" x14ac:dyDescent="0.25">
      <c r="G114" s="179"/>
    </row>
    <row r="115" spans="7:13" ht="12.75" customHeight="1" x14ac:dyDescent="0.25">
      <c r="G115" s="179"/>
    </row>
    <row r="116" spans="7:13" ht="12.75" customHeight="1" x14ac:dyDescent="0.25">
      <c r="G116" s="179"/>
    </row>
    <row r="117" spans="7:13" ht="12.75" customHeight="1" x14ac:dyDescent="0.25">
      <c r="G117" s="179"/>
    </row>
    <row r="122" spans="7:13" ht="12.75" customHeight="1" x14ac:dyDescent="0.3">
      <c r="L122" s="178"/>
      <c r="M122" s="178"/>
    </row>
    <row r="123" spans="7:13" ht="12.75" customHeight="1" x14ac:dyDescent="0.25">
      <c r="L123" s="181"/>
      <c r="M123" s="181"/>
    </row>
    <row r="125" spans="7:13" ht="12.75" customHeight="1" x14ac:dyDescent="0.25">
      <c r="L125" s="182"/>
      <c r="M125" s="182"/>
    </row>
    <row r="126" spans="7:13" ht="12.75" customHeight="1" x14ac:dyDescent="0.25">
      <c r="L126" s="182"/>
      <c r="M126" s="182"/>
    </row>
    <row r="127" spans="7:13" ht="12.75" customHeight="1" x14ac:dyDescent="0.25">
      <c r="L127" s="182"/>
      <c r="M127" s="182"/>
    </row>
    <row r="128" spans="7:13" ht="12.75" customHeight="1" x14ac:dyDescent="0.25">
      <c r="L128" s="182"/>
      <c r="M128" s="182"/>
    </row>
    <row r="129" spans="12:13" ht="12.75" customHeight="1" x14ac:dyDescent="0.25">
      <c r="L129" s="182"/>
      <c r="M129" s="182"/>
    </row>
    <row r="130" spans="12:13" ht="12.75" customHeight="1" x14ac:dyDescent="0.25">
      <c r="L130" s="182"/>
      <c r="M130" s="182"/>
    </row>
    <row r="131" spans="12:13" ht="12.75" customHeight="1" x14ac:dyDescent="0.25">
      <c r="L131" s="182"/>
      <c r="M131" s="182"/>
    </row>
    <row r="132" spans="12:13" ht="12.75" customHeight="1" x14ac:dyDescent="0.25">
      <c r="L132" s="182"/>
      <c r="M132" s="182"/>
    </row>
    <row r="133" spans="12:13" ht="12.75" customHeight="1" x14ac:dyDescent="0.25">
      <c r="L133" s="182"/>
      <c r="M133" s="182"/>
    </row>
    <row r="134" spans="12:13" ht="12.75" customHeight="1" x14ac:dyDescent="0.25">
      <c r="L134" s="182"/>
      <c r="M134" s="182"/>
    </row>
    <row r="135" spans="12:13" ht="12.75" customHeight="1" x14ac:dyDescent="0.25">
      <c r="L135" s="182"/>
      <c r="M135" s="182"/>
    </row>
    <row r="136" spans="12:13" ht="12.75" customHeight="1" x14ac:dyDescent="0.25">
      <c r="L136" s="182"/>
      <c r="M136" s="182"/>
    </row>
    <row r="137" spans="12:13" ht="12.75" customHeight="1" x14ac:dyDescent="0.25">
      <c r="L137" s="182"/>
      <c r="M137" s="182"/>
    </row>
    <row r="138" spans="12:13" ht="12.75" customHeight="1" x14ac:dyDescent="0.25">
      <c r="L138" s="182"/>
      <c r="M138" s="182"/>
    </row>
    <row r="139" spans="12:13" ht="12.75" customHeight="1" x14ac:dyDescent="0.25">
      <c r="L139" s="182"/>
      <c r="M139" s="182"/>
    </row>
    <row r="140" spans="12:13" ht="12.75" customHeight="1" x14ac:dyDescent="0.25">
      <c r="L140" s="182"/>
      <c r="M140" s="182"/>
    </row>
    <row r="141" spans="12:13" ht="12.75" customHeight="1" x14ac:dyDescent="0.25">
      <c r="L141" s="182"/>
      <c r="M141" s="182"/>
    </row>
    <row r="142" spans="12:13" ht="12.75" customHeight="1" x14ac:dyDescent="0.25">
      <c r="L142" s="182"/>
      <c r="M142" s="182"/>
    </row>
    <row r="143" spans="12:13" ht="12.75" customHeight="1" x14ac:dyDescent="0.25">
      <c r="L143" s="182"/>
      <c r="M143" s="182"/>
    </row>
    <row r="144" spans="12:13" ht="12.75" customHeight="1" x14ac:dyDescent="0.25">
      <c r="L144" s="182"/>
      <c r="M144" s="182"/>
    </row>
    <row r="145" spans="12:13" ht="12.75" customHeight="1" x14ac:dyDescent="0.25">
      <c r="L145" s="182"/>
      <c r="M145" s="182"/>
    </row>
    <row r="146" spans="12:13" ht="12.75" customHeight="1" x14ac:dyDescent="0.25">
      <c r="L146" s="182"/>
      <c r="M146" s="182"/>
    </row>
    <row r="147" spans="12:13" ht="12.75" customHeight="1" x14ac:dyDescent="0.25">
      <c r="L147" s="182"/>
      <c r="M147" s="182"/>
    </row>
    <row r="148" spans="12:13" ht="12.75" customHeight="1" x14ac:dyDescent="0.25">
      <c r="L148" s="182"/>
      <c r="M148" s="182"/>
    </row>
    <row r="149" spans="12:13" ht="12.75" customHeight="1" x14ac:dyDescent="0.25">
      <c r="L149" s="182"/>
      <c r="M149" s="182"/>
    </row>
    <row r="150" spans="12:13" ht="12.75" customHeight="1" x14ac:dyDescent="0.25">
      <c r="L150" s="182"/>
      <c r="M150" s="182"/>
    </row>
    <row r="151" spans="12:13" ht="12.75" customHeight="1" x14ac:dyDescent="0.25">
      <c r="L151" s="182"/>
      <c r="M151" s="182"/>
    </row>
    <row r="152" spans="12:13" ht="12.75" customHeight="1" x14ac:dyDescent="0.25">
      <c r="L152" s="182"/>
      <c r="M152" s="182"/>
    </row>
    <row r="153" spans="12:13" ht="12.75" customHeight="1" x14ac:dyDescent="0.25">
      <c r="L153" s="182"/>
      <c r="M153" s="182"/>
    </row>
    <row r="154" spans="12:13" ht="12.75" customHeight="1" x14ac:dyDescent="0.25">
      <c r="L154" s="182"/>
      <c r="M154" s="182"/>
    </row>
    <row r="155" spans="12:13" ht="12.75" customHeight="1" x14ac:dyDescent="0.25">
      <c r="L155" s="182"/>
      <c r="M155" s="182"/>
    </row>
    <row r="156" spans="12:13" ht="12.75" customHeight="1" x14ac:dyDescent="0.25">
      <c r="L156" s="182"/>
      <c r="M156" s="182"/>
    </row>
    <row r="157" spans="12:13" ht="12.75" customHeight="1" x14ac:dyDescent="0.25">
      <c r="L157" s="182"/>
      <c r="M157" s="182"/>
    </row>
    <row r="158" spans="12:13" ht="12.75" customHeight="1" x14ac:dyDescent="0.25">
      <c r="L158" s="182"/>
      <c r="M158" s="182"/>
    </row>
    <row r="159" spans="12:13" ht="12.75" customHeight="1" x14ac:dyDescent="0.25">
      <c r="L159" s="182"/>
      <c r="M159" s="182"/>
    </row>
    <row r="160" spans="12:13" ht="12.75" customHeight="1" x14ac:dyDescent="0.25">
      <c r="L160" s="182"/>
      <c r="M160" s="182"/>
    </row>
    <row r="161" spans="12:13" ht="12.75" customHeight="1" x14ac:dyDescent="0.25">
      <c r="L161" s="182"/>
      <c r="M161" s="182"/>
    </row>
    <row r="162" spans="12:13" ht="12.75" customHeight="1" x14ac:dyDescent="0.25">
      <c r="L162" s="182"/>
      <c r="M162" s="182"/>
    </row>
    <row r="163" spans="12:13" ht="12.75" customHeight="1" x14ac:dyDescent="0.25">
      <c r="L163" s="182"/>
      <c r="M163" s="182"/>
    </row>
    <row r="164" spans="12:13" ht="12.75" customHeight="1" x14ac:dyDescent="0.25">
      <c r="L164" s="182"/>
      <c r="M164" s="182"/>
    </row>
    <row r="165" spans="12:13" ht="12.75" customHeight="1" x14ac:dyDescent="0.25">
      <c r="L165" s="182"/>
      <c r="M165" s="182"/>
    </row>
    <row r="166" spans="12:13" ht="12.75" customHeight="1" x14ac:dyDescent="0.25">
      <c r="L166" s="182"/>
      <c r="M166" s="182"/>
    </row>
    <row r="167" spans="12:13" ht="12.75" customHeight="1" x14ac:dyDescent="0.25">
      <c r="L167" s="182"/>
      <c r="M167" s="182"/>
    </row>
    <row r="168" spans="12:13" ht="12.75" customHeight="1" x14ac:dyDescent="0.25">
      <c r="L168" s="182"/>
      <c r="M168" s="182"/>
    </row>
    <row r="169" spans="12:13" ht="12.75" customHeight="1" x14ac:dyDescent="0.25">
      <c r="L169" s="182"/>
      <c r="M169" s="182"/>
    </row>
    <row r="170" spans="12:13" ht="12.75" customHeight="1" x14ac:dyDescent="0.25">
      <c r="L170" s="182"/>
      <c r="M170" s="182"/>
    </row>
    <row r="171" spans="12:13" ht="12.75" customHeight="1" x14ac:dyDescent="0.25">
      <c r="L171" s="182"/>
      <c r="M171" s="182"/>
    </row>
    <row r="172" spans="12:13" ht="12.75" customHeight="1" x14ac:dyDescent="0.25">
      <c r="L172" s="182"/>
      <c r="M172" s="182"/>
    </row>
    <row r="173" spans="12:13" ht="12.75" customHeight="1" x14ac:dyDescent="0.25">
      <c r="L173" s="182"/>
      <c r="M173" s="182"/>
    </row>
    <row r="174" spans="12:13" ht="12.75" customHeight="1" x14ac:dyDescent="0.25">
      <c r="L174" s="182"/>
      <c r="M174" s="182"/>
    </row>
    <row r="175" spans="12:13" ht="12.75" customHeight="1" x14ac:dyDescent="0.25">
      <c r="L175" s="182"/>
      <c r="M175" s="182"/>
    </row>
    <row r="176" spans="12:13" ht="12.75" customHeight="1" x14ac:dyDescent="0.25">
      <c r="L176" s="182"/>
      <c r="M176" s="182"/>
    </row>
    <row r="177" spans="12:13" ht="12.75" customHeight="1" x14ac:dyDescent="0.25">
      <c r="L177" s="182"/>
      <c r="M177" s="182"/>
    </row>
    <row r="178" spans="12:13" ht="12.75" customHeight="1" x14ac:dyDescent="0.25">
      <c r="L178" s="182"/>
      <c r="M178" s="182"/>
    </row>
    <row r="179" spans="12:13" ht="12.75" customHeight="1" x14ac:dyDescent="0.25">
      <c r="L179" s="182"/>
      <c r="M179" s="182"/>
    </row>
    <row r="180" spans="12:13" ht="12.75" customHeight="1" x14ac:dyDescent="0.25">
      <c r="L180" s="182"/>
      <c r="M180" s="182"/>
    </row>
    <row r="181" spans="12:13" ht="12.75" customHeight="1" x14ac:dyDescent="0.25">
      <c r="L181" s="182"/>
      <c r="M181" s="182"/>
    </row>
    <row r="182" spans="12:13" ht="12.75" customHeight="1" x14ac:dyDescent="0.25">
      <c r="L182" s="182"/>
      <c r="M182" s="182"/>
    </row>
    <row r="183" spans="12:13" ht="12.75" customHeight="1" x14ac:dyDescent="0.25">
      <c r="L183" s="182"/>
      <c r="M183" s="182"/>
    </row>
    <row r="184" spans="12:13" ht="12.75" customHeight="1" x14ac:dyDescent="0.25">
      <c r="L184" s="182"/>
      <c r="M184" s="182"/>
    </row>
    <row r="185" spans="12:13" ht="12.75" customHeight="1" x14ac:dyDescent="0.25">
      <c r="L185" s="182"/>
      <c r="M185" s="182"/>
    </row>
    <row r="186" spans="12:13" ht="12.75" customHeight="1" x14ac:dyDescent="0.25">
      <c r="L186" s="182"/>
      <c r="M186" s="182"/>
    </row>
    <row r="187" spans="12:13" ht="12.75" customHeight="1" x14ac:dyDescent="0.25">
      <c r="L187" s="182"/>
      <c r="M187" s="182"/>
    </row>
    <row r="188" spans="12:13" ht="12.75" customHeight="1" x14ac:dyDescent="0.25">
      <c r="L188" s="182"/>
      <c r="M188" s="182"/>
    </row>
    <row r="189" spans="12:13" ht="12.75" customHeight="1" x14ac:dyDescent="0.25">
      <c r="L189" s="182"/>
      <c r="M189" s="182"/>
    </row>
    <row r="190" spans="12:13" ht="12.75" customHeight="1" x14ac:dyDescent="0.25">
      <c r="L190" s="182"/>
      <c r="M190" s="182"/>
    </row>
    <row r="191" spans="12:13" ht="12.75" customHeight="1" x14ac:dyDescent="0.25">
      <c r="L191" s="182"/>
      <c r="M191" s="182"/>
    </row>
    <row r="192" spans="12:13" ht="12.75" customHeight="1" x14ac:dyDescent="0.25">
      <c r="L192" s="182"/>
      <c r="M192" s="182"/>
    </row>
    <row r="193" spans="12:13" ht="12.75" customHeight="1" x14ac:dyDescent="0.25">
      <c r="L193" s="182"/>
      <c r="M193" s="182"/>
    </row>
    <row r="194" spans="12:13" ht="12.75" customHeight="1" x14ac:dyDescent="0.25">
      <c r="L194" s="182"/>
      <c r="M194" s="182"/>
    </row>
    <row r="195" spans="12:13" ht="12.75" customHeight="1" x14ac:dyDescent="0.25">
      <c r="L195" s="182"/>
      <c r="M195" s="182"/>
    </row>
    <row r="196" spans="12:13" ht="12.75" customHeight="1" x14ac:dyDescent="0.25">
      <c r="L196" s="182"/>
      <c r="M196" s="182"/>
    </row>
    <row r="197" spans="12:13" ht="12.75" customHeight="1" x14ac:dyDescent="0.25">
      <c r="L197" s="182"/>
      <c r="M197" s="182"/>
    </row>
  </sheetData>
  <mergeCells count="83">
    <mergeCell ref="A61:B61"/>
    <mergeCell ref="A69:C69"/>
    <mergeCell ref="A70:C70"/>
    <mergeCell ref="A51:C51"/>
    <mergeCell ref="A52:C52"/>
    <mergeCell ref="A54:I54"/>
    <mergeCell ref="A55:B55"/>
    <mergeCell ref="A56:B56"/>
    <mergeCell ref="A57:B57"/>
    <mergeCell ref="A58:B58"/>
    <mergeCell ref="A59:B59"/>
    <mergeCell ref="A60:B60"/>
    <mergeCell ref="A71:C71"/>
    <mergeCell ref="A72:C72"/>
    <mergeCell ref="A73:C73"/>
    <mergeCell ref="A62:B62"/>
    <mergeCell ref="A63:B63"/>
    <mergeCell ref="A64:B64"/>
    <mergeCell ref="A65:B65"/>
    <mergeCell ref="A68:C68"/>
    <mergeCell ref="A67:H67"/>
    <mergeCell ref="A49:I49"/>
    <mergeCell ref="E38:I38"/>
    <mergeCell ref="A39:C39"/>
    <mergeCell ref="A40:C40"/>
    <mergeCell ref="A41:C41"/>
    <mergeCell ref="A42:C42"/>
    <mergeCell ref="A43:C43"/>
    <mergeCell ref="A44:C44"/>
    <mergeCell ref="A45:C45"/>
    <mergeCell ref="A46:C46"/>
    <mergeCell ref="A47:C47"/>
    <mergeCell ref="A33:C33"/>
    <mergeCell ref="A34:C34"/>
    <mergeCell ref="A35:C35"/>
    <mergeCell ref="A36:C36"/>
    <mergeCell ref="A38:C38"/>
    <mergeCell ref="A28:C28"/>
    <mergeCell ref="A29:C29"/>
    <mergeCell ref="A30:C30"/>
    <mergeCell ref="A31:C31"/>
    <mergeCell ref="A32:C32"/>
    <mergeCell ref="A24:C24"/>
    <mergeCell ref="A25:C25"/>
    <mergeCell ref="A26:C26"/>
    <mergeCell ref="E26:I26"/>
    <mergeCell ref="A27:C27"/>
    <mergeCell ref="A19:C19"/>
    <mergeCell ref="A20:B20"/>
    <mergeCell ref="A21:B21"/>
    <mergeCell ref="A22:B22"/>
    <mergeCell ref="A23:B23"/>
    <mergeCell ref="A15:C15"/>
    <mergeCell ref="D15:F15"/>
    <mergeCell ref="A16:C16"/>
    <mergeCell ref="A17:C17"/>
    <mergeCell ref="A18:C18"/>
    <mergeCell ref="A13:C13"/>
    <mergeCell ref="D13:F13"/>
    <mergeCell ref="A14:C14"/>
    <mergeCell ref="D14:F14"/>
    <mergeCell ref="D4:G4"/>
    <mergeCell ref="A12:C12"/>
    <mergeCell ref="D12:F12"/>
    <mergeCell ref="A2:B7"/>
    <mergeCell ref="D6:E6"/>
    <mergeCell ref="D5:E5"/>
    <mergeCell ref="D2:E2"/>
    <mergeCell ref="A10:C10"/>
    <mergeCell ref="D10:F10"/>
    <mergeCell ref="A1:D1"/>
    <mergeCell ref="F1:H1"/>
    <mergeCell ref="I1:K1"/>
    <mergeCell ref="D3:G3"/>
    <mergeCell ref="I3:K3"/>
    <mergeCell ref="I4:K4"/>
    <mergeCell ref="D7:G7"/>
    <mergeCell ref="I5:K5"/>
    <mergeCell ref="I6:K6"/>
    <mergeCell ref="A11:C11"/>
    <mergeCell ref="D11:F11"/>
    <mergeCell ref="A9:C9"/>
    <mergeCell ref="D9:F9"/>
  </mergeCells>
  <conditionalFormatting sqref="E41:I42">
    <cfRule type="cellIs" dxfId="13" priority="33" stopIfTrue="1" operator="equal">
      <formula>"GAS"</formula>
    </cfRule>
  </conditionalFormatting>
  <conditionalFormatting sqref="F20:F23 E17:F18 E25 E27:I36">
    <cfRule type="expression" dxfId="12" priority="39" stopIfTrue="1">
      <formula>NOT(ISBLANK(E17))</formula>
    </cfRule>
  </conditionalFormatting>
  <conditionalFormatting sqref="A12:C13 A16:F18 A42:J45 A39:J40 A24:F25 A28:J36">
    <cfRule type="expression" dxfId="11" priority="32" stopIfTrue="1">
      <formula>$L12="Not Req'd"</formula>
    </cfRule>
  </conditionalFormatting>
  <conditionalFormatting sqref="E55:I65">
    <cfRule type="cellIs" dxfId="10" priority="130" stopIfTrue="1" operator="greaterThan">
      <formula>Conv("U",E$104,"m/s",$D$52)</formula>
    </cfRule>
  </conditionalFormatting>
  <conditionalFormatting sqref="D12:F12">
    <cfRule type="expression" dxfId="9" priority="2">
      <formula>$L12="Not Req'd"</formula>
    </cfRule>
  </conditionalFormatting>
  <conditionalFormatting sqref="D13:F13">
    <cfRule type="expression" dxfId="8" priority="1">
      <formula>$L13="Not Req'd"</formula>
    </cfRule>
  </conditionalFormatting>
  <dataValidations count="16">
    <dataValidation type="list" allowBlank="1" showInputMessage="1" showErrorMessage="1" sqref="D52">
      <formula1>"ft/s,m/s"</formula1>
    </dataValidation>
    <dataValidation type="list" allowBlank="1" showInputMessage="1" showErrorMessage="1" sqref="D47">
      <formula1>"Cv,Kv"</formula1>
    </dataValidation>
    <dataValidation type="list" allowBlank="1" showInputMessage="1" showErrorMessage="1" sqref="D44 D35">
      <formula1>"kg/m3,lb/ft3,g/cm3"</formula1>
    </dataValidation>
    <dataValidation type="list" allowBlank="1" showInputMessage="1" showErrorMessage="1" sqref="D45 D36">
      <formula1>"cpoise,lb-s/ft2,lb/ft-s"</formula1>
    </dataValidation>
    <dataValidation type="list" allowBlank="1" showInputMessage="1" showErrorMessage="1" sqref="D42 D28">
      <formula1>"m3/h,GPM,L/min,BPD,m3/s"</formula1>
    </dataValidation>
    <dataValidation type="list" allowBlank="1" showInputMessage="1" sqref="D10:F10">
      <formula1>FluidNames</formula1>
    </dataValidation>
    <dataValidation type="list" allowBlank="1" showInputMessage="1" showErrorMessage="1" sqref="D15">
      <formula1>ValveTypes</formula1>
    </dataValidation>
    <dataValidation type="list" allowBlank="1" showInputMessage="1" showErrorMessage="1" sqref="D12">
      <formula1>"Direct Input,From Specific Gravity"</formula1>
    </dataValidation>
    <dataValidation type="list" allowBlank="1" showInputMessage="1" showErrorMessage="1" sqref="D13">
      <formula1>"Ignore Effects,Calculate Effect"</formula1>
    </dataValidation>
    <dataValidation type="list" allowBlank="1" showInputMessage="1" showErrorMessage="1" sqref="D14">
      <formula1>"Ignore Correction,Calculate Correction"</formula1>
    </dataValidation>
    <dataValidation type="list" allowBlank="1" showInputMessage="1" showErrorMessage="1" sqref="D17">
      <formula1>"mm,in."</formula1>
    </dataValidation>
    <dataValidation type="list" allowBlank="1" showInputMessage="1" showErrorMessage="1" sqref="D29">
      <formula1>"kg/s,kg/h,lb/h,mt/h"</formula1>
    </dataValidation>
    <dataValidation type="list" allowBlank="1" showInputMessage="1" showErrorMessage="1" sqref="D32">
      <formula1>"deg C,deg F,K,deg R"</formula1>
    </dataValidation>
    <dataValidation type="list" allowBlank="1" showInputMessage="1" showErrorMessage="1" sqref="D30 D33 D25">
      <formula1>"barA,barG,MPaA,MPaG,psiA,psiG,kPaA,kPaG,kg/cm2A,kg/cm2G"</formula1>
    </dataValidation>
    <dataValidation type="list" allowBlank="1" showInputMessage="1" showErrorMessage="1" sqref="D11:F11">
      <formula1>"Liquid Volume Flow Rate, Mass Flow Rate"</formula1>
    </dataValidation>
    <dataValidation type="list" allowBlank="1" showInputMessage="1" showErrorMessage="1" sqref="A31:C31">
      <formula1>"Outlet Pressure, Pressure Drop"</formula1>
    </dataValidation>
  </dataValidations>
  <pageMargins left="0.51" right="0.35" top="0.54" bottom="1.08" header="0.46" footer="0.5"/>
  <pageSetup paperSize="9" scale="6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Sheet2">
    <pageSetUpPr fitToPage="1"/>
  </sheetPr>
  <dimension ref="A1:U195"/>
  <sheetViews>
    <sheetView showGridLines="0" zoomScaleNormal="100" workbookViewId="0">
      <selection activeCell="D2" sqref="D2:E2"/>
    </sheetView>
  </sheetViews>
  <sheetFormatPr defaultColWidth="13.90625" defaultRowHeight="12.5" outlineLevelRow="1" x14ac:dyDescent="0.25"/>
  <cols>
    <col min="1" max="11" width="12.6328125" style="92" customWidth="1"/>
    <col min="12" max="12" width="12.6328125" style="89" hidden="1" customWidth="1"/>
    <col min="13" max="13" width="15.6328125" style="89" hidden="1" customWidth="1"/>
    <col min="14" max="14" width="14.6328125" style="91" hidden="1" customWidth="1"/>
    <col min="15" max="15" width="49" style="91" hidden="1" customWidth="1"/>
    <col min="16" max="16" width="13.90625" style="92"/>
    <col min="17" max="18" width="13.90625" style="151"/>
    <col min="19" max="16384" width="13.90625" style="92"/>
  </cols>
  <sheetData>
    <row r="1" spans="1:18" ht="18" thickBot="1" x14ac:dyDescent="0.4">
      <c r="A1" s="335" t="s">
        <v>515</v>
      </c>
      <c r="B1" s="336"/>
      <c r="C1" s="336"/>
      <c r="D1" s="336"/>
      <c r="E1" s="183" t="str">
        <f>Liquid!E1</f>
        <v>Rev 2.1</v>
      </c>
      <c r="F1" s="382"/>
      <c r="G1" s="382"/>
      <c r="H1" s="382"/>
      <c r="I1" s="383">
        <f ca="1">NOW()</f>
        <v>42845.618730902781</v>
      </c>
      <c r="J1" s="383"/>
      <c r="K1" s="384"/>
      <c r="L1" s="65" t="s">
        <v>431</v>
      </c>
      <c r="M1" s="65" t="s">
        <v>173</v>
      </c>
      <c r="N1" s="67" t="s">
        <v>174</v>
      </c>
      <c r="O1" s="67" t="s">
        <v>175</v>
      </c>
    </row>
    <row r="2" spans="1:18" ht="12.75" customHeight="1" x14ac:dyDescent="0.3">
      <c r="A2" s="341" t="s">
        <v>176</v>
      </c>
      <c r="B2" s="342"/>
      <c r="C2" s="71" t="s">
        <v>438</v>
      </c>
      <c r="D2" s="347"/>
      <c r="E2" s="347"/>
      <c r="F2" s="73" t="s">
        <v>450</v>
      </c>
      <c r="G2" s="74"/>
      <c r="H2" s="71" t="s">
        <v>443</v>
      </c>
      <c r="I2" s="311">
        <v>1</v>
      </c>
      <c r="J2" s="75" t="s">
        <v>444</v>
      </c>
      <c r="K2" s="74">
        <v>1</v>
      </c>
      <c r="L2" s="70"/>
      <c r="M2" s="70"/>
    </row>
    <row r="3" spans="1:18" ht="12.75" customHeight="1" x14ac:dyDescent="0.3">
      <c r="A3" s="343"/>
      <c r="B3" s="344"/>
      <c r="C3" s="77" t="s">
        <v>439</v>
      </c>
      <c r="D3" s="328"/>
      <c r="E3" s="328"/>
      <c r="F3" s="328"/>
      <c r="G3" s="329"/>
      <c r="H3" s="77" t="s">
        <v>445</v>
      </c>
      <c r="I3" s="328"/>
      <c r="J3" s="328"/>
      <c r="K3" s="329"/>
      <c r="L3" s="70"/>
      <c r="M3" s="70"/>
    </row>
    <row r="4" spans="1:18" ht="12.75" customHeight="1" x14ac:dyDescent="0.3">
      <c r="A4" s="343"/>
      <c r="B4" s="344"/>
      <c r="C4" s="77" t="s">
        <v>440</v>
      </c>
      <c r="D4" s="328"/>
      <c r="E4" s="328"/>
      <c r="F4" s="328"/>
      <c r="G4" s="328"/>
      <c r="H4" s="77" t="s">
        <v>446</v>
      </c>
      <c r="I4" s="328"/>
      <c r="J4" s="328"/>
      <c r="K4" s="329"/>
      <c r="L4" s="70"/>
      <c r="M4" s="70"/>
    </row>
    <row r="5" spans="1:18" ht="12.75" customHeight="1" x14ac:dyDescent="0.3">
      <c r="A5" s="343"/>
      <c r="B5" s="344"/>
      <c r="C5" s="77" t="s">
        <v>441</v>
      </c>
      <c r="D5" s="328"/>
      <c r="E5" s="328"/>
      <c r="F5" s="79" t="s">
        <v>451</v>
      </c>
      <c r="G5" s="80">
        <f ca="1">NOW()</f>
        <v>42845.618730902781</v>
      </c>
      <c r="H5" s="77" t="s">
        <v>447</v>
      </c>
      <c r="I5" s="328"/>
      <c r="J5" s="328"/>
      <c r="K5" s="329"/>
      <c r="L5" s="70"/>
      <c r="M5" s="70"/>
    </row>
    <row r="6" spans="1:18" ht="12.75" customHeight="1" x14ac:dyDescent="0.3">
      <c r="A6" s="343"/>
      <c r="B6" s="344"/>
      <c r="C6" s="77" t="s">
        <v>452</v>
      </c>
      <c r="D6" s="328"/>
      <c r="E6" s="328"/>
      <c r="F6" s="79" t="s">
        <v>451</v>
      </c>
      <c r="G6" s="80">
        <f ca="1">NOW()</f>
        <v>42845.618730902781</v>
      </c>
      <c r="H6" s="77" t="s">
        <v>448</v>
      </c>
      <c r="I6" s="328"/>
      <c r="J6" s="328"/>
      <c r="K6" s="329"/>
      <c r="L6" s="70"/>
      <c r="M6" s="70"/>
    </row>
    <row r="7" spans="1:18" ht="12.75" customHeight="1" thickBot="1" x14ac:dyDescent="0.35">
      <c r="A7" s="345"/>
      <c r="B7" s="346"/>
      <c r="C7" s="81" t="s">
        <v>442</v>
      </c>
      <c r="D7" s="330"/>
      <c r="E7" s="330"/>
      <c r="F7" s="330"/>
      <c r="G7" s="330"/>
      <c r="H7" s="83" t="s">
        <v>449</v>
      </c>
      <c r="I7" s="312"/>
      <c r="J7" s="312"/>
      <c r="K7" s="84"/>
      <c r="L7" s="70"/>
      <c r="M7" s="70"/>
    </row>
    <row r="8" spans="1:18" ht="12.75" customHeight="1" x14ac:dyDescent="0.3">
      <c r="A8" s="85"/>
      <c r="B8" s="85"/>
      <c r="C8" s="86"/>
      <c r="D8" s="87"/>
      <c r="E8" s="87"/>
      <c r="F8" s="87"/>
      <c r="G8" s="87"/>
      <c r="H8" s="88"/>
      <c r="I8" s="87"/>
      <c r="J8" s="87"/>
      <c r="K8" s="87"/>
      <c r="L8" s="70"/>
      <c r="M8" s="70"/>
    </row>
    <row r="9" spans="1:18" ht="12.75" customHeight="1" x14ac:dyDescent="0.3">
      <c r="A9" s="333" t="s">
        <v>177</v>
      </c>
      <c r="B9" s="333"/>
      <c r="C9" s="333"/>
      <c r="D9" s="334" t="s">
        <v>178</v>
      </c>
      <c r="E9" s="334"/>
      <c r="F9" s="334"/>
      <c r="G9" s="90"/>
      <c r="H9" s="90"/>
      <c r="I9" s="90"/>
      <c r="J9" s="90"/>
      <c r="K9" s="90"/>
    </row>
    <row r="10" spans="1:18" ht="12.75" customHeight="1" x14ac:dyDescent="0.3">
      <c r="A10" s="331" t="s">
        <v>285</v>
      </c>
      <c r="B10" s="331"/>
      <c r="C10" s="331"/>
      <c r="D10" s="332" t="s">
        <v>30</v>
      </c>
      <c r="E10" s="332"/>
      <c r="F10" s="332"/>
      <c r="G10" s="90"/>
      <c r="H10" s="90"/>
      <c r="I10" s="90"/>
      <c r="J10" s="90"/>
      <c r="K10" s="90"/>
    </row>
    <row r="11" spans="1:18" ht="12.75" customHeight="1" x14ac:dyDescent="0.3">
      <c r="A11" s="331" t="s">
        <v>343</v>
      </c>
      <c r="B11" s="331"/>
      <c r="C11" s="331"/>
      <c r="D11" s="332" t="s">
        <v>344</v>
      </c>
      <c r="E11" s="332"/>
      <c r="F11" s="332"/>
      <c r="G11" s="90"/>
      <c r="H11" s="90"/>
      <c r="I11" s="90"/>
      <c r="J11" s="90"/>
      <c r="K11" s="90"/>
    </row>
    <row r="12" spans="1:18" s="119" customFormat="1" ht="12.75" customHeight="1" x14ac:dyDescent="0.3">
      <c r="A12" s="331" t="s">
        <v>345</v>
      </c>
      <c r="B12" s="331"/>
      <c r="C12" s="331"/>
      <c r="D12" s="385" t="s">
        <v>524</v>
      </c>
      <c r="E12" s="385"/>
      <c r="F12" s="385"/>
      <c r="G12" s="118"/>
      <c r="H12" s="118"/>
      <c r="I12" s="118"/>
      <c r="J12" s="118"/>
      <c r="K12" s="118"/>
      <c r="L12" s="89" t="str">
        <f>IF(gas_TypeOfGas="Custom","Required","Not Req'd")</f>
        <v>Required</v>
      </c>
      <c r="M12" s="97" t="s">
        <v>284</v>
      </c>
      <c r="N12" s="91"/>
      <c r="O12" s="91"/>
      <c r="Q12" s="137"/>
      <c r="R12" s="137"/>
    </row>
    <row r="13" spans="1:18" s="119" customFormat="1" ht="12.75" customHeight="1" x14ac:dyDescent="0.3">
      <c r="A13" s="331" t="s">
        <v>288</v>
      </c>
      <c r="B13" s="331"/>
      <c r="C13" s="331"/>
      <c r="D13" s="385" t="s">
        <v>525</v>
      </c>
      <c r="E13" s="385"/>
      <c r="F13" s="385"/>
      <c r="G13" s="118"/>
      <c r="H13" s="118"/>
      <c r="I13" s="184"/>
      <c r="J13" s="184"/>
      <c r="K13" s="118"/>
      <c r="L13" s="89" t="str">
        <f>IF(AND(gas_TypeOfGas="Custom",gas_MethodOfSpecifyingDensity&lt;&gt;"Direct Input"),"Required","Not Req'd")</f>
        <v>Required</v>
      </c>
      <c r="M13" s="97" t="s">
        <v>289</v>
      </c>
      <c r="N13" s="91"/>
      <c r="O13" s="91"/>
      <c r="Q13" s="137"/>
      <c r="R13" s="137"/>
    </row>
    <row r="14" spans="1:18" s="119" customFormat="1" ht="12.75" customHeight="1" x14ac:dyDescent="0.3">
      <c r="A14" s="331" t="s">
        <v>181</v>
      </c>
      <c r="B14" s="331"/>
      <c r="C14" s="331"/>
      <c r="D14" s="332" t="s">
        <v>182</v>
      </c>
      <c r="E14" s="332"/>
      <c r="F14" s="332"/>
      <c r="G14" s="118"/>
      <c r="H14" s="118"/>
      <c r="I14" s="118"/>
      <c r="J14" s="90"/>
      <c r="K14" s="118"/>
      <c r="L14" s="89"/>
      <c r="M14" s="89"/>
      <c r="N14" s="91"/>
      <c r="O14" s="91"/>
      <c r="Q14" s="137"/>
      <c r="R14" s="137"/>
    </row>
    <row r="15" spans="1:18" s="119" customFormat="1" ht="12.75" customHeight="1" x14ac:dyDescent="0.3">
      <c r="A15" s="331" t="s">
        <v>165</v>
      </c>
      <c r="B15" s="331"/>
      <c r="C15" s="331"/>
      <c r="D15" s="332" t="s">
        <v>526</v>
      </c>
      <c r="E15" s="332"/>
      <c r="F15" s="332"/>
      <c r="G15" s="118"/>
      <c r="H15" s="118"/>
      <c r="I15" s="90"/>
      <c r="J15" s="90"/>
      <c r="K15" s="118"/>
      <c r="L15" s="89"/>
      <c r="M15" s="89"/>
      <c r="N15" s="91"/>
      <c r="O15" s="91"/>
      <c r="Q15" s="137"/>
      <c r="R15" s="137"/>
    </row>
    <row r="16" spans="1:18" ht="12.75" customHeight="1" x14ac:dyDescent="0.3">
      <c r="A16" s="348" t="s">
        <v>183</v>
      </c>
      <c r="B16" s="348"/>
      <c r="C16" s="348"/>
      <c r="D16" s="98" t="s">
        <v>184</v>
      </c>
      <c r="E16" s="98" t="s">
        <v>185</v>
      </c>
      <c r="F16" s="98" t="s">
        <v>186</v>
      </c>
      <c r="G16" s="99"/>
      <c r="H16" s="90"/>
      <c r="I16" s="90"/>
      <c r="J16" s="90"/>
      <c r="K16" s="90"/>
      <c r="L16" s="89" t="str">
        <f>IF(gas_PipeCorrectionFactorOption="Calculate Correction","Required","Not Req'd")</f>
        <v>Required</v>
      </c>
    </row>
    <row r="17" spans="1:21" ht="12.75" customHeight="1" x14ac:dyDescent="0.3">
      <c r="A17" s="331" t="s">
        <v>290</v>
      </c>
      <c r="B17" s="331"/>
      <c r="C17" s="331"/>
      <c r="D17" s="315" t="s">
        <v>291</v>
      </c>
      <c r="E17" s="100"/>
      <c r="F17" s="100"/>
      <c r="G17" s="90"/>
      <c r="H17" s="90"/>
      <c r="I17" s="90"/>
      <c r="J17" s="90"/>
      <c r="K17" s="101"/>
      <c r="L17" s="89" t="str">
        <f>IF(gas_PipeCorrectionFactorOption="Calculate Correction","Required","Not Req'd")</f>
        <v>Required</v>
      </c>
      <c r="M17" s="97" t="s">
        <v>313</v>
      </c>
      <c r="N17" s="91" t="s">
        <v>204</v>
      </c>
    </row>
    <row r="18" spans="1:21" ht="12.75" customHeight="1" x14ac:dyDescent="0.3">
      <c r="A18" s="331" t="s">
        <v>292</v>
      </c>
      <c r="B18" s="331"/>
      <c r="C18" s="331"/>
      <c r="D18" s="102" t="str">
        <f>D17</f>
        <v>in.</v>
      </c>
      <c r="E18" s="100"/>
      <c r="F18" s="100"/>
      <c r="G18" s="90"/>
      <c r="H18" s="90"/>
      <c r="I18" s="90"/>
      <c r="J18" s="90"/>
      <c r="K18" s="101"/>
      <c r="L18" s="89" t="str">
        <f>IF(gas_PipeCorrectionFactorOption="Calculate Correction","Required","Not Req'd")</f>
        <v>Required</v>
      </c>
      <c r="N18" s="91" t="s">
        <v>204</v>
      </c>
    </row>
    <row r="19" spans="1:21" s="119" customFormat="1" ht="12.75" customHeight="1" x14ac:dyDescent="0.3">
      <c r="A19" s="333" t="s">
        <v>187</v>
      </c>
      <c r="B19" s="333"/>
      <c r="C19" s="333"/>
      <c r="D19" s="98"/>
      <c r="E19" s="284" t="s">
        <v>498</v>
      </c>
      <c r="F19" s="103" t="s">
        <v>188</v>
      </c>
      <c r="G19" s="90"/>
      <c r="H19" s="90"/>
      <c r="I19" s="90"/>
      <c r="J19" s="90"/>
      <c r="K19" s="90"/>
      <c r="L19" s="89"/>
      <c r="M19" s="89"/>
      <c r="N19" s="91"/>
      <c r="O19" s="91"/>
      <c r="Q19" s="137"/>
      <c r="R19" s="137"/>
    </row>
    <row r="20" spans="1:21" s="119" customFormat="1" ht="12.75" customHeight="1" x14ac:dyDescent="0.3">
      <c r="A20" s="331" t="s">
        <v>189</v>
      </c>
      <c r="B20" s="331"/>
      <c r="C20" s="90" t="s">
        <v>190</v>
      </c>
      <c r="E20" s="254">
        <f>VLOOKUP(gas_ValveType,ValveData!$A$4:$J$17,2)</f>
        <v>1.0699999999999999E-2</v>
      </c>
      <c r="F20" s="282">
        <f>E20</f>
        <v>1.0699999999999999E-2</v>
      </c>
      <c r="G20" s="118"/>
      <c r="H20" s="118"/>
      <c r="I20" s="118"/>
      <c r="J20" s="118"/>
      <c r="K20" s="118"/>
      <c r="L20" s="89"/>
      <c r="M20" s="89"/>
      <c r="N20" s="91" t="s">
        <v>346</v>
      </c>
      <c r="O20" s="91" t="s">
        <v>347</v>
      </c>
      <c r="Q20" s="137"/>
      <c r="R20" s="137"/>
    </row>
    <row r="21" spans="1:21" s="119" customFormat="1" ht="12.75" customHeight="1" x14ac:dyDescent="0.3">
      <c r="A21" s="331" t="s">
        <v>195</v>
      </c>
      <c r="B21" s="331"/>
      <c r="C21" s="90" t="s">
        <v>196</v>
      </c>
      <c r="E21" s="267">
        <f>VLOOKUP(gas_ValveType,ValveData!$A$4:$J$17,4)</f>
        <v>1</v>
      </c>
      <c r="F21" s="283">
        <f>E21</f>
        <v>1</v>
      </c>
      <c r="G21" s="118"/>
      <c r="H21" s="118"/>
      <c r="I21" s="118"/>
      <c r="J21" s="118"/>
      <c r="K21" s="118"/>
      <c r="L21" s="89"/>
      <c r="M21" s="89"/>
      <c r="N21" s="91" t="s">
        <v>346</v>
      </c>
      <c r="O21" s="91" t="s">
        <v>347</v>
      </c>
      <c r="Q21" s="137"/>
      <c r="R21" s="137"/>
    </row>
    <row r="22" spans="1:21" ht="12.75" customHeight="1" x14ac:dyDescent="0.3">
      <c r="A22" s="348" t="s">
        <v>293</v>
      </c>
      <c r="B22" s="348"/>
      <c r="C22" s="348"/>
      <c r="D22" s="98" t="s">
        <v>184</v>
      </c>
      <c r="E22" s="98" t="s">
        <v>188</v>
      </c>
      <c r="F22" s="90"/>
      <c r="G22" s="90"/>
      <c r="H22" s="90"/>
      <c r="I22" s="90"/>
      <c r="J22" s="90"/>
      <c r="K22" s="90"/>
      <c r="L22" s="89" t="str">
        <f>IF(AND(gas_TypeOfGas="Custom",gas_MethodOfSpecifyingDensity&lt;&gt;"Direct Input",gas_CompressibilityOption="Calculate from Pc &amp; Tc"),"Required","Not Req'd")</f>
        <v>Required</v>
      </c>
    </row>
    <row r="23" spans="1:21" ht="12.75" customHeight="1" x14ac:dyDescent="0.3">
      <c r="A23" s="331" t="s">
        <v>240</v>
      </c>
      <c r="B23" s="331"/>
      <c r="C23" s="331"/>
      <c r="D23" s="321" t="str">
        <f>M23</f>
        <v>barA</v>
      </c>
      <c r="E23" s="100"/>
      <c r="F23" s="90"/>
      <c r="G23" s="90"/>
      <c r="H23" s="90"/>
      <c r="I23" s="90"/>
      <c r="J23" s="90"/>
      <c r="K23" s="107"/>
      <c r="L23" s="89" t="str">
        <f>IF(AND(gas_TypeOfGas="Custom",gas_MethodOfSpecifyingDensity&lt;&gt;"Direct Input",gas_CompressibilityOption="Calculate from Pc &amp; Tc"),"Required","Not Req'd")</f>
        <v>Required</v>
      </c>
      <c r="M23" s="97" t="s">
        <v>432</v>
      </c>
      <c r="N23" s="91" t="s">
        <v>204</v>
      </c>
      <c r="T23" s="186"/>
      <c r="U23" s="187"/>
    </row>
    <row r="24" spans="1:21" ht="12.75" customHeight="1" x14ac:dyDescent="0.3">
      <c r="A24" s="331" t="s">
        <v>348</v>
      </c>
      <c r="B24" s="331"/>
      <c r="C24" s="331"/>
      <c r="D24" s="321" t="str">
        <f>M24</f>
        <v>deg C</v>
      </c>
      <c r="E24" s="100"/>
      <c r="F24" s="90"/>
      <c r="G24" s="90"/>
      <c r="H24" s="90"/>
      <c r="I24" s="90"/>
      <c r="J24" s="90"/>
      <c r="K24" s="90"/>
      <c r="L24" s="89" t="str">
        <f>IF(AND(gas_TypeOfGas="Custom",gas_MethodOfSpecifyingDensity&lt;&gt;"Direct Input",gas_CompressibilityOption="Calculate from Pc &amp; Tc"),"Required","Not Req'd")</f>
        <v>Required</v>
      </c>
      <c r="M24" s="97" t="s">
        <v>22</v>
      </c>
      <c r="N24" s="91" t="s">
        <v>204</v>
      </c>
      <c r="T24" s="186"/>
      <c r="U24" s="187"/>
    </row>
    <row r="25" spans="1:21" ht="12.75" customHeight="1" x14ac:dyDescent="0.3">
      <c r="A25" s="333" t="s">
        <v>199</v>
      </c>
      <c r="B25" s="333"/>
      <c r="C25" s="333"/>
      <c r="D25" s="98" t="s">
        <v>184</v>
      </c>
      <c r="E25" s="334" t="s">
        <v>200</v>
      </c>
      <c r="F25" s="334"/>
      <c r="G25" s="334"/>
      <c r="H25" s="334"/>
      <c r="I25" s="334"/>
      <c r="J25" s="90"/>
      <c r="K25" s="90"/>
    </row>
    <row r="26" spans="1:21" ht="12.75" customHeight="1" x14ac:dyDescent="0.3">
      <c r="A26" s="331" t="s">
        <v>201</v>
      </c>
      <c r="B26" s="331"/>
      <c r="C26" s="331"/>
      <c r="D26" s="102"/>
      <c r="E26" s="100"/>
      <c r="F26" s="100"/>
      <c r="G26" s="100"/>
      <c r="H26" s="100"/>
      <c r="I26" s="100"/>
      <c r="J26" s="90"/>
      <c r="K26" s="110"/>
      <c r="N26" s="91" t="s">
        <v>204</v>
      </c>
    </row>
    <row r="27" spans="1:21" ht="12.75" customHeight="1" x14ac:dyDescent="0.3">
      <c r="A27" s="331" t="s">
        <v>282</v>
      </c>
      <c r="B27" s="331"/>
      <c r="C27" s="331"/>
      <c r="D27" s="315" t="s">
        <v>218</v>
      </c>
      <c r="E27" s="100"/>
      <c r="F27" s="100"/>
      <c r="G27" s="100"/>
      <c r="H27" s="100"/>
      <c r="I27" s="100"/>
      <c r="J27" s="90"/>
      <c r="K27" s="109"/>
      <c r="L27" s="89" t="str">
        <f>IF(gas_FlowRateType="Mass Flow Rate","Required","Not Req'd")</f>
        <v>Not Req'd</v>
      </c>
      <c r="M27" s="97" t="s">
        <v>218</v>
      </c>
      <c r="N27" s="91" t="s">
        <v>204</v>
      </c>
    </row>
    <row r="28" spans="1:21" ht="12.75" customHeight="1" x14ac:dyDescent="0.3">
      <c r="A28" s="331" t="s">
        <v>344</v>
      </c>
      <c r="B28" s="331"/>
      <c r="C28" s="331"/>
      <c r="D28" s="319" t="str">
        <f>M28</f>
        <v>Nm3/h</v>
      </c>
      <c r="E28" s="100"/>
      <c r="F28" s="100"/>
      <c r="G28" s="100"/>
      <c r="H28" s="100"/>
      <c r="I28" s="100"/>
      <c r="J28" s="90"/>
      <c r="K28" s="109"/>
      <c r="L28" s="89" t="str">
        <f>IF(gas_FlowRateType="Volume Flow Rate","Required","Not Req'd")</f>
        <v>Required</v>
      </c>
      <c r="M28" s="97" t="s">
        <v>332</v>
      </c>
      <c r="N28" s="91" t="s">
        <v>204</v>
      </c>
    </row>
    <row r="29" spans="1:21" ht="12.75" customHeight="1" x14ac:dyDescent="0.3">
      <c r="A29" s="331" t="s">
        <v>205</v>
      </c>
      <c r="B29" s="331"/>
      <c r="C29" s="331"/>
      <c r="D29" s="314" t="s">
        <v>432</v>
      </c>
      <c r="E29" s="100"/>
      <c r="F29" s="100"/>
      <c r="G29" s="100"/>
      <c r="H29" s="100"/>
      <c r="I29" s="100"/>
      <c r="J29" s="90"/>
      <c r="K29" s="109"/>
      <c r="M29" s="97"/>
      <c r="N29" s="91" t="s">
        <v>204</v>
      </c>
    </row>
    <row r="30" spans="1:21" ht="12.75" customHeight="1" x14ac:dyDescent="0.3">
      <c r="A30" s="331" t="s">
        <v>206</v>
      </c>
      <c r="B30" s="331"/>
      <c r="C30" s="331"/>
      <c r="D30" s="102" t="str">
        <f>IF(A30="Outlet Pressure",D29,LEFT(D29,LEN(D29)-1))</f>
        <v>barA</v>
      </c>
      <c r="E30" s="100"/>
      <c r="F30" s="100"/>
      <c r="G30" s="100"/>
      <c r="H30" s="100"/>
      <c r="I30" s="100"/>
      <c r="J30" s="90"/>
      <c r="K30" s="109"/>
      <c r="M30" s="97"/>
      <c r="N30" s="91" t="s">
        <v>204</v>
      </c>
    </row>
    <row r="31" spans="1:21" ht="12.75" customHeight="1" x14ac:dyDescent="0.3">
      <c r="A31" s="331" t="s">
        <v>234</v>
      </c>
      <c r="B31" s="331"/>
      <c r="C31" s="331"/>
      <c r="D31" s="315" t="s">
        <v>22</v>
      </c>
      <c r="E31" s="100"/>
      <c r="F31" s="100"/>
      <c r="G31" s="100"/>
      <c r="H31" s="100"/>
      <c r="I31" s="100"/>
      <c r="J31" s="90"/>
      <c r="K31" s="109"/>
      <c r="L31" s="89" t="str">
        <f>IF(OR(gas_TypeOfGas&lt;&gt;"Custom",gas_MethodOfSpecifyingDensity&lt;&gt;"Direct Input"),"Required","Not Req'd")</f>
        <v>Required</v>
      </c>
      <c r="M31" s="97" t="s">
        <v>22</v>
      </c>
      <c r="N31" s="91" t="s">
        <v>204</v>
      </c>
    </row>
    <row r="32" spans="1:21" ht="12.75" customHeight="1" x14ac:dyDescent="0.3">
      <c r="A32" s="331" t="s">
        <v>306</v>
      </c>
      <c r="B32" s="331"/>
      <c r="C32" s="331"/>
      <c r="D32" s="94"/>
      <c r="E32" s="100"/>
      <c r="F32" s="100"/>
      <c r="G32" s="100"/>
      <c r="H32" s="100"/>
      <c r="I32" s="100"/>
      <c r="J32" s="90"/>
      <c r="K32" s="109"/>
      <c r="L32" s="89" t="str">
        <f>IF(AND(gas_TypeOfGas="Custom",gas_MethodOfSpecifyingDensity="Calculate from Spec Grav"),"Required","Not Req'd")</f>
        <v>Required</v>
      </c>
      <c r="M32" s="97"/>
      <c r="N32" s="91" t="s">
        <v>204</v>
      </c>
    </row>
    <row r="33" spans="1:21" ht="12.75" customHeight="1" x14ac:dyDescent="0.3">
      <c r="A33" s="331" t="s">
        <v>308</v>
      </c>
      <c r="B33" s="331"/>
      <c r="C33" s="331"/>
      <c r="D33" s="94"/>
      <c r="E33" s="100"/>
      <c r="F33" s="100"/>
      <c r="G33" s="100"/>
      <c r="H33" s="100"/>
      <c r="I33" s="100"/>
      <c r="J33" s="90"/>
      <c r="K33" s="109"/>
      <c r="L33" s="89" t="str">
        <f>IF(AND(gas_TypeOfGas="Custom",OR(gas_MethodOfSpecifyingDensity="Calculate from Mw",AND(gas_FlowRateType="Volume Flow Rate",gas_MethodOfSpecifyingDensity="Direct Input"))),"Required","Not Req'd")</f>
        <v>Not Req'd</v>
      </c>
      <c r="M33" s="97"/>
      <c r="N33" s="91" t="s">
        <v>204</v>
      </c>
    </row>
    <row r="34" spans="1:21" ht="12.75" customHeight="1" x14ac:dyDescent="0.3">
      <c r="A34" s="331" t="s">
        <v>334</v>
      </c>
      <c r="B34" s="331"/>
      <c r="C34" s="331"/>
      <c r="D34" s="94"/>
      <c r="E34" s="100"/>
      <c r="F34" s="100"/>
      <c r="G34" s="100"/>
      <c r="H34" s="100"/>
      <c r="I34" s="100"/>
      <c r="J34" s="90"/>
      <c r="K34" s="109"/>
      <c r="L34" s="89" t="str">
        <f>IF(AND(gas_TypeOfGas="Custom",gas_MethodOfSpecifyingDensity&lt;&gt;"Direct Input",gas_CompressibilityOption="Direct Input"),"Required","Not Req'd")</f>
        <v>Not Req'd</v>
      </c>
      <c r="M34" s="97"/>
      <c r="N34" s="91" t="s">
        <v>204</v>
      </c>
      <c r="T34" s="186"/>
      <c r="U34" s="187"/>
    </row>
    <row r="35" spans="1:21" ht="12.75" customHeight="1" x14ac:dyDescent="0.3">
      <c r="A35" s="331" t="s">
        <v>328</v>
      </c>
      <c r="B35" s="331"/>
      <c r="C35" s="331"/>
      <c r="D35" s="315" t="str">
        <f>M35</f>
        <v>kg/m3</v>
      </c>
      <c r="E35" s="100"/>
      <c r="F35" s="100"/>
      <c r="G35" s="100"/>
      <c r="H35" s="100"/>
      <c r="I35" s="100"/>
      <c r="J35" s="90"/>
      <c r="K35" s="188"/>
      <c r="L35" s="89" t="str">
        <f>IF(AND(gas_TypeOfGas="Custom",gas_MethodOfSpecifyingDensity="Direct Input"),"Required","Not Req'd")</f>
        <v>Not Req'd</v>
      </c>
      <c r="M35" s="97" t="s">
        <v>230</v>
      </c>
      <c r="N35" s="91" t="s">
        <v>204</v>
      </c>
      <c r="T35" s="186"/>
      <c r="U35" s="187"/>
    </row>
    <row r="36" spans="1:21" s="119" customFormat="1" ht="12.75" customHeight="1" x14ac:dyDescent="0.3">
      <c r="A36" s="331" t="s">
        <v>276</v>
      </c>
      <c r="B36" s="331"/>
      <c r="C36" s="331"/>
      <c r="D36" s="94"/>
      <c r="E36" s="100"/>
      <c r="F36" s="100"/>
      <c r="G36" s="100"/>
      <c r="H36" s="100"/>
      <c r="I36" s="100"/>
      <c r="J36" s="118"/>
      <c r="K36" s="188"/>
      <c r="L36" s="89" t="str">
        <f>IF(gas_TypeOfGas="Custom","Required","Not Req'd")</f>
        <v>Required</v>
      </c>
      <c r="M36" s="89"/>
      <c r="N36" s="91" t="s">
        <v>204</v>
      </c>
      <c r="O36" s="91"/>
      <c r="Q36" s="137"/>
      <c r="R36" s="137"/>
    </row>
    <row r="37" spans="1:21" ht="12.75" customHeight="1" x14ac:dyDescent="0.25"/>
    <row r="38" spans="1:21" ht="12.75" customHeight="1" x14ac:dyDescent="0.3">
      <c r="A38" s="350" t="s">
        <v>271</v>
      </c>
      <c r="B38" s="350"/>
      <c r="C38" s="350"/>
      <c r="D38" s="98" t="s">
        <v>184</v>
      </c>
      <c r="E38" s="354" t="s">
        <v>200</v>
      </c>
      <c r="F38" s="354"/>
      <c r="G38" s="354"/>
      <c r="H38" s="354"/>
      <c r="I38" s="354"/>
      <c r="J38" s="90"/>
      <c r="K38" s="90"/>
    </row>
    <row r="39" spans="1:21" ht="12.75" customHeight="1" x14ac:dyDescent="0.3">
      <c r="A39" s="331" t="s">
        <v>240</v>
      </c>
      <c r="B39" s="331"/>
      <c r="C39" s="331"/>
      <c r="D39" s="141" t="str">
        <f>D29</f>
        <v>barA</v>
      </c>
      <c r="E39" s="268" t="str">
        <f>IF(E$86="","",
    Conv("P",E86,$D$86,$D$39))</f>
        <v/>
      </c>
      <c r="F39" s="274"/>
      <c r="G39" s="274"/>
      <c r="H39" s="274"/>
      <c r="I39" s="274"/>
      <c r="J39" s="90"/>
      <c r="K39" s="90"/>
      <c r="L39" s="89" t="str">
        <f>IF(gas_TypeOfGas&lt;&gt;"Custom","Required","Not Req'd")</f>
        <v>Not Req'd</v>
      </c>
      <c r="N39" s="147" t="s">
        <v>349</v>
      </c>
      <c r="O39" s="91" t="str">
        <f>"Pc("&amp;$D$39&amp;") = "&amp;TEXT((Conv("P",1,$D$86,$D$39)-Conv("P",0,$D$86,$D$39))/1,"General")&amp;"*Pc("&amp;D86&amp;") + "&amp;TEXT(Conv("P",0,$D$86,$D$39),"General")</f>
        <v>Pc(barA) = 1*Pc(barA) + 0</v>
      </c>
    </row>
    <row r="40" spans="1:21" ht="12.75" customHeight="1" x14ac:dyDescent="0.3">
      <c r="A40" s="331" t="s">
        <v>348</v>
      </c>
      <c r="B40" s="331"/>
      <c r="C40" s="331"/>
      <c r="D40" s="141" t="str">
        <f>D31</f>
        <v>deg C</v>
      </c>
      <c r="E40" s="268" t="str">
        <f>IF(E$87="","",
    Conv("T",E87,$D$87,$D$40))</f>
        <v/>
      </c>
      <c r="F40" s="274"/>
      <c r="G40" s="274"/>
      <c r="H40" s="274"/>
      <c r="I40" s="274"/>
      <c r="J40" s="90"/>
      <c r="K40" s="90"/>
      <c r="L40" s="89" t="str">
        <f>IF(gas_TypeOfGas&lt;&gt;"Custom","Required","Not Req'd")</f>
        <v>Not Req'd</v>
      </c>
      <c r="N40" s="147" t="s">
        <v>349</v>
      </c>
      <c r="O40" s="91" t="str">
        <f>"Tc("&amp;$D$40&amp;") = "&amp;TEXT((Conv("T",1,$D$92,$D$40)-Conv("T",0,$D$92,$D$40))/1,"General")&amp;"*Tc("&amp;$D$92&amp;") + "&amp;TEXT(Conv("T",0,$D$92,$D$40),"General")</f>
        <v>Tc(deg C) = 1*Tc(deg C) + 0</v>
      </c>
    </row>
    <row r="41" spans="1:21" ht="12.75" customHeight="1" x14ac:dyDescent="0.3">
      <c r="A41" s="331" t="s">
        <v>282</v>
      </c>
      <c r="B41" s="331"/>
      <c r="C41" s="331"/>
      <c r="D41" s="314" t="s">
        <v>203</v>
      </c>
      <c r="E41" s="270" t="str">
        <f>IF(E101=0,"",Conv("M",E101,$D$101,$D$41))</f>
        <v/>
      </c>
      <c r="F41" s="270" t="str">
        <f>IF(F101=0,"",Conv("M",F101,$D$101,$D$41))</f>
        <v/>
      </c>
      <c r="G41" s="270" t="str">
        <f>IF(G101=0,"",Conv("M",G101,$D$101,$D$41))</f>
        <v/>
      </c>
      <c r="H41" s="270" t="str">
        <f>IF(H101=0,"",Conv("M",H101,$D$101,$D$41))</f>
        <v/>
      </c>
      <c r="I41" s="270" t="str">
        <f>IF(I101=0,"",Conv("M",I101,$D$101,$D$41))</f>
        <v/>
      </c>
      <c r="J41" s="90"/>
      <c r="K41" s="90"/>
      <c r="L41" s="89" t="str">
        <f>IF(gas_FlowRateType="Volume Flow Rate","Required","Not Req'd")</f>
        <v>Required</v>
      </c>
      <c r="N41" s="147" t="s">
        <v>349</v>
      </c>
      <c r="O41" s="91" t="str">
        <f>"W("&amp;D41&amp;") = "&amp;TEXT(Conv("m",1,$D$101,$D$41),"General")&amp;"*W("&amp;D101&amp;")"</f>
        <v>W(lb/h) = 2.204622622*W(kg/h)</v>
      </c>
    </row>
    <row r="42" spans="1:21" ht="12.75" customHeight="1" x14ac:dyDescent="0.3">
      <c r="A42" s="331" t="s">
        <v>308</v>
      </c>
      <c r="B42" s="331"/>
      <c r="C42" s="331"/>
      <c r="D42" s="94"/>
      <c r="E42" s="270" t="str">
        <f>IF(E101=0,"",E93)</f>
        <v/>
      </c>
      <c r="F42" s="270" t="str">
        <f>IF(F101=0,"",F93)</f>
        <v/>
      </c>
      <c r="G42" s="270" t="str">
        <f>IF(G101=0,"",G93)</f>
        <v/>
      </c>
      <c r="H42" s="270" t="str">
        <f>IF(H101=0,"",H93)</f>
        <v/>
      </c>
      <c r="I42" s="270" t="str">
        <f>IF(I101=0,"",I93)</f>
        <v/>
      </c>
      <c r="J42" s="90"/>
      <c r="K42" s="90"/>
      <c r="L42" s="89" t="str">
        <f>IF(OR(gas_TypeOfGas&lt;&gt;"Custom",gas_MethodOfSpecifyingDensity="Calculate from Spec Grav"),"Required","Not Req'd")</f>
        <v>Required</v>
      </c>
    </row>
    <row r="43" spans="1:21" ht="12.75" customHeight="1" x14ac:dyDescent="0.3">
      <c r="A43" s="331" t="s">
        <v>372</v>
      </c>
      <c r="B43" s="331"/>
      <c r="C43" s="331"/>
      <c r="D43" s="94"/>
      <c r="E43" s="271" t="str">
        <f>IF(E101=0,"",E94)</f>
        <v/>
      </c>
      <c r="F43" s="271" t="str">
        <f>IF(F101=0,"",F94)</f>
        <v/>
      </c>
      <c r="G43" s="271" t="str">
        <f>IF(G101=0,"",G94)</f>
        <v/>
      </c>
      <c r="H43" s="271" t="str">
        <f>IF(H101=0,"",H94)</f>
        <v/>
      </c>
      <c r="I43" s="271" t="str">
        <f>IF(I101=0,"",I94)</f>
        <v/>
      </c>
      <c r="J43" s="90"/>
      <c r="K43" s="90"/>
      <c r="L43" s="89" t="e">
        <f>IF(OR(NOT(OR(FluidNameSN(gas_TypeOfGas)="Water",gas_TypeOfGas="Custom")),AND(gas_TypeOfGas="Custom",gas_MethodOfSpecifyingDensity&lt;&gt;"Direct Input",gas_CompressibilityOption&lt;&gt;"Direct Input")),"Required","Not Req'd")</f>
        <v>#VALUE!</v>
      </c>
    </row>
    <row r="44" spans="1:21" ht="12.75" customHeight="1" x14ac:dyDescent="0.3">
      <c r="A44" s="331" t="s">
        <v>328</v>
      </c>
      <c r="B44" s="331"/>
      <c r="C44" s="331"/>
      <c r="D44" s="314" t="s">
        <v>274</v>
      </c>
      <c r="E44" s="271" t="str">
        <f>IF(E101=0,"",Conv("rho",E95,$D$95,$D$44))</f>
        <v/>
      </c>
      <c r="F44" s="271" t="str">
        <f>IF(F101=0,"",Conv("rho",F95,$D$95,$D$44))</f>
        <v/>
      </c>
      <c r="G44" s="271" t="str">
        <f>IF(G101=0,"",Conv("rho",G95,$D$95,$D$44))</f>
        <v/>
      </c>
      <c r="H44" s="271" t="str">
        <f>IF(H101=0,"",Conv("rho",H95,$D$95,$D$44))</f>
        <v/>
      </c>
      <c r="I44" s="271" t="str">
        <f>IF(I101=0,"",Conv("rho",I95,$D$95,$D$44))</f>
        <v/>
      </c>
      <c r="J44" s="90"/>
      <c r="K44" s="90"/>
      <c r="L44" s="89" t="str">
        <f>IF(NOT(AND(gas_TypeOfGas="Custom",gas_MethodOfSpecifyingDensity="Direct Input")),"Required","Not Req'd")</f>
        <v>Required</v>
      </c>
      <c r="N44" s="147" t="s">
        <v>349</v>
      </c>
      <c r="O44" s="91" t="str">
        <f>"Rho1("&amp;$D$44&amp;") = "&amp;TEXT(Conv("rho",1,$D$95,$D$44),"General")&amp;"*Rho1("&amp;$D$95&amp;")"</f>
        <v>Rho1(lb/ft3) = 0.062427961*Rho1(kg/m3)</v>
      </c>
    </row>
    <row r="45" spans="1:21" ht="12.75" customHeight="1" x14ac:dyDescent="0.3">
      <c r="A45" s="331" t="s">
        <v>276</v>
      </c>
      <c r="B45" s="331"/>
      <c r="C45" s="331"/>
      <c r="D45" s="94"/>
      <c r="E45" s="271" t="str">
        <f>IF(E101=0,"",E97)</f>
        <v/>
      </c>
      <c r="F45" s="271" t="str">
        <f>IF(F101=0,"",F97)</f>
        <v/>
      </c>
      <c r="G45" s="271" t="str">
        <f>IF(G101=0,"",G97)</f>
        <v/>
      </c>
      <c r="H45" s="271" t="str">
        <f>IF(H101=0,"",H97)</f>
        <v/>
      </c>
      <c r="I45" s="271" t="str">
        <f>IF(I101=0,"",I97)</f>
        <v/>
      </c>
      <c r="J45" s="90"/>
      <c r="K45" s="90"/>
      <c r="L45" s="89" t="str">
        <f>IF(gas_TypeOfGas&lt;&gt;"Custom","Required","Not Req'd")</f>
        <v>Not Req'd</v>
      </c>
      <c r="N45" s="211"/>
    </row>
    <row r="46" spans="1:21" ht="12.75" customHeight="1" x14ac:dyDescent="0.3">
      <c r="A46" s="331" t="s">
        <v>269</v>
      </c>
      <c r="B46" s="331"/>
      <c r="C46" s="331"/>
      <c r="D46" s="319" t="s">
        <v>278</v>
      </c>
      <c r="E46" s="272" t="str">
        <f>IF(E101=0,"",Conv("C",E104,$D$104,$D$46))</f>
        <v/>
      </c>
      <c r="F46" s="272" t="str">
        <f>IF(F101=0,"",Conv("C",F104,$D$104,$D$46))</f>
        <v/>
      </c>
      <c r="G46" s="272" t="str">
        <f>IF(G101=0,"",Conv("C",G104,$D$104,$D$46))</f>
        <v/>
      </c>
      <c r="H46" s="272" t="str">
        <f>IF(H101=0,"",Conv("C",H104,$D$104,$D$46))</f>
        <v/>
      </c>
      <c r="I46" s="272" t="str">
        <f>IF(I101=0,"",Conv("C",I104,$D$104,$D$46))</f>
        <v/>
      </c>
      <c r="J46" s="90"/>
      <c r="K46" s="90"/>
      <c r="N46" s="147" t="s">
        <v>349</v>
      </c>
      <c r="O46" s="91" t="str">
        <f>"C("&amp;$D$46&amp;") = "&amp;TEXT(Conv("C",1,$D$104,$D$46),"General")&amp;"*C("&amp;$D$104&amp;")"</f>
        <v>C(Cv) = 1.156098639*C(Kv)</v>
      </c>
      <c r="Q46" s="137"/>
      <c r="R46" s="137"/>
    </row>
    <row r="47" spans="1:21" ht="12.75" customHeight="1" x14ac:dyDescent="0.3">
      <c r="A47" s="140"/>
      <c r="B47" s="90"/>
      <c r="C47" s="90"/>
      <c r="D47" s="140"/>
      <c r="E47" s="213"/>
      <c r="G47" s="213"/>
      <c r="H47" s="213"/>
      <c r="I47" s="213"/>
      <c r="K47" s="90"/>
      <c r="N47" s="147"/>
      <c r="Q47" s="137"/>
      <c r="R47" s="137"/>
    </row>
    <row r="48" spans="1:21" ht="12.75" customHeight="1" thickBot="1" x14ac:dyDescent="0.35">
      <c r="A48" s="140"/>
      <c r="B48" s="90"/>
      <c r="C48" s="90"/>
      <c r="D48" s="140"/>
      <c r="E48" s="213"/>
      <c r="F48" s="213"/>
      <c r="G48" s="213"/>
      <c r="H48" s="213"/>
      <c r="I48" s="213"/>
      <c r="K48" s="90"/>
      <c r="N48" s="147"/>
      <c r="Q48" s="137"/>
      <c r="R48" s="137"/>
    </row>
    <row r="49" spans="1:11" ht="12.75" customHeight="1" thickBot="1" x14ac:dyDescent="0.35">
      <c r="A49" s="351" t="s">
        <v>373</v>
      </c>
      <c r="B49" s="352"/>
      <c r="C49" s="352"/>
      <c r="D49" s="352"/>
      <c r="E49" s="352"/>
      <c r="F49" s="352"/>
      <c r="G49" s="352"/>
      <c r="H49" s="352"/>
      <c r="I49" s="353"/>
      <c r="K49" s="90"/>
    </row>
    <row r="50" spans="1:11" ht="12.75" customHeight="1" thickBot="1" x14ac:dyDescent="0.35">
      <c r="A50" s="214"/>
      <c r="B50" s="215"/>
      <c r="C50" s="215"/>
      <c r="D50" s="215"/>
      <c r="E50" s="216" t="str">
        <f>IF(ISBLANK(E26),"",E26)</f>
        <v/>
      </c>
      <c r="F50" s="216" t="str">
        <f>IF(ISBLANK(F26),"",F26)</f>
        <v/>
      </c>
      <c r="G50" s="216" t="str">
        <f>IF(ISBLANK(G26),"",G26)</f>
        <v/>
      </c>
      <c r="H50" s="216" t="str">
        <f>IF(ISBLANK(H26),"",H26)</f>
        <v/>
      </c>
      <c r="I50" s="217" t="str">
        <f>IF(ISBLANK(I26),"",I26)</f>
        <v/>
      </c>
    </row>
    <row r="51" spans="1:11" ht="12.75" customHeight="1" x14ac:dyDescent="0.3">
      <c r="A51" s="373" t="s">
        <v>374</v>
      </c>
      <c r="B51" s="374"/>
      <c r="C51" s="375"/>
      <c r="D51" s="218"/>
      <c r="E51" s="155" t="str">
        <f>IF(E29="","",
    StgNeeded(E102,E106,E105,E104,$E$107,2^0.1,1))</f>
        <v/>
      </c>
      <c r="F51" s="155" t="str">
        <f>IF(F29="","",
    StgNeeded(F102,F106,F105,F104,$E$107,2^0.1,1))</f>
        <v/>
      </c>
      <c r="G51" s="155" t="str">
        <f>IF(G29="","",
    StgNeeded(G102,G106,G105,G104,$E$107,2^0.1,1))</f>
        <v/>
      </c>
      <c r="H51" s="155" t="str">
        <f>IF(H29="","",
    StgNeeded(H102,H106,H105,H104,$E$107,2^0.1,1))</f>
        <v/>
      </c>
      <c r="I51" s="170" t="str">
        <f>IF(I29="","",
    StgNeeded(I102,I106,I105,I104,$E$107,2^0.1,1))</f>
        <v/>
      </c>
      <c r="K51" s="90"/>
    </row>
    <row r="52" spans="1:11" ht="12.75" customHeight="1" thickBot="1" x14ac:dyDescent="0.35">
      <c r="A52" s="361" t="s">
        <v>375</v>
      </c>
      <c r="B52" s="362"/>
      <c r="C52" s="363"/>
      <c r="D52" s="320" t="s">
        <v>246</v>
      </c>
      <c r="E52" s="219" t="str">
        <f>IF(E29="","",
    Conv("dP",GasWRhoAcKE(E102,E106,E104/CpAo(E51,2^0.1,1),E105,1),"bar",$D$52))</f>
        <v/>
      </c>
      <c r="F52" s="219" t="str">
        <f>IF(F29="","",
    Conv("dP",GasWRhoAcKE(F102,F106,F104/CpAo(F51,2^0.1,1),F105,1),"bar",$D$52))</f>
        <v/>
      </c>
      <c r="G52" s="219" t="str">
        <f>IF(G29="","",
    Conv("dP",GasWRhoAcKE(G102,G106,G104/CpAo(G51,2^0.1,1),G105,1),"bar",$D$52))</f>
        <v/>
      </c>
      <c r="H52" s="219" t="str">
        <f>IF(H29="","",
    Conv("dP",GasWRhoAcKE(H102,H106,H104/CpAo(H51,2^0.1,1),H105,1),"bar",$D$52))</f>
        <v/>
      </c>
      <c r="I52" s="220" t="str">
        <f>IF(I29="","",
    Conv("dP",GasWRhoAcKE(I102,I106,I104/CpAo(I51,2^0.1,1),I105,1),"bar",$D$52))</f>
        <v/>
      </c>
      <c r="K52" s="90"/>
    </row>
    <row r="53" spans="1:11" ht="12.75" customHeight="1" thickBot="1" x14ac:dyDescent="0.35">
      <c r="A53" s="96"/>
      <c r="D53" s="96"/>
      <c r="E53" s="221"/>
      <c r="F53" s="221"/>
      <c r="G53" s="221"/>
      <c r="H53" s="221"/>
      <c r="I53" s="221"/>
      <c r="K53" s="90"/>
    </row>
    <row r="54" spans="1:11" ht="12.75" customHeight="1" thickBot="1" x14ac:dyDescent="0.35">
      <c r="A54" s="351" t="str">
        <f>"Fluid Kinetic Energy at Trim Outlet versus Number of Stages, "&amp;D52</f>
        <v>Fluid Kinetic Energy at Trim Outlet versus Number of Stages, bar</v>
      </c>
      <c r="B54" s="352"/>
      <c r="C54" s="352"/>
      <c r="D54" s="352"/>
      <c r="E54" s="352"/>
      <c r="F54" s="352"/>
      <c r="G54" s="352"/>
      <c r="H54" s="352"/>
      <c r="I54" s="353"/>
      <c r="K54" s="90"/>
    </row>
    <row r="55" spans="1:11" ht="12.75" customHeight="1" x14ac:dyDescent="0.3">
      <c r="A55" s="373" t="s">
        <v>376</v>
      </c>
      <c r="B55" s="374"/>
      <c r="C55" s="156"/>
      <c r="D55" s="169" t="str">
        <f>$D$52</f>
        <v>bar</v>
      </c>
      <c r="E55" s="222" t="str">
        <f>IF(E$30="","",
    Conv("dP",GasWRhoAcKE(E$102,E$106,E$104/(CpAo($C56,2^0.1,1)*37.99/CpAo($C56,2^0.1,0)),E$105,1),"bar",$D$52))</f>
        <v/>
      </c>
      <c r="F55" s="222" t="str">
        <f>IF(F$30="","",
    Conv("dP",GasWRhoAcKE(F$102,F$106,F$104/(CpAo($C56,2^0.1,1)*37.99/CpAo($C56,2^0.1,0)),F$105,1),"bar",$D$52))</f>
        <v/>
      </c>
      <c r="G55" s="222" t="str">
        <f>IF(G$30="","",
    Conv("dP",GasWRhoAcKE(G$102,G$106,G$104/(CpAo($C56,2^0.1,1)*37.99/CpAo($C56,2^0.1,0)),G$105,1),"bar",$D$52))</f>
        <v/>
      </c>
      <c r="H55" s="222" t="str">
        <f>IF(H$30="","",
    Conv("dP",GasWRhoAcKE(H$102,H$106,H$104/(CpAo($C56,2^0.1,1)*37.99/CpAo($C56,2^0.1,0)),H$105,1),"bar",$D$52))</f>
        <v/>
      </c>
      <c r="I55" s="223" t="str">
        <f>IF(I$30="","",
    Conv("dP",GasWRhoAcKE(I$102,I$106,I$104/(CpAo($C56,2^0.1,1)*37.99/CpAo($C56,2^0.1,0)),I$105,1),"bar",$D$52))</f>
        <v/>
      </c>
    </row>
    <row r="56" spans="1:11" ht="12.75" customHeight="1" x14ac:dyDescent="0.3">
      <c r="A56" s="358" t="s">
        <v>377</v>
      </c>
      <c r="B56" s="359"/>
      <c r="C56" s="224">
        <v>0</v>
      </c>
      <c r="D56" s="171" t="str">
        <f t="shared" ref="D56:D65" si="0">$D$52</f>
        <v>bar</v>
      </c>
      <c r="E56" s="225" t="str">
        <f t="shared" ref="E56:I65" si="1">IF(E$30="","",
    Conv("dP",GasWRhoAcKE(E$102,E$106,E$104/CpAo($C56,2^0.1,1),E$105,1),"bar",$D$52))</f>
        <v/>
      </c>
      <c r="F56" s="225" t="str">
        <f t="shared" si="1"/>
        <v/>
      </c>
      <c r="G56" s="225" t="str">
        <f t="shared" si="1"/>
        <v/>
      </c>
      <c r="H56" s="225" t="str">
        <f t="shared" si="1"/>
        <v/>
      </c>
      <c r="I56" s="226" t="str">
        <f t="shared" si="1"/>
        <v/>
      </c>
    </row>
    <row r="57" spans="1:11" ht="12.75" customHeight="1" x14ac:dyDescent="0.3">
      <c r="A57" s="358" t="s">
        <v>454</v>
      </c>
      <c r="B57" s="359"/>
      <c r="C57" s="224">
        <v>2</v>
      </c>
      <c r="D57" s="171" t="str">
        <f t="shared" si="0"/>
        <v>bar</v>
      </c>
      <c r="E57" s="225" t="str">
        <f>IF(E$30="","",
    Conv("dP",GasWRhoAcKE(E$102,E$106,E$104/CpAo($C57,2^0.1,1),E$105,1),"bar",$D$52))</f>
        <v/>
      </c>
      <c r="F57" s="225" t="str">
        <f t="shared" si="1"/>
        <v/>
      </c>
      <c r="G57" s="225" t="str">
        <f t="shared" si="1"/>
        <v/>
      </c>
      <c r="H57" s="225" t="str">
        <f t="shared" si="1"/>
        <v/>
      </c>
      <c r="I57" s="226" t="str">
        <f t="shared" si="1"/>
        <v/>
      </c>
    </row>
    <row r="58" spans="1:11" ht="12.75" customHeight="1" x14ac:dyDescent="0.3">
      <c r="A58" s="358" t="s">
        <v>454</v>
      </c>
      <c r="B58" s="359"/>
      <c r="C58" s="224">
        <v>4</v>
      </c>
      <c r="D58" s="171" t="str">
        <f t="shared" si="0"/>
        <v>bar</v>
      </c>
      <c r="E58" s="225" t="str">
        <f t="shared" si="1"/>
        <v/>
      </c>
      <c r="F58" s="225" t="str">
        <f t="shared" si="1"/>
        <v/>
      </c>
      <c r="G58" s="225" t="str">
        <f t="shared" si="1"/>
        <v/>
      </c>
      <c r="H58" s="225" t="str">
        <f t="shared" si="1"/>
        <v/>
      </c>
      <c r="I58" s="226" t="str">
        <f t="shared" si="1"/>
        <v/>
      </c>
    </row>
    <row r="59" spans="1:11" ht="12.75" customHeight="1" x14ac:dyDescent="0.3">
      <c r="A59" s="358" t="s">
        <v>454</v>
      </c>
      <c r="B59" s="359"/>
      <c r="C59" s="224">
        <v>6</v>
      </c>
      <c r="D59" s="171" t="str">
        <f t="shared" si="0"/>
        <v>bar</v>
      </c>
      <c r="E59" s="225" t="str">
        <f t="shared" si="1"/>
        <v/>
      </c>
      <c r="F59" s="225" t="str">
        <f t="shared" si="1"/>
        <v/>
      </c>
      <c r="G59" s="225" t="str">
        <f t="shared" si="1"/>
        <v/>
      </c>
      <c r="H59" s="225" t="str">
        <f t="shared" si="1"/>
        <v/>
      </c>
      <c r="I59" s="226" t="str">
        <f t="shared" si="1"/>
        <v/>
      </c>
    </row>
    <row r="60" spans="1:11" ht="12.75" customHeight="1" x14ac:dyDescent="0.3">
      <c r="A60" s="358" t="s">
        <v>454</v>
      </c>
      <c r="B60" s="359"/>
      <c r="C60" s="224">
        <v>8</v>
      </c>
      <c r="D60" s="171" t="str">
        <f t="shared" si="0"/>
        <v>bar</v>
      </c>
      <c r="E60" s="225" t="str">
        <f t="shared" si="1"/>
        <v/>
      </c>
      <c r="F60" s="225" t="str">
        <f t="shared" si="1"/>
        <v/>
      </c>
      <c r="G60" s="225" t="str">
        <f t="shared" si="1"/>
        <v/>
      </c>
      <c r="H60" s="225" t="str">
        <f t="shared" si="1"/>
        <v/>
      </c>
      <c r="I60" s="226" t="str">
        <f t="shared" si="1"/>
        <v/>
      </c>
    </row>
    <row r="61" spans="1:11" ht="12.75" customHeight="1" x14ac:dyDescent="0.3">
      <c r="A61" s="358" t="s">
        <v>454</v>
      </c>
      <c r="B61" s="359"/>
      <c r="C61" s="224">
        <v>10</v>
      </c>
      <c r="D61" s="171" t="str">
        <f t="shared" si="0"/>
        <v>bar</v>
      </c>
      <c r="E61" s="225" t="str">
        <f>IF(E$30="","",
    Conv("dP",GasWRhoAcKE(E$102,E$106,E$104/CpAo($C61,2^0.1,1),E$105,1),"bar",$D$52))</f>
        <v/>
      </c>
      <c r="F61" s="225" t="str">
        <f t="shared" si="1"/>
        <v/>
      </c>
      <c r="G61" s="225" t="str">
        <f t="shared" si="1"/>
        <v/>
      </c>
      <c r="H61" s="225" t="str">
        <f t="shared" si="1"/>
        <v/>
      </c>
      <c r="I61" s="226" t="str">
        <f t="shared" si="1"/>
        <v/>
      </c>
    </row>
    <row r="62" spans="1:11" ht="12.75" customHeight="1" x14ac:dyDescent="0.3">
      <c r="A62" s="358" t="s">
        <v>454</v>
      </c>
      <c r="B62" s="359"/>
      <c r="C62" s="224">
        <v>12</v>
      </c>
      <c r="D62" s="171" t="str">
        <f t="shared" si="0"/>
        <v>bar</v>
      </c>
      <c r="E62" s="225" t="str">
        <f t="shared" si="1"/>
        <v/>
      </c>
      <c r="F62" s="225" t="str">
        <f t="shared" si="1"/>
        <v/>
      </c>
      <c r="G62" s="225" t="str">
        <f t="shared" si="1"/>
        <v/>
      </c>
      <c r="H62" s="225" t="str">
        <f t="shared" si="1"/>
        <v/>
      </c>
      <c r="I62" s="226" t="str">
        <f t="shared" si="1"/>
        <v/>
      </c>
    </row>
    <row r="63" spans="1:11" ht="12.75" customHeight="1" x14ac:dyDescent="0.3">
      <c r="A63" s="358" t="s">
        <v>454</v>
      </c>
      <c r="B63" s="359"/>
      <c r="C63" s="224">
        <v>16</v>
      </c>
      <c r="D63" s="171" t="str">
        <f t="shared" si="0"/>
        <v>bar</v>
      </c>
      <c r="E63" s="225" t="str">
        <f t="shared" si="1"/>
        <v/>
      </c>
      <c r="F63" s="225" t="str">
        <f t="shared" si="1"/>
        <v/>
      </c>
      <c r="G63" s="225" t="str">
        <f t="shared" si="1"/>
        <v/>
      </c>
      <c r="H63" s="225" t="str">
        <f t="shared" si="1"/>
        <v/>
      </c>
      <c r="I63" s="226" t="str">
        <f t="shared" si="1"/>
        <v/>
      </c>
    </row>
    <row r="64" spans="1:11" ht="12.75" customHeight="1" x14ac:dyDescent="0.3">
      <c r="A64" s="358" t="s">
        <v>454</v>
      </c>
      <c r="B64" s="359"/>
      <c r="C64" s="224">
        <v>22</v>
      </c>
      <c r="D64" s="171" t="str">
        <f t="shared" si="0"/>
        <v>bar</v>
      </c>
      <c r="E64" s="225" t="str">
        <f t="shared" si="1"/>
        <v/>
      </c>
      <c r="F64" s="225" t="str">
        <f t="shared" si="1"/>
        <v/>
      </c>
      <c r="G64" s="225" t="str">
        <f t="shared" si="1"/>
        <v/>
      </c>
      <c r="H64" s="225" t="str">
        <f t="shared" si="1"/>
        <v/>
      </c>
      <c r="I64" s="226" t="str">
        <f t="shared" si="1"/>
        <v/>
      </c>
    </row>
    <row r="65" spans="1:18" ht="12.75" customHeight="1" thickBot="1" x14ac:dyDescent="0.35">
      <c r="A65" s="361" t="s">
        <v>454</v>
      </c>
      <c r="B65" s="362"/>
      <c r="C65" s="227">
        <v>30</v>
      </c>
      <c r="D65" s="174" t="str">
        <f t="shared" si="0"/>
        <v>bar</v>
      </c>
      <c r="E65" s="228" t="str">
        <f t="shared" si="1"/>
        <v/>
      </c>
      <c r="F65" s="228" t="str">
        <f t="shared" si="1"/>
        <v/>
      </c>
      <c r="G65" s="228" t="str">
        <f t="shared" si="1"/>
        <v/>
      </c>
      <c r="H65" s="228" t="str">
        <f t="shared" si="1"/>
        <v/>
      </c>
      <c r="I65" s="229" t="str">
        <f t="shared" si="1"/>
        <v/>
      </c>
    </row>
    <row r="66" spans="1:18" ht="12.75" customHeight="1" thickBot="1" x14ac:dyDescent="0.3">
      <c r="F66" s="151"/>
      <c r="G66" s="151"/>
      <c r="H66" s="151"/>
      <c r="I66" s="151"/>
      <c r="J66" s="151"/>
    </row>
    <row r="67" spans="1:18" ht="12.75" customHeight="1" thickBot="1" x14ac:dyDescent="0.35">
      <c r="A67" s="370" t="s">
        <v>378</v>
      </c>
      <c r="B67" s="371"/>
      <c r="C67" s="371"/>
      <c r="D67" s="371"/>
      <c r="E67" s="371"/>
      <c r="F67" s="371"/>
      <c r="G67" s="371"/>
      <c r="H67" s="372"/>
      <c r="I67" s="151"/>
      <c r="J67" s="151"/>
    </row>
    <row r="68" spans="1:18" ht="12.75" customHeight="1" thickBot="1" x14ac:dyDescent="0.35">
      <c r="A68" s="230"/>
      <c r="B68" s="90"/>
      <c r="C68" s="90"/>
      <c r="D68" s="90"/>
      <c r="E68" s="212" t="s">
        <v>379</v>
      </c>
      <c r="F68" s="212" t="s">
        <v>380</v>
      </c>
      <c r="G68" s="212" t="s">
        <v>381</v>
      </c>
      <c r="H68" s="231" t="s">
        <v>382</v>
      </c>
      <c r="I68" s="151"/>
      <c r="J68" s="151"/>
    </row>
    <row r="69" spans="1:18" ht="12.75" customHeight="1" x14ac:dyDescent="0.3">
      <c r="A69" s="373" t="s">
        <v>383</v>
      </c>
      <c r="B69" s="374"/>
      <c r="C69" s="375"/>
      <c r="D69" s="169" t="s">
        <v>291</v>
      </c>
      <c r="E69" s="155"/>
      <c r="F69" s="155"/>
      <c r="G69" s="155"/>
      <c r="H69" s="170"/>
      <c r="I69" s="151"/>
      <c r="J69" s="151"/>
    </row>
    <row r="70" spans="1:18" ht="12.75" customHeight="1" x14ac:dyDescent="0.3">
      <c r="A70" s="358" t="s">
        <v>384</v>
      </c>
      <c r="B70" s="359"/>
      <c r="C70" s="360"/>
      <c r="D70" s="171" t="s">
        <v>291</v>
      </c>
      <c r="E70" s="172">
        <f>(4*2^0.5*Conv("C",MAX($E$46:$I$46),$D$46,"Cv")/(PI()*30))^0.5</f>
        <v>0</v>
      </c>
      <c r="F70" s="172">
        <f>(4*2^0.5*Conv("C",MAX($E$46:$I$46),$D$46,"Cv")/(PI()*30))^0.5</f>
        <v>0</v>
      </c>
      <c r="G70" s="172">
        <f>(4*2^0.5*Conv("C",MAX($E$46:$I$46),$D$46,"Cv")/(PI()*21))^0.5</f>
        <v>0</v>
      </c>
      <c r="H70" s="173">
        <f>(4*2^0.5*Conv("C",MAX($E$46:$I$46),$D$46,"Cv")/(PI()*21))^0.5</f>
        <v>0</v>
      </c>
      <c r="I70" s="151"/>
      <c r="J70" s="151"/>
    </row>
    <row r="71" spans="1:18" ht="12.75" customHeight="1" x14ac:dyDescent="0.3">
      <c r="A71" s="358" t="s">
        <v>385</v>
      </c>
      <c r="B71" s="359"/>
      <c r="C71" s="360"/>
      <c r="D71" s="171" t="s">
        <v>291</v>
      </c>
      <c r="E71" s="172">
        <f>Conv("L",$E$109,"m","in.")</f>
        <v>0</v>
      </c>
      <c r="F71" s="172">
        <f>Conv("L",$E$111,"m","in.")</f>
        <v>0</v>
      </c>
      <c r="G71" s="172">
        <f>Conv("L",$E$109,"m","in.")</f>
        <v>0</v>
      </c>
      <c r="H71" s="173">
        <f>Conv("L",$E$111,"m","in.")</f>
        <v>0</v>
      </c>
      <c r="I71" s="151"/>
      <c r="J71" s="151"/>
    </row>
    <row r="72" spans="1:18" ht="12.75" customHeight="1" x14ac:dyDescent="0.3">
      <c r="A72" s="358" t="s">
        <v>386</v>
      </c>
      <c r="B72" s="359"/>
      <c r="C72" s="360"/>
      <c r="D72" s="171" t="s">
        <v>291</v>
      </c>
      <c r="E72" s="172">
        <f>NomPlugSize(MAX(E70:E71),0)</f>
        <v>0.31</v>
      </c>
      <c r="F72" s="172">
        <f>NomPlugSize(MAX(F70:F71),0)</f>
        <v>0.31</v>
      </c>
      <c r="G72" s="172">
        <f>NomPlugSize(MAX(G70:G71),0)</f>
        <v>0.31</v>
      </c>
      <c r="H72" s="173">
        <f>NomPlugSize(MAX(H70:H71),0)</f>
        <v>0.31</v>
      </c>
      <c r="I72" s="151"/>
    </row>
    <row r="73" spans="1:18" ht="12.75" customHeight="1" thickBot="1" x14ac:dyDescent="0.35">
      <c r="A73" s="361" t="s">
        <v>387</v>
      </c>
      <c r="B73" s="362"/>
      <c r="C73" s="363"/>
      <c r="D73" s="174" t="s">
        <v>291</v>
      </c>
      <c r="E73" s="176"/>
      <c r="F73" s="176"/>
      <c r="G73" s="176"/>
      <c r="H73" s="177"/>
    </row>
    <row r="74" spans="1:18" ht="12.75" customHeight="1" x14ac:dyDescent="0.25"/>
    <row r="75" spans="1:18" ht="12.75" customHeight="1" x14ac:dyDescent="0.25">
      <c r="A75" s="90" t="s">
        <v>279</v>
      </c>
    </row>
    <row r="76" spans="1:18" ht="12.75" customHeight="1" x14ac:dyDescent="0.3">
      <c r="A76" s="90" t="s">
        <v>513</v>
      </c>
    </row>
    <row r="77" spans="1:18" ht="12.75" customHeight="1" x14ac:dyDescent="0.25"/>
    <row r="78" spans="1:18" ht="12.75" hidden="1" customHeight="1" outlineLevel="1" x14ac:dyDescent="0.3">
      <c r="A78" s="113" t="s">
        <v>210</v>
      </c>
      <c r="B78" s="114"/>
      <c r="C78" s="115" t="s">
        <v>211</v>
      </c>
      <c r="D78" s="286" t="s">
        <v>184</v>
      </c>
      <c r="E78" s="116"/>
      <c r="F78" s="116"/>
      <c r="G78" s="117" t="s">
        <v>200</v>
      </c>
      <c r="H78" s="116"/>
      <c r="I78" s="116"/>
      <c r="J78" s="115" t="s">
        <v>212</v>
      </c>
      <c r="K78" s="118"/>
      <c r="Q78" s="137"/>
      <c r="R78" s="137"/>
    </row>
    <row r="79" spans="1:18" s="191" customFormat="1" ht="12.75" hidden="1" customHeight="1" outlineLevel="1" x14ac:dyDescent="0.25">
      <c r="A79" s="189" t="s">
        <v>311</v>
      </c>
      <c r="B79" s="189"/>
      <c r="C79" s="189" t="s">
        <v>312</v>
      </c>
      <c r="D79" s="195" t="s">
        <v>313</v>
      </c>
      <c r="E79" s="190">
        <f>IF(gas_PipeCorrectionFactorOption="Ignore Correction","",Conv("L",E17,$D$17,$D$79))</f>
        <v>0</v>
      </c>
      <c r="F79" s="190">
        <f>IF(gas_PipeCorrectionFactorOption="Ignore Correction","",Conv("L",F17,$D$17,$D$79))</f>
        <v>0</v>
      </c>
      <c r="G79" s="189"/>
      <c r="H79" s="189"/>
      <c r="I79" s="189"/>
      <c r="J79" s="189"/>
      <c r="K79" s="189"/>
      <c r="L79" s="89"/>
      <c r="M79" s="89"/>
      <c r="N79" s="91" t="str">
        <f>IF(gas_PipeCorrectionFactorOption="Ignore Correction","","Unit Conversion")</f>
        <v>Unit Conversion</v>
      </c>
      <c r="O79" s="91" t="str">
        <f>IF(gas_PipeCorrectionFactorOption="Ignore Correction","",
    "D(mm) = "&amp;TEXT(Conv("L",1,$D$17,$D$79),"General")&amp;"*D("&amp;D17&amp;")")</f>
        <v>D(mm) = 25.4*D(in.)</v>
      </c>
      <c r="Q79" s="192"/>
      <c r="R79" s="192"/>
    </row>
    <row r="80" spans="1:18" s="191" customFormat="1" ht="12.75" hidden="1" customHeight="1" outlineLevel="1" x14ac:dyDescent="0.25">
      <c r="A80" s="189" t="s">
        <v>314</v>
      </c>
      <c r="B80" s="189"/>
      <c r="C80" s="189" t="s">
        <v>315</v>
      </c>
      <c r="D80" s="195" t="s">
        <v>313</v>
      </c>
      <c r="E80" s="190">
        <f>IF(gas_PipeCorrectionFactorOption="Ignore Correction","",Conv("L",E18,$D$18,$D$80))</f>
        <v>0</v>
      </c>
      <c r="F80" s="190">
        <f>IF(gas_PipeCorrectionFactorOption="Ignore Correction","",Conv("L",F18,$D$18,$D$80))</f>
        <v>0</v>
      </c>
      <c r="G80" s="189"/>
      <c r="H80" s="189"/>
      <c r="I80" s="189"/>
      <c r="J80" s="189"/>
      <c r="K80" s="189"/>
      <c r="L80" s="89"/>
      <c r="M80" s="89"/>
      <c r="N80" s="91" t="str">
        <f>IF(gas_PipeCorrectionFactorOption="Ignore Correction","","Unit Conversion")</f>
        <v>Unit Conversion</v>
      </c>
      <c r="O80" s="91" t="str">
        <f>IF(gas_PipeCorrectionFactorOption="Ignore Correction","",
    "dv(mm) = "&amp;TEXT(Conv("L",1,$D$17,$D$79),"General")&amp;"*dv("&amp;D17&amp;")")</f>
        <v>dv(mm) = 25.4*dv(in.)</v>
      </c>
      <c r="Q80" s="192"/>
      <c r="R80" s="192"/>
    </row>
    <row r="81" spans="1:21" s="191" customFormat="1" ht="12.75" hidden="1" customHeight="1" outlineLevel="1" x14ac:dyDescent="0.25">
      <c r="A81" s="189" t="s">
        <v>316</v>
      </c>
      <c r="B81" s="189"/>
      <c r="C81" s="189" t="s">
        <v>317</v>
      </c>
      <c r="D81" s="195"/>
      <c r="E81" s="241" t="e">
        <f>IF(gas_PipeCorrectionFactorOption="Ignore Correction",  0,
    IF($E80&lt;$E79,
      0.5*(1-($E80/$E79)^2)^2,
      (1 - ($E79/$E80)^2)^2/($E79/$E80)^4))</f>
        <v>#DIV/0!</v>
      </c>
      <c r="F81" s="190" t="e">
        <f>IF(gas_PipeCorrectionFactorOption="Ignore Correction",  0,
    IF($F80&lt;$F79,
      1*(1-($F80/$F79)^2)^2,
      0.5*(1 - ($F79/$F80)^2)^2/($F79/$F80)^4))</f>
        <v>#DIV/0!</v>
      </c>
      <c r="G81" s="193"/>
      <c r="H81" s="189"/>
      <c r="I81" s="189"/>
      <c r="J81" s="189"/>
      <c r="K81" s="189"/>
      <c r="L81" s="89"/>
      <c r="M81" s="89"/>
      <c r="N81" s="147" t="str">
        <f>IF(gas_PipeCorrectionFactorOption="Ignore Correction","","Eqs. 23 &amp; 24")</f>
        <v>Eqs. 23 &amp; 24</v>
      </c>
      <c r="O81" s="147" t="str">
        <f>IF(gas_PipeCorrectionFactorOption="Ignore Correction","",
    "K1 = 0.5*(1 - (dv1/D1)^2)^2,      K2 = 1*(1 - (dv2/D2)^2)^2")</f>
        <v>K1 = 0.5*(1 - (dv1/D1)^2)^2,      K2 = 1*(1 - (dv2/D2)^2)^2</v>
      </c>
      <c r="Q81" s="192"/>
      <c r="R81" s="192"/>
    </row>
    <row r="82" spans="1:21" s="191" customFormat="1" ht="12.75" hidden="1" customHeight="1" outlineLevel="1" x14ac:dyDescent="0.25">
      <c r="A82" s="189" t="s">
        <v>318</v>
      </c>
      <c r="B82" s="189"/>
      <c r="C82" s="189" t="s">
        <v>319</v>
      </c>
      <c r="D82" s="195"/>
      <c r="E82" s="241" t="e">
        <f>IF(gas_PipeCorrectionFactorOption="Ignore Correction",  0,
    IF($E80&lt;$E79,
      1-($E80/$E79)^4,
      (1-($E79/$E80)^4)/($E79/$E80)^4))</f>
        <v>#DIV/0!</v>
      </c>
      <c r="F82" s="190" t="e">
        <f>IF(gas_PipeCorrectionFactorOption="Ignore Correction",  0,
    IF($F80&lt;$F79,
      1-($F80/$F79)^4,
      (1 - ($F79/$F80)^4)/($F79/$F80)^4))</f>
        <v>#DIV/0!</v>
      </c>
      <c r="G82" s="193"/>
      <c r="H82" s="189"/>
      <c r="I82" s="189"/>
      <c r="J82" s="189"/>
      <c r="K82" s="189"/>
      <c r="L82" s="89"/>
      <c r="M82" s="89"/>
      <c r="N82" s="147" t="str">
        <f>IF(gas_PipeCorrectionFactorOption="Ignore Correction","","Eq. 22")</f>
        <v>Eq. 22</v>
      </c>
      <c r="O82" s="147" t="str">
        <f>IF(gas_PipeCorrectionFactorOption="Ignore Correction","",
    "KB1 = 1 - (dv1/D1)^4,              KB2 = 1 - (dv2/D2)^4")</f>
        <v>KB1 = 1 - (dv1/D1)^4,              KB2 = 1 - (dv2/D2)^4</v>
      </c>
      <c r="Q82" s="192"/>
      <c r="R82" s="192"/>
    </row>
    <row r="83" spans="1:21" s="191" customFormat="1" ht="12.75" hidden="1" customHeight="1" outlineLevel="1" x14ac:dyDescent="0.25">
      <c r="A83" s="189" t="s">
        <v>213</v>
      </c>
      <c r="B83" s="189"/>
      <c r="C83" s="189" t="s">
        <v>214</v>
      </c>
      <c r="D83" s="195"/>
      <c r="E83" s="190" t="e">
        <f>IF(gas_PipeCorrectionFactorOption="Ignore Correction",1,((E81+F81+E82-F82)*F20^2/0.00214+1)^-0.5)</f>
        <v>#DIV/0!</v>
      </c>
      <c r="F83" s="194"/>
      <c r="G83" s="189"/>
      <c r="H83" s="189" t="e">
        <f>E81+F81+E82-F82</f>
        <v>#DIV/0!</v>
      </c>
      <c r="I83" s="189"/>
      <c r="J83" s="189"/>
      <c r="K83" s="189"/>
      <c r="L83" s="89"/>
      <c r="M83" s="89"/>
      <c r="N83" s="91" t="str">
        <f>IF(gas_PipeCorrectionFactorOption="Ignore Correction","Assumed","Eq. 20")</f>
        <v>Eq. 20</v>
      </c>
      <c r="O83" s="91" t="str">
        <f>IF(gas_PipeCorrectionFactorOption="Ignore Correction","Fp = 1",
    "Fp = ((K1 + K2 + KB1 - KB2)*Cd^2/0.00214 + 1)^-0.5")</f>
        <v>Fp = ((K1 + K2 + KB1 - KB2)*Cd^2/0.00214 + 1)^-0.5</v>
      </c>
    </row>
    <row r="84" spans="1:21" s="191" customFormat="1" ht="12.75" hidden="1" customHeight="1" outlineLevel="1" x14ac:dyDescent="0.25">
      <c r="A84" s="189" t="s">
        <v>215</v>
      </c>
      <c r="B84" s="189"/>
      <c r="C84" s="189" t="s">
        <v>216</v>
      </c>
      <c r="D84" s="195"/>
      <c r="E84" s="190" t="e">
        <f>IF(gas_PipeCorrectionFactorOption="Ignore Correction",$F$21,$F$21/E83^2*($F$21*(E81+E82)*$F$20^2/0.00241+1)^-1)</f>
        <v>#DIV/0!</v>
      </c>
      <c r="F84" s="194"/>
      <c r="G84" s="189"/>
      <c r="H84" s="189" t="e">
        <f>E81+E82</f>
        <v>#DIV/0!</v>
      </c>
      <c r="I84" s="189"/>
      <c r="J84" s="189"/>
      <c r="K84" s="189"/>
      <c r="L84" s="89"/>
      <c r="M84" s="89"/>
      <c r="N84" s="91" t="str">
        <f>IF(gas_PipeCorrectionFactorOption="Ignore Correction","Assumed","Eq. 33")</f>
        <v>Eq. 33</v>
      </c>
      <c r="O84" s="91" t="str">
        <f>IF(gas_PipeCorrectionFactorOption="Ignore Correction","Xtp = Xt",
    "Xtp = Xt/Fp^2*(Xt*(K1 + KB1)*Cd^2/0.00241 + 1)^-1")</f>
        <v>Xtp = Xt/Fp^2*(Xt*(K1 + KB1)*Cd^2/0.00241 + 1)^-1</v>
      </c>
      <c r="Q84" s="192"/>
      <c r="R84" s="192"/>
    </row>
    <row r="85" spans="1:21" s="191" customFormat="1" ht="12.75" hidden="1" customHeight="1" outlineLevel="1" x14ac:dyDescent="0.25">
      <c r="A85" s="189"/>
      <c r="B85" s="189"/>
      <c r="C85" s="189"/>
      <c r="D85" s="195"/>
      <c r="E85" s="195"/>
      <c r="F85" s="195"/>
      <c r="G85" s="195"/>
      <c r="H85" s="195"/>
      <c r="I85" s="195"/>
      <c r="J85" s="189"/>
      <c r="K85" s="189"/>
      <c r="L85" s="89"/>
      <c r="M85" s="89"/>
      <c r="N85" s="91"/>
      <c r="O85" s="91"/>
      <c r="Q85" s="192"/>
      <c r="R85" s="192"/>
    </row>
    <row r="86" spans="1:21" s="191" customFormat="1" ht="12.75" hidden="1" customHeight="1" outlineLevel="1" x14ac:dyDescent="0.3">
      <c r="A86" s="196" t="s">
        <v>240</v>
      </c>
      <c r="B86" s="197"/>
      <c r="C86" s="197" t="s">
        <v>112</v>
      </c>
      <c r="D86" s="278" t="s">
        <v>432</v>
      </c>
      <c r="E86" s="198">
        <f>IF(FluidNameSN(gas_TypeOfGas)="Water",220.64,
    IF(gas_TypeOfGas&lt;&gt;"Custom",FLuidNamePc(gas_TypeOfGas,1),
      IF(AND(gas_MethodOfSpecifyingDensity&lt;&gt;"Direct Input",gas_CompressibilityOption="Calculate from Pc &amp; Tc"),Conv("P",E23,$D$23,$D$86),"")))</f>
        <v>0</v>
      </c>
      <c r="F86" s="198"/>
      <c r="G86" s="198"/>
      <c r="H86" s="198"/>
      <c r="I86" s="198"/>
      <c r="J86" s="189"/>
      <c r="K86" s="189"/>
      <c r="L86" s="89"/>
      <c r="M86" s="89"/>
      <c r="N86" s="199" t="e">
        <f>IF(FluidNameSN(gas_TypeOfGas)="Water","Wtr Functions",
    IF(gas_TypeOfGas&lt;&gt;"Custom","Fluid Data",
      IF(AND(gas_MethodOfSpecifyingDensity&lt;&gt;"Direct Input",gas_CompressibilityOption="Calculate from Pc &amp; Tc"),"Unit Conversion","")))</f>
        <v>#VALUE!</v>
      </c>
      <c r="O86" s="91" t="e">
        <f>IF(FluidNameSN(gas_TypeOfGas)="Water","From Water Functions",
    IF(gas_TypeOfGas&lt;&gt;"Custom","From FluidData",
      IF(AND(gas_MethodOfSpecifyingDensity&lt;&gt;"Direct Input",gas_CompressibilityOption="Calculate from Pc &amp; Tc"),
        "Pc(barA) = "&amp;TEXT((Conv("P",1,$D$23,$D$86)-Conv("P",0,$D$23,$D$86))/1,"General")&amp;"*Pc("&amp;D23&amp;") + "&amp;TEXT(Conv("P",0,$D$23,$D$86),"General"),
        "")))</f>
        <v>#VALUE!</v>
      </c>
      <c r="Q86" s="192"/>
      <c r="R86" s="192"/>
      <c r="T86" s="200"/>
      <c r="U86" s="201"/>
    </row>
    <row r="87" spans="1:21" s="191" customFormat="1" ht="12.75" hidden="1" customHeight="1" outlineLevel="1" x14ac:dyDescent="0.3">
      <c r="A87" s="196" t="s">
        <v>348</v>
      </c>
      <c r="B87" s="197"/>
      <c r="C87" s="197" t="s">
        <v>111</v>
      </c>
      <c r="D87" s="278" t="s">
        <v>22</v>
      </c>
      <c r="E87" s="198">
        <f>IF(FluidNameSN(gas_TypeOfGas)="Water",647.096-273.15,
    IF(gas_TypeOfGas&lt;&gt;"Custom",FluidNameTc(gas_TypeOfGas,1),
      IF(AND(gas_MethodOfSpecifyingDensity&lt;&gt;"Direct Input",gas_CompressibilityOption="Calculate from Pc &amp; Tc"),Conv("T",E24,$D$24,$D$87),"")))</f>
        <v>0</v>
      </c>
      <c r="F87" s="198"/>
      <c r="G87" s="198"/>
      <c r="H87" s="198"/>
      <c r="I87" s="198"/>
      <c r="J87" s="189"/>
      <c r="K87" s="202"/>
      <c r="L87" s="89"/>
      <c r="M87" s="89"/>
      <c r="N87" s="108" t="e">
        <f>IF(FluidNameSN(gas_TypeOfGas)="Water","Wtr Functions",
    IF(gas_TypeOfGas&lt;&gt;"Custom","Fluid Data",
      IF(AND(gas_MethodOfSpecifyingDensity&lt;&gt;"Direct Input",gas_CompressibilityOption="Calculate from Pc &amp; Tc"),"Unit Conversion","")))</f>
        <v>#VALUE!</v>
      </c>
      <c r="O87" s="91" t="e">
        <f>IF(FluidNameSN(gas_TypeOfGas)="Water","From Water Functions",
    IF(gas_TypeOfGas&lt;&gt;"Custom","From FluidData",
      IF(AND(gas_MethodOfSpecifyingDensity&lt;&gt;"Direct Input",gas_CompressibilityOption="Calculate from Pc &amp; Tc"),
        "Tc(deg C) = "&amp;TEXT((Conv("T",1,$D$24,$D$87)-Conv("T",0,$D$24,$D$87))/1,"General")&amp;"*Tc("&amp;D24&amp;") + "&amp;TEXT(Conv("T",0,$D$24,$D$87),"General"),
        "")))</f>
        <v>#VALUE!</v>
      </c>
      <c r="Q87" s="192"/>
      <c r="R87" s="192"/>
      <c r="T87" s="200"/>
      <c r="U87" s="201"/>
    </row>
    <row r="88" spans="1:21" s="191" customFormat="1" ht="12.75" hidden="1" customHeight="1" outlineLevel="1" x14ac:dyDescent="0.3">
      <c r="A88" s="196" t="s">
        <v>304</v>
      </c>
      <c r="B88" s="197"/>
      <c r="C88" s="197" t="s">
        <v>217</v>
      </c>
      <c r="D88" s="278" t="s">
        <v>218</v>
      </c>
      <c r="E88" s="198" t="str">
        <f>IF(gas_FlowRateType="Mass Flow Rate",Conv("m",E27,$D$27,$D$88),"")</f>
        <v/>
      </c>
      <c r="F88" s="198" t="str">
        <f>IF(gas_FlowRateType="Mass Flow Rate",Conv("m",F27,$D$27,$D$88),"")</f>
        <v/>
      </c>
      <c r="G88" s="198" t="str">
        <f>IF(gas_FlowRateType="Mass Flow Rate",Conv("m",G27,$D$27,$D$88),"")</f>
        <v/>
      </c>
      <c r="H88" s="198" t="str">
        <f>IF(gas_FlowRateType="Mass Flow Rate",Conv("m",H27,$D$27,$D$88),"")</f>
        <v/>
      </c>
      <c r="I88" s="198" t="str">
        <f>IF(gas_FlowRateType="Mass Flow Rate",Conv("m",I27,$D$27,$D$88),"")</f>
        <v/>
      </c>
      <c r="J88" s="189"/>
      <c r="K88" s="202"/>
      <c r="L88" s="89"/>
      <c r="M88" s="89"/>
      <c r="N88" s="108"/>
      <c r="O88" s="91"/>
      <c r="Q88" s="192"/>
      <c r="R88" s="192"/>
      <c r="T88" s="200"/>
      <c r="U88" s="201"/>
    </row>
    <row r="89" spans="1:21" s="191" customFormat="1" ht="12.75" hidden="1" customHeight="1" outlineLevel="1" x14ac:dyDescent="0.3">
      <c r="A89" s="196" t="s">
        <v>305</v>
      </c>
      <c r="B89" s="197"/>
      <c r="C89" s="197" t="s">
        <v>224</v>
      </c>
      <c r="D89" s="278" t="s">
        <v>332</v>
      </c>
      <c r="E89" s="198">
        <f>IF(gas_FlowRateType="Volume Flow Rate",Conv("Qg",E28,$D$28,$D$89),"")</f>
        <v>0</v>
      </c>
      <c r="F89" s="198">
        <f>IF(gas_FlowRateType="Volume Flow Rate",Conv("Qg",F28,$D$28,$D$89),"")</f>
        <v>0</v>
      </c>
      <c r="G89" s="198">
        <f>IF(gas_FlowRateType="Volume Flow Rate",Conv("Qg",G28,$D$28,$D$89),"")</f>
        <v>0</v>
      </c>
      <c r="H89" s="198">
        <f>IF(gas_FlowRateType="Volume Flow Rate",Conv("Qg",H28,$D$28,$D$89),"")</f>
        <v>0</v>
      </c>
      <c r="I89" s="198">
        <f>IF(gas_FlowRateType="Volume Flow Rate",Conv("Qg",I28,$D$28,$D$89),"")</f>
        <v>0</v>
      </c>
      <c r="J89" s="189"/>
      <c r="K89" s="202"/>
      <c r="L89" s="89"/>
      <c r="M89" s="89"/>
      <c r="N89" s="108"/>
      <c r="O89" s="91"/>
      <c r="Q89" s="192"/>
      <c r="R89" s="192"/>
      <c r="T89" s="200"/>
      <c r="U89" s="201"/>
    </row>
    <row r="90" spans="1:21" s="205" customFormat="1" ht="12.75" hidden="1" customHeight="1" outlineLevel="1" x14ac:dyDescent="0.35">
      <c r="A90" s="196" t="s">
        <v>205</v>
      </c>
      <c r="B90" s="197"/>
      <c r="C90" s="197" t="s">
        <v>220</v>
      </c>
      <c r="D90" s="278" t="s">
        <v>432</v>
      </c>
      <c r="E90" s="198">
        <f>Conv("P",E29,$D$29,$D$90)</f>
        <v>0</v>
      </c>
      <c r="F90" s="198">
        <f>Conv("P",F29,$D$29,$D$90)</f>
        <v>0</v>
      </c>
      <c r="G90" s="198">
        <f>Conv("P",G29,$D$29,$D$90)</f>
        <v>0</v>
      </c>
      <c r="H90" s="198">
        <f>Conv("P",H29,$D$29,$D$90)</f>
        <v>0</v>
      </c>
      <c r="I90" s="198">
        <f>Conv("P",I29,$D$29,$D$90)</f>
        <v>0</v>
      </c>
      <c r="J90" s="204"/>
      <c r="K90" s="197"/>
      <c r="L90" s="203"/>
      <c r="M90" s="203"/>
      <c r="N90" s="147" t="s">
        <v>349</v>
      </c>
      <c r="O90" s="91" t="str">
        <f>"P1(barA) = "&amp;TEXT((Conv("P",1,$D$29,$D$90)-Conv("P",0,$D$29,$D$90))/1,"General")&amp;"*P1("&amp;D29&amp;") + "&amp;TEXT(Conv("P",0,$D$29,$D$90),"General")</f>
        <v>P1(barA) = 1*P1(barA) + 0</v>
      </c>
      <c r="Q90" s="206"/>
      <c r="R90" s="206"/>
    </row>
    <row r="91" spans="1:21" s="205" customFormat="1" ht="12.75" hidden="1" customHeight="1" outlineLevel="1" x14ac:dyDescent="0.35">
      <c r="A91" s="197" t="s">
        <v>206</v>
      </c>
      <c r="B91" s="197"/>
      <c r="C91" s="197" t="s">
        <v>221</v>
      </c>
      <c r="D91" s="278" t="s">
        <v>432</v>
      </c>
      <c r="E91" s="198">
        <f>Conv("P",IF($A$30="Outlet Pressure",E30,E29-E30),$D$29,$D$91)</f>
        <v>0</v>
      </c>
      <c r="F91" s="198">
        <f t="shared" ref="F91:I91" si="2">Conv("P",IF($A$30="Outlet Pressure",F30,F29-F30),$D$29,$D$91)</f>
        <v>0</v>
      </c>
      <c r="G91" s="198">
        <f t="shared" si="2"/>
        <v>0</v>
      </c>
      <c r="H91" s="198">
        <f t="shared" si="2"/>
        <v>0</v>
      </c>
      <c r="I91" s="198">
        <f t="shared" si="2"/>
        <v>0</v>
      </c>
      <c r="J91" s="204"/>
      <c r="K91" s="197"/>
      <c r="L91" s="203"/>
      <c r="M91" s="203"/>
      <c r="N91" s="147" t="s">
        <v>349</v>
      </c>
      <c r="O91" s="91" t="str">
        <f>"P2(barA) = "&amp;TEXT((Conv("P",1,$D$29,$D$90)-Conv("P",0,$D$29,$D$90))/1,"General")&amp;"*P2("&amp;D29&amp;") + "&amp;TEXT(Conv("P",0,$D$29,$D$90),"General")</f>
        <v>P2(barA) = 1*P2(barA) + 0</v>
      </c>
      <c r="Q91" s="206"/>
      <c r="R91" s="206"/>
    </row>
    <row r="92" spans="1:21" s="205" customFormat="1" ht="12.75" hidden="1" customHeight="1" outlineLevel="1" x14ac:dyDescent="0.35">
      <c r="A92" s="196" t="s">
        <v>234</v>
      </c>
      <c r="B92" s="197"/>
      <c r="C92" s="197" t="s">
        <v>235</v>
      </c>
      <c r="D92" s="278" t="s">
        <v>22</v>
      </c>
      <c r="E92" s="198">
        <f>IF(OR(gas_TypeOfGas&lt;&gt;"Custom",gas_MethodOfSpecifyingDensity&lt;&gt;"Direct Input"),Conv("T",E31,$D$31,$D$92),"")</f>
        <v>0</v>
      </c>
      <c r="F92" s="198">
        <f>IF(OR(gas_TypeOfGas&lt;&gt;"Custom",gas_MethodOfSpecifyingDensity&lt;&gt;"Direct Input"),Conv("T",F31,$D$31,$D$92),"")</f>
        <v>0</v>
      </c>
      <c r="G92" s="198">
        <f>IF(OR(gas_TypeOfGas&lt;&gt;"Custom",gas_MethodOfSpecifyingDensity&lt;&gt;"Direct Input"),Conv("T",G31,$D$31,$D$92),"")</f>
        <v>0</v>
      </c>
      <c r="H92" s="198">
        <f>IF(OR(gas_TypeOfGas&lt;&gt;"Custom",gas_MethodOfSpecifyingDensity&lt;&gt;"Direct Input"),Conv("T",H31,$D$31,$D$92),"")</f>
        <v>0</v>
      </c>
      <c r="I92" s="198">
        <f>IF(OR(gas_TypeOfGas&lt;&gt;"Custom",gas_MethodOfSpecifyingDensity&lt;&gt;"Direct Input"),Conv("T",I31,$D$31,$D$92),"")</f>
        <v>0</v>
      </c>
      <c r="J92" s="204"/>
      <c r="K92" s="207"/>
      <c r="L92" s="203"/>
      <c r="M92" s="203"/>
      <c r="N92" s="147" t="str">
        <f>IF(OR(gas_TypeOfGas&lt;&gt;"Custom",gas_MethodOfSpecifyingDensity&lt;&gt;"Direct Input"),"Unit Conversion","")</f>
        <v>Unit Conversion</v>
      </c>
      <c r="O92" s="91" t="str">
        <f>IF(OR(gas_TypeOfGas&lt;&gt;"Custom",gas_MethodOfSpecifyingDensity&lt;&gt;"Direct Input"),
    "T1(deg C) = "&amp;TEXT((Conv("T",1,$D$31,$D$92)-Conv("T",0,$D$31,$D$92))/1,"General")&amp;"*T1("&amp;$D$31&amp;") + "&amp;TEXT(Conv("T",0,$D$31,$D$92),"General"),"")</f>
        <v>T1(deg C) = 1*T1(deg C) + 0</v>
      </c>
      <c r="Q92" s="206"/>
      <c r="R92" s="206"/>
    </row>
    <row r="93" spans="1:21" s="205" customFormat="1" ht="12.75" hidden="1" customHeight="1" outlineLevel="1" x14ac:dyDescent="0.35">
      <c r="A93" s="197" t="s">
        <v>308</v>
      </c>
      <c r="B93" s="197"/>
      <c r="C93" s="197" t="s">
        <v>333</v>
      </c>
      <c r="D93" s="287"/>
      <c r="E93" s="198">
        <f>IF(FluidNameSN(gas_TypeOfGas)="Water",18,
    IF(gas_TypeOfGas&lt;&gt;"Custom",FluidNameMw(gas_TypeOfGas),
      IF(gas_MethodOfSpecifyingDensity="Calculate from Spec Grav",28.97*E32,
        IF(OR(gas_MethodOfSpecifyingDensity="Calculate from MW",gas_FlowRateType="Volume Flow Rate"),E33,""))))</f>
        <v>0</v>
      </c>
      <c r="F93" s="198">
        <f>IF(FluidNameSN(gas_TypeOfGas)="Water",18,
    IF(gas_TypeOfGas&lt;&gt;"Custom",FluidNameMw(gas_TypeOfGas),
      IF(gas_MethodOfSpecifyingDensity="Calculate from Spec Grav",28.97*F32,
        IF(OR(gas_MethodOfSpecifyingDensity="Calculate from MW",gas_FlowRateType="Volume Flow Rate"),F33,""))))</f>
        <v>0</v>
      </c>
      <c r="G93" s="198">
        <f>IF(FluidNameSN(gas_TypeOfGas)="Water",18,
    IF(gas_TypeOfGas&lt;&gt;"Custom",FluidNameMw(gas_TypeOfGas),
      IF(gas_MethodOfSpecifyingDensity="Calculate from Spec Grav",28.97*G32,
        IF(OR(gas_MethodOfSpecifyingDensity="Calculate from MW",gas_FlowRateType="Volume Flow Rate"),G33,""))))</f>
        <v>0</v>
      </c>
      <c r="H93" s="198">
        <f>IF(FluidNameSN(gas_TypeOfGas)="Water",18,
    IF(gas_TypeOfGas&lt;&gt;"Custom",FluidNameMw(gas_TypeOfGas),
      IF(gas_MethodOfSpecifyingDensity="Calculate from Spec Grav",28.97*H32,
        IF(OR(gas_MethodOfSpecifyingDensity="Calculate from MW",gas_FlowRateType="Volume Flow Rate"),H33,""))))</f>
        <v>0</v>
      </c>
      <c r="I93" s="198">
        <f>IF(FluidNameSN(gas_TypeOfGas)="Water",18,
    IF(gas_TypeOfGas&lt;&gt;"Custom",FluidNameMw(gas_TypeOfGas),
      IF(gas_MethodOfSpecifyingDensity="Calculate from Spec Grav",28.97*I32,
        IF(OR(gas_MethodOfSpecifyingDensity="Calculate from MW",gas_FlowRateType="Volume Flow Rate"),I33,""))))</f>
        <v>0</v>
      </c>
      <c r="J93" s="204"/>
      <c r="K93" s="207"/>
      <c r="L93" s="203"/>
      <c r="M93" s="203"/>
      <c r="N93" s="147" t="str">
        <f>IF(FluidNameSN(gas_TypeOfGas)="Water","Wtr Functions",
    IF(gas_TypeOfGas&lt;&gt;"Custom","Fluid Data",
      IF(OR(gas_MethodOfSpecifyingDensity="Calculate from MW",AND(gas_FlowRateType="Volume Flow Rate",gas_MethodOfSpecifyingDensity="Direct Input")),"Given",
        IF(gas_MethodOfSpecifyingDensity="Calculate from Spec Grav","Def of Gg",""))))</f>
        <v>Def of Gg</v>
      </c>
      <c r="O93" s="147" t="str">
        <f>IF(FluidNameSN(gas_TypeOfGas)="Water","From Water Functions",
    IF(gas_TypeOfGas&lt;&gt;"Custom","From FluidData",
      IF(gas_MethodOfSpecifyingDensity="Calculate from Spec Grav","Mw = 28.97*Gg",
        IF(OR(gas_MethodOfSpecifyingDensity="Calculate from MW",gas_FlowRateType="Volume Flow Rate"),"Given",""))))</f>
        <v>Mw = 28.97*Gg</v>
      </c>
      <c r="Q93" s="206"/>
      <c r="R93" s="206"/>
    </row>
    <row r="94" spans="1:21" s="205" customFormat="1" ht="12.75" hidden="1" customHeight="1" outlineLevel="1" x14ac:dyDescent="0.35">
      <c r="A94" s="197" t="s">
        <v>350</v>
      </c>
      <c r="B94" s="197"/>
      <c r="C94" s="197" t="s">
        <v>335</v>
      </c>
      <c r="D94" s="288"/>
      <c r="E94" s="198" t="e">
        <f>IF(OR(FluidNameSN(gas_TypeOfGas)="Water",AND(gas_TypeOfGas="Custom",gas_MethodOfSpecifyingDensity="Direct Input")),"",
    IF(AND(gas_TypeOfGas="Custom",gas_CompressibilityOption="Assume 1"),1,
      IF(AND(gas_TypeOfGas="Custom",gas_CompressibilityOption="Direct Input"),E34,
        GasPTPcTcZ(E90,E92,$E$86,$E$87,1))))</f>
        <v>#VALUE!</v>
      </c>
      <c r="F94" s="198" t="e">
        <f>IF(OR(FluidNameSN(gas_TypeOfGas)="Water",AND(gas_TypeOfGas="Custom",gas_MethodOfSpecifyingDensity="Direct Input")),"",
    IF(AND(gas_TypeOfGas="Custom",gas_CompressibilityOption="Assume 1"),1,
      IF(AND(gas_TypeOfGas="Custom",gas_CompressibilityOption="Direct Input"),F34,
        GasPTPcTcZ(F90,F92,$E$86,$E$87,1))))</f>
        <v>#VALUE!</v>
      </c>
      <c r="G94" s="198" t="e">
        <f>IF(OR(FluidNameSN(gas_TypeOfGas)="Water",AND(gas_TypeOfGas="Custom",gas_MethodOfSpecifyingDensity="Direct Input")),"",
    IF(AND(gas_TypeOfGas="Custom",gas_CompressibilityOption="Assume 1"),1,
      IF(AND(gas_TypeOfGas="Custom",gas_CompressibilityOption="Direct Input"),G34,
        GasPTPcTcZ(G90,G92,$E$86,$E$87,1))))</f>
        <v>#VALUE!</v>
      </c>
      <c r="H94" s="198" t="e">
        <f>IF(OR(FluidNameSN(gas_TypeOfGas)="Water",AND(gas_TypeOfGas="Custom",gas_MethodOfSpecifyingDensity="Direct Input")),"",
    IF(AND(gas_TypeOfGas="Custom",gas_CompressibilityOption="Assume 1"),1,
      IF(AND(gas_TypeOfGas="Custom",gas_CompressibilityOption="Direct Input"),H34,
        GasPTPcTcZ(H90,H92,$E$86,$E$87,1))))</f>
        <v>#VALUE!</v>
      </c>
      <c r="I94" s="198" t="e">
        <f>IF(OR(FluidNameSN(gas_TypeOfGas)="Water",AND(gas_TypeOfGas="Custom",gas_MethodOfSpecifyingDensity="Direct Input")),"",
    IF(AND(gas_TypeOfGas="Custom",gas_CompressibilityOption="Assume 1"),1,
      IF(AND(gas_TypeOfGas="Custom",gas_CompressibilityOption="Direct Input"),I34,
        GasPTPcTcZ(I90,I92,$E$86,$E$87,1))))</f>
        <v>#VALUE!</v>
      </c>
      <c r="J94" s="204"/>
      <c r="K94" s="207"/>
      <c r="L94" s="203"/>
      <c r="M94" s="203"/>
      <c r="N94" s="147" t="e">
        <f>IF(FluidNameSN(gas_TypeOfGas)="Water","",
    IF(OR(gas_TypeOfGas&lt;&gt;"Custom",gas_CompressibilityOption="Calculate from Pc &amp; Tc"),
      "Relich-Kwon",
      IF(gas_CompressibilityOption="Assume 1","Assumed 1","Given")))</f>
        <v>#VALUE!</v>
      </c>
      <c r="O94" s="147" t="e">
        <f>IF(FluidNameSN(gas_TypeOfGas)="Water","",
    IF(OR(gas_TypeOfGas&lt;&gt;"Custom",gas_CompressibilityOption="Calculate from Pc &amp; Tc"),
      "Z = GasPTPcTcZ(P1, T1, Pc, Tc)",
      IF(gas_CompressibilityOption="Assume 1","Z = 1","")))</f>
        <v>#VALUE!</v>
      </c>
      <c r="Q94" s="206"/>
      <c r="R94" s="206"/>
      <c r="T94" s="208"/>
      <c r="U94" s="209"/>
    </row>
    <row r="95" spans="1:21" s="205" customFormat="1" ht="12.75" hidden="1" customHeight="1" outlineLevel="1" x14ac:dyDescent="0.35">
      <c r="A95" s="196" t="s">
        <v>328</v>
      </c>
      <c r="B95" s="197"/>
      <c r="C95" s="197" t="s">
        <v>351</v>
      </c>
      <c r="D95" s="278" t="s">
        <v>230</v>
      </c>
      <c r="E95" s="198" t="e">
        <f>IF(FluidNameSN(gas_TypeOfGas)="Water",wtrPTD(E90,E92,1),
    IF(gas_TypeOfGas&lt;&gt;"Custom",FluidNamePTRho(gas_TypeOfGas,E90,E92,1),
      IF(gas_MethodOfSpecifyingDensity="Direct Input",Conv("rho",E35,$D$35,$D$95),
        E93*E90/(0.083143*E94*(E92+273.15)))))</f>
        <v>#VALUE!</v>
      </c>
      <c r="F95" s="198" t="e">
        <f>IF(FluidNameSN(gas_TypeOfGas)="Water",wtrPTD(F90,F92,1),
    IF(gas_TypeOfGas&lt;&gt;"Custom",FluidNamePTRho(gas_TypeOfGas,F90,F92,1),
      IF(gas_MethodOfSpecifyingDensity="Direct Input",Conv("rho",F35,$D$35,$D$95),
        F93*F90/(0.083143*F94*(F92+273.15)))))</f>
        <v>#VALUE!</v>
      </c>
      <c r="G95" s="198" t="e">
        <f>IF(FluidNameSN(gas_TypeOfGas)="Water",wtrPTD(G90,G92,1),
    IF(gas_TypeOfGas&lt;&gt;"Custom",FluidNamePTRho(gas_TypeOfGas,G90,G92,1),
      IF(gas_MethodOfSpecifyingDensity="Direct Input",Conv("rho",G35,$D$35,$D$95),
        G93*G90/(0.083143*G94*(G92+273.15)))))</f>
        <v>#VALUE!</v>
      </c>
      <c r="H95" s="198" t="e">
        <f>IF(FluidNameSN(gas_TypeOfGas)="Water",wtrPTD(H90,H92,1),
    IF(gas_TypeOfGas&lt;&gt;"Custom",FluidNamePTRho(gas_TypeOfGas,H90,H92,1),
      IF(gas_MethodOfSpecifyingDensity="Direct Input",Conv("rho",H35,$D$35,$D$95),
        H93*H90/(0.083143*H94*(H92+273.15)))))</f>
        <v>#VALUE!</v>
      </c>
      <c r="I95" s="198" t="e">
        <f>IF(FluidNameSN(gas_TypeOfGas)="Water",wtrPTD(I90,I92,1),
    IF(gas_TypeOfGas&lt;&gt;"Custom",FluidNamePTRho(gas_TypeOfGas,I90,I92,1),
      IF(gas_MethodOfSpecifyingDensity="Direct Input",Conv("rho",I35,$D$35,$D$95),
        I93*I90/(0.083143*I94*(I92+273.15)))))</f>
        <v>#VALUE!</v>
      </c>
      <c r="J95" s="204"/>
      <c r="K95" s="197"/>
      <c r="L95" s="203"/>
      <c r="M95" s="203"/>
      <c r="N95" s="147" t="e">
        <f>IF(FluidNameSN(gas_TypeOfGas)="Water","Wtr Functions",
    IF(gas_TypeOfGas&lt;&gt;"Custom","Fluid Functions",
      IF(gas_MethodOfSpecifyingDensity="Direct Input","Unit Conversion",
        "Ideal Gas")))</f>
        <v>#VALUE!</v>
      </c>
      <c r="O95" s="147" t="e">
        <f>IF(FluidNameSN(gas_TypeOfGas)="Water","rho1 = wtrPTD(P1, T1)",
    IF(gas_TypeOfGas&lt;&gt;"Custom","Rho1 = MW*P1/(0.083143*Z*(T1 + 273.15))",
      IF(gas_MethodOfSpecifyingDensity="Direct Input",
        "Rho1(kg/m3) = "&amp;TEXT(Conv("rho",1,$D$35,$D$95),"General")&amp;"*Rho1("&amp;$D$35&amp;")",
        "Rho1 = MW*P1/(0.083143*Z*(T1 + 273.15))")))</f>
        <v>#VALUE!</v>
      </c>
      <c r="Q95" s="206"/>
      <c r="R95" s="206"/>
      <c r="T95" s="208"/>
      <c r="U95" s="209"/>
    </row>
    <row r="96" spans="1:21" s="205" customFormat="1" ht="12.75" hidden="1" customHeight="1" outlineLevel="1" x14ac:dyDescent="0.35">
      <c r="A96" s="204"/>
      <c r="B96" s="204"/>
      <c r="C96" s="204"/>
      <c r="D96" s="289"/>
      <c r="E96" s="204"/>
      <c r="F96" s="204"/>
      <c r="G96" s="204"/>
      <c r="H96" s="204"/>
      <c r="I96" s="204"/>
      <c r="J96" s="204"/>
      <c r="K96" s="197"/>
      <c r="L96" s="203"/>
      <c r="M96" s="203"/>
      <c r="N96" s="147"/>
      <c r="O96" s="147"/>
      <c r="Q96" s="206"/>
      <c r="R96" s="206"/>
      <c r="T96" s="208"/>
      <c r="U96" s="209"/>
    </row>
    <row r="97" spans="1:18" s="205" customFormat="1" ht="12.75" hidden="1" customHeight="1" outlineLevel="1" x14ac:dyDescent="0.35">
      <c r="A97" s="197" t="s">
        <v>276</v>
      </c>
      <c r="B97" s="197"/>
      <c r="C97" s="197" t="s">
        <v>118</v>
      </c>
      <c r="D97" s="278"/>
      <c r="E97" s="198" t="e">
        <f>IF(FluidNameSN(gas_TypeOfGas)="Water",wtrPTG(E90,E92,1),
    IF(gas_TypeOfGas&lt;&gt;"Custom",FluidNamek(gas_TypeOfGas),E36))</f>
        <v>#VALUE!</v>
      </c>
      <c r="F97" s="198" t="e">
        <f>IF(FluidNameSN(gas_TypeOfGas)="Water",wtrPTG(F90,F92,1),
    IF(gas_TypeOfGas&lt;&gt;"Custom",FluidNamek(gas_TypeOfGas),F36))</f>
        <v>#VALUE!</v>
      </c>
      <c r="G97" s="198" t="e">
        <f>IF(FluidNameSN(gas_TypeOfGas)="Water",wtrPTG(G90,G92,1),
    IF(gas_TypeOfGas&lt;&gt;"Custom",FluidNamek(gas_TypeOfGas),G36))</f>
        <v>#VALUE!</v>
      </c>
      <c r="H97" s="198" t="e">
        <f>IF(FluidNameSN(gas_TypeOfGas)="Water",wtrPTG(H90,H92,1),
    IF(gas_TypeOfGas&lt;&gt;"Custom",FluidNamek(gas_TypeOfGas),H36))</f>
        <v>#VALUE!</v>
      </c>
      <c r="I97" s="198" t="e">
        <f>IF(FluidNameSN(gas_TypeOfGas)="Water",wtrPTG(I90,I92,1),
    IF(gas_TypeOfGas&lt;&gt;"Custom",FluidNamek(gas_TypeOfGas),I36))</f>
        <v>#VALUE!</v>
      </c>
      <c r="J97" s="204"/>
      <c r="K97" s="197"/>
      <c r="L97" s="203"/>
      <c r="M97" s="203"/>
      <c r="N97" s="147" t="e">
        <f>IF(FluidNameSN(gas_TypeOfGas)="Water","Wtr Functions",
    IF(gas_TypeOfGas&lt;&gt;"Custom","Fluid Data","Given"))</f>
        <v>#VALUE!</v>
      </c>
      <c r="O97" s="147" t="e">
        <f>IF(FluidNameSN(gas_TypeOfGas)="Water","From Water Functions",
    IF(gas_TypeOfGas&lt;&gt;"Custom","From FluidData",""))</f>
        <v>#VALUE!</v>
      </c>
      <c r="Q97" s="206"/>
      <c r="R97" s="206"/>
    </row>
    <row r="98" spans="1:18" s="191" customFormat="1" ht="12.75" hidden="1" customHeight="1" outlineLevel="1" x14ac:dyDescent="0.25">
      <c r="A98" s="189" t="s">
        <v>256</v>
      </c>
      <c r="B98" s="189"/>
      <c r="C98" s="189" t="s">
        <v>257</v>
      </c>
      <c r="D98" s="195"/>
      <c r="E98" s="190" t="e">
        <f>E97/1.4</f>
        <v>#VALUE!</v>
      </c>
      <c r="F98" s="190" t="e">
        <f>F97/1.4</f>
        <v>#VALUE!</v>
      </c>
      <c r="G98" s="190" t="e">
        <f>G97/1.4</f>
        <v>#VALUE!</v>
      </c>
      <c r="H98" s="190" t="e">
        <f>H97/1.4</f>
        <v>#VALUE!</v>
      </c>
      <c r="I98" s="190" t="e">
        <f>I97/1.4</f>
        <v>#VALUE!</v>
      </c>
      <c r="J98" s="189"/>
      <c r="K98" s="189"/>
      <c r="L98" s="89"/>
      <c r="M98" s="89"/>
      <c r="N98" s="91" t="s">
        <v>352</v>
      </c>
      <c r="O98" s="91" t="s">
        <v>258</v>
      </c>
      <c r="Q98" s="192"/>
      <c r="R98" s="192"/>
    </row>
    <row r="99" spans="1:18" s="191" customFormat="1" ht="12.75" hidden="1" customHeight="1" outlineLevel="1" x14ac:dyDescent="0.25">
      <c r="A99" s="189" t="s">
        <v>259</v>
      </c>
      <c r="B99" s="189"/>
      <c r="C99" s="189" t="s">
        <v>260</v>
      </c>
      <c r="D99" s="195"/>
      <c r="E99" s="190" t="e">
        <f>MINA(E98*$E84,(E90-E91)/E90)</f>
        <v>#VALUE!</v>
      </c>
      <c r="F99" s="190" t="e">
        <f>MINA(F98*$E84,(F90-F91)/F90)</f>
        <v>#VALUE!</v>
      </c>
      <c r="G99" s="190" t="e">
        <f>MINA(G98*$E84,(G90-G91)/G90)</f>
        <v>#VALUE!</v>
      </c>
      <c r="H99" s="190" t="e">
        <f>MINA(H98*$E84,(H90-H91)/H90)</f>
        <v>#VALUE!</v>
      </c>
      <c r="I99" s="190" t="e">
        <f>MINA(I98*$E84,(I90-I91)/I90)</f>
        <v>#VALUE!</v>
      </c>
      <c r="J99" s="189"/>
      <c r="K99" s="189"/>
      <c r="L99" s="89"/>
      <c r="M99" s="89"/>
      <c r="N99" s="91" t="s">
        <v>353</v>
      </c>
      <c r="O99" s="91" t="s">
        <v>354</v>
      </c>
      <c r="Q99" s="192"/>
      <c r="R99" s="192"/>
    </row>
    <row r="100" spans="1:18" s="191" customFormat="1" ht="12.75" hidden="1" customHeight="1" outlineLevel="1" x14ac:dyDescent="0.25">
      <c r="A100" s="189" t="s">
        <v>262</v>
      </c>
      <c r="B100" s="189"/>
      <c r="C100" s="189" t="s">
        <v>263</v>
      </c>
      <c r="D100" s="195"/>
      <c r="E100" s="190" t="e">
        <f>1-E99/(3*E98*$E84)</f>
        <v>#VALUE!</v>
      </c>
      <c r="F100" s="190" t="e">
        <f>1-F99/(3*F98*$E84)</f>
        <v>#VALUE!</v>
      </c>
      <c r="G100" s="190" t="e">
        <f>1-G99/(3*G98*$E84)</f>
        <v>#VALUE!</v>
      </c>
      <c r="H100" s="190" t="e">
        <f>1-H99/(3*H98*$E84)</f>
        <v>#VALUE!</v>
      </c>
      <c r="I100" s="190" t="e">
        <f>1-I99/(3*I98*$E84)</f>
        <v>#VALUE!</v>
      </c>
      <c r="J100" s="189"/>
      <c r="K100" s="189"/>
      <c r="L100" s="89"/>
      <c r="M100" s="89"/>
      <c r="N100" s="91" t="s">
        <v>355</v>
      </c>
      <c r="O100" s="91" t="s">
        <v>356</v>
      </c>
      <c r="Q100" s="192"/>
      <c r="R100" s="192"/>
    </row>
    <row r="101" spans="1:18" s="191" customFormat="1" ht="12.75" hidden="1" customHeight="1" outlineLevel="1" x14ac:dyDescent="0.25">
      <c r="A101" s="189" t="s">
        <v>282</v>
      </c>
      <c r="B101" s="189"/>
      <c r="C101" s="189" t="s">
        <v>249</v>
      </c>
      <c r="D101" s="195" t="s">
        <v>218</v>
      </c>
      <c r="E101" s="190">
        <f>IF(gas_FlowRateType="Mass Flow Rate",E88,
    E89*1.01325*E93/(0.083143*(273.15)))</f>
        <v>0</v>
      </c>
      <c r="F101" s="190">
        <f>IF(gas_FlowRateType="Mass Flow Rate",F88,
    F89*1.01325*F93/(0.083143*(273.15)))</f>
        <v>0</v>
      </c>
      <c r="G101" s="190">
        <f>IF(gas_FlowRateType="Mass Flow Rate",G88,
    G89*1.01325*G93/(0.083143*(273.15)))</f>
        <v>0</v>
      </c>
      <c r="H101" s="190">
        <f>IF(gas_FlowRateType="Mass Flow Rate",H88,
    H89*1.01325*H93/(0.083143*(273.15)))</f>
        <v>0</v>
      </c>
      <c r="I101" s="190">
        <f>IF(gas_FlowRateType="Mass Flow Rate",I88,
    I89*1.01325*I93/(0.083143*(273.15)))</f>
        <v>0</v>
      </c>
      <c r="J101" s="189"/>
      <c r="K101" s="189"/>
      <c r="L101" s="89"/>
      <c r="M101" s="89"/>
      <c r="N101" s="91" t="str">
        <f>IF(gas_FlowRateType="Mass Flow Rate","Unit Conversion",
    "Conversion")</f>
        <v>Conversion</v>
      </c>
      <c r="O101" s="91" t="str">
        <f>IF(gas_FlowRateType="Mass Flow Rate",
    "W(kg/h) = "&amp;TEXT(Conv("m",1,$D$27,$D$101),"General")&amp;"*W("&amp;D27&amp;")",
    "W = Qg*1.01325*MW/(0.083143*273.15)")</f>
        <v>W = Qg*1.01325*MW/(0.083143*273.15)</v>
      </c>
    </row>
    <row r="102" spans="1:18" s="191" customFormat="1" ht="12.75" hidden="1" customHeight="1" outlineLevel="1" x14ac:dyDescent="0.25">
      <c r="A102" s="189"/>
      <c r="B102" s="189"/>
      <c r="C102" s="189"/>
      <c r="D102" s="195" t="s">
        <v>357</v>
      </c>
      <c r="E102" s="190">
        <f>E101/3600</f>
        <v>0</v>
      </c>
      <c r="F102" s="190">
        <f>F101/3600</f>
        <v>0</v>
      </c>
      <c r="G102" s="190">
        <f>G101/3600</f>
        <v>0</v>
      </c>
      <c r="H102" s="190">
        <f>H101/3600</f>
        <v>0</v>
      </c>
      <c r="I102" s="190">
        <f>I101/3600</f>
        <v>0</v>
      </c>
      <c r="J102" s="189"/>
      <c r="K102" s="189"/>
      <c r="L102" s="89"/>
      <c r="M102" s="89"/>
      <c r="N102" s="91"/>
      <c r="O102" s="91"/>
    </row>
    <row r="103" spans="1:18" s="205" customFormat="1" ht="12.75" hidden="1" customHeight="1" outlineLevel="1" x14ac:dyDescent="0.35">
      <c r="A103" s="196" t="s">
        <v>305</v>
      </c>
      <c r="B103" s="197"/>
      <c r="C103" s="197" t="s">
        <v>331</v>
      </c>
      <c r="D103" s="278" t="s">
        <v>332</v>
      </c>
      <c r="E103" s="198">
        <f>IF(gas_FlowRateType="Volume Flow Rate",E89,
    0.083143*273.15*E88/(1.01325*E93))</f>
        <v>0</v>
      </c>
      <c r="F103" s="198">
        <f>IF(gas_FlowRateType="Volume Flow Rate",F89,
    0.083143*273.15*F88/(1.01325*F93))</f>
        <v>0</v>
      </c>
      <c r="G103" s="198">
        <f>IF(gas_FlowRateType="Volume Flow Rate",G89,
    0.083143*273.15*G88/(1.01325*G93))</f>
        <v>0</v>
      </c>
      <c r="H103" s="198">
        <f>IF(gas_FlowRateType="Volume Flow Rate",H89,
    0.083143*273.15*H88/(1.01325*H93))</f>
        <v>0</v>
      </c>
      <c r="I103" s="198">
        <f>IF(gas_FlowRateType="Volume Flow Rate",I89,
    0.083143*273.15*I88/(1.01325*I93))</f>
        <v>0</v>
      </c>
      <c r="J103" s="204"/>
      <c r="K103" s="197"/>
      <c r="L103" s="203"/>
      <c r="M103" s="203"/>
      <c r="N103" s="147" t="str">
        <f>IF(gas_FlowRateType="Mass Flow Rate","","Unit Conversion")</f>
        <v>Unit Conversion</v>
      </c>
      <c r="O103" s="147" t="str">
        <f>IF(gas_FlowRateType="Mass Flow Rate","","Qg(Nm3/h) = "&amp;TEXT(Conv("Qg",1,$D$28,$D$103),"General")&amp;"*Qg("&amp;D28&amp;")")</f>
        <v>Qg(Nm3/h) = 1*Qg(Nm3/h)</v>
      </c>
      <c r="Q103" s="206"/>
      <c r="R103" s="206"/>
    </row>
    <row r="104" spans="1:18" s="191" customFormat="1" ht="12.75" hidden="1" customHeight="1" outlineLevel="1" x14ac:dyDescent="0.25">
      <c r="A104" s="189" t="s">
        <v>269</v>
      </c>
      <c r="B104" s="189"/>
      <c r="C104" s="189" t="s">
        <v>115</v>
      </c>
      <c r="D104" s="195" t="s">
        <v>270</v>
      </c>
      <c r="E104" s="190" t="e">
        <f>E101/(31.6*$E83*E100*(E99*E90*E95)^0.5)</f>
        <v>#DIV/0!</v>
      </c>
      <c r="F104" s="190" t="e">
        <f>F101/(31.6*$E83*F100*(F99*F90*F95)^0.5)</f>
        <v>#DIV/0!</v>
      </c>
      <c r="G104" s="190" t="e">
        <f>G101/(31.6*$E83*G100*(G99*G90*G95)^0.5)</f>
        <v>#DIV/0!</v>
      </c>
      <c r="H104" s="190" t="e">
        <f>H101/(31.6*$E83*H100*(H99*H90*H95)^0.5)</f>
        <v>#DIV/0!</v>
      </c>
      <c r="I104" s="190" t="e">
        <f>I101/(31.6*$E83*I100*(I99*I90*I95)^0.5)</f>
        <v>#DIV/0!</v>
      </c>
      <c r="J104" s="189"/>
      <c r="K104" s="189"/>
      <c r="L104" s="89"/>
      <c r="M104" s="89"/>
      <c r="N104" s="91" t="s">
        <v>358</v>
      </c>
      <c r="O104" s="91" t="s">
        <v>359</v>
      </c>
    </row>
    <row r="105" spans="1:18" s="191" customFormat="1" ht="12.75" hidden="1" customHeight="1" outlineLevel="1" x14ac:dyDescent="0.25">
      <c r="A105" s="189" t="s">
        <v>360</v>
      </c>
      <c r="B105" s="189"/>
      <c r="C105" s="189" t="s">
        <v>119</v>
      </c>
      <c r="D105" s="195" t="s">
        <v>361</v>
      </c>
      <c r="E105" s="195" t="e">
        <f>GasPRhokc(E90,E95,E97,1)</f>
        <v>#VALUE!</v>
      </c>
      <c r="F105" s="195" t="e">
        <f>GasPRhokc(F90,F95,F97,1)</f>
        <v>#VALUE!</v>
      </c>
      <c r="G105" s="195" t="e">
        <f>GasPRhokc(G90,G95,G97,1)</f>
        <v>#VALUE!</v>
      </c>
      <c r="H105" s="195" t="e">
        <f>GasPRhokc(H90,H95,H97,1)</f>
        <v>#VALUE!</v>
      </c>
      <c r="I105" s="195" t="e">
        <f>GasPRhokc(I90,I95,I97,1)</f>
        <v>#VALUE!</v>
      </c>
      <c r="J105" s="189"/>
      <c r="K105" s="189"/>
      <c r="L105" s="89"/>
      <c r="M105" s="89"/>
      <c r="N105" s="91"/>
      <c r="O105" s="91"/>
    </row>
    <row r="106" spans="1:18" s="191" customFormat="1" ht="12.75" hidden="1" customHeight="1" outlineLevel="1" x14ac:dyDescent="0.25">
      <c r="A106" s="196" t="s">
        <v>362</v>
      </c>
      <c r="B106" s="197"/>
      <c r="C106" s="197" t="s">
        <v>363</v>
      </c>
      <c r="D106" s="278" t="s">
        <v>230</v>
      </c>
      <c r="E106" s="198" t="e">
        <f>E95*E91/E90</f>
        <v>#VALUE!</v>
      </c>
      <c r="F106" s="198" t="e">
        <f>F95*F91/F90</f>
        <v>#VALUE!</v>
      </c>
      <c r="G106" s="198" t="e">
        <f>G95*G91/G90</f>
        <v>#VALUE!</v>
      </c>
      <c r="H106" s="198" t="e">
        <f>H95*H91/H90</f>
        <v>#VALUE!</v>
      </c>
      <c r="I106" s="198" t="e">
        <f>I95*I91/I90</f>
        <v>#VALUE!</v>
      </c>
      <c r="J106" s="189"/>
      <c r="K106" s="189"/>
      <c r="L106" s="89"/>
      <c r="M106" s="89"/>
      <c r="N106" s="91"/>
      <c r="O106" s="91"/>
    </row>
    <row r="107" spans="1:18" s="191" customFormat="1" ht="12.75" hidden="1" customHeight="1" outlineLevel="1" x14ac:dyDescent="0.25">
      <c r="A107" s="189" t="s">
        <v>453</v>
      </c>
      <c r="B107" s="189"/>
      <c r="C107" s="210" t="s">
        <v>364</v>
      </c>
      <c r="D107" s="195" t="s">
        <v>246</v>
      </c>
      <c r="E107" s="190">
        <f>Conv("dP",70,"psi","bar")</f>
        <v>4.8263301052178535</v>
      </c>
      <c r="F107" s="190"/>
      <c r="G107" s="190"/>
      <c r="H107" s="190"/>
      <c r="I107" s="190"/>
      <c r="J107" s="189"/>
      <c r="K107" s="189"/>
      <c r="L107" s="89"/>
      <c r="M107" s="89"/>
      <c r="N107" s="91"/>
      <c r="O107" s="91"/>
    </row>
    <row r="108" spans="1:18" s="191" customFormat="1" ht="12.75" hidden="1" customHeight="1" outlineLevel="1" x14ac:dyDescent="0.25">
      <c r="A108" s="189" t="s">
        <v>365</v>
      </c>
      <c r="B108" s="189"/>
      <c r="C108" s="210" t="s">
        <v>366</v>
      </c>
      <c r="D108" s="195" t="s">
        <v>367</v>
      </c>
      <c r="E108" s="190" t="str">
        <f>IF(E29="","",
    IF((200000*$E$107/E95)^0.5&lt;E105,
      (4*E102/(PI()*(200000*$E$107*E95)^0.5))^0.5,
      (4*E102*E105/(PI()*200000*$E$107))^0.5))</f>
        <v/>
      </c>
      <c r="F108" s="190" t="str">
        <f>IF(F29="","",
    IF((200000*$E$107/F95)^0.5&lt;F105,
      (4*F102/(PI()*(200000*$E$107*F95)^0.5))^0.5,
      (4*F102*F105/(PI()*200000*$E$107))^0.5))</f>
        <v/>
      </c>
      <c r="G108" s="190" t="str">
        <f>IF(G29="","",
    IF((200000*$E$107/G95)^0.5&lt;G105,
      (4*G102/(PI()*(200000*$E$107*G95)^0.5))^0.5,
      (4*G102*G105/(PI()*200000*$E$107))^0.5))</f>
        <v/>
      </c>
      <c r="H108" s="190" t="str">
        <f>IF(H29="","",
    IF((200000*$E$107/H95)^0.5&lt;H105,
      (4*H102/(PI()*(200000*$E$107*H95)^0.5))^0.5,
      (4*H102*H105/(PI()*200000*$E$107))^0.5))</f>
        <v/>
      </c>
      <c r="I108" s="190" t="str">
        <f>IF(I29="","",
    IF((200000*$E$107/I95)^0.5&lt;I105,
      (4*I102/(PI()*(200000*$E$107*I95)^0.5))^0.5,
      (4*I102*I105/(PI()*200000*$E$107))^0.5))</f>
        <v/>
      </c>
      <c r="J108" s="189"/>
      <c r="K108" s="189"/>
      <c r="L108" s="89"/>
      <c r="M108" s="89"/>
      <c r="N108" s="91"/>
      <c r="O108" s="91"/>
    </row>
    <row r="109" spans="1:18" s="191" customFormat="1" ht="12.75" hidden="1" customHeight="1" outlineLevel="1" x14ac:dyDescent="0.25">
      <c r="A109" s="189" t="s">
        <v>368</v>
      </c>
      <c r="B109" s="189"/>
      <c r="C109" s="210" t="s">
        <v>369</v>
      </c>
      <c r="D109" s="195" t="s">
        <v>367</v>
      </c>
      <c r="E109" s="190">
        <f>MAX(E108:I108)</f>
        <v>0</v>
      </c>
      <c r="F109" s="190"/>
      <c r="G109" s="190"/>
      <c r="H109" s="190"/>
      <c r="I109" s="190"/>
      <c r="J109" s="189"/>
      <c r="K109" s="189"/>
      <c r="L109" s="89"/>
      <c r="M109" s="89"/>
      <c r="N109" s="91"/>
      <c r="O109" s="91"/>
    </row>
    <row r="110" spans="1:18" s="191" customFormat="1" ht="12.75" hidden="1" customHeight="1" outlineLevel="1" x14ac:dyDescent="0.25">
      <c r="A110" s="189" t="s">
        <v>370</v>
      </c>
      <c r="B110" s="189"/>
      <c r="C110" s="210" t="s">
        <v>366</v>
      </c>
      <c r="D110" s="195" t="s">
        <v>367</v>
      </c>
      <c r="E110" s="190" t="str">
        <f>IF(E29="","",
    IF((200000*$E$107/E106)^0.5&lt;E105,
      (4*E102/(PI()*(200000*$E$107*E106)^0.5))^0.5,
      (4*E102*E105/(PI()*200000*$E$107))^0.5))</f>
        <v/>
      </c>
      <c r="F110" s="190" t="str">
        <f>IF(F29="","",
    IF((200000*$E$107/F106)^0.5&lt;F105,
      (4*F102/(PI()*(200000*$E$107*F106)^0.5))^0.5,
      (4*F102*F105/(PI()*200000*$E$107))^0.5))</f>
        <v/>
      </c>
      <c r="G110" s="190" t="str">
        <f>IF(G29="","",
    IF((200000*$E$107/G106)^0.5&lt;G105,
      (4*G102/(PI()*(200000*$E$107*G106)^0.5))^0.5,
      (4*G102*G105/(PI()*200000*$E$107))^0.5))</f>
        <v/>
      </c>
      <c r="H110" s="190" t="str">
        <f>IF(H29="","",
    IF((200000*$E$107/H106)^0.5&lt;H105,
      (4*H102/(PI()*(200000*$E$107*H106)^0.5))^0.5,
      (4*H102*H105/(PI()*200000*$E$107))^0.5))</f>
        <v/>
      </c>
      <c r="I110" s="190" t="str">
        <f>IF(I29="","",
    IF((200000*$E$107/I106)^0.5&lt;I105,
      (4*I102/(PI()*(200000*$E$107*I106)^0.5))^0.5,
      (4*I102*I105/(PI()*200000*$E$107))^0.5))</f>
        <v/>
      </c>
      <c r="J110" s="189"/>
      <c r="K110" s="189"/>
      <c r="L110" s="89"/>
      <c r="M110" s="89"/>
      <c r="N110" s="91"/>
      <c r="O110" s="91"/>
    </row>
    <row r="111" spans="1:18" s="191" customFormat="1" ht="12.75" hidden="1" customHeight="1" outlineLevel="1" x14ac:dyDescent="0.25">
      <c r="A111" s="189" t="s">
        <v>371</v>
      </c>
      <c r="B111" s="189"/>
      <c r="C111" s="210" t="s">
        <v>369</v>
      </c>
      <c r="D111" s="195" t="s">
        <v>367</v>
      </c>
      <c r="E111" s="190">
        <f>MAX(E110:I110)</f>
        <v>0</v>
      </c>
      <c r="F111" s="190"/>
      <c r="G111" s="190"/>
      <c r="H111" s="190"/>
      <c r="I111" s="190"/>
      <c r="J111" s="189"/>
      <c r="K111" s="189"/>
      <c r="L111" s="89"/>
      <c r="M111" s="89"/>
      <c r="N111" s="91"/>
      <c r="O111" s="91"/>
    </row>
    <row r="112" spans="1:18" ht="12.75" customHeight="1" collapsed="1" x14ac:dyDescent="0.25"/>
    <row r="120" spans="12:13" ht="13" x14ac:dyDescent="0.3">
      <c r="L120" s="178"/>
      <c r="M120" s="178"/>
    </row>
    <row r="121" spans="12:13" x14ac:dyDescent="0.25">
      <c r="L121" s="181"/>
      <c r="M121" s="181"/>
    </row>
    <row r="123" spans="12:13" x14ac:dyDescent="0.25">
      <c r="L123" s="182"/>
      <c r="M123" s="182"/>
    </row>
    <row r="124" spans="12:13" x14ac:dyDescent="0.25">
      <c r="L124" s="182"/>
      <c r="M124" s="182"/>
    </row>
    <row r="125" spans="12:13" x14ac:dyDescent="0.25">
      <c r="L125" s="182"/>
      <c r="M125" s="182"/>
    </row>
    <row r="126" spans="12:13" x14ac:dyDescent="0.25">
      <c r="L126" s="182"/>
      <c r="M126" s="182"/>
    </row>
    <row r="127" spans="12:13" x14ac:dyDescent="0.25">
      <c r="L127" s="182"/>
      <c r="M127" s="182"/>
    </row>
    <row r="128" spans="12:13" x14ac:dyDescent="0.25">
      <c r="L128" s="182"/>
      <c r="M128" s="182"/>
    </row>
    <row r="129" spans="12:13" x14ac:dyDescent="0.25">
      <c r="L129" s="182"/>
      <c r="M129" s="182"/>
    </row>
    <row r="130" spans="12:13" x14ac:dyDescent="0.25">
      <c r="L130" s="182"/>
      <c r="M130" s="182"/>
    </row>
    <row r="131" spans="12:13" x14ac:dyDescent="0.25">
      <c r="L131" s="182"/>
      <c r="M131" s="182"/>
    </row>
    <row r="132" spans="12:13" x14ac:dyDescent="0.25">
      <c r="L132" s="182"/>
      <c r="M132" s="182"/>
    </row>
    <row r="133" spans="12:13" x14ac:dyDescent="0.25">
      <c r="L133" s="182"/>
      <c r="M133" s="182"/>
    </row>
    <row r="134" spans="12:13" x14ac:dyDescent="0.25">
      <c r="L134" s="182"/>
      <c r="M134" s="182"/>
    </row>
    <row r="135" spans="12:13" x14ac:dyDescent="0.25">
      <c r="L135" s="182"/>
      <c r="M135" s="182"/>
    </row>
    <row r="136" spans="12:13" x14ac:dyDescent="0.25">
      <c r="L136" s="182"/>
      <c r="M136" s="182"/>
    </row>
    <row r="137" spans="12:13" x14ac:dyDescent="0.25">
      <c r="L137" s="182"/>
      <c r="M137" s="182"/>
    </row>
    <row r="138" spans="12:13" x14ac:dyDescent="0.25">
      <c r="L138" s="182"/>
      <c r="M138" s="182"/>
    </row>
    <row r="139" spans="12:13" x14ac:dyDescent="0.25">
      <c r="L139" s="182"/>
      <c r="M139" s="182"/>
    </row>
    <row r="140" spans="12:13" x14ac:dyDescent="0.25">
      <c r="L140" s="182"/>
      <c r="M140" s="182"/>
    </row>
    <row r="141" spans="12:13" x14ac:dyDescent="0.25">
      <c r="L141" s="182"/>
      <c r="M141" s="182"/>
    </row>
    <row r="142" spans="12:13" x14ac:dyDescent="0.25">
      <c r="L142" s="182"/>
      <c r="M142" s="182"/>
    </row>
    <row r="143" spans="12:13" x14ac:dyDescent="0.25">
      <c r="L143" s="182"/>
      <c r="M143" s="182"/>
    </row>
    <row r="144" spans="12:13" x14ac:dyDescent="0.25">
      <c r="L144" s="182"/>
      <c r="M144" s="182"/>
    </row>
    <row r="145" spans="12:13" x14ac:dyDescent="0.25">
      <c r="L145" s="182"/>
      <c r="M145" s="182"/>
    </row>
    <row r="146" spans="12:13" x14ac:dyDescent="0.25">
      <c r="L146" s="182"/>
      <c r="M146" s="182"/>
    </row>
    <row r="147" spans="12:13" x14ac:dyDescent="0.25">
      <c r="L147" s="182"/>
      <c r="M147" s="182"/>
    </row>
    <row r="148" spans="12:13" x14ac:dyDescent="0.25">
      <c r="L148" s="182"/>
      <c r="M148" s="182"/>
    </row>
    <row r="149" spans="12:13" x14ac:dyDescent="0.25">
      <c r="L149" s="182"/>
      <c r="M149" s="182"/>
    </row>
    <row r="150" spans="12:13" x14ac:dyDescent="0.25">
      <c r="L150" s="182"/>
      <c r="M150" s="182"/>
    </row>
    <row r="151" spans="12:13" x14ac:dyDescent="0.25">
      <c r="L151" s="182"/>
      <c r="M151" s="182"/>
    </row>
    <row r="152" spans="12:13" x14ac:dyDescent="0.25">
      <c r="L152" s="182"/>
      <c r="M152" s="182"/>
    </row>
    <row r="153" spans="12:13" x14ac:dyDescent="0.25">
      <c r="L153" s="182"/>
      <c r="M153" s="182"/>
    </row>
    <row r="154" spans="12:13" x14ac:dyDescent="0.25">
      <c r="L154" s="182"/>
      <c r="M154" s="182"/>
    </row>
    <row r="155" spans="12:13" x14ac:dyDescent="0.25">
      <c r="L155" s="182"/>
      <c r="M155" s="182"/>
    </row>
    <row r="156" spans="12:13" x14ac:dyDescent="0.25">
      <c r="L156" s="182"/>
      <c r="M156" s="182"/>
    </row>
    <row r="157" spans="12:13" x14ac:dyDescent="0.25">
      <c r="L157" s="182"/>
      <c r="M157" s="182"/>
    </row>
    <row r="158" spans="12:13" x14ac:dyDescent="0.25">
      <c r="L158" s="182"/>
      <c r="M158" s="182"/>
    </row>
    <row r="159" spans="12:13" x14ac:dyDescent="0.25">
      <c r="L159" s="182"/>
      <c r="M159" s="182"/>
    </row>
    <row r="160" spans="12:13" x14ac:dyDescent="0.25">
      <c r="L160" s="182"/>
      <c r="M160" s="182"/>
    </row>
    <row r="161" spans="12:13" x14ac:dyDescent="0.25">
      <c r="L161" s="182"/>
      <c r="M161" s="182"/>
    </row>
    <row r="162" spans="12:13" x14ac:dyDescent="0.25">
      <c r="L162" s="182"/>
      <c r="M162" s="182"/>
    </row>
    <row r="163" spans="12:13" x14ac:dyDescent="0.25">
      <c r="L163" s="182"/>
      <c r="M163" s="182"/>
    </row>
    <row r="164" spans="12:13" x14ac:dyDescent="0.25">
      <c r="L164" s="182"/>
      <c r="M164" s="182"/>
    </row>
    <row r="165" spans="12:13" x14ac:dyDescent="0.25">
      <c r="L165" s="182"/>
      <c r="M165" s="182"/>
    </row>
    <row r="166" spans="12:13" x14ac:dyDescent="0.25">
      <c r="L166" s="182"/>
      <c r="M166" s="182"/>
    </row>
    <row r="167" spans="12:13" x14ac:dyDescent="0.25">
      <c r="L167" s="182"/>
      <c r="M167" s="182"/>
    </row>
    <row r="168" spans="12:13" x14ac:dyDescent="0.25">
      <c r="L168" s="182"/>
      <c r="M168" s="182"/>
    </row>
    <row r="169" spans="12:13" x14ac:dyDescent="0.25">
      <c r="L169" s="182"/>
      <c r="M169" s="182"/>
    </row>
    <row r="170" spans="12:13" x14ac:dyDescent="0.25">
      <c r="L170" s="182"/>
      <c r="M170" s="182"/>
    </row>
    <row r="171" spans="12:13" x14ac:dyDescent="0.25">
      <c r="L171" s="182"/>
      <c r="M171" s="182"/>
    </row>
    <row r="172" spans="12:13" x14ac:dyDescent="0.25">
      <c r="L172" s="182"/>
      <c r="M172" s="182"/>
    </row>
    <row r="173" spans="12:13" x14ac:dyDescent="0.25">
      <c r="L173" s="182"/>
      <c r="M173" s="182"/>
    </row>
    <row r="174" spans="12:13" x14ac:dyDescent="0.25">
      <c r="L174" s="182"/>
      <c r="M174" s="182"/>
    </row>
    <row r="175" spans="12:13" x14ac:dyDescent="0.25">
      <c r="L175" s="182"/>
      <c r="M175" s="182"/>
    </row>
    <row r="176" spans="12:13" x14ac:dyDescent="0.25">
      <c r="L176" s="182"/>
      <c r="M176" s="182"/>
    </row>
    <row r="177" spans="12:13" x14ac:dyDescent="0.25">
      <c r="L177" s="182"/>
      <c r="M177" s="182"/>
    </row>
    <row r="178" spans="12:13" x14ac:dyDescent="0.25">
      <c r="L178" s="182"/>
      <c r="M178" s="182"/>
    </row>
    <row r="179" spans="12:13" x14ac:dyDescent="0.25">
      <c r="L179" s="182"/>
      <c r="M179" s="182"/>
    </row>
    <row r="180" spans="12:13" x14ac:dyDescent="0.25">
      <c r="L180" s="182"/>
      <c r="M180" s="182"/>
    </row>
    <row r="181" spans="12:13" x14ac:dyDescent="0.25">
      <c r="L181" s="182"/>
      <c r="M181" s="182"/>
    </row>
    <row r="182" spans="12:13" x14ac:dyDescent="0.25">
      <c r="L182" s="182"/>
      <c r="M182" s="182"/>
    </row>
    <row r="183" spans="12:13" x14ac:dyDescent="0.25">
      <c r="L183" s="182"/>
      <c r="M183" s="182"/>
    </row>
    <row r="184" spans="12:13" x14ac:dyDescent="0.25">
      <c r="L184" s="182"/>
      <c r="M184" s="182"/>
    </row>
    <row r="185" spans="12:13" x14ac:dyDescent="0.25">
      <c r="L185" s="182"/>
      <c r="M185" s="182"/>
    </row>
    <row r="186" spans="12:13" x14ac:dyDescent="0.25">
      <c r="L186" s="182"/>
      <c r="M186" s="182"/>
    </row>
    <row r="187" spans="12:13" x14ac:dyDescent="0.25">
      <c r="L187" s="182"/>
      <c r="M187" s="182"/>
    </row>
    <row r="188" spans="12:13" x14ac:dyDescent="0.25">
      <c r="L188" s="182"/>
      <c r="M188" s="182"/>
    </row>
    <row r="189" spans="12:13" x14ac:dyDescent="0.25">
      <c r="L189" s="182"/>
      <c r="M189" s="182"/>
    </row>
    <row r="190" spans="12:13" x14ac:dyDescent="0.25">
      <c r="L190" s="182"/>
      <c r="M190" s="182"/>
    </row>
    <row r="191" spans="12:13" x14ac:dyDescent="0.25">
      <c r="L191" s="182"/>
      <c r="M191" s="182"/>
    </row>
    <row r="192" spans="12:13" x14ac:dyDescent="0.25">
      <c r="L192" s="182"/>
      <c r="M192" s="182"/>
    </row>
    <row r="193" spans="12:13" x14ac:dyDescent="0.25">
      <c r="L193" s="182"/>
      <c r="M193" s="182"/>
    </row>
    <row r="194" spans="12:13" x14ac:dyDescent="0.25">
      <c r="L194" s="182"/>
      <c r="M194" s="182"/>
    </row>
    <row r="195" spans="12:13" x14ac:dyDescent="0.25">
      <c r="L195" s="182"/>
      <c r="M195" s="182"/>
    </row>
  </sheetData>
  <mergeCells count="81">
    <mergeCell ref="A61:B61"/>
    <mergeCell ref="A62:B62"/>
    <mergeCell ref="A63:B63"/>
    <mergeCell ref="A64:B64"/>
    <mergeCell ref="A55:B55"/>
    <mergeCell ref="A56:B56"/>
    <mergeCell ref="A57:B57"/>
    <mergeCell ref="A60:B60"/>
    <mergeCell ref="A59:B59"/>
    <mergeCell ref="A58:B58"/>
    <mergeCell ref="A73:C73"/>
    <mergeCell ref="A65:B65"/>
    <mergeCell ref="A67:H67"/>
    <mergeCell ref="A69:C69"/>
    <mergeCell ref="A70:C70"/>
    <mergeCell ref="A71:C71"/>
    <mergeCell ref="A72:C72"/>
    <mergeCell ref="A54:I54"/>
    <mergeCell ref="A41:C41"/>
    <mergeCell ref="A42:C42"/>
    <mergeCell ref="A43:C43"/>
    <mergeCell ref="A44:C44"/>
    <mergeCell ref="A45:C45"/>
    <mergeCell ref="A46:C46"/>
    <mergeCell ref="A49:I49"/>
    <mergeCell ref="A51:C51"/>
    <mergeCell ref="A52:C52"/>
    <mergeCell ref="A36:C36"/>
    <mergeCell ref="A38:C38"/>
    <mergeCell ref="E38:I38"/>
    <mergeCell ref="A39:C39"/>
    <mergeCell ref="A40:C40"/>
    <mergeCell ref="A33:C33"/>
    <mergeCell ref="A34:C34"/>
    <mergeCell ref="A29:C29"/>
    <mergeCell ref="A30:C30"/>
    <mergeCell ref="A35:C35"/>
    <mergeCell ref="A26:C26"/>
    <mergeCell ref="A27:C27"/>
    <mergeCell ref="A28:C28"/>
    <mergeCell ref="A31:C31"/>
    <mergeCell ref="A32:C32"/>
    <mergeCell ref="A22:C22"/>
    <mergeCell ref="A23:C23"/>
    <mergeCell ref="A24:C24"/>
    <mergeCell ref="A25:C25"/>
    <mergeCell ref="E25:I25"/>
    <mergeCell ref="A17:C17"/>
    <mergeCell ref="A18:C18"/>
    <mergeCell ref="A19:C19"/>
    <mergeCell ref="A20:B20"/>
    <mergeCell ref="A21:B21"/>
    <mergeCell ref="A15:C15"/>
    <mergeCell ref="D15:F15"/>
    <mergeCell ref="A12:C12"/>
    <mergeCell ref="D12:F12"/>
    <mergeCell ref="A16:C16"/>
    <mergeCell ref="A13:C13"/>
    <mergeCell ref="D13:F13"/>
    <mergeCell ref="A14:C14"/>
    <mergeCell ref="D14:F14"/>
    <mergeCell ref="I4:K4"/>
    <mergeCell ref="A2:B7"/>
    <mergeCell ref="D6:E6"/>
    <mergeCell ref="D5:E5"/>
    <mergeCell ref="D2:E2"/>
    <mergeCell ref="D4:G4"/>
    <mergeCell ref="D7:G7"/>
    <mergeCell ref="I5:K5"/>
    <mergeCell ref="I6:K6"/>
    <mergeCell ref="D10:F10"/>
    <mergeCell ref="A11:C11"/>
    <mergeCell ref="D11:F11"/>
    <mergeCell ref="A10:C10"/>
    <mergeCell ref="D9:F9"/>
    <mergeCell ref="A9:C9"/>
    <mergeCell ref="A1:D1"/>
    <mergeCell ref="F1:H1"/>
    <mergeCell ref="I1:K1"/>
    <mergeCell ref="D3:G3"/>
    <mergeCell ref="I3:K3"/>
  </mergeCells>
  <conditionalFormatting sqref="F20:F21 E17:F18 E23:E24 E26:I36">
    <cfRule type="expression" dxfId="7" priority="63" stopIfTrue="1">
      <formula>NOT(ISBLANK(E17))</formula>
    </cfRule>
  </conditionalFormatting>
  <conditionalFormatting sqref="A12:F13 A16:F18 A22:E24 A39:I45 A27:I28 A31:I36">
    <cfRule type="expression" dxfId="6" priority="41" stopIfTrue="1">
      <formula>$L12="Not Req'd"</formula>
    </cfRule>
  </conditionalFormatting>
  <conditionalFormatting sqref="E55:I65">
    <cfRule type="cellIs" dxfId="5" priority="100" stopIfTrue="1" operator="greaterThan">
      <formula>Conv("dP",$E$107,"bar",$D$52)</formula>
    </cfRule>
  </conditionalFormatting>
  <dataValidations count="16">
    <dataValidation type="list" allowBlank="1" showInputMessage="1" showErrorMessage="1" sqref="D52:D53">
      <formula1>"psi,bar,kPa"</formula1>
    </dataValidation>
    <dataValidation type="list" allowBlank="1" showInputMessage="1" showErrorMessage="1" sqref="D46:D48">
      <formula1>"Cv,Kv"</formula1>
    </dataValidation>
    <dataValidation type="list" allowBlank="1" showInputMessage="1" showErrorMessage="1" sqref="D41 D27">
      <formula1>"kg/s,kg/h,lb/h,mt/h"</formula1>
    </dataValidation>
    <dataValidation type="list" allowBlank="1" showInputMessage="1" showErrorMessage="1" sqref="D44 D35">
      <formula1>"kg/m3,lb/ft3,g/cm3"</formula1>
    </dataValidation>
    <dataValidation type="list" allowBlank="1" showInputMessage="1" showErrorMessage="1" sqref="I13">
      <formula1>$L$121:$L$149</formula1>
    </dataValidation>
    <dataValidation type="list" allowBlank="1" showInputMessage="1" showErrorMessage="1" sqref="D10:F10">
      <formula1>FluidNames</formula1>
    </dataValidation>
    <dataValidation type="list" allowBlank="1" showInputMessage="1" showErrorMessage="1" sqref="D12">
      <formula1>"Direct Input, Calculate from Mw, Calculate from Spec Grav"</formula1>
    </dataValidation>
    <dataValidation type="list" allowBlank="1" showInputMessage="1" showErrorMessage="1" sqref="D11">
      <formula1>"Mass Flow Rate, Volume Flow Rate"</formula1>
    </dataValidation>
    <dataValidation type="list" allowBlank="1" showInputMessage="1" showErrorMessage="1" sqref="D15:F15">
      <formula1>ValveTypes</formula1>
    </dataValidation>
    <dataValidation type="list" allowBlank="1" showInputMessage="1" showErrorMessage="1" sqref="D14">
      <formula1>"Ignore Correction, Calculate Correction"</formula1>
    </dataValidation>
    <dataValidation type="list" allowBlank="1" showInputMessage="1" showErrorMessage="1" sqref="D13">
      <formula1>"Assume 1, Direct Input,Calculate from Pc &amp; Tc"</formula1>
    </dataValidation>
    <dataValidation type="list" allowBlank="1" showInputMessage="1" showErrorMessage="1" sqref="D17">
      <formula1>"mm,in."</formula1>
    </dataValidation>
    <dataValidation type="list" allowBlank="1" showInputMessage="1" showErrorMessage="1" sqref="D31 D24">
      <formula1>"deg C,deg F,K,deg R"</formula1>
    </dataValidation>
    <dataValidation type="list" allowBlank="1" showInputMessage="1" showErrorMessage="1" sqref="D29 D23">
      <formula1>"barA,barG,MPaA,MPaG,psiA,psiG,kPaA,kPaG,kg/cm2A,kg/cm2G"</formula1>
    </dataValidation>
    <dataValidation type="list" allowBlank="1" showInputMessage="1" showErrorMessage="1" sqref="D28">
      <formula1>"Nm3/h, Sm3/h, SCFH, SCFM, SCFD, MMSCFD, Nm3/s"</formula1>
    </dataValidation>
    <dataValidation type="list" allowBlank="1" showInputMessage="1" showErrorMessage="1" sqref="A30:C30">
      <formula1>"Outlet Pressure, Pressure Drop"</formula1>
    </dataValidation>
  </dataValidations>
  <pageMargins left="0.52" right="0.19" top="0.59" bottom="1.1659999999999999" header="0.5" footer="0.5"/>
  <pageSetup paperSize="9" scale="68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Sheet3">
    <pageSetUpPr fitToPage="1"/>
  </sheetPr>
  <dimension ref="A1:R229"/>
  <sheetViews>
    <sheetView showGridLines="0" zoomScaleNormal="100" workbookViewId="0">
      <selection activeCell="D2" sqref="D2:E2"/>
    </sheetView>
  </sheetViews>
  <sheetFormatPr defaultColWidth="13.90625" defaultRowHeight="12.5" outlineLevelRow="1" x14ac:dyDescent="0.25"/>
  <cols>
    <col min="1" max="11" width="12.6328125" style="92" customWidth="1"/>
    <col min="12" max="12" width="12.6328125" style="89" hidden="1" customWidth="1"/>
    <col min="13" max="13" width="15.6328125" style="89" hidden="1" customWidth="1"/>
    <col min="14" max="14" width="16.54296875" style="91" hidden="1" customWidth="1"/>
    <col min="15" max="15" width="68.54296875" style="91" hidden="1" customWidth="1"/>
    <col min="16" max="16384" width="13.90625" style="92"/>
  </cols>
  <sheetData>
    <row r="1" spans="1:18" ht="18" customHeight="1" thickBot="1" x14ac:dyDescent="0.4">
      <c r="A1" s="335" t="s">
        <v>489</v>
      </c>
      <c r="B1" s="336"/>
      <c r="C1" s="336"/>
      <c r="D1" s="336"/>
      <c r="E1" s="336"/>
      <c r="F1" s="236" t="str">
        <f>Liquid!E1</f>
        <v>Rev 2.1</v>
      </c>
      <c r="G1" s="236"/>
      <c r="H1" s="236"/>
      <c r="I1" s="383">
        <f ca="1">NOW()</f>
        <v>42845.618730902781</v>
      </c>
      <c r="J1" s="383"/>
      <c r="K1" s="384"/>
      <c r="L1" s="65" t="s">
        <v>431</v>
      </c>
      <c r="M1" s="65" t="s">
        <v>173</v>
      </c>
      <c r="N1" s="67" t="s">
        <v>174</v>
      </c>
      <c r="O1" s="67" t="s">
        <v>175</v>
      </c>
      <c r="Q1" s="151"/>
      <c r="R1" s="151"/>
    </row>
    <row r="2" spans="1:18" ht="12.75" customHeight="1" x14ac:dyDescent="0.3">
      <c r="A2" s="341" t="s">
        <v>176</v>
      </c>
      <c r="B2" s="342"/>
      <c r="C2" s="71" t="s">
        <v>438</v>
      </c>
      <c r="D2" s="347"/>
      <c r="E2" s="347"/>
      <c r="F2" s="73" t="s">
        <v>450</v>
      </c>
      <c r="G2" s="74"/>
      <c r="H2" s="71" t="s">
        <v>443</v>
      </c>
      <c r="I2" s="72"/>
      <c r="J2" s="75" t="s">
        <v>444</v>
      </c>
      <c r="K2" s="74"/>
      <c r="L2" s="70"/>
      <c r="M2" s="70"/>
      <c r="Q2" s="151"/>
      <c r="R2" s="151"/>
    </row>
    <row r="3" spans="1:18" ht="12.75" customHeight="1" x14ac:dyDescent="0.3">
      <c r="A3" s="343"/>
      <c r="B3" s="344"/>
      <c r="C3" s="77" t="s">
        <v>439</v>
      </c>
      <c r="D3" s="328"/>
      <c r="E3" s="328"/>
      <c r="F3" s="328"/>
      <c r="G3" s="329"/>
      <c r="H3" s="77" t="s">
        <v>445</v>
      </c>
      <c r="I3" s="328"/>
      <c r="J3" s="328"/>
      <c r="K3" s="329"/>
      <c r="L3" s="70"/>
      <c r="M3" s="70"/>
      <c r="Q3" s="151"/>
      <c r="R3" s="151"/>
    </row>
    <row r="4" spans="1:18" ht="12.75" customHeight="1" x14ac:dyDescent="0.3">
      <c r="A4" s="343"/>
      <c r="B4" s="344"/>
      <c r="C4" s="77" t="s">
        <v>440</v>
      </c>
      <c r="D4" s="328"/>
      <c r="E4" s="328"/>
      <c r="F4" s="328"/>
      <c r="G4" s="328"/>
      <c r="H4" s="77" t="s">
        <v>446</v>
      </c>
      <c r="I4" s="328"/>
      <c r="J4" s="328"/>
      <c r="K4" s="329"/>
      <c r="L4" s="70"/>
      <c r="M4" s="70"/>
      <c r="Q4" s="151"/>
      <c r="R4" s="151"/>
    </row>
    <row r="5" spans="1:18" ht="12.75" customHeight="1" x14ac:dyDescent="0.3">
      <c r="A5" s="343"/>
      <c r="B5" s="344"/>
      <c r="C5" s="77" t="s">
        <v>441</v>
      </c>
      <c r="D5" s="328"/>
      <c r="E5" s="328"/>
      <c r="F5" s="79" t="s">
        <v>451</v>
      </c>
      <c r="G5" s="80">
        <f ca="1">NOW()</f>
        <v>42845.618730902781</v>
      </c>
      <c r="H5" s="77" t="s">
        <v>447</v>
      </c>
      <c r="I5" s="328"/>
      <c r="J5" s="328"/>
      <c r="K5" s="329"/>
      <c r="L5" s="70"/>
      <c r="M5" s="70"/>
      <c r="Q5" s="151"/>
      <c r="R5" s="151"/>
    </row>
    <row r="6" spans="1:18" ht="12.75" customHeight="1" x14ac:dyDescent="0.3">
      <c r="A6" s="343"/>
      <c r="B6" s="344"/>
      <c r="C6" s="77" t="s">
        <v>452</v>
      </c>
      <c r="D6" s="328"/>
      <c r="E6" s="328"/>
      <c r="F6" s="79" t="s">
        <v>451</v>
      </c>
      <c r="G6" s="80">
        <f ca="1">NOW()</f>
        <v>42845.618730902781</v>
      </c>
      <c r="H6" s="77" t="s">
        <v>448</v>
      </c>
      <c r="I6" s="328"/>
      <c r="J6" s="328"/>
      <c r="K6" s="329"/>
      <c r="L6" s="70"/>
      <c r="M6" s="70"/>
      <c r="Q6" s="151"/>
      <c r="R6" s="151"/>
    </row>
    <row r="7" spans="1:18" ht="12.75" customHeight="1" thickBot="1" x14ac:dyDescent="0.35">
      <c r="A7" s="345"/>
      <c r="B7" s="346"/>
      <c r="C7" s="81" t="s">
        <v>442</v>
      </c>
      <c r="D7" s="330"/>
      <c r="E7" s="330"/>
      <c r="F7" s="330"/>
      <c r="G7" s="330"/>
      <c r="H7" s="83" t="s">
        <v>449</v>
      </c>
      <c r="I7" s="82"/>
      <c r="J7" s="82"/>
      <c r="K7" s="84"/>
      <c r="L7" s="70"/>
      <c r="M7" s="70"/>
      <c r="Q7" s="151"/>
      <c r="R7" s="151"/>
    </row>
    <row r="8" spans="1:18" ht="12.75" customHeight="1" x14ac:dyDescent="0.3">
      <c r="A8" s="85"/>
      <c r="B8" s="85"/>
      <c r="C8" s="86"/>
      <c r="D8" s="87"/>
      <c r="E8" s="87"/>
      <c r="F8" s="87"/>
      <c r="G8" s="87"/>
      <c r="H8" s="88"/>
      <c r="I8" s="87"/>
      <c r="J8" s="87"/>
      <c r="K8" s="87"/>
      <c r="L8" s="70"/>
      <c r="M8" s="70"/>
      <c r="Q8" s="151"/>
      <c r="R8" s="151"/>
    </row>
    <row r="9" spans="1:18" ht="12.75" customHeight="1" x14ac:dyDescent="0.3">
      <c r="A9" s="333" t="s">
        <v>177</v>
      </c>
      <c r="B9" s="333"/>
      <c r="C9" s="333"/>
      <c r="D9" s="334" t="s">
        <v>178</v>
      </c>
      <c r="E9" s="334"/>
      <c r="F9" s="334"/>
      <c r="G9" s="90"/>
      <c r="H9" s="90"/>
      <c r="I9" s="90"/>
      <c r="J9" s="90"/>
      <c r="K9" s="90"/>
    </row>
    <row r="10" spans="1:18" ht="12.75" customHeight="1" x14ac:dyDescent="0.3">
      <c r="A10" s="331" t="s">
        <v>280</v>
      </c>
      <c r="B10" s="331"/>
      <c r="C10" s="331"/>
      <c r="D10" s="332" t="s">
        <v>30</v>
      </c>
      <c r="E10" s="332"/>
      <c r="F10" s="332"/>
      <c r="G10" s="90"/>
      <c r="H10" s="90"/>
      <c r="I10" s="90"/>
      <c r="J10" s="90"/>
      <c r="K10" s="90"/>
      <c r="N10" s="237"/>
    </row>
    <row r="11" spans="1:18" ht="12.75" customHeight="1" x14ac:dyDescent="0.3">
      <c r="A11" s="331" t="s">
        <v>281</v>
      </c>
      <c r="B11" s="331"/>
      <c r="C11" s="331"/>
      <c r="D11" s="332" t="s">
        <v>282</v>
      </c>
      <c r="E11" s="332"/>
      <c r="F11" s="332"/>
      <c r="G11" s="90"/>
      <c r="H11" s="90"/>
      <c r="I11" s="90"/>
      <c r="J11" s="90"/>
      <c r="K11" s="90"/>
      <c r="N11" s="238"/>
    </row>
    <row r="12" spans="1:18" ht="12.75" customHeight="1" x14ac:dyDescent="0.3">
      <c r="A12" s="331" t="s">
        <v>283</v>
      </c>
      <c r="B12" s="331"/>
      <c r="C12" s="331"/>
      <c r="D12" s="385" t="str">
        <f>M12</f>
        <v>Direct Input</v>
      </c>
      <c r="E12" s="385"/>
      <c r="F12" s="385"/>
      <c r="G12" s="90"/>
      <c r="H12" s="90"/>
      <c r="I12" s="90"/>
      <c r="J12" s="90"/>
      <c r="K12" s="90"/>
      <c r="L12" s="89" t="str">
        <f>IF(liqgas_TypeOfLiquid="Custom","Required","Not Req'd")</f>
        <v>Required</v>
      </c>
      <c r="M12" s="97" t="s">
        <v>284</v>
      </c>
      <c r="N12" s="238"/>
    </row>
    <row r="13" spans="1:18" ht="12.75" customHeight="1" x14ac:dyDescent="0.3">
      <c r="A13" s="386"/>
      <c r="B13" s="386"/>
      <c r="C13" s="386"/>
      <c r="D13" s="118"/>
      <c r="E13" s="118"/>
      <c r="F13" s="118"/>
      <c r="G13" s="90"/>
      <c r="H13" s="90"/>
      <c r="I13" s="90"/>
      <c r="J13" s="90"/>
      <c r="K13" s="90"/>
      <c r="M13" s="97"/>
      <c r="N13" s="238"/>
    </row>
    <row r="14" spans="1:18" ht="12.75" customHeight="1" x14ac:dyDescent="0.3">
      <c r="A14" s="331" t="s">
        <v>285</v>
      </c>
      <c r="B14" s="331"/>
      <c r="C14" s="331"/>
      <c r="D14" s="332" t="s">
        <v>30</v>
      </c>
      <c r="E14" s="332"/>
      <c r="F14" s="332"/>
      <c r="G14" s="107" t="str">
        <f>IF(AND(FluidNameSN(liqgas_TypeOfLiquid)="Water",FluidNameSN(liqgas_TypeOfGas)="Water"),"Use WaterSteam worksheet","")</f>
        <v/>
      </c>
      <c r="H14" s="90"/>
      <c r="I14" s="90"/>
      <c r="J14" s="90"/>
      <c r="K14" s="90"/>
      <c r="M14" s="97"/>
      <c r="N14" s="238"/>
    </row>
    <row r="15" spans="1:18" ht="12.75" customHeight="1" x14ac:dyDescent="0.3">
      <c r="A15" s="331" t="s">
        <v>286</v>
      </c>
      <c r="B15" s="331"/>
      <c r="C15" s="331"/>
      <c r="D15" s="332" t="s">
        <v>282</v>
      </c>
      <c r="E15" s="332"/>
      <c r="F15" s="332"/>
      <c r="G15" s="90"/>
      <c r="H15" s="90"/>
      <c r="I15" s="90"/>
      <c r="J15" s="90"/>
      <c r="K15" s="90"/>
      <c r="M15" s="97"/>
      <c r="N15" s="238"/>
    </row>
    <row r="16" spans="1:18" ht="12.75" customHeight="1" x14ac:dyDescent="0.3">
      <c r="A16" s="331" t="s">
        <v>287</v>
      </c>
      <c r="B16" s="331"/>
      <c r="C16" s="331"/>
      <c r="D16" s="385" t="s">
        <v>517</v>
      </c>
      <c r="E16" s="385"/>
      <c r="F16" s="385"/>
      <c r="G16" s="90"/>
      <c r="H16" s="90"/>
      <c r="I16" s="90"/>
      <c r="J16" s="90"/>
      <c r="K16" s="90"/>
      <c r="L16" s="89" t="str">
        <f>IF(liqgas_TypeOfGas="Custom","Required","Not Req'd")</f>
        <v>Required</v>
      </c>
      <c r="M16" s="97" t="s">
        <v>284</v>
      </c>
      <c r="N16" s="238"/>
    </row>
    <row r="17" spans="1:15" ht="12.75" customHeight="1" x14ac:dyDescent="0.3">
      <c r="A17" s="331" t="s">
        <v>288</v>
      </c>
      <c r="B17" s="331"/>
      <c r="C17" s="331"/>
      <c r="D17" s="385" t="str">
        <f>M17</f>
        <v>Assume 1</v>
      </c>
      <c r="E17" s="385"/>
      <c r="F17" s="385"/>
      <c r="G17" s="90"/>
      <c r="H17" s="90"/>
      <c r="I17" s="90"/>
      <c r="J17" s="90"/>
      <c r="K17" s="90"/>
      <c r="L17" s="89" t="str">
        <f>IF(AND(liqgas_TypeOfGas="Custom",liqgas_MethodOfSpecifyingGasDensity&lt;&gt;"Direct Input"),"Required","Not Req'd")</f>
        <v>Required</v>
      </c>
      <c r="M17" s="97" t="s">
        <v>289</v>
      </c>
      <c r="N17" s="238"/>
    </row>
    <row r="18" spans="1:15" ht="12.75" customHeight="1" x14ac:dyDescent="0.3">
      <c r="A18" s="331" t="s">
        <v>181</v>
      </c>
      <c r="B18" s="331"/>
      <c r="C18" s="331"/>
      <c r="D18" s="332" t="s">
        <v>182</v>
      </c>
      <c r="E18" s="332"/>
      <c r="F18" s="332"/>
      <c r="G18" s="90"/>
      <c r="H18" s="90"/>
      <c r="I18" s="90"/>
      <c r="J18" s="90"/>
      <c r="K18" s="90"/>
      <c r="N18" s="238"/>
    </row>
    <row r="19" spans="1:15" ht="12.75" customHeight="1" x14ac:dyDescent="0.3">
      <c r="A19" s="331" t="s">
        <v>165</v>
      </c>
      <c r="B19" s="331"/>
      <c r="C19" s="331"/>
      <c r="D19" s="332" t="s">
        <v>526</v>
      </c>
      <c r="E19" s="332"/>
      <c r="F19" s="332"/>
      <c r="G19" s="90"/>
      <c r="H19" s="90"/>
      <c r="I19" s="90"/>
      <c r="J19" s="90"/>
      <c r="K19" s="90"/>
      <c r="N19" s="238"/>
    </row>
    <row r="20" spans="1:15" ht="12.75" customHeight="1" x14ac:dyDescent="0.3">
      <c r="A20" s="348" t="s">
        <v>183</v>
      </c>
      <c r="B20" s="348"/>
      <c r="C20" s="348"/>
      <c r="D20" s="98" t="s">
        <v>184</v>
      </c>
      <c r="E20" s="98" t="s">
        <v>185</v>
      </c>
      <c r="F20" s="98" t="s">
        <v>186</v>
      </c>
      <c r="G20" s="99"/>
      <c r="H20" s="90"/>
      <c r="I20" s="90"/>
      <c r="J20" s="90"/>
      <c r="K20" s="90"/>
      <c r="L20" s="89" t="str">
        <f>IF(liqgas_PipeCorrectionFactorOption="Calculate Correction","Required","Not Req'd")</f>
        <v>Required</v>
      </c>
    </row>
    <row r="21" spans="1:15" ht="12.75" customHeight="1" x14ac:dyDescent="0.3">
      <c r="A21" s="331" t="s">
        <v>290</v>
      </c>
      <c r="B21" s="331"/>
      <c r="C21" s="331"/>
      <c r="D21" s="315" t="str">
        <f>M21</f>
        <v>mm</v>
      </c>
      <c r="E21" s="100"/>
      <c r="F21" s="100"/>
      <c r="G21" s="90"/>
      <c r="H21" s="90"/>
      <c r="I21" s="118"/>
      <c r="J21" s="90"/>
      <c r="K21" s="109"/>
      <c r="L21" s="89" t="str">
        <f>IF(liqgas_PipeCorrectionFactorOption="Calculate Correction","Required","Not Req'd")</f>
        <v>Required</v>
      </c>
      <c r="M21" s="97" t="s">
        <v>313</v>
      </c>
      <c r="N21" s="91" t="str">
        <f>IF(liqgas_PipeCorrectionFactorOption="Ignore Correction","","Given")</f>
        <v>Given</v>
      </c>
    </row>
    <row r="22" spans="1:15" ht="12.75" customHeight="1" x14ac:dyDescent="0.3">
      <c r="A22" s="331" t="s">
        <v>292</v>
      </c>
      <c r="B22" s="331"/>
      <c r="C22" s="331"/>
      <c r="D22" s="102" t="str">
        <f>D21</f>
        <v>mm</v>
      </c>
      <c r="E22" s="100"/>
      <c r="F22" s="100"/>
      <c r="G22" s="90"/>
      <c r="H22" s="90"/>
      <c r="I22" s="90"/>
      <c r="J22" s="90"/>
      <c r="K22" s="109"/>
      <c r="L22" s="89" t="str">
        <f>IF(liqgas_PipeCorrectionFactorOption="Calculate Correction","Required","Not Req'd")</f>
        <v>Required</v>
      </c>
      <c r="N22" s="91" t="str">
        <f>IF(liqgas_PipeCorrectionFactorOption="Ignore Correction","","Given")</f>
        <v>Given</v>
      </c>
    </row>
    <row r="23" spans="1:15" s="119" customFormat="1" ht="12.75" customHeight="1" x14ac:dyDescent="0.3">
      <c r="A23" s="333" t="s">
        <v>187</v>
      </c>
      <c r="B23" s="333"/>
      <c r="C23" s="333"/>
      <c r="D23" s="98"/>
      <c r="E23" s="284" t="s">
        <v>498</v>
      </c>
      <c r="F23" s="103" t="s">
        <v>188</v>
      </c>
      <c r="G23" s="90"/>
      <c r="H23" s="90"/>
      <c r="I23" s="90"/>
      <c r="J23" s="90"/>
      <c r="K23" s="90"/>
      <c r="L23" s="89"/>
      <c r="M23" s="89"/>
      <c r="N23" s="91"/>
      <c r="O23" s="91"/>
    </row>
    <row r="24" spans="1:15" ht="12.75" customHeight="1" x14ac:dyDescent="0.3">
      <c r="A24" s="355" t="s">
        <v>189</v>
      </c>
      <c r="B24" s="355"/>
      <c r="C24" s="90" t="s">
        <v>115</v>
      </c>
      <c r="E24" s="285">
        <f>VLOOKUP(liqgas_ValveType,ValveData!$A$4:$G$17,2)</f>
        <v>1.0699999999999999E-2</v>
      </c>
      <c r="F24" s="239">
        <f>E24</f>
        <v>1.0699999999999999E-2</v>
      </c>
      <c r="G24" s="90"/>
      <c r="H24" s="90"/>
      <c r="I24" s="110"/>
      <c r="J24" s="104"/>
      <c r="K24" s="104"/>
      <c r="N24" s="91" t="s">
        <v>191</v>
      </c>
      <c r="O24" s="91" t="s">
        <v>192</v>
      </c>
    </row>
    <row r="25" spans="1:15" ht="12.75" customHeight="1" x14ac:dyDescent="0.3">
      <c r="A25" s="355" t="s">
        <v>193</v>
      </c>
      <c r="B25" s="355"/>
      <c r="C25" s="90" t="s">
        <v>194</v>
      </c>
      <c r="E25" s="267">
        <f>VLOOKUP(liqgas_ValveType,ValveData!$A$4:$G$17,3)</f>
        <v>1</v>
      </c>
      <c r="F25" s="185">
        <f>E25</f>
        <v>1</v>
      </c>
      <c r="G25" s="90"/>
      <c r="H25" s="90"/>
      <c r="I25" s="110"/>
      <c r="J25" s="104"/>
      <c r="K25" s="104"/>
      <c r="N25" s="91" t="s">
        <v>191</v>
      </c>
      <c r="O25" s="91" t="s">
        <v>192</v>
      </c>
    </row>
    <row r="26" spans="1:15" ht="12.75" customHeight="1" x14ac:dyDescent="0.3">
      <c r="A26" s="355" t="s">
        <v>195</v>
      </c>
      <c r="B26" s="355"/>
      <c r="C26" s="90" t="s">
        <v>196</v>
      </c>
      <c r="E26" s="267">
        <f>VLOOKUP(liqgas_ValveType,ValveData!$A$4:$G$17,4)</f>
        <v>1</v>
      </c>
      <c r="F26" s="185">
        <f>E26</f>
        <v>1</v>
      </c>
      <c r="G26" s="90"/>
      <c r="H26" s="90"/>
      <c r="I26" s="110"/>
      <c r="J26" s="104"/>
      <c r="K26" s="104"/>
      <c r="N26" s="91" t="s">
        <v>191</v>
      </c>
      <c r="O26" s="91" t="s">
        <v>192</v>
      </c>
    </row>
    <row r="27" spans="1:15" ht="12.75" customHeight="1" x14ac:dyDescent="0.3">
      <c r="A27" s="355" t="s">
        <v>197</v>
      </c>
      <c r="B27" s="355"/>
      <c r="C27" s="90" t="s">
        <v>198</v>
      </c>
      <c r="E27" s="267">
        <f>VLOOKUP(liqgas_ValveType,ValveData!$A$4:$G$17,5)</f>
        <v>0.09</v>
      </c>
      <c r="F27" s="185">
        <f>E27</f>
        <v>0.09</v>
      </c>
      <c r="G27" s="90"/>
      <c r="H27" s="90"/>
      <c r="I27" s="110"/>
      <c r="J27" s="104"/>
      <c r="K27" s="104"/>
      <c r="N27" s="91" t="s">
        <v>191</v>
      </c>
      <c r="O27" s="91" t="s">
        <v>192</v>
      </c>
    </row>
    <row r="28" spans="1:15" ht="12.75" customHeight="1" x14ac:dyDescent="0.3">
      <c r="A28" s="348" t="s">
        <v>293</v>
      </c>
      <c r="B28" s="348"/>
      <c r="C28" s="348"/>
      <c r="D28" s="98" t="s">
        <v>184</v>
      </c>
      <c r="E28" s="98"/>
      <c r="F28" s="90"/>
      <c r="G28" s="90"/>
      <c r="H28" s="90"/>
      <c r="I28" s="90"/>
      <c r="J28" s="90"/>
      <c r="K28" s="90"/>
      <c r="L28" s="89" t="str">
        <f>IF(OR(L29="Required",L30="Required",L31="Required"),"Required","Not Req'd")</f>
        <v>Required</v>
      </c>
    </row>
    <row r="29" spans="1:15" ht="12.75" customHeight="1" x14ac:dyDescent="0.3">
      <c r="A29" s="331" t="s">
        <v>294</v>
      </c>
      <c r="B29" s="331"/>
      <c r="C29" s="331"/>
      <c r="D29" s="315" t="s">
        <v>511</v>
      </c>
      <c r="E29" s="100"/>
      <c r="F29" s="106" t="str">
        <f>IF(ISBLANK(E29),"If unknown, set to largest Vapor Pressure",
    IF(Conv("P",E29,$D$29,$D$105)&lt;MAX(E112:I112),"Using largest Vapor Press for calculations",""))</f>
        <v>If unknown, set to largest Vapor Pressure</v>
      </c>
      <c r="G29" s="104"/>
      <c r="H29" s="104"/>
      <c r="I29" s="104"/>
      <c r="J29" s="90"/>
      <c r="K29" s="90"/>
      <c r="L29" s="89" t="str">
        <f>IF(liqgas_TypeOfLiquid="Custom","Required","Not Req'd")</f>
        <v>Required</v>
      </c>
      <c r="M29" s="97" t="s">
        <v>432</v>
      </c>
      <c r="N29" s="91" t="s">
        <v>204</v>
      </c>
    </row>
    <row r="30" spans="1:15" ht="12.75" customHeight="1" x14ac:dyDescent="0.3">
      <c r="A30" s="331" t="s">
        <v>295</v>
      </c>
      <c r="B30" s="331"/>
      <c r="C30" s="331"/>
      <c r="D30" s="315" t="str">
        <f>D29</f>
        <v>barG</v>
      </c>
      <c r="E30" s="100"/>
      <c r="F30" s="90"/>
      <c r="G30" s="90"/>
      <c r="H30" s="110"/>
      <c r="I30" s="110"/>
      <c r="J30" s="90"/>
      <c r="K30" s="107"/>
      <c r="L30" s="89" t="str">
        <f>IF(AND(liqgas_TypeOfGas="Custom",liqgas_MethodOfSpecifyingGasDensity&lt;&gt;"Direct Input",liqgas_CompressibilityOption="Calculate from Pc &amp; Tc"),"Required","Not Req'd")</f>
        <v>Not Req'd</v>
      </c>
      <c r="M30" s="97"/>
      <c r="N30" s="91" t="s">
        <v>204</v>
      </c>
    </row>
    <row r="31" spans="1:15" ht="12.75" customHeight="1" x14ac:dyDescent="0.3">
      <c r="A31" s="331" t="s">
        <v>296</v>
      </c>
      <c r="B31" s="331"/>
      <c r="C31" s="331"/>
      <c r="D31" s="316" t="str">
        <f>M31</f>
        <v>deg C</v>
      </c>
      <c r="E31" s="100"/>
      <c r="F31" s="90"/>
      <c r="G31" s="90"/>
      <c r="H31" s="110"/>
      <c r="I31" s="110"/>
      <c r="J31" s="90"/>
      <c r="K31" s="107"/>
      <c r="L31" s="89" t="str">
        <f>IF(AND(liqgas_TypeOfGas="Custom",liqgas_MethodOfSpecifyingGasDensity&lt;&gt;"Direct Input",liqgas_CompressibilityOption="Calculate from Pc &amp; Tc"),"Required","Not Req'd")</f>
        <v>Not Req'd</v>
      </c>
      <c r="M31" s="97" t="s">
        <v>22</v>
      </c>
      <c r="N31" s="91" t="s">
        <v>204</v>
      </c>
    </row>
    <row r="32" spans="1:15" ht="12.75" customHeight="1" x14ac:dyDescent="0.3">
      <c r="A32" s="333" t="s">
        <v>199</v>
      </c>
      <c r="B32" s="333"/>
      <c r="C32" s="333"/>
      <c r="D32" s="98" t="s">
        <v>184</v>
      </c>
      <c r="E32" s="334" t="s">
        <v>200</v>
      </c>
      <c r="F32" s="334"/>
      <c r="G32" s="334"/>
      <c r="H32" s="334"/>
      <c r="I32" s="334"/>
      <c r="J32" s="90"/>
      <c r="K32" s="90"/>
    </row>
    <row r="33" spans="1:15" ht="12.75" customHeight="1" x14ac:dyDescent="0.3">
      <c r="A33" s="387" t="s">
        <v>201</v>
      </c>
      <c r="B33" s="387"/>
      <c r="C33" s="387"/>
      <c r="D33" s="90"/>
      <c r="E33" s="100"/>
      <c r="F33" s="100"/>
      <c r="G33" s="100"/>
      <c r="H33" s="100"/>
      <c r="I33" s="100"/>
      <c r="J33" s="110"/>
      <c r="K33" s="90"/>
      <c r="N33" s="91" t="s">
        <v>204</v>
      </c>
    </row>
    <row r="34" spans="1:15" ht="12.75" customHeight="1" x14ac:dyDescent="0.3">
      <c r="A34" s="331" t="s">
        <v>297</v>
      </c>
      <c r="B34" s="331"/>
      <c r="C34" s="331"/>
      <c r="D34" s="315" t="str">
        <f>M34</f>
        <v>m3/h</v>
      </c>
      <c r="E34" s="303"/>
      <c r="F34" s="100"/>
      <c r="G34" s="100"/>
      <c r="H34" s="100"/>
      <c r="I34" s="100"/>
      <c r="J34" s="109"/>
      <c r="K34" s="90"/>
      <c r="L34" s="89" t="str">
        <f>IF(liqgas_LiquidFlowRateType="Volume Flow Rate","Required","Not Req'd")</f>
        <v>Not Req'd</v>
      </c>
      <c r="M34" s="97" t="s">
        <v>327</v>
      </c>
      <c r="N34" s="91" t="s">
        <v>204</v>
      </c>
    </row>
    <row r="35" spans="1:15" ht="12.75" customHeight="1" x14ac:dyDescent="0.3">
      <c r="A35" s="331" t="s">
        <v>298</v>
      </c>
      <c r="B35" s="331"/>
      <c r="C35" s="331"/>
      <c r="D35" s="315" t="str">
        <f>M35</f>
        <v>kg/h</v>
      </c>
      <c r="E35" s="100"/>
      <c r="F35" s="100"/>
      <c r="G35" s="100"/>
      <c r="H35" s="100"/>
      <c r="I35" s="100"/>
      <c r="J35" s="110"/>
      <c r="K35" s="90"/>
      <c r="L35" s="89" t="str">
        <f>IF(liqgas_LiquidFlowRateType="Mass Flow Rate","Required","Not Req'd")</f>
        <v>Required</v>
      </c>
      <c r="M35" s="97" t="s">
        <v>218</v>
      </c>
      <c r="N35" s="91" t="s">
        <v>204</v>
      </c>
    </row>
    <row r="36" spans="1:15" ht="12.75" customHeight="1" x14ac:dyDescent="0.3">
      <c r="A36" s="387" t="s">
        <v>205</v>
      </c>
      <c r="B36" s="387"/>
      <c r="C36" s="387"/>
      <c r="D36" s="315" t="s">
        <v>432</v>
      </c>
      <c r="E36" s="100"/>
      <c r="F36" s="100"/>
      <c r="G36" s="100"/>
      <c r="H36" s="100"/>
      <c r="I36" s="100"/>
      <c r="J36" s="110"/>
      <c r="K36" s="90"/>
      <c r="M36" s="97" t="s">
        <v>432</v>
      </c>
      <c r="N36" s="91" t="s">
        <v>204</v>
      </c>
    </row>
    <row r="37" spans="1:15" ht="12.75" customHeight="1" x14ac:dyDescent="0.3">
      <c r="A37" s="387" t="s">
        <v>206</v>
      </c>
      <c r="B37" s="387"/>
      <c r="C37" s="387"/>
      <c r="D37" s="141" t="str">
        <f>IF(A37="Outlet Pressure",D36,LEFT(D36,LEN(D36)-1))</f>
        <v>barA</v>
      </c>
      <c r="E37" s="100"/>
      <c r="F37" s="100"/>
      <c r="G37" s="100"/>
      <c r="H37" s="100"/>
      <c r="I37" s="100"/>
      <c r="J37" s="110"/>
      <c r="K37" s="90"/>
      <c r="M37" s="97"/>
      <c r="N37" s="91" t="s">
        <v>204</v>
      </c>
    </row>
    <row r="38" spans="1:15" ht="12.75" customHeight="1" x14ac:dyDescent="0.3">
      <c r="A38" s="331" t="s">
        <v>234</v>
      </c>
      <c r="B38" s="331"/>
      <c r="C38" s="331"/>
      <c r="D38" s="315" t="str">
        <f>M38</f>
        <v>deg C</v>
      </c>
      <c r="E38" s="100"/>
      <c r="F38" s="100"/>
      <c r="G38" s="100"/>
      <c r="H38" s="100"/>
      <c r="I38" s="100"/>
      <c r="J38" s="109"/>
      <c r="K38" s="90"/>
      <c r="L38" s="89" t="str">
        <f>IF(OR(liqgas_TypeOfLiquid&lt;&gt;"Custom",liqgas_TypeOfGas&lt;&gt;"Custom",liqgas_MethodOfSpecifyingGasDensity&lt;&gt;"Direct Input"),"Required","Not Req'd")</f>
        <v>Required</v>
      </c>
      <c r="M38" s="97" t="s">
        <v>22</v>
      </c>
      <c r="N38" s="91" t="s">
        <v>204</v>
      </c>
    </row>
    <row r="39" spans="1:15" ht="12.75" customHeight="1" x14ac:dyDescent="0.3">
      <c r="A39" s="331" t="s">
        <v>299</v>
      </c>
      <c r="B39" s="331"/>
      <c r="C39" s="331"/>
      <c r="D39" s="315" t="s">
        <v>511</v>
      </c>
      <c r="E39" s="100"/>
      <c r="F39" s="100"/>
      <c r="G39" s="100"/>
      <c r="H39" s="100"/>
      <c r="I39" s="100"/>
      <c r="J39" s="109" t="s">
        <v>300</v>
      </c>
      <c r="K39" s="90"/>
      <c r="L39" s="89" t="str">
        <f>IF(liqgas_TypeOfLiquid="Custom","Required","Not Req'd")</f>
        <v>Required</v>
      </c>
      <c r="M39" s="97" t="s">
        <v>432</v>
      </c>
      <c r="N39" s="91" t="s">
        <v>204</v>
      </c>
    </row>
    <row r="40" spans="1:15" ht="12.75" customHeight="1" x14ac:dyDescent="0.3">
      <c r="A40" s="331" t="s">
        <v>301</v>
      </c>
      <c r="B40" s="331"/>
      <c r="C40" s="331" t="s">
        <v>302</v>
      </c>
      <c r="D40" s="94"/>
      <c r="E40" s="100"/>
      <c r="F40" s="100"/>
      <c r="G40" s="100"/>
      <c r="H40" s="100"/>
      <c r="I40" s="100"/>
      <c r="J40" s="109"/>
      <c r="K40" s="90"/>
      <c r="L40" s="89" t="str">
        <f>IF(AND(liqgas_TypeOfLiquid="Custom",liqgas_MethodOfSpecifyingLiquidDensity="From Specific Gravity"),"Required","Not Req'd")</f>
        <v>Not Req'd</v>
      </c>
      <c r="N40" s="91" t="s">
        <v>204</v>
      </c>
      <c r="O40" s="240"/>
    </row>
    <row r="41" spans="1:15" ht="12.75" customHeight="1" x14ac:dyDescent="0.3">
      <c r="A41" s="331" t="s">
        <v>303</v>
      </c>
      <c r="B41" s="331"/>
      <c r="C41" s="331"/>
      <c r="D41" s="315" t="str">
        <f>M41</f>
        <v>kg/m3</v>
      </c>
      <c r="E41" s="307"/>
      <c r="F41" s="307"/>
      <c r="G41" s="307"/>
      <c r="H41" s="100"/>
      <c r="I41" s="100"/>
      <c r="J41" s="109"/>
      <c r="K41" s="90"/>
      <c r="L41" s="89" t="str">
        <f>IF(AND(liqgas_TypeOfLiquid="Custom",liqgas_MethodOfSpecifyingLiquidDensity="Direct Input"),"Required","Not Req'd")</f>
        <v>Required</v>
      </c>
      <c r="M41" s="97" t="s">
        <v>230</v>
      </c>
      <c r="N41" s="91" t="s">
        <v>204</v>
      </c>
    </row>
    <row r="42" spans="1:15" ht="12.75" customHeight="1" x14ac:dyDescent="0.25">
      <c r="A42" s="386"/>
      <c r="B42" s="386"/>
      <c r="C42" s="386"/>
      <c r="D42" s="102"/>
      <c r="E42" s="110"/>
      <c r="F42" s="110"/>
      <c r="G42" s="110"/>
      <c r="H42" s="110"/>
      <c r="I42" s="110"/>
      <c r="J42" s="90"/>
      <c r="K42" s="90"/>
    </row>
    <row r="43" spans="1:15" ht="12.75" customHeight="1" x14ac:dyDescent="0.3">
      <c r="A43" s="331" t="s">
        <v>304</v>
      </c>
      <c r="B43" s="331"/>
      <c r="C43" s="331"/>
      <c r="D43" s="315" t="str">
        <f>M43</f>
        <v>kg/h</v>
      </c>
      <c r="E43" s="100"/>
      <c r="F43" s="100"/>
      <c r="G43" s="100"/>
      <c r="H43" s="100"/>
      <c r="I43" s="100"/>
      <c r="J43" s="109"/>
      <c r="K43" s="90"/>
      <c r="L43" s="89" t="str">
        <f>IF(liqgas_GasFlowRateType="Mass Flow Rate","Required","Not Req'd")</f>
        <v>Required</v>
      </c>
      <c r="M43" s="97" t="s">
        <v>218</v>
      </c>
      <c r="N43" s="91" t="s">
        <v>204</v>
      </c>
    </row>
    <row r="44" spans="1:15" ht="12.75" customHeight="1" x14ac:dyDescent="0.3">
      <c r="A44" s="331" t="s">
        <v>305</v>
      </c>
      <c r="B44" s="331"/>
      <c r="C44" s="331"/>
      <c r="D44" s="315" t="str">
        <f>M44</f>
        <v>Nm3/h</v>
      </c>
      <c r="E44" s="100"/>
      <c r="F44" s="100"/>
      <c r="G44" s="100"/>
      <c r="H44" s="100"/>
      <c r="I44" s="100"/>
      <c r="J44" s="109"/>
      <c r="K44" s="90"/>
      <c r="L44" s="89" t="str">
        <f>IF(liqgas_GasFlowRateType="Volume Flow Rate","Required","Not Req'd")</f>
        <v>Not Req'd</v>
      </c>
      <c r="M44" s="97" t="s">
        <v>332</v>
      </c>
      <c r="N44" s="91" t="s">
        <v>204</v>
      </c>
    </row>
    <row r="45" spans="1:15" ht="12.75" customHeight="1" x14ac:dyDescent="0.3">
      <c r="A45" s="331" t="s">
        <v>306</v>
      </c>
      <c r="B45" s="331"/>
      <c r="C45" s="331" t="s">
        <v>307</v>
      </c>
      <c r="D45" s="94"/>
      <c r="E45" s="100"/>
      <c r="F45" s="100"/>
      <c r="G45" s="100"/>
      <c r="H45" s="100"/>
      <c r="I45" s="100"/>
      <c r="J45" s="109"/>
      <c r="K45" s="90"/>
      <c r="L45" s="89" t="str">
        <f>IF(AND(liqgas_TypeOfGas="Custom",liqgas_MethodOfSpecifyingGasDensity="Calculate from Spec Grav"),"Required","Not Req'd")</f>
        <v>Not Req'd</v>
      </c>
      <c r="N45" s="91" t="s">
        <v>204</v>
      </c>
    </row>
    <row r="46" spans="1:15" ht="12.75" customHeight="1" x14ac:dyDescent="0.3">
      <c r="A46" s="331" t="s">
        <v>308</v>
      </c>
      <c r="B46" s="331"/>
      <c r="C46" s="331"/>
      <c r="D46" s="94"/>
      <c r="E46" s="100"/>
      <c r="F46" s="100"/>
      <c r="G46" s="100"/>
      <c r="H46" s="100"/>
      <c r="I46" s="100"/>
      <c r="J46" s="109"/>
      <c r="K46" s="90"/>
      <c r="L46" s="89" t="str">
        <f>IF(AND(liqgas_TypeOfGas="Custom",OR(liqgas_MethodOfSpecifyingGasDensity="Calculate from Mw",AND(liqgas_GasFlowRateType="Volume Flow Rate",liqgas_MethodOfSpecifyingGasDensity="Direct Input"))),"Required","Not Req'd")</f>
        <v>Required</v>
      </c>
      <c r="M46" s="97"/>
      <c r="N46" s="91" t="s">
        <v>204</v>
      </c>
    </row>
    <row r="47" spans="1:15" ht="12.75" customHeight="1" x14ac:dyDescent="0.3">
      <c r="A47" s="331" t="s">
        <v>309</v>
      </c>
      <c r="B47" s="331"/>
      <c r="C47" s="331"/>
      <c r="D47" s="94"/>
      <c r="E47" s="100"/>
      <c r="F47" s="100"/>
      <c r="G47" s="100"/>
      <c r="H47" s="100"/>
      <c r="I47" s="100"/>
      <c r="J47" s="109"/>
      <c r="K47" s="90"/>
      <c r="L47" s="89" t="str">
        <f>IF(AND(liqgas_TypeOfGas="Custom",liqgas_MethodOfSpecifyingGasDensity&lt;&gt;"Direct Input",liqgas_CompressibilityOption="Direct Input"),"Required","Not Req'd")</f>
        <v>Not Req'd</v>
      </c>
      <c r="M47" s="97"/>
      <c r="N47" s="91" t="s">
        <v>204</v>
      </c>
    </row>
    <row r="48" spans="1:15" ht="12.75" customHeight="1" x14ac:dyDescent="0.3">
      <c r="A48" s="331" t="s">
        <v>310</v>
      </c>
      <c r="B48" s="331"/>
      <c r="C48" s="331"/>
      <c r="D48" s="315" t="str">
        <f>M48</f>
        <v>kg/m3</v>
      </c>
      <c r="E48" s="100"/>
      <c r="F48" s="100"/>
      <c r="G48" s="100"/>
      <c r="H48" s="100"/>
      <c r="I48" s="100"/>
      <c r="J48" s="109"/>
      <c r="K48" s="90"/>
      <c r="L48" s="89" t="str">
        <f>IF(AND(liqgas_TypeOfGas="Custom",liqgas_MethodOfSpecifyingGasDensity="Direct Input"),"Required","Not Req'd")</f>
        <v>Not Req'd</v>
      </c>
      <c r="M48" s="97" t="s">
        <v>230</v>
      </c>
      <c r="N48" s="91" t="s">
        <v>204</v>
      </c>
    </row>
    <row r="49" spans="1:15" ht="12.75" customHeight="1" x14ac:dyDescent="0.3">
      <c r="A49" s="331" t="s">
        <v>276</v>
      </c>
      <c r="B49" s="331"/>
      <c r="C49" s="331"/>
      <c r="D49" s="94"/>
      <c r="E49" s="100"/>
      <c r="F49" s="100"/>
      <c r="G49" s="100"/>
      <c r="H49" s="100"/>
      <c r="I49" s="100"/>
      <c r="J49" s="110"/>
      <c r="K49" s="90"/>
      <c r="L49" s="89" t="str">
        <f>IF(liqgas_TypeOfGas="Custom","Required","Not Req'd")</f>
        <v>Required</v>
      </c>
      <c r="N49" s="91" t="s">
        <v>204</v>
      </c>
    </row>
    <row r="50" spans="1:15" ht="12.75" customHeight="1" x14ac:dyDescent="0.25"/>
    <row r="51" spans="1:15" ht="12.75" customHeight="1" x14ac:dyDescent="0.3">
      <c r="A51" s="350" t="s">
        <v>271</v>
      </c>
      <c r="B51" s="350"/>
      <c r="C51" s="350"/>
      <c r="D51" s="98" t="s">
        <v>184</v>
      </c>
      <c r="E51" s="354" t="s">
        <v>200</v>
      </c>
      <c r="F51" s="354"/>
      <c r="G51" s="354"/>
      <c r="H51" s="354"/>
      <c r="I51" s="354"/>
      <c r="J51" s="90"/>
      <c r="K51" s="90"/>
    </row>
    <row r="52" spans="1:15" ht="12.75" customHeight="1" x14ac:dyDescent="0.3">
      <c r="A52" s="331" t="s">
        <v>294</v>
      </c>
      <c r="B52" s="331"/>
      <c r="C52" s="331"/>
      <c r="D52" s="141" t="str">
        <f>$D$36</f>
        <v>barA</v>
      </c>
      <c r="E52" s="268" t="str">
        <f>IF(E36="","",
    Conv("P",E105,$D$105,$D$52))</f>
        <v/>
      </c>
      <c r="F52" s="275"/>
      <c r="G52" s="275"/>
      <c r="H52" s="275"/>
      <c r="I52" s="275"/>
      <c r="J52" s="139"/>
      <c r="K52" s="90"/>
      <c r="L52" s="89" t="str">
        <f>IF(liqgas_TypeOfLiquid&lt;&gt;"Custom","Required","Not Req'd")</f>
        <v>Not Req'd</v>
      </c>
      <c r="N52" s="127" t="s">
        <v>341</v>
      </c>
      <c r="O52" s="123" t="str">
        <f>"Pcf("&amp;D52&amp;") = "&amp;TEXT((Conv("P",1,$D$105,$D$52)-Conv("P",0,$D$105,$D$52))/1,"General")&amp;"*Pcf("&amp;$D$105&amp;") + "&amp;TEXT(Conv("P",0,$D$105,$D$52),"General")</f>
        <v>Pcf(barA) = 1*Pcf(barA) + 0</v>
      </c>
    </row>
    <row r="53" spans="1:15" ht="12.75" customHeight="1" x14ac:dyDescent="0.3">
      <c r="A53" s="331" t="s">
        <v>324</v>
      </c>
      <c r="B53" s="331"/>
      <c r="C53" s="331"/>
      <c r="D53" s="141" t="str">
        <f>$D$38</f>
        <v>deg C</v>
      </c>
      <c r="E53" s="268" t="str">
        <f>IF(E106="","",
    Conv("T",$E$106,$D$106,$D$53))</f>
        <v/>
      </c>
      <c r="F53" s="275"/>
      <c r="G53" s="275"/>
      <c r="H53" s="275"/>
      <c r="I53" s="275"/>
      <c r="J53" s="305" t="s">
        <v>342</v>
      </c>
      <c r="K53" s="93"/>
      <c r="L53" s="89" t="str">
        <f>IF(liqgas_TypeOfLiquid&lt;&gt;"Custom","Required","Not Req'd")</f>
        <v>Not Req'd</v>
      </c>
      <c r="N53" s="127" t="s">
        <v>341</v>
      </c>
      <c r="O53" s="91" t="str">
        <f>"Tcf("&amp;D53&amp;") = "&amp;TEXT((Conv("T",1,$D$106,$D$53)-Conv("T",0,$D$106,$D$53))/1,"General")&amp;"*Tcf("&amp;$D$106&amp;") + "&amp;TEXT(Conv("T",0,$D$106,$D$53),"General")</f>
        <v>Tcf(deg C) = 1*Tcf(deg C) + 0</v>
      </c>
    </row>
    <row r="54" spans="1:15" ht="12.75" customHeight="1" x14ac:dyDescent="0.3">
      <c r="A54" s="331" t="s">
        <v>298</v>
      </c>
      <c r="B54" s="331"/>
      <c r="C54" s="331"/>
      <c r="D54" s="314" t="s">
        <v>218</v>
      </c>
      <c r="E54" s="304" t="str">
        <f>IF(E36="","",
    Conv("m",E126,$D$126,$D$54))</f>
        <v/>
      </c>
      <c r="F54" s="304" t="str">
        <f>IF(F36="","",
    Conv("m",F126,$D$126,$D$54))</f>
        <v/>
      </c>
      <c r="G54" s="304" t="str">
        <f>IF(G36="","",
    Conv("m",G126,$D$126,$D$54))</f>
        <v/>
      </c>
      <c r="H54" s="304" t="str">
        <f>IF(H36="","",
    Conv("m",H126,$D$126,$D$54))</f>
        <v/>
      </c>
      <c r="I54" s="304" t="str">
        <f>IF(I36="","",
    Conv("m",I126,$D$126,$D$54))</f>
        <v/>
      </c>
      <c r="J54" s="90"/>
      <c r="K54" s="90"/>
      <c r="L54" s="89" t="str">
        <f>IF(liqgas_LiquidFlowRateType="Volume Flow Rate","Required","Not Req'd")</f>
        <v>Not Req'd</v>
      </c>
      <c r="N54" s="127" t="s">
        <v>341</v>
      </c>
      <c r="O54" s="123" t="str">
        <f>"Wf("&amp;D54&amp;") = "&amp;TEXT(Conv("m",1,$D$126,$D$54)/1,"General")&amp;"*Wf("&amp;$D$126&amp;")"</f>
        <v>Wf(kg/h) = 1*Wf(kg/h)</v>
      </c>
    </row>
    <row r="55" spans="1:15" ht="12.75" customHeight="1" x14ac:dyDescent="0.3">
      <c r="A55" s="331" t="s">
        <v>299</v>
      </c>
      <c r="B55" s="331"/>
      <c r="C55" s="331"/>
      <c r="D55" s="141" t="str">
        <f>$D$36</f>
        <v>barA</v>
      </c>
      <c r="E55" s="270" t="str">
        <f>IF(E36="","",
    Conv("P",E112,$D$112,$D$55))</f>
        <v/>
      </c>
      <c r="F55" s="270" t="str">
        <f>IF(F36="","",
    Conv("P",F112,$D$112,$D$55))</f>
        <v/>
      </c>
      <c r="G55" s="270" t="str">
        <f>IF(G36="","",
    Conv("P",G112,$D$112,$D$55))</f>
        <v/>
      </c>
      <c r="H55" s="270" t="str">
        <f>IF(H36="","",
    Conv("P",H112,$D$112,$D$55))</f>
        <v/>
      </c>
      <c r="I55" s="270" t="str">
        <f>IF(I36="","",
    Conv("P",I112,$D$112,$D$55))</f>
        <v/>
      </c>
      <c r="J55" s="90"/>
      <c r="K55" s="90"/>
      <c r="L55" s="89" t="str">
        <f>IF(liqgas_TypeOfLiquid&lt;&gt;"Custom","Required","Not Req'd")</f>
        <v>Not Req'd</v>
      </c>
      <c r="N55" s="127" t="s">
        <v>341</v>
      </c>
      <c r="O55" s="123" t="str">
        <f>"Pv("&amp;D55&amp;") = "&amp;TEXT((Conv("P",1,$D$112,$D$55)-Conv("P",0,$D$112,$D$55))/1,"General")&amp;"*Pv("&amp;$D$112&amp;") + "&amp;TEXT(Conv("P",0,$D$112,$D$55),"General")</f>
        <v>Pv(barA) = 1*Pv(barA) + 0</v>
      </c>
    </row>
    <row r="56" spans="1:15" ht="12.75" customHeight="1" x14ac:dyDescent="0.3">
      <c r="A56" s="331" t="s">
        <v>303</v>
      </c>
      <c r="B56" s="331"/>
      <c r="C56" s="331"/>
      <c r="D56" s="314" t="s">
        <v>274</v>
      </c>
      <c r="E56" s="270" t="str">
        <f>IF(E36="","",
    Conv("rho",E113,$D$113,$D$56))</f>
        <v/>
      </c>
      <c r="F56" s="270" t="str">
        <f>IF(F36="","",
    Conv("rho",F113,$D$113,$D$56))</f>
        <v/>
      </c>
      <c r="G56" s="270" t="str">
        <f>IF(G36="","",
    Conv("rho",G113,$D$113,$D$56))</f>
        <v/>
      </c>
      <c r="H56" s="270" t="str">
        <f>IF(H36="","",
    Conv("rho",H113,$D$113,$D$56))</f>
        <v/>
      </c>
      <c r="I56" s="270" t="str">
        <f>IF(I36="","",
    Conv("rho",I113,$D$113,$D$56))</f>
        <v/>
      </c>
      <c r="J56" s="90"/>
      <c r="K56" s="90"/>
      <c r="L56" s="89" t="str">
        <f>IF(OR(liqgas_TypeOfLiquid&lt;&gt;"Custom",liqgas_MethodOfSpecifyingLiquidDensity&lt;&gt;"Direct Input"),"Required","Not Req'd")</f>
        <v>Not Req'd</v>
      </c>
      <c r="N56" s="127" t="s">
        <v>341</v>
      </c>
      <c r="O56" s="123" t="str">
        <f>"rho1f("&amp;D56&amp;") = "&amp;TEXT(Conv("rho",1,$D$113,$D$56)/1,"General")&amp;"*rho1f("&amp;$D$113&amp;")"</f>
        <v>rho1f(lb/ft3) = 0.062427961*rho1f(kg/m3)</v>
      </c>
    </row>
    <row r="57" spans="1:15" ht="12.75" customHeight="1" x14ac:dyDescent="0.3">
      <c r="A57" s="331" t="s">
        <v>295</v>
      </c>
      <c r="B57" s="331"/>
      <c r="C57" s="331"/>
      <c r="D57" s="141" t="str">
        <f>$D$36</f>
        <v>barA</v>
      </c>
      <c r="E57" s="268" t="str">
        <f>IF(E114="","",
    Conv("P",E114,$D$114,$D$57))</f>
        <v/>
      </c>
      <c r="F57" s="275"/>
      <c r="G57" s="275"/>
      <c r="H57" s="275"/>
      <c r="I57" s="275"/>
      <c r="J57" s="142"/>
      <c r="K57" s="90"/>
      <c r="L57" s="89" t="str">
        <f>IF(liqgas_TypeOfGas&lt;&gt;"Custom","Required","Not Req'd")</f>
        <v>Not Req'd</v>
      </c>
      <c r="N57" s="127" t="s">
        <v>341</v>
      </c>
      <c r="O57" s="91" t="str">
        <f>"Pcg("&amp;D57&amp;") = "&amp;TEXT((Conv("P",1,$D$114,$D$57)-Conv("P",0,$D$114,$D$57))/1,"General")&amp;"*Pcg("&amp;$D$114&amp;") + "&amp;TEXT(Conv("P",0,$D$114,$D$57),"General")</f>
        <v>Pcg(barA) = 1*Pcg(barA) + 0</v>
      </c>
    </row>
    <row r="58" spans="1:15" ht="12.75" customHeight="1" x14ac:dyDescent="0.3">
      <c r="A58" s="331" t="s">
        <v>296</v>
      </c>
      <c r="B58" s="331"/>
      <c r="C58" s="331"/>
      <c r="D58" s="141" t="str">
        <f>$D$38</f>
        <v>deg C</v>
      </c>
      <c r="E58" s="268" t="str">
        <f>IF(E115="","",
    Conv("T",E115,$D$115,$D$58))</f>
        <v/>
      </c>
      <c r="F58" s="275"/>
      <c r="G58" s="275"/>
      <c r="H58" s="275"/>
      <c r="I58" s="275"/>
      <c r="J58" s="142"/>
      <c r="K58" s="90"/>
      <c r="L58" s="89" t="str">
        <f>IF(liqgas_TypeOfGas&lt;&gt;"Custom","Required","Not Req'd")</f>
        <v>Not Req'd</v>
      </c>
      <c r="N58" s="127" t="s">
        <v>341</v>
      </c>
      <c r="O58" s="91" t="str">
        <f>"Tcg("&amp;D58&amp;") = "&amp;TEXT((Conv("T",1,$D$115,$D$58)-Conv("T",0,$D$115,$D$58))/1,"General")&amp;"*Tcg("&amp;$D$115&amp;") + "&amp;TEXT(Conv("T",0,$D$115,$D$58),"General")</f>
        <v>Tcg(deg C) = 1*Tcg(deg C) + 0</v>
      </c>
    </row>
    <row r="59" spans="1:15" ht="12.75" customHeight="1" x14ac:dyDescent="0.3">
      <c r="A59" s="331" t="s">
        <v>304</v>
      </c>
      <c r="B59" s="331"/>
      <c r="C59" s="331"/>
      <c r="D59" s="314" t="s">
        <v>218</v>
      </c>
      <c r="E59" s="270" t="str">
        <f>IF(E36="","",
    Conv("M",E127,$D$127,$D$59))</f>
        <v/>
      </c>
      <c r="F59" s="270" t="str">
        <f>IF(F36="","",
    Conv("M",F127,$D$127,$D$59))</f>
        <v/>
      </c>
      <c r="G59" s="270" t="str">
        <f>IF(G36="","",
    Conv("M",G127,$D$127,$D$59))</f>
        <v/>
      </c>
      <c r="H59" s="270" t="str">
        <f>IF(H36="","",
    Conv("M",H127,$D$127,$D$59))</f>
        <v/>
      </c>
      <c r="I59" s="270" t="str">
        <f>IF(I36="","",
    Conv("M",I127,$D$127,$D$59))</f>
        <v/>
      </c>
      <c r="J59" s="90"/>
      <c r="K59" s="90"/>
      <c r="L59" s="89" t="str">
        <f>IF(liqgas_GasFlowRateType="Volume Flow Rate","Required","Not Req'd")</f>
        <v>Not Req'd</v>
      </c>
      <c r="N59" s="127" t="s">
        <v>341</v>
      </c>
      <c r="O59" s="91" t="str">
        <f>"Wg("&amp;D59&amp;") = "&amp;TEXT(Conv("m",1,$D$127,$D$59)/1,"General")&amp;"*Wg("&amp;$D$127&amp;")"</f>
        <v>Wg(kg/h) = 1*Wg(kg/h)</v>
      </c>
    </row>
    <row r="60" spans="1:15" ht="12.75" customHeight="1" x14ac:dyDescent="0.3">
      <c r="A60" s="331" t="s">
        <v>308</v>
      </c>
      <c r="B60" s="331"/>
      <c r="C60" s="331"/>
      <c r="D60" s="111"/>
      <c r="E60" s="270" t="str">
        <f>IF(E36="","",
    E118)</f>
        <v/>
      </c>
      <c r="F60" s="270" t="str">
        <f>IF(F36="","",
    F118)</f>
        <v/>
      </c>
      <c r="G60" s="270" t="str">
        <f>IF(G36="","",
    G118)</f>
        <v/>
      </c>
      <c r="H60" s="270" t="str">
        <f>IF(H36="","",
    H118)</f>
        <v/>
      </c>
      <c r="I60" s="270" t="str">
        <f>IF(I36="","",
    I118)</f>
        <v/>
      </c>
      <c r="J60" s="90"/>
      <c r="K60" s="90"/>
      <c r="L60" s="89" t="str">
        <f>IF(OR(liqgas_TypeOfGas&lt;&gt;"Custom",liqgas_MethodOfSpecifyingGasDensity="Calculate from Spec Grav"),"Required","Not Req'd")</f>
        <v>Not Req'd</v>
      </c>
    </row>
    <row r="61" spans="1:15" ht="12.75" customHeight="1" x14ac:dyDescent="0.3">
      <c r="A61" s="331" t="s">
        <v>334</v>
      </c>
      <c r="B61" s="331"/>
      <c r="C61" s="331"/>
      <c r="D61" s="111"/>
      <c r="E61" s="271" t="str">
        <f>IF(E36="","",
    E119)</f>
        <v/>
      </c>
      <c r="F61" s="271" t="str">
        <f>IF(F36="","",
    F119)</f>
        <v/>
      </c>
      <c r="G61" s="271" t="str">
        <f>IF(G36="","",
    G119)</f>
        <v/>
      </c>
      <c r="H61" s="271" t="str">
        <f>IF(H36="","",
    H119)</f>
        <v/>
      </c>
      <c r="I61" s="271" t="str">
        <f>IF(I36="","",
    I119)</f>
        <v/>
      </c>
      <c r="J61" s="90"/>
      <c r="K61" s="90"/>
      <c r="L61" s="89" t="str">
        <f>IF(OR(NOT(OR(FluidNameSN(liqgas_TypeOfGas)="Water",liqgas_TypeOfGas="Custom")),AND(liqgas_TypeOfGas="Custom",liqgas_MethodOfSpecifyingGasDensity&lt;&gt;"Direct Input",liqgas_CompressibilityOption&lt;&gt;"Direct Input")),"Required","Not Req'd")</f>
        <v>Required</v>
      </c>
    </row>
    <row r="62" spans="1:15" ht="12.75" customHeight="1" x14ac:dyDescent="0.3">
      <c r="A62" s="331" t="s">
        <v>310</v>
      </c>
      <c r="B62" s="331"/>
      <c r="C62" s="331"/>
      <c r="D62" s="314" t="s">
        <v>274</v>
      </c>
      <c r="E62" s="271" t="str">
        <f>IF(E36="","",
    Conv("rho",E120,$D$120,$D$62))</f>
        <v/>
      </c>
      <c r="F62" s="271" t="str">
        <f>IF(F36="","",
    Conv("rho",F120,$D$120,$D$62))</f>
        <v/>
      </c>
      <c r="G62" s="271" t="str">
        <f>IF(G36="","",
    Conv("rho",G120,$D$120,$D$62))</f>
        <v/>
      </c>
      <c r="H62" s="271" t="str">
        <f>IF(H36="","",
    Conv("rho",H120,$D$120,$D$62))</f>
        <v/>
      </c>
      <c r="I62" s="271" t="str">
        <f>IF(I36="","",
    Conv("rho",I120,$D$120,$D$62))</f>
        <v/>
      </c>
      <c r="J62" s="90"/>
      <c r="K62" s="90"/>
      <c r="L62" s="89" t="str">
        <f>IF(NOT(AND(liqgas_TypeOfGas="Custom",liqgas_MethodOfSpecifyingGasDensity="Direct Input")),"Required","Not Req'd")</f>
        <v>Required</v>
      </c>
      <c r="N62" s="127" t="s">
        <v>341</v>
      </c>
      <c r="O62" s="91" t="str">
        <f>"rho1g("&amp;D62&amp;") = "&amp;TEXT(Conv("rho",1,$D$120,$D$62)/1,"General")&amp;"*rho1g("&amp;$D$120&amp;")"</f>
        <v>rho1g(lb/ft3) = 0.062427961*rho1g(kg/m3)</v>
      </c>
    </row>
    <row r="63" spans="1:15" ht="12.75" customHeight="1" x14ac:dyDescent="0.3">
      <c r="A63" s="331" t="s">
        <v>276</v>
      </c>
      <c r="B63" s="331"/>
      <c r="C63" s="331"/>
      <c r="D63" s="111"/>
      <c r="E63" s="271" t="str">
        <f>IF(E36="","",
    E121)</f>
        <v/>
      </c>
      <c r="F63" s="271" t="str">
        <f>IF(F36="","",
    F121)</f>
        <v/>
      </c>
      <c r="G63" s="271" t="str">
        <f>IF(G36="","",
    G121)</f>
        <v/>
      </c>
      <c r="H63" s="271" t="str">
        <f>IF(H36="","",
    H121)</f>
        <v/>
      </c>
      <c r="I63" s="271" t="str">
        <f>IF(I36="","",
    I121)</f>
        <v/>
      </c>
      <c r="J63" s="90"/>
      <c r="K63" s="90"/>
      <c r="L63" s="89" t="str">
        <f>IF(liqgas_TypeOfGas&lt;&gt;"Custom","Required","Not Req'd")</f>
        <v>Not Req'd</v>
      </c>
    </row>
    <row r="64" spans="1:15" ht="12.75" customHeight="1" x14ac:dyDescent="0.3">
      <c r="A64" s="355" t="s">
        <v>277</v>
      </c>
      <c r="B64" s="355"/>
      <c r="C64" s="355"/>
      <c r="D64" s="319" t="s">
        <v>278</v>
      </c>
      <c r="E64" s="268" t="str">
        <f>IF(E36=0,"",
    Conv("C",E130,$D$130,$D$64))</f>
        <v/>
      </c>
      <c r="F64" s="268" t="str">
        <f>IF(F36=0,"",
    Conv("C",F130,$D$130,$D$64))</f>
        <v/>
      </c>
      <c r="G64" s="268" t="str">
        <f>IF(G36=0,"",
    Conv("C",G130,$D$130,$D$64))</f>
        <v/>
      </c>
      <c r="H64" s="268" t="str">
        <f>IF(H36=0,"",
    Conv("C",H130,$D$130,$D$64))</f>
        <v/>
      </c>
      <c r="I64" s="268" t="str">
        <f>IF(I36=0,"",
    Conv("C",I130,$D$130,$D$64))</f>
        <v/>
      </c>
      <c r="J64" s="90"/>
      <c r="K64" s="90"/>
      <c r="N64" s="127" t="s">
        <v>341</v>
      </c>
      <c r="O64" s="91" t="str">
        <f>"C("&amp;D64&amp;") = "&amp;TEXT(Conv("C",1,$D$130,$D$64)/1,"General")&amp;"*C("&amp;$D$130&amp;")"</f>
        <v>C(Cv) = 1.156098639*C(Kv)</v>
      </c>
    </row>
    <row r="65" spans="1:9" ht="12.75" customHeight="1" x14ac:dyDescent="0.25"/>
    <row r="66" spans="1:9" ht="12.75" customHeight="1" thickBot="1" x14ac:dyDescent="0.3"/>
    <row r="67" spans="1:9" ht="12.75" customHeight="1" thickBot="1" x14ac:dyDescent="0.35">
      <c r="A67" s="351" t="s">
        <v>373</v>
      </c>
      <c r="B67" s="352"/>
      <c r="C67" s="352"/>
      <c r="D67" s="352"/>
      <c r="E67" s="352"/>
      <c r="F67" s="352"/>
      <c r="G67" s="352"/>
      <c r="H67" s="352"/>
      <c r="I67" s="353"/>
    </row>
    <row r="68" spans="1:9" ht="12.75" customHeight="1" thickBot="1" x14ac:dyDescent="0.35">
      <c r="A68" s="214"/>
      <c r="B68" s="215"/>
      <c r="C68" s="215"/>
      <c r="D68" s="294"/>
      <c r="E68" s="295" t="str">
        <f>IF(ISBLANK(E33),"",E33)</f>
        <v/>
      </c>
      <c r="F68" s="295" t="str">
        <f>IF(ISBLANK(F33),"",F33)</f>
        <v/>
      </c>
      <c r="G68" s="295" t="str">
        <f>IF(ISBLANK(G33),"",G33)</f>
        <v/>
      </c>
      <c r="H68" s="295" t="str">
        <f>IF(ISBLANK(H33),"",H33)</f>
        <v/>
      </c>
      <c r="I68" s="296" t="str">
        <f>IF(ISBLANK(I33),"",I33)</f>
        <v/>
      </c>
    </row>
    <row r="69" spans="1:9" ht="12.75" customHeight="1" x14ac:dyDescent="0.3">
      <c r="A69" s="373" t="s">
        <v>374</v>
      </c>
      <c r="B69" s="374"/>
      <c r="C69" s="375"/>
      <c r="D69" s="302"/>
      <c r="E69" s="291" t="str">
        <f>IF(E36="","",
    StgNeeded((E126+E127)/3600,E136,E133,E130,$E$137,2^0.1,1))</f>
        <v/>
      </c>
      <c r="F69" s="291" t="str">
        <f>IF(F36="","",
    StgNeeded((F126+F127)/3600,F136,F133,F130,$E$137,2^0.1,1))</f>
        <v/>
      </c>
      <c r="G69" s="291" t="str">
        <f>IF(G36="","",
    StgNeeded((G126+G127)/3600,G136,G133,G130,$E$137,2^0.1,1))</f>
        <v/>
      </c>
      <c r="H69" s="291" t="str">
        <f>IF(H36="","",
    StgNeeded((H126+H127)/3600,H136,H133,H130,$E$137,2^0.1,1))</f>
        <v/>
      </c>
      <c r="I69" s="292" t="str">
        <f>IF(I36="","",
    StgNeeded((I126+I127)/3600,I136,I133,I130,$E$137,2^0.1,1))</f>
        <v/>
      </c>
    </row>
    <row r="70" spans="1:9" ht="12.75" customHeight="1" thickBot="1" x14ac:dyDescent="0.35">
      <c r="A70" s="361" t="s">
        <v>375</v>
      </c>
      <c r="B70" s="362"/>
      <c r="C70" s="363"/>
      <c r="D70" s="320" t="s">
        <v>246</v>
      </c>
      <c r="E70" s="219" t="str">
        <f>IF(E36="","",
    Conv("dP",GasWRhoAcKE((E126+E127)/3600,E136,E130/CpAo(E69,2^0.1,1),E133,1),"bar",$D$70))</f>
        <v/>
      </c>
      <c r="F70" s="219" t="str">
        <f>IF(F36="","",
    Conv("dP",GasWRhoAcKE((F126+F127)/3600,F136,F130/CpAo(F69,2^0.1,1),F133,1),"bar",$D$70))</f>
        <v/>
      </c>
      <c r="G70" s="219" t="str">
        <f>IF(G36="","",
    Conv("dP",GasWRhoAcKE((G126+G127)/3600,G136,G130/CpAo(G69,2^0.1,1),G133,1),"bar",$D$70))</f>
        <v/>
      </c>
      <c r="H70" s="219" t="str">
        <f>IF(H36="","",
    Conv("dP",GasWRhoAcKE((H126+H127)/3600,H136,H130/CpAo(H69,2^0.1,1),H133,1),"bar",$D$70))</f>
        <v/>
      </c>
      <c r="I70" s="220" t="str">
        <f>IF(I36="","",
    Conv("dP",GasWRhoAcKE((I126+I127)/3600,I136,I130/CpAo(I69,2^0.1,1),I133,1),"bar",$D$70))</f>
        <v/>
      </c>
    </row>
    <row r="71" spans="1:9" ht="12.75" customHeight="1" thickBot="1" x14ac:dyDescent="0.35">
      <c r="A71" s="96"/>
      <c r="D71" s="96"/>
      <c r="E71" s="221"/>
      <c r="F71" s="221"/>
      <c r="G71" s="221"/>
      <c r="H71" s="221"/>
      <c r="I71" s="221"/>
    </row>
    <row r="72" spans="1:9" ht="12.75" customHeight="1" thickBot="1" x14ac:dyDescent="0.35">
      <c r="A72" s="351" t="str">
        <f>"Fluid Kinetic Energy at Trim Outlet versus Number of Stages, "&amp;D70</f>
        <v>Fluid Kinetic Energy at Trim Outlet versus Number of Stages, bar</v>
      </c>
      <c r="B72" s="352"/>
      <c r="C72" s="352"/>
      <c r="D72" s="352"/>
      <c r="E72" s="352"/>
      <c r="F72" s="352"/>
      <c r="G72" s="352"/>
      <c r="H72" s="352"/>
      <c r="I72" s="353"/>
    </row>
    <row r="73" spans="1:9" ht="12.75" customHeight="1" x14ac:dyDescent="0.3">
      <c r="A73" s="373" t="s">
        <v>376</v>
      </c>
      <c r="B73" s="374"/>
      <c r="C73" s="156"/>
      <c r="D73" s="159" t="str">
        <f>$D$52</f>
        <v>barA</v>
      </c>
      <c r="E73" s="222" t="str">
        <f>IF(E$37="","",
    Conv("dP",GasWRhoAcKE((E126+E127)/3600,E136,E130/(CpAo($C74,2^0.1,1)*37.99/CpAo($C74,2^0.1,0)),E133,1),"bar",$D$70))</f>
        <v/>
      </c>
      <c r="F73" s="222" t="str">
        <f>IF(F$37="","",
    Conv("dP",GasWRhoAcKE((F126+F127)/3600,F136,F130/(CpAo($C74,2^0.1,1)*37.99/CpAo($C74,2^0.1,0)),F133,1),"bar",$D$70))</f>
        <v/>
      </c>
      <c r="G73" s="222" t="str">
        <f>IF(G$37="","",
    Conv("dP",GasWRhoAcKE((G126+G127)/3600,G136,G130/(CpAo($C74,2^0.1,1)*37.99/CpAo($C74,2^0.1,0)),G133,1),"bar",$D$70))</f>
        <v/>
      </c>
      <c r="H73" s="222" t="str">
        <f>IF(H$37="","",
    Conv("dP",GasWRhoAcKE((H126+H127)/3600,H136,H130/(CpAo($C74,2^0.1,1)*37.99/CpAo($C74,2^0.1,0)),H133,1),"bar",$D$70))</f>
        <v/>
      </c>
      <c r="I73" s="223" t="str">
        <f>IF(I$37="","",
    Conv("dP",GasWRhoAcKE((I126+I127)/3600,I136,I130/(CpAo($C74,2^0.1,1)*37.99/CpAo($C74,2^0.1,0)),I133,1),"bar",$D$70))</f>
        <v/>
      </c>
    </row>
    <row r="74" spans="1:9" ht="12.75" customHeight="1" x14ac:dyDescent="0.3">
      <c r="A74" s="358" t="s">
        <v>377</v>
      </c>
      <c r="B74" s="359"/>
      <c r="C74" s="224">
        <v>0</v>
      </c>
      <c r="D74" s="161" t="str">
        <f t="shared" ref="D74:D83" si="0">$D$52</f>
        <v>barA</v>
      </c>
      <c r="E74" s="225" t="str">
        <f t="shared" ref="E74:I83" si="1">IF(E$37="","",
    Conv("dP",GasWRhoAcKE((E$126+E$127)/3600,E$136,E$130/CpAo($C74,2^0.1,1),E$133,1),"bar",$D$70))</f>
        <v/>
      </c>
      <c r="F74" s="225" t="str">
        <f t="shared" si="1"/>
        <v/>
      </c>
      <c r="G74" s="225" t="str">
        <f t="shared" si="1"/>
        <v/>
      </c>
      <c r="H74" s="225" t="str">
        <f t="shared" si="1"/>
        <v/>
      </c>
      <c r="I74" s="226" t="str">
        <f t="shared" si="1"/>
        <v/>
      </c>
    </row>
    <row r="75" spans="1:9" ht="12.75" customHeight="1" x14ac:dyDescent="0.3">
      <c r="A75" s="358" t="s">
        <v>454</v>
      </c>
      <c r="B75" s="359"/>
      <c r="C75" s="224">
        <v>2</v>
      </c>
      <c r="D75" s="161" t="str">
        <f t="shared" si="0"/>
        <v>barA</v>
      </c>
      <c r="E75" s="225" t="str">
        <f t="shared" si="1"/>
        <v/>
      </c>
      <c r="F75" s="225" t="str">
        <f t="shared" si="1"/>
        <v/>
      </c>
      <c r="G75" s="225" t="str">
        <f t="shared" si="1"/>
        <v/>
      </c>
      <c r="H75" s="225" t="str">
        <f t="shared" si="1"/>
        <v/>
      </c>
      <c r="I75" s="226" t="str">
        <f t="shared" si="1"/>
        <v/>
      </c>
    </row>
    <row r="76" spans="1:9" ht="12.75" customHeight="1" x14ac:dyDescent="0.3">
      <c r="A76" s="358" t="s">
        <v>454</v>
      </c>
      <c r="B76" s="359"/>
      <c r="C76" s="224">
        <v>4</v>
      </c>
      <c r="D76" s="161" t="str">
        <f t="shared" si="0"/>
        <v>barA</v>
      </c>
      <c r="E76" s="225" t="str">
        <f t="shared" si="1"/>
        <v/>
      </c>
      <c r="F76" s="225" t="str">
        <f t="shared" si="1"/>
        <v/>
      </c>
      <c r="G76" s="225" t="str">
        <f t="shared" si="1"/>
        <v/>
      </c>
      <c r="H76" s="225" t="str">
        <f t="shared" si="1"/>
        <v/>
      </c>
      <c r="I76" s="226" t="str">
        <f t="shared" si="1"/>
        <v/>
      </c>
    </row>
    <row r="77" spans="1:9" ht="12.75" customHeight="1" x14ac:dyDescent="0.3">
      <c r="A77" s="358" t="s">
        <v>454</v>
      </c>
      <c r="B77" s="359"/>
      <c r="C77" s="224">
        <v>6</v>
      </c>
      <c r="D77" s="161" t="str">
        <f t="shared" si="0"/>
        <v>barA</v>
      </c>
      <c r="E77" s="225" t="str">
        <f t="shared" si="1"/>
        <v/>
      </c>
      <c r="F77" s="225" t="str">
        <f t="shared" si="1"/>
        <v/>
      </c>
      <c r="G77" s="225" t="str">
        <f t="shared" si="1"/>
        <v/>
      </c>
      <c r="H77" s="225" t="str">
        <f t="shared" si="1"/>
        <v/>
      </c>
      <c r="I77" s="226" t="str">
        <f t="shared" si="1"/>
        <v/>
      </c>
    </row>
    <row r="78" spans="1:9" ht="12.75" customHeight="1" x14ac:dyDescent="0.3">
      <c r="A78" s="358" t="s">
        <v>454</v>
      </c>
      <c r="B78" s="359"/>
      <c r="C78" s="224">
        <v>8</v>
      </c>
      <c r="D78" s="161" t="str">
        <f t="shared" si="0"/>
        <v>barA</v>
      </c>
      <c r="E78" s="225" t="str">
        <f t="shared" si="1"/>
        <v/>
      </c>
      <c r="F78" s="225" t="str">
        <f t="shared" si="1"/>
        <v/>
      </c>
      <c r="G78" s="225" t="str">
        <f t="shared" si="1"/>
        <v/>
      </c>
      <c r="H78" s="225" t="str">
        <f t="shared" si="1"/>
        <v/>
      </c>
      <c r="I78" s="226" t="str">
        <f t="shared" si="1"/>
        <v/>
      </c>
    </row>
    <row r="79" spans="1:9" ht="12.75" customHeight="1" x14ac:dyDescent="0.3">
      <c r="A79" s="358" t="s">
        <v>454</v>
      </c>
      <c r="B79" s="359"/>
      <c r="C79" s="224">
        <v>10</v>
      </c>
      <c r="D79" s="161" t="str">
        <f t="shared" si="0"/>
        <v>barA</v>
      </c>
      <c r="E79" s="225" t="str">
        <f t="shared" si="1"/>
        <v/>
      </c>
      <c r="F79" s="225" t="str">
        <f t="shared" si="1"/>
        <v/>
      </c>
      <c r="G79" s="225" t="str">
        <f t="shared" si="1"/>
        <v/>
      </c>
      <c r="H79" s="225" t="str">
        <f t="shared" si="1"/>
        <v/>
      </c>
      <c r="I79" s="226" t="str">
        <f t="shared" si="1"/>
        <v/>
      </c>
    </row>
    <row r="80" spans="1:9" ht="12.75" customHeight="1" x14ac:dyDescent="0.3">
      <c r="A80" s="358" t="s">
        <v>454</v>
      </c>
      <c r="B80" s="359"/>
      <c r="C80" s="224">
        <v>12</v>
      </c>
      <c r="D80" s="161" t="str">
        <f t="shared" si="0"/>
        <v>barA</v>
      </c>
      <c r="E80" s="225" t="str">
        <f t="shared" si="1"/>
        <v/>
      </c>
      <c r="F80" s="225" t="str">
        <f t="shared" si="1"/>
        <v/>
      </c>
      <c r="G80" s="225" t="str">
        <f t="shared" si="1"/>
        <v/>
      </c>
      <c r="H80" s="225" t="str">
        <f t="shared" si="1"/>
        <v/>
      </c>
      <c r="I80" s="226" t="str">
        <f t="shared" si="1"/>
        <v/>
      </c>
    </row>
    <row r="81" spans="1:9" ht="12.75" customHeight="1" x14ac:dyDescent="0.3">
      <c r="A81" s="358" t="s">
        <v>454</v>
      </c>
      <c r="B81" s="359"/>
      <c r="C81" s="224">
        <v>16</v>
      </c>
      <c r="D81" s="161" t="str">
        <f t="shared" si="0"/>
        <v>barA</v>
      </c>
      <c r="E81" s="225" t="str">
        <f t="shared" si="1"/>
        <v/>
      </c>
      <c r="F81" s="225" t="str">
        <f t="shared" si="1"/>
        <v/>
      </c>
      <c r="G81" s="225" t="str">
        <f t="shared" si="1"/>
        <v/>
      </c>
      <c r="H81" s="225" t="str">
        <f t="shared" si="1"/>
        <v/>
      </c>
      <c r="I81" s="226" t="str">
        <f t="shared" si="1"/>
        <v/>
      </c>
    </row>
    <row r="82" spans="1:9" ht="12.75" customHeight="1" x14ac:dyDescent="0.3">
      <c r="A82" s="358" t="s">
        <v>454</v>
      </c>
      <c r="B82" s="359"/>
      <c r="C82" s="224">
        <v>22</v>
      </c>
      <c r="D82" s="161" t="str">
        <f t="shared" si="0"/>
        <v>barA</v>
      </c>
      <c r="E82" s="225" t="str">
        <f t="shared" si="1"/>
        <v/>
      </c>
      <c r="F82" s="225" t="str">
        <f t="shared" si="1"/>
        <v/>
      </c>
      <c r="G82" s="225" t="str">
        <f t="shared" si="1"/>
        <v/>
      </c>
      <c r="H82" s="225" t="str">
        <f t="shared" si="1"/>
        <v/>
      </c>
      <c r="I82" s="226" t="str">
        <f t="shared" si="1"/>
        <v/>
      </c>
    </row>
    <row r="83" spans="1:9" ht="12.75" customHeight="1" thickBot="1" x14ac:dyDescent="0.35">
      <c r="A83" s="361" t="s">
        <v>454</v>
      </c>
      <c r="B83" s="362"/>
      <c r="C83" s="227">
        <v>30</v>
      </c>
      <c r="D83" s="164" t="str">
        <f t="shared" si="0"/>
        <v>barA</v>
      </c>
      <c r="E83" s="228" t="str">
        <f t="shared" si="1"/>
        <v/>
      </c>
      <c r="F83" s="228" t="str">
        <f t="shared" si="1"/>
        <v/>
      </c>
      <c r="G83" s="228" t="str">
        <f t="shared" si="1"/>
        <v/>
      </c>
      <c r="H83" s="228" t="str">
        <f t="shared" si="1"/>
        <v/>
      </c>
      <c r="I83" s="229" t="str">
        <f t="shared" si="1"/>
        <v/>
      </c>
    </row>
    <row r="84" spans="1:9" ht="12.75" customHeight="1" thickBot="1" x14ac:dyDescent="0.3">
      <c r="F84" s="151"/>
      <c r="G84" s="151"/>
      <c r="H84" s="151"/>
      <c r="I84" s="151"/>
    </row>
    <row r="85" spans="1:9" ht="12.75" customHeight="1" thickBot="1" x14ac:dyDescent="0.35">
      <c r="A85" s="370" t="s">
        <v>378</v>
      </c>
      <c r="B85" s="371"/>
      <c r="C85" s="371"/>
      <c r="D85" s="371"/>
      <c r="E85" s="371"/>
      <c r="F85" s="371"/>
      <c r="G85" s="371"/>
      <c r="H85" s="372"/>
      <c r="I85" s="151"/>
    </row>
    <row r="86" spans="1:9" ht="12.75" customHeight="1" thickBot="1" x14ac:dyDescent="0.35">
      <c r="A86" s="230"/>
      <c r="B86" s="90"/>
      <c r="C86" s="90"/>
      <c r="D86" s="90"/>
      <c r="E86" s="212" t="s">
        <v>379</v>
      </c>
      <c r="F86" s="212" t="s">
        <v>380</v>
      </c>
      <c r="G86" s="212" t="s">
        <v>381</v>
      </c>
      <c r="H86" s="231" t="s">
        <v>382</v>
      </c>
      <c r="I86" s="151"/>
    </row>
    <row r="87" spans="1:9" ht="12.75" customHeight="1" x14ac:dyDescent="0.3">
      <c r="A87" s="373" t="s">
        <v>383</v>
      </c>
      <c r="B87" s="374"/>
      <c r="C87" s="375"/>
      <c r="D87" s="169" t="s">
        <v>291</v>
      </c>
      <c r="E87" s="155"/>
      <c r="F87" s="155"/>
      <c r="G87" s="155"/>
      <c r="H87" s="170"/>
      <c r="I87" s="151"/>
    </row>
    <row r="88" spans="1:9" ht="12.75" customHeight="1" x14ac:dyDescent="0.3">
      <c r="A88" s="358" t="s">
        <v>384</v>
      </c>
      <c r="B88" s="359"/>
      <c r="C88" s="360"/>
      <c r="D88" s="171" t="s">
        <v>291</v>
      </c>
      <c r="E88" s="172">
        <f>(4*2^0.5*Conv("C",MAX($E$64:$I$64),$D$64,"Cv")/(PI()*30))^0.5</f>
        <v>0</v>
      </c>
      <c r="F88" s="172">
        <f>(4*2^0.5*Conv("C",MAX($E$64:$I$64),$D$64,"Cv")/(PI()*30))^0.5</f>
        <v>0</v>
      </c>
      <c r="G88" s="172">
        <f>(4*2^0.5*Conv("C",MAX($E$64:$I$64),$D$64,"Cv")/(PI()*21))^0.5</f>
        <v>0</v>
      </c>
      <c r="H88" s="173">
        <f>(4*2^0.5*Conv("C",MAX($E$64:$I$64),$D$64,"Cv")/(PI()*21))^0.5</f>
        <v>0</v>
      </c>
      <c r="I88" s="151"/>
    </row>
    <row r="89" spans="1:9" ht="12.75" customHeight="1" x14ac:dyDescent="0.3">
      <c r="A89" s="358" t="s">
        <v>385</v>
      </c>
      <c r="B89" s="359"/>
      <c r="C89" s="360"/>
      <c r="D89" s="171" t="s">
        <v>291</v>
      </c>
      <c r="E89" s="172">
        <f>Conv("L",E139,"m","in.")</f>
        <v>0</v>
      </c>
      <c r="F89" s="172">
        <f>Conv("L",E141,"m","in.")</f>
        <v>0</v>
      </c>
      <c r="G89" s="172">
        <f>Conv("L",E139,"m","in.")</f>
        <v>0</v>
      </c>
      <c r="H89" s="173">
        <f>Conv("L",E141,"m","in.")</f>
        <v>0</v>
      </c>
      <c r="I89" s="151"/>
    </row>
    <row r="90" spans="1:9" ht="12.75" customHeight="1" x14ac:dyDescent="0.3">
      <c r="A90" s="358" t="s">
        <v>386</v>
      </c>
      <c r="B90" s="359"/>
      <c r="C90" s="360"/>
      <c r="D90" s="171" t="s">
        <v>291</v>
      </c>
      <c r="E90" s="172">
        <f>NomPlugSize(MAX(E88:E89),0)</f>
        <v>0.31</v>
      </c>
      <c r="F90" s="172">
        <f>NomPlugSize(MAX(F88:F89),0)</f>
        <v>0.31</v>
      </c>
      <c r="G90" s="172">
        <f>NomPlugSize(MAX(G88:G89),0)</f>
        <v>0.31</v>
      </c>
      <c r="H90" s="173">
        <f>NomPlugSize(MAX(H88:H89),0)</f>
        <v>0.31</v>
      </c>
      <c r="I90" s="151"/>
    </row>
    <row r="91" spans="1:9" ht="12.75" customHeight="1" thickBot="1" x14ac:dyDescent="0.35">
      <c r="A91" s="361" t="s">
        <v>387</v>
      </c>
      <c r="B91" s="362"/>
      <c r="C91" s="363"/>
      <c r="D91" s="174" t="s">
        <v>291</v>
      </c>
      <c r="E91" s="176"/>
      <c r="F91" s="176"/>
      <c r="G91" s="176"/>
      <c r="H91" s="177"/>
    </row>
    <row r="92" spans="1:9" ht="12.75" customHeight="1" x14ac:dyDescent="0.25"/>
    <row r="93" spans="1:9" ht="12.75" customHeight="1" x14ac:dyDescent="0.25">
      <c r="A93" s="90" t="s">
        <v>279</v>
      </c>
    </row>
    <row r="94" spans="1:9" ht="12.75" customHeight="1" x14ac:dyDescent="0.3">
      <c r="A94" s="90" t="s">
        <v>496</v>
      </c>
    </row>
    <row r="95" spans="1:9" ht="12.75" customHeight="1" x14ac:dyDescent="0.25">
      <c r="A95" s="92" t="s">
        <v>495</v>
      </c>
    </row>
    <row r="96" spans="1:9" ht="12.75" customHeight="1" x14ac:dyDescent="0.25"/>
    <row r="97" spans="1:15" ht="12.75" hidden="1" customHeight="1" outlineLevel="1" x14ac:dyDescent="0.3">
      <c r="A97" s="113" t="s">
        <v>210</v>
      </c>
      <c r="B97" s="114"/>
      <c r="C97" s="115" t="s">
        <v>211</v>
      </c>
      <c r="D97" s="273" t="s">
        <v>184</v>
      </c>
      <c r="E97" s="116"/>
      <c r="F97" s="116"/>
      <c r="G97" s="117" t="s">
        <v>200</v>
      </c>
      <c r="H97" s="116"/>
      <c r="I97" s="116"/>
      <c r="J97" s="115" t="s">
        <v>212</v>
      </c>
      <c r="K97" s="118"/>
    </row>
    <row r="98" spans="1:15" s="191" customFormat="1" ht="12.75" hidden="1" customHeight="1" outlineLevel="1" x14ac:dyDescent="0.25">
      <c r="A98" s="189" t="s">
        <v>311</v>
      </c>
      <c r="B98" s="189"/>
      <c r="C98" s="189" t="s">
        <v>312</v>
      </c>
      <c r="D98" s="195" t="s">
        <v>313</v>
      </c>
      <c r="E98" s="195">
        <f>IF(liqgas_PipeCorrectionFactorOption="Ignore Correction","",Conv("L",E21,$D$21,$D$98))</f>
        <v>0</v>
      </c>
      <c r="F98" s="195">
        <f>IF(liqgas_PipeCorrectionFactorOption="Ignore Correction","",Conv("L",F21,$D$21,$D$98))</f>
        <v>0</v>
      </c>
      <c r="G98" s="189"/>
      <c r="H98" s="189"/>
      <c r="I98" s="189"/>
      <c r="J98" s="189"/>
      <c r="K98" s="189"/>
      <c r="L98" s="89"/>
      <c r="M98" s="89"/>
      <c r="N98" s="91" t="str">
        <f>IF(liqgas_PipeCorrectionFactorOption="Ignore Correction","","Unit Conv")</f>
        <v>Unit Conv</v>
      </c>
      <c r="O98" s="91" t="str">
        <f>IF(liqgas_PipeCorrectionFactorOption="Ignore Correction","","D(mm) = "&amp;TEXT(Conv("L",1,$D$21,$D$98),"General")&amp;"*D("&amp;$D$21&amp;")")</f>
        <v>D(mm) = 1*D(mm)</v>
      </c>
    </row>
    <row r="99" spans="1:15" s="191" customFormat="1" ht="12.75" hidden="1" customHeight="1" outlineLevel="1" x14ac:dyDescent="0.25">
      <c r="A99" s="189" t="s">
        <v>314</v>
      </c>
      <c r="B99" s="189"/>
      <c r="C99" s="189" t="s">
        <v>315</v>
      </c>
      <c r="D99" s="195" t="s">
        <v>313</v>
      </c>
      <c r="E99" s="195">
        <f>IF(liqgas_PipeCorrectionFactorOption="Ignore Correction","",Conv("L",E22,$D$22,$D$99))</f>
        <v>0</v>
      </c>
      <c r="F99" s="195">
        <f>IF(liqgas_PipeCorrectionFactorOption="Ignore Correction","",Conv("L",F22,$D$22,$D$99))</f>
        <v>0</v>
      </c>
      <c r="G99" s="189"/>
      <c r="H99" s="189"/>
      <c r="I99" s="189"/>
      <c r="J99" s="189"/>
      <c r="K99" s="189"/>
      <c r="L99" s="89"/>
      <c r="M99" s="89"/>
      <c r="N99" s="91" t="str">
        <f>IF(liqgas_PipeCorrectionFactorOption="Ignore Correction","","Unit Conv")</f>
        <v>Unit Conv</v>
      </c>
      <c r="O99" s="91" t="str">
        <f>IF(liqgas_PipeCorrectionFactorOption="Ignore Correction","","dv(mm) = "&amp;TEXT(Conv("L",1,$D$22,$D$99),"General")&amp;"*dv("&amp;$D$22&amp;")")</f>
        <v>dv(mm) = 1*dv(mm)</v>
      </c>
    </row>
    <row r="100" spans="1:15" s="191" customFormat="1" ht="12.75" hidden="1" customHeight="1" outlineLevel="1" x14ac:dyDescent="0.25">
      <c r="A100" s="189" t="s">
        <v>316</v>
      </c>
      <c r="B100" s="189"/>
      <c r="C100" s="189" t="s">
        <v>317</v>
      </c>
      <c r="D100" s="195"/>
      <c r="E100" s="241" t="e">
        <f>IF(liqgas_PipeCorrectionFactorOption="Ignore Correction",  0,
    IF($E99&lt;$E98,
      0.5*(1-($E99/$E98)^2)^2,
      (1 - ($E98/$E99)^2)^2/($E98/$E99)^4))</f>
        <v>#DIV/0!</v>
      </c>
      <c r="F100" s="241" t="e">
        <f>IF(liqgas_PipeCorrectionFactorOption="Ignore Correction",  0,
    IF($F99&lt;$F98,
      1*(1-($F99/$F98)^2)^2,
      0.5*(1 - ($F98/$F99)^2)^2/($F98/$F99)^4))</f>
        <v>#DIV/0!</v>
      </c>
      <c r="G100" s="189"/>
      <c r="H100" s="189"/>
      <c r="I100" s="189"/>
      <c r="J100" s="189"/>
      <c r="K100" s="189"/>
      <c r="L100" s="89"/>
      <c r="M100" s="89"/>
      <c r="N100" s="147" t="str">
        <f>IF(liqgas_PipeCorrectionFactorOption="Ignore Correction","","Eqs. 6 &amp; 7")</f>
        <v>Eqs. 6 &amp; 7</v>
      </c>
      <c r="O100" s="147" t="str">
        <f>IF(liqgas_PipeCorrectionFactorOption="Ignore Correction","","K1 = 0.5*(1 - (dv1/D1)^2)^2,      K2 = 1*(1 - (dv2/D2)^2)^2")</f>
        <v>K1 = 0.5*(1 - (dv1/D1)^2)^2,      K2 = 1*(1 - (dv2/D2)^2)^2</v>
      </c>
    </row>
    <row r="101" spans="1:15" s="191" customFormat="1" ht="12.75" hidden="1" customHeight="1" outlineLevel="1" x14ac:dyDescent="0.25">
      <c r="A101" s="189" t="s">
        <v>318</v>
      </c>
      <c r="B101" s="189"/>
      <c r="C101" s="189" t="s">
        <v>319</v>
      </c>
      <c r="D101" s="195"/>
      <c r="E101" s="241" t="e">
        <f>IF(liqgas_PipeCorrectionFactorOption="Ignore Correction",  0,
    IF($E99&lt;$E98,
      1-($E99/$E98)^4,
      (1-($E98/$E99)^4)/($E98/$E99)^4))</f>
        <v>#DIV/0!</v>
      </c>
      <c r="F101" s="241" t="e">
        <f>IF(liqgas_PipeCorrectionFactorOption="Ignore Correction",  0,
    IF($F99&lt;$F98,
      1-($F99/$F98)^4,
      (1 - ($F98/$F99)^4)/($F98/$F99)^4))</f>
        <v>#DIV/0!</v>
      </c>
      <c r="G101" s="189"/>
      <c r="H101" s="189"/>
      <c r="I101" s="189"/>
      <c r="J101" s="189"/>
      <c r="K101" s="189"/>
      <c r="L101" s="89"/>
      <c r="M101" s="89"/>
      <c r="N101" s="147" t="str">
        <f>IF(liqgas_PipeCorrectionFactorOption="Ignore Correction","","Eq. 5")</f>
        <v>Eq. 5</v>
      </c>
      <c r="O101" s="147" t="str">
        <f>IF(liqgas_PipeCorrectionFactorOption="Ignore Correction","","KB1 = 1 - (dv1/D1)^4,                KB2 = 1 - (dv2/D2)^4")</f>
        <v>KB1 = 1 - (dv1/D1)^4,                KB2 = 1 - (dv2/D2)^4</v>
      </c>
    </row>
    <row r="102" spans="1:15" s="191" customFormat="1" ht="12.75" hidden="1" customHeight="1" outlineLevel="1" x14ac:dyDescent="0.3">
      <c r="A102" s="189" t="s">
        <v>213</v>
      </c>
      <c r="B102" s="189"/>
      <c r="C102" s="189" t="s">
        <v>214</v>
      </c>
      <c r="D102" s="195"/>
      <c r="E102" s="241" t="e">
        <f>IF(liqgas_PipeCorrectionFactorOption="Ignore Correction",1,((E100+F100+E101-F101)*F24^2/0.00214+1)^-0.5)</f>
        <v>#DIV/0!</v>
      </c>
      <c r="F102" s="190"/>
      <c r="G102" s="242"/>
      <c r="H102" s="189"/>
      <c r="I102" s="189"/>
      <c r="J102" s="189"/>
      <c r="K102" s="189"/>
      <c r="L102" s="89"/>
      <c r="M102" s="89"/>
      <c r="N102" s="91" t="str">
        <f>IF(liqgas_PipeCorrectionFactorOption="Ignore Correction","Assumed","Eq. 3")</f>
        <v>Eq. 3</v>
      </c>
      <c r="O102" s="91" t="str">
        <f>IF(liqgas_PipeCorrectionFactorOption="Ignore Correction","Fp = 1","Fp = ((K1 + K2 + KB1 - KB2)*Cd^2/0.00214 + 1)^-0.5")</f>
        <v>Fp = ((K1 + K2 + KB1 - KB2)*Cd^2/0.00214 + 1)^-0.5</v>
      </c>
    </row>
    <row r="103" spans="1:15" s="191" customFormat="1" ht="12.75" hidden="1" customHeight="1" outlineLevel="1" x14ac:dyDescent="0.25">
      <c r="A103" s="210" t="s">
        <v>320</v>
      </c>
      <c r="B103" s="210"/>
      <c r="C103" s="210" t="s">
        <v>321</v>
      </c>
      <c r="D103" s="277"/>
      <c r="E103" s="243" t="e">
        <f>$F$25*(($E$100+$E$101)*$F$25^2*$F$24^2/0.00214+1)^-0.5</f>
        <v>#DIV/0!</v>
      </c>
      <c r="F103" s="243"/>
      <c r="G103" s="210"/>
      <c r="H103" s="210"/>
      <c r="I103" s="210"/>
      <c r="J103" s="189"/>
      <c r="K103" s="210"/>
      <c r="L103" s="89"/>
      <c r="M103" s="89"/>
      <c r="N103" s="127" t="str">
        <f>IF(liqgas_TypeOfGas="Ignore Correction","","Eq. 30")</f>
        <v>Eq. 30</v>
      </c>
      <c r="O103" s="127" t="s">
        <v>322</v>
      </c>
    </row>
    <row r="104" spans="1:15" s="191" customFormat="1" ht="12.75" hidden="1" customHeight="1" outlineLevel="1" x14ac:dyDescent="0.3">
      <c r="A104" s="189" t="s">
        <v>215</v>
      </c>
      <c r="B104" s="189"/>
      <c r="C104" s="189" t="s">
        <v>216</v>
      </c>
      <c r="D104" s="195"/>
      <c r="E104" s="241" t="e">
        <f>IF(liqgas_PipeCorrectionFactorOption="Ignore Correction",$F$26,$F$26/E102^2*($F$26*(E100+E101)*$F$24^2/0.00241+1)^-1)</f>
        <v>#DIV/0!</v>
      </c>
      <c r="F104" s="190"/>
      <c r="G104" s="242"/>
      <c r="H104" s="189"/>
      <c r="I104" s="189"/>
      <c r="J104" s="189"/>
      <c r="K104" s="189"/>
      <c r="L104" s="89"/>
      <c r="M104" s="89"/>
      <c r="N104" s="91" t="str">
        <f>IF(liqgas_PipeCorrectionFactorOption="Ignore Correction","Assumed","Eq. 22")</f>
        <v>Eq. 22</v>
      </c>
      <c r="O104" s="91" t="str">
        <f>IF(liqgas_PipeCorrectionFactorOption="Ignore Correction","Xtp = Xt","Xtp = Xt/Fp^2*(Xt*(K1 + KB1)*Cd^2/0.00241 + 1)^-1")</f>
        <v>Xtp = Xt/Fp^2*(Xt*(K1 + KB1)*Cd^2/0.00241 + 1)^-1</v>
      </c>
    </row>
    <row r="105" spans="1:15" s="191" customFormat="1" ht="12.75" hidden="1" customHeight="1" outlineLevel="1" x14ac:dyDescent="0.3">
      <c r="A105" s="244" t="s">
        <v>294</v>
      </c>
      <c r="B105" s="197"/>
      <c r="C105" s="197" t="s">
        <v>323</v>
      </c>
      <c r="D105" s="278" t="s">
        <v>432</v>
      </c>
      <c r="E105" s="245">
        <f>IF(FluidNameSN(liqgas_TypeOfLiquid)="Water",220.64,
    IF(liqgas_TypeOfLiquid&lt;&gt;"Custom",FLuidNamePc(liqgas_TypeOfLiquid,1),
      IF(ISBLANK(E29),MAX(E112:I112),
        MAX(Conv("P",E29,$D$29,$D$105),MAX(E112:I112)))))</f>
        <v>1.01325</v>
      </c>
      <c r="F105" s="246"/>
      <c r="G105" s="246"/>
      <c r="H105" s="246"/>
      <c r="I105" s="246"/>
      <c r="J105" s="189"/>
      <c r="K105" s="189"/>
      <c r="L105" s="89"/>
      <c r="M105" s="89"/>
      <c r="N105" s="91" t="str">
        <f>IF(FluidNameSN(liqgas_TypeOfLiquid)="Water","Wtr Constant",
    IF(liqgas_TypeOfLiquid&lt;&gt;"Custom","Lookup",
      IF(ISBLANK(E29),"Max Pv",
        IF(Conv("P",E29,$D$29,$D$39)&lt;MAX(E112:I112),"Max Pv",
          "Unit Conv"))))</f>
        <v>Max Pv</v>
      </c>
      <c r="O105" s="127" t="str">
        <f>IF(FluidNameSN(liqgas_TypeOfLiquid)="Water","Pc = 220.64",
    IF(liqgas_TypeOfLiquid&lt;&gt;"Custom","From Liquid Table",
      IF(ISBLANK(E29),"Using largest Vapor Pressure",
        IF(Conv("P",E29,$D$29,$D$39)&lt;MAX(E108:I108),"Using largest Vapor Pressure",
          "Pc(barA) = "&amp;TEXT((Conv("P",1,D29,D105)-Conv("P",0,D29,D105))/1,"General")&amp;"*Pc("&amp;D29&amp;") + "&amp;TEXT(Conv("P",0,D29,D105),"General")))))</f>
        <v>Using largest Vapor Pressure</v>
      </c>
    </row>
    <row r="106" spans="1:15" s="191" customFormat="1" ht="12.75" hidden="1" customHeight="1" outlineLevel="1" x14ac:dyDescent="0.3">
      <c r="A106" s="244" t="s">
        <v>324</v>
      </c>
      <c r="B106" s="197"/>
      <c r="C106" s="197" t="s">
        <v>325</v>
      </c>
      <c r="D106" s="278" t="s">
        <v>22</v>
      </c>
      <c r="E106" s="245" t="str">
        <f>IF(FluidNameSN(liqgas_TypeOfLiquid)="Water",647.096-273.15,
    IF(liqgas_TypeOfLiquid="Custom","",FluidNameTc(liqgas_TypeOfLiquid,1)))</f>
        <v/>
      </c>
      <c r="F106" s="246"/>
      <c r="G106" s="246"/>
      <c r="H106" s="246"/>
      <c r="I106" s="246"/>
      <c r="J106" s="189"/>
      <c r="K106" s="189"/>
      <c r="L106" s="89"/>
      <c r="M106" s="89"/>
      <c r="N106" s="91"/>
      <c r="O106" s="127"/>
    </row>
    <row r="107" spans="1:15" s="191" customFormat="1" ht="12.75" hidden="1" customHeight="1" outlineLevel="1" x14ac:dyDescent="0.3">
      <c r="A107" s="247" t="s">
        <v>297</v>
      </c>
      <c r="B107" s="247"/>
      <c r="C107" s="248" t="s">
        <v>326</v>
      </c>
      <c r="D107" s="258" t="s">
        <v>327</v>
      </c>
      <c r="E107" s="190" t="str">
        <f>IF(liqgas_LiquidFlowRateType="Volume Flow Rate",Conv("Qf",E34,$D$34,$D$107),"")</f>
        <v/>
      </c>
      <c r="F107" s="190" t="str">
        <f>IF(liqgas_LiquidFlowRateType="Volume Flow Rate",Conv("Qf",F34,$D$34,$D$107),"")</f>
        <v/>
      </c>
      <c r="G107" s="190" t="str">
        <f>IF(liqgas_LiquidFlowRateType="Volume Flow Rate",Conv("Qf",G34,$D$34,$D$107),"")</f>
        <v/>
      </c>
      <c r="H107" s="190" t="str">
        <f>IF(liqgas_LiquidFlowRateType="Volume Flow Rate",Conv("Qf",H34,$D$34,$D$107),"")</f>
        <v/>
      </c>
      <c r="I107" s="190" t="str">
        <f>IF(liqgas_LiquidFlowRateType="Volume Flow Rate",Conv("Qf",I34,$D$34,$D$107),"")</f>
        <v/>
      </c>
      <c r="J107" s="189"/>
      <c r="K107" s="249"/>
      <c r="L107" s="89"/>
      <c r="M107" s="89"/>
      <c r="N107" s="123" t="str">
        <f>IF(liqgas_LiquidFlowRateType="Volume Flow Rate","Unit Conv","")</f>
        <v/>
      </c>
      <c r="O107" s="123" t="str">
        <f>IF(liqgas_LiquidFlowRateType="Volume Flow Rate","Qf(m3/h) = "&amp;TEXT(Conv("Qf",1,$D$34,$D$107),"General")&amp;"*Qf("&amp;D34&amp;")","")</f>
        <v/>
      </c>
    </row>
    <row r="108" spans="1:15" s="191" customFormat="1" ht="12.75" hidden="1" customHeight="1" outlineLevel="1" x14ac:dyDescent="0.25">
      <c r="A108" s="247" t="s">
        <v>298</v>
      </c>
      <c r="B108" s="247"/>
      <c r="C108" s="247" t="s">
        <v>226</v>
      </c>
      <c r="D108" s="279" t="s">
        <v>218</v>
      </c>
      <c r="E108" s="250">
        <f>IF(liqgas_LiquidFlowRateType="Mass Flow Rate",Conv("M",E35,$D$35,$D$108),"")</f>
        <v>0</v>
      </c>
      <c r="F108" s="250">
        <f>IF(liqgas_LiquidFlowRateType="Mass Flow Rate",Conv("M",F35,$D$35,$D$108),"")</f>
        <v>0</v>
      </c>
      <c r="G108" s="250">
        <f>IF(liqgas_LiquidFlowRateType="Mass Flow Rate",Conv("M",G35,$D$35,$D$108),"")</f>
        <v>0</v>
      </c>
      <c r="H108" s="250">
        <f>IF(liqgas_LiquidFlowRateType="Mass Flow Rate",Conv("M",H35,$D$35,$D$108),"")</f>
        <v>0</v>
      </c>
      <c r="I108" s="250">
        <f>IF(liqgas_LiquidFlowRateType="Mass Flow Rate",Conv("M",I35,$D$35,$D$108),"")</f>
        <v>0</v>
      </c>
      <c r="J108" s="189"/>
      <c r="K108" s="251"/>
      <c r="L108" s="89"/>
      <c r="M108" s="89"/>
      <c r="N108" s="123" t="str">
        <f>IF(liqgas_LiquidFlowRateType="Mass Flow Rate","Unit Conv","")</f>
        <v>Unit Conv</v>
      </c>
      <c r="O108" s="123" t="str">
        <f>IF(liqgas_LiquidFlowRateType="Mass Flow Rate","W(kg/h) = "&amp;TEXT(Conv("M",1,$D$35,$D$108),"General")&amp;"*W("&amp;$D$35&amp;")","")</f>
        <v>W(kg/h) = 1*W(kg/h)</v>
      </c>
    </row>
    <row r="109" spans="1:15" s="191" customFormat="1" ht="12.75" hidden="1" customHeight="1" outlineLevel="1" x14ac:dyDescent="0.25">
      <c r="A109" s="196" t="s">
        <v>205</v>
      </c>
      <c r="B109" s="197"/>
      <c r="C109" s="197" t="s">
        <v>220</v>
      </c>
      <c r="D109" s="278" t="s">
        <v>432</v>
      </c>
      <c r="E109" s="245">
        <f>Conv("P",E36,$D$36,$D$109)</f>
        <v>0</v>
      </c>
      <c r="F109" s="245">
        <f>Conv("P",F36,$D$36,$D$109)</f>
        <v>0</v>
      </c>
      <c r="G109" s="245">
        <f>Conv("P",G36,$D$36,$D$109)</f>
        <v>0</v>
      </c>
      <c r="H109" s="245">
        <f>Conv("P",H36,$D$36,$D$109)</f>
        <v>0</v>
      </c>
      <c r="I109" s="245">
        <f>Conv("P",I36,$D$36,$D$109)</f>
        <v>0</v>
      </c>
      <c r="J109" s="189"/>
      <c r="K109" s="251"/>
      <c r="L109" s="89"/>
      <c r="M109" s="89"/>
      <c r="N109" s="91" t="s">
        <v>219</v>
      </c>
      <c r="O109" s="123" t="str">
        <f>"P1(barA) = "&amp;TEXT((Conv("P",1,$D$36,$D$109)-Conv("P",0,$D$36,$D$109))/1,"General")&amp;"*P1("&amp;$D$36&amp;") + "&amp;TEXT(Conv("P",0,$D$36,$D$109),"General")</f>
        <v>P1(barA) = 1*P1(barA) + 0</v>
      </c>
    </row>
    <row r="110" spans="1:15" s="191" customFormat="1" ht="12.75" hidden="1" customHeight="1" outlineLevel="1" x14ac:dyDescent="0.25">
      <c r="A110" s="189" t="s">
        <v>206</v>
      </c>
      <c r="B110" s="189"/>
      <c r="C110" s="189" t="s">
        <v>221</v>
      </c>
      <c r="D110" s="278" t="s">
        <v>432</v>
      </c>
      <c r="E110" s="245">
        <f>Conv("P",IF($A$37="Outlet Pressure",E37,E36-E37),$D$36,$D$110)</f>
        <v>0</v>
      </c>
      <c r="F110" s="245">
        <f t="shared" ref="F110:I110" si="2">Conv("P",IF($A$37="Outlet Pressure",F37,F36-F37),$D$36,$D$110)</f>
        <v>0</v>
      </c>
      <c r="G110" s="245">
        <f t="shared" si="2"/>
        <v>0</v>
      </c>
      <c r="H110" s="245">
        <f t="shared" si="2"/>
        <v>0</v>
      </c>
      <c r="I110" s="245">
        <f t="shared" si="2"/>
        <v>0</v>
      </c>
      <c r="J110" s="189"/>
      <c r="K110" s="251"/>
      <c r="L110" s="89"/>
      <c r="M110" s="89"/>
      <c r="N110" s="91" t="s">
        <v>219</v>
      </c>
      <c r="O110" s="123" t="str">
        <f>"P2(barA) = "&amp;TEXT((Conv("P",1,$D$37,$D$110)-Conv("P",0,$D$37,$D$110))/1,"General")&amp;"*P2("&amp;$D$37&amp;") + "&amp;TEXT(Conv("P",0,$D$37,$D$110),"General")</f>
        <v>P2(barA) = 1*P2(barA) + 0</v>
      </c>
    </row>
    <row r="111" spans="1:15" s="191" customFormat="1" ht="12.75" hidden="1" customHeight="1" outlineLevel="1" x14ac:dyDescent="0.3">
      <c r="A111" s="196" t="s">
        <v>234</v>
      </c>
      <c r="B111" s="197"/>
      <c r="C111" s="197" t="s">
        <v>235</v>
      </c>
      <c r="D111" s="278" t="s">
        <v>22</v>
      </c>
      <c r="E111" s="241">
        <f>IF(OR(liqgas_TypeOfLiquid&lt;&gt;"Custom",liqgas_TypeOfGas&lt;&gt;"Custom",liqgas_MethodOfSpecifyingGasDensity&lt;&gt;"Direct Input"),Conv("T",E38,$D$38,$D$111),"")</f>
        <v>0</v>
      </c>
      <c r="F111" s="241">
        <f>IF(OR(liqgas_TypeOfLiquid&lt;&gt;"Custom",liqgas_TypeOfGas&lt;&gt;"Custom",liqgas_MethodOfSpecifyingGasDensity&lt;&gt;"Direct Input"),Conv("T",F38,$D$38,$D$111),"")</f>
        <v>0</v>
      </c>
      <c r="G111" s="241">
        <f>IF(OR(liqgas_TypeOfLiquid&lt;&gt;"Custom",liqgas_TypeOfGas&lt;&gt;"Custom",liqgas_MethodOfSpecifyingGasDensity&lt;&gt;"Direct Input"),Conv("T",G38,$D$38,$D$111),"")</f>
        <v>0</v>
      </c>
      <c r="H111" s="241">
        <f>IF(OR(liqgas_TypeOfLiquid&lt;&gt;"Custom",liqgas_TypeOfGas&lt;&gt;"Custom",liqgas_MethodOfSpecifyingGasDensity&lt;&gt;"Direct Input"),Conv("T",H38,$D$38,$D$111),"")</f>
        <v>0</v>
      </c>
      <c r="I111" s="241">
        <f>IF(OR(liqgas_TypeOfLiquid&lt;&gt;"Custom",liqgas_TypeOfGas&lt;&gt;"Custom",liqgas_MethodOfSpecifyingGasDensity&lt;&gt;"Direct Input"),Conv("T",I38,$D$38,$D$111),"")</f>
        <v>0</v>
      </c>
      <c r="J111" s="189"/>
      <c r="K111" s="249"/>
      <c r="L111" s="89"/>
      <c r="M111" s="89"/>
      <c r="N111" s="91" t="str">
        <f>IF(OR(FluidNameSN(liqgas_TypeOfLiquid)="Water",liqgas_TypeOfGas&lt;&gt;"Custom",liqgas_MethodOfSpecifyingGasDensity&lt;&gt;"Direct Input"),"Unit Conv","")</f>
        <v>Unit Conv</v>
      </c>
      <c r="O111" s="91" t="str">
        <f>IF(OR(FluidNameSN(liqgas_TypeOfLiquid)="Water",liqgas_TypeOfGas&lt;&gt;"Custom",liqgas_MethodOfSpecifyingGasDensity&lt;&gt;"Direct Input"),
    "T1(deg C) = "&amp;TEXT((Conv("T",1,$D$38,$D$111)-Conv("T",0,$D$38,$D$111))/1,"General")&amp;"*T1("&amp;$D$38&amp;") + "&amp;TEXT(Conv("T",0,$D$38,$D$111),"General"),"")</f>
        <v>T1(deg C) = 1*T1(deg C) + 0</v>
      </c>
    </row>
    <row r="112" spans="1:15" s="191" customFormat="1" ht="12.75" hidden="1" customHeight="1" outlineLevel="1" x14ac:dyDescent="0.3">
      <c r="A112" s="196" t="s">
        <v>299</v>
      </c>
      <c r="B112" s="197"/>
      <c r="C112" s="197" t="s">
        <v>238</v>
      </c>
      <c r="D112" s="278" t="s">
        <v>432</v>
      </c>
      <c r="E112" s="245">
        <f>IF(FluidNameSN(liqgas_TypeOfLiquid)="Water",wtrtp(E111,1),
    IF(liqgas_TypeOfLiquid&lt;&gt;"Custom",FluidNameTP(liqgas_TypeOfLiquid,E111,1),
      Conv("P",E39,$D$39,$D$112)))</f>
        <v>1.01325</v>
      </c>
      <c r="F112" s="245">
        <f>IF(FluidNameSN(liqgas_TypeOfLiquid)="Water",wtrtp(F111,1),
    IF(liqgas_TypeOfLiquid&lt;&gt;"Custom",FluidNameTP(liqgas_TypeOfLiquid,F111,1),
      Conv("P",F39,$D$39,$D$112)))</f>
        <v>1.01325</v>
      </c>
      <c r="G112" s="245">
        <f>IF(FluidNameSN(liqgas_TypeOfLiquid)="Water",wtrtp(G111,1),
    IF(liqgas_TypeOfLiquid&lt;&gt;"Custom",FluidNameTP(liqgas_TypeOfLiquid,G111,1),
      Conv("P",G39,$D$39,$D$112)))</f>
        <v>1.01325</v>
      </c>
      <c r="H112" s="245">
        <f>IF(FluidNameSN(liqgas_TypeOfLiquid)="Water",wtrtp(H111,1),
    IF(liqgas_TypeOfLiquid&lt;&gt;"Custom",FluidNameTP(liqgas_TypeOfLiquid,H111,1),
      Conv("P",H39,$D$39,$D$112)))</f>
        <v>1.01325</v>
      </c>
      <c r="I112" s="245">
        <f>IF(FluidNameSN(liqgas_TypeOfLiquid)="Water",wtrtp(I111,1),
    IF(liqgas_TypeOfLiquid&lt;&gt;"Custom",FluidNameTP(liqgas_TypeOfLiquid,I111,1),
      Conv("P",I39,$D$39,$D$112)))</f>
        <v>1.01325</v>
      </c>
      <c r="J112" s="189"/>
      <c r="K112" s="249"/>
      <c r="L112" s="89"/>
      <c r="M112" s="89"/>
      <c r="N112" s="91" t="str">
        <f>IF(FluidNameSN(liqgas_TypeOfLiquid)="Water","Wtr Function","Unit Conv")</f>
        <v>Unit Conv</v>
      </c>
      <c r="O112" s="91" t="str">
        <f>IF(FluidNameSN(liqgas_TypeOfLiquid)="Water","Pv = wtrTP(T1)",
    "Pv(barA) = "&amp;TEXT((Conv("P",1,$D$39,$D$112)-Conv("P",0,$D$39,$D$112))/1,"General")&amp;"*Pv("&amp;D39&amp;") + "&amp;TEXT(Conv("P",0,$D$39,$D$112),"General"))</f>
        <v>Pv(barA) = 1*Pv(barG) + 1.01325</v>
      </c>
    </row>
    <row r="113" spans="1:15" s="191" customFormat="1" ht="12.75" hidden="1" customHeight="1" outlineLevel="1" x14ac:dyDescent="0.25">
      <c r="A113" s="196" t="s">
        <v>328</v>
      </c>
      <c r="B113" s="197"/>
      <c r="C113" s="197" t="s">
        <v>229</v>
      </c>
      <c r="D113" s="278" t="s">
        <v>230</v>
      </c>
      <c r="E113" s="241">
        <f>IF(FluidNameSN(liqgas_TypeOfLiquid)="Water",wtrPTD(E109,E111,1),
    IF(liqgas_TypeOfLiquid&lt;&gt;"Custom",FluidNamePTRho(liqgas_TypeOfLiquid,E109,E111,1),
      IF(liqgas_MethodOfSpecifyingLiquidDensity="Direct Input",Conv("rho",E41,$D$41,$D$113),
        1000*E40)))</f>
        <v>0</v>
      </c>
      <c r="F113" s="241">
        <f>IF(FluidNameSN(liqgas_TypeOfLiquid)="Water",wtrPTD(F109,F111,1),
    IF(liqgas_TypeOfLiquid&lt;&gt;"Custom",FluidNamePTRho(liqgas_TypeOfLiquid,F109,F111,1),
      IF(liqgas_MethodOfSpecifyingLiquidDensity="Direct Input",Conv("rho",F41,$D$41,$D$113),
        1000*F40)))</f>
        <v>0</v>
      </c>
      <c r="G113" s="241">
        <f>IF(FluidNameSN(liqgas_TypeOfLiquid)="Water",wtrPTD(G109,G111,1),
    IF(liqgas_TypeOfLiquid&lt;&gt;"Custom",FluidNamePTRho(liqgas_TypeOfLiquid,G109,G111,1),
      IF(liqgas_MethodOfSpecifyingLiquidDensity="Direct Input",Conv("rho",G41,$D$41,$D$113),
        1000*G40)))</f>
        <v>0</v>
      </c>
      <c r="H113" s="241">
        <f>IF(FluidNameSN(liqgas_TypeOfLiquid)="Water",wtrPTD(H109,H111,1),
    IF(liqgas_TypeOfLiquid&lt;&gt;"Custom",FluidNamePTRho(liqgas_TypeOfLiquid,H109,H111,1),
      IF(liqgas_MethodOfSpecifyingLiquidDensity="Direct Input",Conv("rho",H41,$D$41,$D$113),
        1000*H40)))</f>
        <v>0</v>
      </c>
      <c r="I113" s="241">
        <f>IF(FluidNameSN(liqgas_TypeOfLiquid)="Water",wtrPTD(I109,I111,1),
    IF(liqgas_TypeOfLiquid&lt;&gt;"Custom",FluidNamePTRho(liqgas_TypeOfLiquid,I109,I111,1),
      IF(liqgas_MethodOfSpecifyingLiquidDensity="Direct Input",Conv("rho",I41,$D$41,$D$113),
        1000*I40)))</f>
        <v>0</v>
      </c>
      <c r="J113" s="189"/>
      <c r="K113" s="189"/>
      <c r="L113" s="89"/>
      <c r="M113" s="89"/>
      <c r="N113" s="91" t="str">
        <f>IF(FluidNameSN(liqgas_TypeOfLiquid)="Water","Wtr Function",
    IF(liqgas_MethodOfSpecifyingLiquidDensity="Direct Input","Unit Conv",
      "Def of Gf"))</f>
        <v>Unit Conv</v>
      </c>
      <c r="O113" s="91" t="str">
        <f>IF(FluidNameSN(liqgas_TypeOfLiquid)="Water","rho1 = wtrPQD(P1, 0)",
    IF(liqgas_MethodOfSpecifyingLiquidDensity="Direct Input","rho1(kg/m3) = "&amp;TEXT(Conv("rho",1,$D$41,$D$113),"General")&amp;"*Rho1("&amp;D41&amp;")",
      "rho1 = 1000*Gf"))</f>
        <v>rho1(kg/m3) = 1*Rho1(kg/m3)</v>
      </c>
    </row>
    <row r="114" spans="1:15" s="191" customFormat="1" ht="12.75" hidden="1" customHeight="1" outlineLevel="1" x14ac:dyDescent="0.25">
      <c r="A114" s="196" t="s">
        <v>295</v>
      </c>
      <c r="B114" s="197"/>
      <c r="C114" s="197" t="s">
        <v>329</v>
      </c>
      <c r="D114" s="278" t="s">
        <v>432</v>
      </c>
      <c r="E114" s="198" t="str">
        <f>IF(FluidNameSN(liqgas_TypeOfGas)="Water",220.64,
    IF(liqgas_TypeOfGas&lt;&gt;"Custom",FLuidNamePc(liqgas_TypeOfGas,1),
      IF(AND(liqgas_MethodOfSpecifyingGasDensity&lt;&gt;"Direct Input",liqgas_CompressibilityOption="Calculate from Pc &amp; Tc"),Conv("P",E30,$D$30,$D$114),"")))</f>
        <v/>
      </c>
      <c r="F114" s="194"/>
      <c r="G114" s="194"/>
      <c r="H114" s="194"/>
      <c r="I114" s="194"/>
      <c r="J114" s="189"/>
      <c r="K114" s="189"/>
      <c r="L114" s="89"/>
      <c r="M114" s="89"/>
      <c r="N114" s="108" t="str">
        <f>IF(OR(FluidNameSN(liqgas_TypeOfGas)="Water",liqgas_MethodOfSpecifyingGasDensity="Direct Input"),"",
    IF(liqgas_TypeOfGas&lt;&gt;"Custom","Lookup",
      IF(liqgas_CompressibilityOption="Calculate from Pc &amp; Tc","Unit Conv","")))</f>
        <v/>
      </c>
      <c r="O114" s="91" t="str">
        <f>IF(OR(FluidNameSN(liqgas_TypeOfGas)="Water",liqgas_MethodOfSpecifyingGasDensity="Direct Input"),"",
    IF(liqgas_TypeOfGas&lt;&gt;"Custom","From Gas Table",
      IF(liqgas_CompressibilityOption="Calculate from Pc &amp; Tc",
        "Pc(barA) = "&amp;TEXT((Conv("P",1,$D$30,$D$114)-Conv("P",0,$D$30,$D$114))/1,"General")&amp;"*Pc("&amp;D30&amp;") + "&amp;TEXT(Conv("P",0,$D$30,$D$114),"General"),"")))</f>
        <v/>
      </c>
    </row>
    <row r="115" spans="1:15" s="191" customFormat="1" ht="12.75" hidden="1" customHeight="1" outlineLevel="1" x14ac:dyDescent="0.25">
      <c r="A115" s="196" t="s">
        <v>296</v>
      </c>
      <c r="B115" s="197"/>
      <c r="C115" s="197" t="s">
        <v>330</v>
      </c>
      <c r="D115" s="278" t="s">
        <v>22</v>
      </c>
      <c r="E115" s="198" t="str">
        <f>IF(FluidNameSN(liqgas_TypeOfGas)="Water",647.096-273.15,
    IF(liqgas_TypeOfGas&lt;&gt;"Custom",FluidNameTc(liqgas_TypeOfGas,1),
      IF(AND(liqgas_MethodOfSpecifyingGasDensity&lt;&gt;"Direct Input",liqgas_CompressibilityOption="Calculate from Pc &amp; Tc"),Conv("T",E31,$D$31,$D$115),"")))</f>
        <v/>
      </c>
      <c r="F115" s="194"/>
      <c r="G115" s="194"/>
      <c r="H115" s="194"/>
      <c r="I115" s="194"/>
      <c r="J115" s="189"/>
      <c r="K115" s="189"/>
      <c r="L115" s="89"/>
      <c r="M115" s="89"/>
      <c r="N115" s="108" t="str">
        <f>IF(OR(FluidNameSN(liqgas_TypeOfGas)="Water",liqgas_MethodOfSpecifyingGasDensity="Direct Input"),"",
    IF(liqgas_TypeOfGas&lt;&gt;"Custom","Lookup",
      IF(liqgas_CompressibilityOption="Calculate from Pc &amp; Tc","Unit Conv","")))</f>
        <v/>
      </c>
      <c r="O115" s="91" t="str">
        <f>IF(OR(FluidNameSN(liqgas_TypeOfGas)="Water",liqgas_MethodOfSpecifyingGasDensity="Direct Input"),"",
    IF(liqgas_TypeOfGas&lt;&gt;"Custom","From Gas Table",
      IF(liqgas_CompressibilityOption="Calculate from Pc &amp; Tc",
        "Tc(deg C) = "&amp;TEXT((Conv("T",1,$D$31,$D$115)-Conv("T",0,$D$31,$D$115))/1,"General")&amp;"*Tc("&amp;$D$31&amp;") + "&amp;TEXT(Conv("T",0,$D$31,$D$115),"General"),"")))</f>
        <v/>
      </c>
    </row>
    <row r="116" spans="1:15" s="191" customFormat="1" ht="12.75" hidden="1" customHeight="1" outlineLevel="1" x14ac:dyDescent="0.3">
      <c r="A116" s="252" t="s">
        <v>304</v>
      </c>
      <c r="B116" s="189"/>
      <c r="C116" s="189" t="s">
        <v>249</v>
      </c>
      <c r="D116" s="258" t="s">
        <v>218</v>
      </c>
      <c r="E116" s="245">
        <f>IF(liqgas_GasFlowRateType="Mass Flow Rate",Conv("m",E43,$D$43,$D$116),"")</f>
        <v>0</v>
      </c>
      <c r="F116" s="245">
        <f>IF(liqgas_GasFlowRateType="Mass Flow Rate",Conv("m",F43,$D$43,$D$116),"")</f>
        <v>0</v>
      </c>
      <c r="G116" s="245">
        <f>IF(liqgas_GasFlowRateType="Mass Flow Rate",Conv("m",G43,$D$43,$D$116),"")</f>
        <v>0</v>
      </c>
      <c r="H116" s="245">
        <f>IF(liqgas_GasFlowRateType="Mass Flow Rate",Conv("m",H43,$D$43,$D$116),"")</f>
        <v>0</v>
      </c>
      <c r="I116" s="245">
        <f>IF(liqgas_GasFlowRateType="Mass Flow Rate",Conv("m",I43,$D$43,$D$116),"")</f>
        <v>0</v>
      </c>
      <c r="J116" s="189"/>
      <c r="K116" s="249"/>
      <c r="L116" s="89"/>
      <c r="M116" s="89"/>
      <c r="N116" s="91" t="str">
        <f>IF(liqgas_GasFlowRateType="Mass Flow Rate","Unit Conv","")</f>
        <v>Unit Conv</v>
      </c>
      <c r="O116" s="91" t="str">
        <f>IF(liqgas_GasFlowRateType="Mass Flow Rate","W(kg/h) = "&amp;TEXT(Conv("m",1,$D$43,$D$116),"General")&amp;"*W("&amp;$D$43&amp;")","")</f>
        <v>W(kg/h) = 1*W(kg/h)</v>
      </c>
    </row>
    <row r="117" spans="1:15" s="191" customFormat="1" ht="12.75" hidden="1" customHeight="1" outlineLevel="1" x14ac:dyDescent="0.25">
      <c r="A117" s="196" t="s">
        <v>305</v>
      </c>
      <c r="B117" s="197"/>
      <c r="C117" s="197" t="s">
        <v>331</v>
      </c>
      <c r="D117" s="278" t="s">
        <v>332</v>
      </c>
      <c r="E117" s="241" t="str">
        <f>IF(liqgas_GasFlowRateType="Volume Flow Rate",Conv("Qg",E44,$D$44,$D$117),"")</f>
        <v/>
      </c>
      <c r="F117" s="241" t="str">
        <f>IF(liqgas_GasFlowRateType="Volume Flow Rate",Conv("Qg",F44,$D$44,$D$117),"")</f>
        <v/>
      </c>
      <c r="G117" s="241" t="str">
        <f>IF(liqgas_GasFlowRateType="Volume Flow Rate",Conv("Qg",G44,$D$44,$D$117),"")</f>
        <v/>
      </c>
      <c r="H117" s="241" t="str">
        <f>IF(liqgas_GasFlowRateType="Volume Flow Rate",Conv("Qg",H44,$D$44,$D$117),"")</f>
        <v/>
      </c>
      <c r="I117" s="241" t="str">
        <f>IF(liqgas_GasFlowRateType="Volume Flow Rate",Conv("Qg",I44,$D$44,$D$117),"")</f>
        <v/>
      </c>
      <c r="J117" s="189"/>
      <c r="K117" s="189"/>
      <c r="L117" s="89"/>
      <c r="M117" s="89"/>
      <c r="N117" s="91" t="str">
        <f>IF(liqgas_GasFlowRateType="Mass Flow Rate","","Unit Conv")</f>
        <v/>
      </c>
      <c r="O117" s="91" t="str">
        <f>IF(liqgas_GasFlowRateType="Mass Flow Rate","","Qg(Nm3/h) = "&amp;TEXT(Conv("Qg",1,$D$44,$D$117),"General")&amp;"*Qg("&amp;$D$44&amp;")")</f>
        <v/>
      </c>
    </row>
    <row r="118" spans="1:15" s="191" customFormat="1" ht="12.75" hidden="1" customHeight="1" outlineLevel="1" x14ac:dyDescent="0.3">
      <c r="A118" s="189" t="s">
        <v>308</v>
      </c>
      <c r="B118" s="189"/>
      <c r="C118" s="189" t="s">
        <v>333</v>
      </c>
      <c r="D118" s="280"/>
      <c r="E118" s="245">
        <f>IF(FluidNameSN(liqgas_TypeOfGas)="Water",18,
    IF(liqgas_TypeOfGas&lt;&gt;"Custom",FluidNameMw(liqgas_TypeOfGas),
      IF(liqgas_MethodOfSpecifyingGasDensity="Calculate from Spec Grav",28.97*E45,
        IF(OR(liqgas_MethodOfSpecifyingGasDensity="Calculate from MW",liqgas_GasFlowRateType="Volume Flow Rate"),E46,""))))</f>
        <v>0</v>
      </c>
      <c r="F118" s="245">
        <f>IF(FluidNameSN(liqgas_TypeOfGas)="Water",18,
    IF(liqgas_TypeOfGas&lt;&gt;"Custom",FluidNameMw(liqgas_TypeOfGas),
      IF(liqgas_MethodOfSpecifyingGasDensity="Calculate from Spec Grav",28.97*F45,
        IF(OR(liqgas_MethodOfSpecifyingGasDensity="Calculate from MW",liqgas_GasFlowRateType="Volume Flow Rate"),F46,""))))</f>
        <v>0</v>
      </c>
      <c r="G118" s="245">
        <f>IF(FluidNameSN(liqgas_TypeOfGas)="Water",18,
    IF(liqgas_TypeOfGas&lt;&gt;"Custom",FluidNameMw(liqgas_TypeOfGas),
      IF(liqgas_MethodOfSpecifyingGasDensity="Calculate from Spec Grav",28.97*G45,
        IF(OR(liqgas_MethodOfSpecifyingGasDensity="Calculate from MW",liqgas_GasFlowRateType="Volume Flow Rate"),G46,""))))</f>
        <v>0</v>
      </c>
      <c r="H118" s="245">
        <f>IF(FluidNameSN(liqgas_TypeOfGas)="Water",18,
    IF(liqgas_TypeOfGas&lt;&gt;"Custom",FluidNameMw(liqgas_TypeOfGas),
      IF(liqgas_MethodOfSpecifyingGasDensity="Calculate from Spec Grav",28.97*H45,
        IF(OR(liqgas_MethodOfSpecifyingGasDensity="Calculate from MW",liqgas_GasFlowRateType="Volume Flow Rate"),H46,""))))</f>
        <v>0</v>
      </c>
      <c r="I118" s="245">
        <f>IF(FluidNameSN(liqgas_TypeOfGas)="Water",18,
    IF(liqgas_TypeOfGas&lt;&gt;"Custom",FluidNameMw(liqgas_TypeOfGas),
      IF(liqgas_MethodOfSpecifyingGasDensity="Calculate from Spec Grav",28.97*I45,
        IF(OR(liqgas_MethodOfSpecifyingGasDensity="Calculate from MW",liqgas_GasFlowRateType="Volume Flow Rate"),I46,""))))</f>
        <v>0</v>
      </c>
      <c r="J118" s="189"/>
      <c r="K118" s="249"/>
      <c r="L118" s="89"/>
      <c r="M118" s="89"/>
      <c r="N118" s="91" t="str">
        <f>IF(liqgas_TypeOfGas&lt;&gt;"Custom","Lookup",
    IF(OR(liqgas_MethodOfSpecifyingGasDensity="Calculate from MW",AND(liqgas_GasFlowRateType="Volume Flow Rate",liqgas_MethodOfSpecifyingGasDensity="Direct Input")),"Given",
      IF(liqgas_MethodOfSpecifyingGasDensity="Calculate from Spec Grav","Def of Gg","")))</f>
        <v>Given</v>
      </c>
      <c r="O118" s="91" t="str">
        <f>IF(FluidNameSN(liqgas_TypeOfGas)="Water","Mw = 18",
    IF(liqgas_TypeOfGas&lt;&gt;"Custom","From Gas Table",
      IF(liqgas_MethodOfSpecifyingGasDensity="Calculate from Spec Grav","Mw = 29*Gg","")))</f>
        <v/>
      </c>
    </row>
    <row r="119" spans="1:15" s="191" customFormat="1" ht="12.75" hidden="1" customHeight="1" outlineLevel="1" x14ac:dyDescent="0.3">
      <c r="A119" s="189" t="s">
        <v>334</v>
      </c>
      <c r="B119" s="189"/>
      <c r="C119" s="189" t="s">
        <v>335</v>
      </c>
      <c r="D119" s="281"/>
      <c r="E119" s="245">
        <f>IF(OR(FluidNameSN(liqgas_TypeOfGas)="Water",AND(liqgas_TypeOfGas="Custom",liqgas_MethodOfSpecifyingGasDensity="Direct Input")),"",
    IF(AND(liqgas_TypeOfGas="Custom",liqgas_CompressibilityOption="Assume 1"),1,
      IF(AND(liqgas_TypeOfGas="Custom",liqgas_CompressibilityOption="Direct Input"),E47,
        GasPTPcTcZ(E109,E111,$E$114,$E$115,1))))</f>
        <v>1</v>
      </c>
      <c r="F119" s="245">
        <f>IF(OR(FluidNameSN(liqgas_TypeOfGas)="Water",AND(liqgas_TypeOfGas="Custom",liqgas_MethodOfSpecifyingGasDensity="Direct Input")),"",
    IF(AND(liqgas_TypeOfGas="Custom",liqgas_CompressibilityOption="Assume 1"),1,
      IF(AND(liqgas_TypeOfGas="Custom",liqgas_CompressibilityOption="Direct Input"),F47,
        GasPTPcTcZ(F109,F111,$E$114,$E$115,1))))</f>
        <v>1</v>
      </c>
      <c r="G119" s="245">
        <f>IF(OR(FluidNameSN(liqgas_TypeOfGas)="Water",AND(liqgas_TypeOfGas="Custom",liqgas_MethodOfSpecifyingGasDensity="Direct Input")),"",
    IF(AND(liqgas_TypeOfGas="Custom",liqgas_CompressibilityOption="Assume 1"),1,
      IF(AND(liqgas_TypeOfGas="Custom",liqgas_CompressibilityOption="Direct Input"),G47,
        GasPTPcTcZ(G109,G111,$E$114,$E$115,1))))</f>
        <v>1</v>
      </c>
      <c r="H119" s="245">
        <f>IF(OR(FluidNameSN(liqgas_TypeOfGas)="Water",AND(liqgas_TypeOfGas="Custom",liqgas_MethodOfSpecifyingGasDensity="Direct Input")),"",
    IF(AND(liqgas_TypeOfGas="Custom",liqgas_CompressibilityOption="Assume 1"),1,
      IF(AND(liqgas_TypeOfGas="Custom",liqgas_CompressibilityOption="Direct Input"),H47,
        GasPTPcTcZ(H109,H111,$E$114,$E$115,1))))</f>
        <v>1</v>
      </c>
      <c r="I119" s="245">
        <f>IF(OR(FluidNameSN(liqgas_TypeOfGas)="Water",AND(liqgas_TypeOfGas="Custom",liqgas_MethodOfSpecifyingGasDensity="Direct Input")),"",
    IF(AND(liqgas_TypeOfGas="Custom",liqgas_CompressibilityOption="Assume 1"),1,
      IF(AND(liqgas_TypeOfGas="Custom",liqgas_CompressibilityOption="Direct Input"),I47,
        GasPTPcTcZ(I109,I111,$E$114,$E$115,1))))</f>
        <v>1</v>
      </c>
      <c r="J119" s="189"/>
      <c r="K119" s="249"/>
      <c r="L119" s="89"/>
      <c r="M119" s="89"/>
      <c r="N119" s="147" t="str">
        <f>IF(OR(FluidNameSN(liqgas_TypeOfGas)="Water",liqgas_MethodOfSpecifyingGasDensity="Direct Input",liqgas_CompressibilityOption="Direct Input"),"",
    IF(OR(liqgas_TypeOfGas&lt;&gt;"Custom",liqgas_CompressibilityOption="Calculate from Pc &amp; Tc"),"Relich-Kwon","Assumed"))</f>
        <v>Assumed</v>
      </c>
      <c r="O119" s="147" t="str">
        <f>IF(OR(FluidNameSN(liqgas_TypeOfGas)="Water",liqgas_MethodOfSpecifyingGasDensity="Direct Input",liqgas_CompressibilityOption="Direct Input"),"",
    IF(OR(liqgas_TypeOfGas&lt;&gt;"Custom",liqgas_CompressibilityOption="Calculate from Pc &amp; Tc"),"Z = GasPTPcTcZ(P1, T1, Pc, Tc)","Z = 1"))</f>
        <v>Z = 1</v>
      </c>
    </row>
    <row r="120" spans="1:15" s="191" customFormat="1" ht="12.75" hidden="1" customHeight="1" outlineLevel="1" x14ac:dyDescent="0.25">
      <c r="A120" s="196" t="s">
        <v>310</v>
      </c>
      <c r="B120" s="197"/>
      <c r="C120" s="197" t="s">
        <v>252</v>
      </c>
      <c r="D120" s="278" t="s">
        <v>230</v>
      </c>
      <c r="E120" s="241">
        <f>IF(FluidNameSN(liqgas_TypeOfGas)="Water",wtrPTD(E109,E111,1),
    IF(liqgas_TypeOfGas&lt;&gt;"Custom",FluidNamePTRho(liqgas_TypeOfGas,E109,E111,1),
      IF(liqgas_MethodOfSpecifyingGasDensity="Direct Input",Conv("rho",E48,$D$48,$D$120),
        E118*E109/(0.083143*E119*(E111+273.15)))))</f>
        <v>0</v>
      </c>
      <c r="F120" s="241">
        <f>IF(FluidNameSN(liqgas_TypeOfGas)="Water",wtrPTD(F109,F111,1),
    IF(liqgas_TypeOfGas&lt;&gt;"Custom",FluidNamePTRho(liqgas_TypeOfGas,F109,F111,1),
      IF(liqgas_MethodOfSpecifyingGasDensity="Direct Input",Conv("rho",F48,$D$48,$D$120),
        F118*F109/(0.083143*F119*(F111+273.15)))))</f>
        <v>0</v>
      </c>
      <c r="G120" s="241">
        <f>IF(FluidNameSN(liqgas_TypeOfGas)="Water",wtrPTD(G109,G111,1),
    IF(liqgas_TypeOfGas&lt;&gt;"Custom",FluidNamePTRho(liqgas_TypeOfGas,G109,G111,1),
      IF(liqgas_MethodOfSpecifyingGasDensity="Direct Input",Conv("rho",G48,$D$48,$D$120),
        G118*G109/(0.083143*G119*(G111+273.15)))))</f>
        <v>0</v>
      </c>
      <c r="H120" s="241">
        <f>IF(FluidNameSN(liqgas_TypeOfGas)="Water",wtrPTD(H109,H111,1),
    IF(liqgas_TypeOfGas&lt;&gt;"Custom",FluidNamePTRho(liqgas_TypeOfGas,H109,H111,1),
      IF(liqgas_MethodOfSpecifyingGasDensity="Direct Input",Conv("rho",H48,$D$48,$D$120),
        H118*H109/(0.083143*H119*(H111+273.15)))))</f>
        <v>0</v>
      </c>
      <c r="I120" s="241">
        <f>IF(FluidNameSN(liqgas_TypeOfGas)="Water",wtrPTD(I109,I111,1),
    IF(liqgas_TypeOfGas&lt;&gt;"Custom",FluidNamePTRho(liqgas_TypeOfGas,I109,I111,1),
      IF(liqgas_MethodOfSpecifyingGasDensity="Direct Input",Conv("rho",I48,$D$48,$D$120),
        I118*I109/(0.083143*I119*(I111+273.15)))))</f>
        <v>0</v>
      </c>
      <c r="J120" s="189"/>
      <c r="K120" s="251"/>
      <c r="L120" s="89"/>
      <c r="M120" s="89"/>
      <c r="N120" s="91" t="str">
        <f>IF(FluidNameSN(liqgas_TypeOfGas)="Water","Wtr Function",
    IF(liqgas_MethodOfSpecifyingGasDensity="Direct Input","Unit Conv",
      "Ideal Gas"))</f>
        <v>Ideal Gas</v>
      </c>
      <c r="O120" s="147" t="str">
        <f>IF(FluidNameSN(liqgas_TypeOfGas)="Water","rho1 = wtrPQD(P1, 1)",
    IF(liqgas_MethodOfSpecifyingGasDensity="Direct Input","rho1(kg/m3) = "&amp;TEXT(Conv("rho",1,$D$48,$D$120),"General")&amp;"*rho1("&amp;$D$48&amp;")",
      "rho1 = Mw*P1/(0.083143*Z*(T1 + 273.15))"))</f>
        <v>rho1 = Mw*P1/(0.083143*Z*(T1 + 273.15))</v>
      </c>
    </row>
    <row r="121" spans="1:15" s="191" customFormat="1" ht="12.75" hidden="1" customHeight="1" outlineLevel="1" x14ac:dyDescent="0.25">
      <c r="A121" s="189" t="s">
        <v>276</v>
      </c>
      <c r="B121" s="189"/>
      <c r="C121" s="189" t="s">
        <v>118</v>
      </c>
      <c r="D121" s="195"/>
      <c r="E121" s="245">
        <f>IF(FluidNameSN(liqgas_TypeOfGas)="Water",wtrPTG(E109,E111,1),
    IF(liqgas_TypeOfGas&lt;&gt;"Custom",FluidNamek(liqgas_TypeOfGas),
      E49))</f>
        <v>0</v>
      </c>
      <c r="F121" s="245">
        <f>IF(FluidNameSN(liqgas_TypeOfGas)="Water",wtrPTG(F109,F111,1),
    IF(liqgas_TypeOfGas&lt;&gt;"Custom",FluidNamek(liqgas_TypeOfGas),
      F49))</f>
        <v>0</v>
      </c>
      <c r="G121" s="245">
        <f>IF(FluidNameSN(liqgas_TypeOfGas)="Water",wtrPTG(G109,G111,1),
    IF(liqgas_TypeOfGas&lt;&gt;"Custom",FluidNamek(liqgas_TypeOfGas),
      G49))</f>
        <v>0</v>
      </c>
      <c r="H121" s="245">
        <f>IF(FluidNameSN(liqgas_TypeOfGas)="Water",wtrPTG(H109,H111,1),
    IF(liqgas_TypeOfGas&lt;&gt;"Custom",FluidNamek(liqgas_TypeOfGas),
      H49))</f>
        <v>0</v>
      </c>
      <c r="I121" s="245">
        <f>IF(FluidNameSN(liqgas_TypeOfGas)="Water",wtrPTG(I109,I111,1),
    IF(liqgas_TypeOfGas&lt;&gt;"Custom",FluidNamek(liqgas_TypeOfGas),
      I49))</f>
        <v>0</v>
      </c>
      <c r="J121" s="189"/>
      <c r="K121" s="189"/>
      <c r="L121" s="89"/>
      <c r="M121" s="89"/>
      <c r="N121" s="147" t="str">
        <f>IF(FluidNameSN(liqgas_TypeOfGas)="Water","Wtr Function",
    IF(liqgas_TypeOfGas&lt;&gt;"Custom","Lookup","Given"))</f>
        <v>Given</v>
      </c>
      <c r="O121" s="147" t="str">
        <f>IF(FluidNameSN(liqgas_TypeOfGas)="Water","k = wtrPTG(P1, T1)",
    IF(liqgas_TypeOfGas&lt;&gt;"Custom","From Gas Table",""))</f>
        <v/>
      </c>
    </row>
    <row r="122" spans="1:15" s="191" customFormat="1" ht="12.75" hidden="1" customHeight="1" outlineLevel="1" x14ac:dyDescent="0.25">
      <c r="A122" s="189" t="s">
        <v>242</v>
      </c>
      <c r="B122" s="189"/>
      <c r="C122" s="189" t="s">
        <v>243</v>
      </c>
      <c r="D122" s="195"/>
      <c r="E122" s="241">
        <f>IF($E$105&lt;=E112,0.68,0.96-0.28*(E112/$E$105)^0.5)</f>
        <v>0.68</v>
      </c>
      <c r="F122" s="241">
        <f>IF($E$105&lt;=F112,0.68,0.96-0.28*(F112/$E$105)^0.5)</f>
        <v>0.68</v>
      </c>
      <c r="G122" s="241">
        <f>IF($E$105&lt;=G112,0.68,0.96-0.28*(G112/$E$105)^0.5)</f>
        <v>0.68</v>
      </c>
      <c r="H122" s="241">
        <f>IF($E$105&lt;=H112,0.68,0.96-0.28*(H112/$E$105)^0.5)</f>
        <v>0.68</v>
      </c>
      <c r="I122" s="241">
        <f>IF($E$105&lt;=I112,0.68,0.96-0.28*(I112/$E$105)^0.5)</f>
        <v>0.68</v>
      </c>
      <c r="J122" s="189"/>
      <c r="K122" s="189"/>
      <c r="L122" s="89"/>
      <c r="M122" s="89"/>
      <c r="N122" s="91"/>
      <c r="O122" s="91" t="s">
        <v>336</v>
      </c>
    </row>
    <row r="123" spans="1:15" s="191" customFormat="1" ht="12.75" hidden="1" customHeight="1" outlineLevel="1" x14ac:dyDescent="0.25">
      <c r="A123" s="189" t="s">
        <v>256</v>
      </c>
      <c r="B123" s="189"/>
      <c r="C123" s="189" t="s">
        <v>257</v>
      </c>
      <c r="D123" s="195"/>
      <c r="E123" s="241">
        <f>E121/1.4</f>
        <v>0</v>
      </c>
      <c r="F123" s="241">
        <f>F121/1.4</f>
        <v>0</v>
      </c>
      <c r="G123" s="241">
        <f>G121/1.4</f>
        <v>0</v>
      </c>
      <c r="H123" s="241">
        <f>H121/1.4</f>
        <v>0</v>
      </c>
      <c r="I123" s="241">
        <f>I121/1.4</f>
        <v>0</v>
      </c>
      <c r="J123" s="189"/>
      <c r="K123" s="189"/>
      <c r="L123" s="89"/>
      <c r="M123" s="89"/>
      <c r="N123" s="91"/>
      <c r="O123" s="91" t="s">
        <v>258</v>
      </c>
    </row>
    <row r="124" spans="1:15" s="191" customFormat="1" ht="12.75" hidden="1" customHeight="1" outlineLevel="1" x14ac:dyDescent="0.25">
      <c r="A124" s="189" t="s">
        <v>259</v>
      </c>
      <c r="B124" s="189"/>
      <c r="C124" s="189" t="s">
        <v>260</v>
      </c>
      <c r="D124" s="195"/>
      <c r="E124" s="241" t="e">
        <f>MINA(E123*$E104,(E109-E110)/E109)</f>
        <v>#DIV/0!</v>
      </c>
      <c r="F124" s="241" t="e">
        <f>MINA(F123*$E104,(F109-F110)/F109)</f>
        <v>#DIV/0!</v>
      </c>
      <c r="G124" s="241" t="e">
        <f>MINA(G123*$E104,(G109-G110)/G109)</f>
        <v>#DIV/0!</v>
      </c>
      <c r="H124" s="241" t="e">
        <f>MINA(H123*$E104,(H109-H110)/H109)</f>
        <v>#DIV/0!</v>
      </c>
      <c r="I124" s="241" t="e">
        <f>MINA(I123*$E104,(I109-I110)/I109)</f>
        <v>#DIV/0!</v>
      </c>
      <c r="J124" s="189"/>
      <c r="K124" s="189"/>
      <c r="L124" s="89"/>
      <c r="M124" s="89"/>
      <c r="N124" s="91"/>
      <c r="O124" s="91" t="s">
        <v>261</v>
      </c>
    </row>
    <row r="125" spans="1:15" s="191" customFormat="1" ht="12.75" hidden="1" customHeight="1" outlineLevel="1" x14ac:dyDescent="0.25">
      <c r="A125" s="189" t="s">
        <v>262</v>
      </c>
      <c r="B125" s="189"/>
      <c r="C125" s="189" t="s">
        <v>263</v>
      </c>
      <c r="D125" s="195"/>
      <c r="E125" s="241" t="e">
        <f>1-E124/(3*E123*$E104)</f>
        <v>#DIV/0!</v>
      </c>
      <c r="F125" s="241" t="e">
        <f>1-F124/(3*F123*$E104)</f>
        <v>#DIV/0!</v>
      </c>
      <c r="G125" s="241" t="e">
        <f>1-G124/(3*G123*$E104)</f>
        <v>#DIV/0!</v>
      </c>
      <c r="H125" s="241" t="e">
        <f>1-H124/(3*H123*$E104)</f>
        <v>#DIV/0!</v>
      </c>
      <c r="I125" s="241" t="e">
        <f>1-I124/(3*I123*$E104)</f>
        <v>#DIV/0!</v>
      </c>
      <c r="J125" s="189"/>
      <c r="K125" s="189"/>
      <c r="L125" s="89"/>
      <c r="M125" s="89"/>
      <c r="N125" s="91"/>
      <c r="O125" s="91" t="s">
        <v>264</v>
      </c>
    </row>
    <row r="126" spans="1:15" s="191" customFormat="1" ht="12.75" hidden="1" customHeight="1" outlineLevel="1" x14ac:dyDescent="0.25">
      <c r="A126" s="189" t="s">
        <v>298</v>
      </c>
      <c r="B126" s="189"/>
      <c r="C126" s="189" t="s">
        <v>226</v>
      </c>
      <c r="D126" s="195" t="s">
        <v>218</v>
      </c>
      <c r="E126" s="241">
        <f>IF(liqgas_LiquidFlowRateType="Volume Flow Rate",E107*E113,E108)</f>
        <v>0</v>
      </c>
      <c r="F126" s="241">
        <f>IF(liqgas_LiquidFlowRateType="Volume Flow Rate",F107*F113,F108)</f>
        <v>0</v>
      </c>
      <c r="G126" s="241">
        <f>IF(liqgas_LiquidFlowRateType="Volume Flow Rate",G107*G113,G108)</f>
        <v>0</v>
      </c>
      <c r="H126" s="241">
        <f>IF(liqgas_LiquidFlowRateType="Volume Flow Rate",H107*H113,H108)</f>
        <v>0</v>
      </c>
      <c r="I126" s="241">
        <f>IF(liqgas_LiquidFlowRateType="Volume Flow Rate",I107*I113,I108)</f>
        <v>0</v>
      </c>
      <c r="J126" s="189"/>
      <c r="K126" s="189"/>
      <c r="L126" s="89"/>
      <c r="M126" s="89"/>
      <c r="N126" s="91" t="str">
        <f>IF(liqgas_LiquidFlowRateType="Volume Flow Rate","Conversion","Given")</f>
        <v>Given</v>
      </c>
      <c r="O126" s="91" t="str">
        <f>IF(liqgas_LiquidFlowRateType="Volume Flow Rate","Wf = Qf*rho1f","")</f>
        <v/>
      </c>
    </row>
    <row r="127" spans="1:15" s="191" customFormat="1" ht="12.75" hidden="1" customHeight="1" outlineLevel="1" x14ac:dyDescent="0.25">
      <c r="A127" s="189" t="s">
        <v>304</v>
      </c>
      <c r="B127" s="189"/>
      <c r="C127" s="189" t="s">
        <v>249</v>
      </c>
      <c r="D127" s="195" t="s">
        <v>218</v>
      </c>
      <c r="E127" s="241">
        <f>IF(liqgas_GasFlowRateType="Mass Flow Rate",E116,E117*1.01325*E118/(0.083143*273.15))</f>
        <v>0</v>
      </c>
      <c r="F127" s="241">
        <f>IF(liqgas_GasFlowRateType="Mass Flow Rate",F116,F117*1.01325*F118/(0.083143*273.15))</f>
        <v>0</v>
      </c>
      <c r="G127" s="241">
        <f>IF(liqgas_GasFlowRateType="Mass Flow Rate",G116,G117*1.01325*G118/(0.083143*273.15))</f>
        <v>0</v>
      </c>
      <c r="H127" s="241">
        <f>IF(liqgas_GasFlowRateType="Mass Flow Rate",H116,H117*1.01325*H118/(0.083143*273.15))</f>
        <v>0</v>
      </c>
      <c r="I127" s="241">
        <f>IF(liqgas_GasFlowRateType="Mass Flow Rate",I116,I117*1.01325*I118/(0.083143*273.15))</f>
        <v>0</v>
      </c>
      <c r="J127" s="189"/>
      <c r="K127" s="189"/>
      <c r="L127" s="89"/>
      <c r="M127" s="89"/>
      <c r="N127" s="91" t="str">
        <f>IF(liqgas_GasFlowRateType="Mass Flow Rate","Given","Conversion")</f>
        <v>Given</v>
      </c>
      <c r="O127" s="91" t="str">
        <f>IF(liqgas_GasFlowRateType="Mass Flow Rate","","Wg = Qg*1.01325*Mw/(0.083143*273.15)")</f>
        <v/>
      </c>
    </row>
    <row r="128" spans="1:15" s="191" customFormat="1" ht="12.75" hidden="1" customHeight="1" outlineLevel="1" x14ac:dyDescent="0.25">
      <c r="A128" s="189" t="s">
        <v>337</v>
      </c>
      <c r="B128" s="189"/>
      <c r="C128" s="189" t="s">
        <v>245</v>
      </c>
      <c r="D128" s="195" t="s">
        <v>246</v>
      </c>
      <c r="E128" s="241" t="e">
        <f>MINA(E109-E110,($E$103/$E$102)^2*(E109-E122*E112))</f>
        <v>#DIV/0!</v>
      </c>
      <c r="F128" s="241" t="e">
        <f>MINA(F109-F110,($E$103/$E$102)^2*(F109-F122*F112))</f>
        <v>#DIV/0!</v>
      </c>
      <c r="G128" s="241" t="e">
        <f>MINA(G109-G110,($E$103/$E$102)^2*(G109-G122*G112))</f>
        <v>#DIV/0!</v>
      </c>
      <c r="H128" s="241" t="e">
        <f>MINA(H109-H110,($E$103/$E$102)^2*(H109-H122*H112))</f>
        <v>#DIV/0!</v>
      </c>
      <c r="I128" s="241" t="e">
        <f>MINA(I109-I110,($E$103/$E$102)^2*(I109-I122*I112))</f>
        <v>#DIV/0!</v>
      </c>
      <c r="J128" s="189"/>
      <c r="K128" s="189"/>
      <c r="L128" s="89"/>
      <c r="M128" s="89"/>
      <c r="N128" s="91"/>
      <c r="O128" s="253" t="s">
        <v>338</v>
      </c>
    </row>
    <row r="129" spans="1:15" s="191" customFormat="1" ht="12.75" hidden="1" customHeight="1" outlineLevel="1" x14ac:dyDescent="0.25">
      <c r="A129" s="189" t="s">
        <v>339</v>
      </c>
      <c r="B129" s="189"/>
      <c r="C129" s="189" t="s">
        <v>267</v>
      </c>
      <c r="D129" s="195" t="s">
        <v>246</v>
      </c>
      <c r="E129" s="241" t="e">
        <f>MINA(E109-E110,E109*E123*$E$104)</f>
        <v>#DIV/0!</v>
      </c>
      <c r="F129" s="241" t="e">
        <f>MINA(F109-F110,F109*F123*$E$104)</f>
        <v>#DIV/0!</v>
      </c>
      <c r="G129" s="241" t="e">
        <f>MINA(G109-G110,G109*G123*$E$104)</f>
        <v>#DIV/0!</v>
      </c>
      <c r="H129" s="241" t="e">
        <f>MINA(H109-H110,H109*H123*$E$104)</f>
        <v>#DIV/0!</v>
      </c>
      <c r="I129" s="241" t="e">
        <f>MINA(I109-I110,I109*I123*$E$104)</f>
        <v>#DIV/0!</v>
      </c>
      <c r="J129" s="189"/>
      <c r="K129" s="189"/>
      <c r="L129" s="89"/>
      <c r="M129" s="89"/>
      <c r="N129" s="91"/>
      <c r="O129" s="253" t="s">
        <v>268</v>
      </c>
    </row>
    <row r="130" spans="1:15" s="191" customFormat="1" ht="12.75" hidden="1" customHeight="1" outlineLevel="1" x14ac:dyDescent="0.25">
      <c r="A130" s="189" t="s">
        <v>269</v>
      </c>
      <c r="B130" s="189"/>
      <c r="C130" s="189" t="s">
        <v>115</v>
      </c>
      <c r="D130" s="195" t="s">
        <v>270</v>
      </c>
      <c r="E130" s="241" t="e">
        <f>1/(31.6*$E102)*((E126+E127)*(E126/(E113*E128)+E127/(E120*E125^2*E129)))^0.5</f>
        <v>#DIV/0!</v>
      </c>
      <c r="F130" s="241" t="e">
        <f>1/(31.6*$E102)*((F126+F127)*(F126/(F113*F128)+F127/(F120*F125^2*F129)))^0.5</f>
        <v>#DIV/0!</v>
      </c>
      <c r="G130" s="241" t="e">
        <f>1/(31.6*$E102)*((G126+G127)*(G126/(G113*G128)+G127/(G120*G125^2*G129)))^0.5</f>
        <v>#DIV/0!</v>
      </c>
      <c r="H130" s="241" t="e">
        <f>1/(31.6*$E102)*((H126+H127)*(H126/(H113*H128)+H127/(H120*H125^2*H129)))^0.5</f>
        <v>#DIV/0!</v>
      </c>
      <c r="I130" s="241" t="e">
        <f>1/(31.6*$E102)*((I126+I127)*(I126/(I113*I128)+I127/(I120*I125^2*I129)))^0.5</f>
        <v>#DIV/0!</v>
      </c>
      <c r="J130" s="189"/>
      <c r="K130" s="189"/>
      <c r="L130" s="89"/>
      <c r="M130" s="89"/>
      <c r="N130" s="91"/>
      <c r="O130" s="253" t="s">
        <v>340</v>
      </c>
    </row>
    <row r="131" spans="1:15" s="191" customFormat="1" ht="12.75" hidden="1" customHeight="1" outlineLevel="1" x14ac:dyDescent="0.25">
      <c r="A131" s="189" t="s">
        <v>297</v>
      </c>
      <c r="B131" s="189"/>
      <c r="C131" s="189" t="s">
        <v>326</v>
      </c>
      <c r="D131" s="195" t="s">
        <v>327</v>
      </c>
      <c r="E131" s="241" t="e">
        <f>E126/E113</f>
        <v>#DIV/0!</v>
      </c>
      <c r="F131" s="241" t="e">
        <f>F126/F113</f>
        <v>#DIV/0!</v>
      </c>
      <c r="G131" s="241" t="e">
        <f>G126/G113</f>
        <v>#DIV/0!</v>
      </c>
      <c r="H131" s="241" t="e">
        <f>H126/H113</f>
        <v>#DIV/0!</v>
      </c>
      <c r="I131" s="241" t="e">
        <f>I126/I113</f>
        <v>#DIV/0!</v>
      </c>
      <c r="J131" s="189"/>
      <c r="K131" s="189"/>
      <c r="L131" s="89"/>
      <c r="M131" s="89"/>
      <c r="N131" s="91"/>
      <c r="O131" s="91"/>
    </row>
    <row r="132" spans="1:15" s="191" customFormat="1" ht="12.75" hidden="1" customHeight="1" outlineLevel="1" x14ac:dyDescent="0.25">
      <c r="A132" s="189" t="s">
        <v>305</v>
      </c>
      <c r="B132" s="189"/>
      <c r="C132" s="189" t="s">
        <v>331</v>
      </c>
      <c r="D132" s="195" t="s">
        <v>327</v>
      </c>
      <c r="E132" s="241" t="e">
        <f>E127/E120</f>
        <v>#DIV/0!</v>
      </c>
      <c r="F132" s="241" t="e">
        <f>F127/F120</f>
        <v>#DIV/0!</v>
      </c>
      <c r="G132" s="241" t="e">
        <f>G127/G120</f>
        <v>#DIV/0!</v>
      </c>
      <c r="H132" s="241" t="e">
        <f>H127/H120</f>
        <v>#DIV/0!</v>
      </c>
      <c r="I132" s="241" t="e">
        <f>I127/I120</f>
        <v>#DIV/0!</v>
      </c>
      <c r="J132" s="189"/>
      <c r="K132" s="189"/>
      <c r="L132" s="89"/>
      <c r="M132" s="89"/>
      <c r="N132" s="91"/>
      <c r="O132" s="91"/>
    </row>
    <row r="133" spans="1:15" s="191" customFormat="1" ht="12.75" hidden="1" customHeight="1" outlineLevel="1" x14ac:dyDescent="0.25">
      <c r="A133" s="189" t="s">
        <v>506</v>
      </c>
      <c r="B133" s="189"/>
      <c r="C133" s="189" t="s">
        <v>119</v>
      </c>
      <c r="D133" s="195" t="s">
        <v>361</v>
      </c>
      <c r="E133" s="241" t="e">
        <f>GasPRhokc(E109,E120,E121,1)</f>
        <v>#VALUE!</v>
      </c>
      <c r="F133" s="241" t="e">
        <f>GasPRhokc(F109,F120,F121,1)</f>
        <v>#VALUE!</v>
      </c>
      <c r="G133" s="241" t="e">
        <f>GasPRhokc(G109,G120,G121,1)</f>
        <v>#VALUE!</v>
      </c>
      <c r="H133" s="241" t="e">
        <f>GasPRhokc(H109,H120,H121,1)</f>
        <v>#VALUE!</v>
      </c>
      <c r="I133" s="241" t="e">
        <f>GasPRhokc(I109,I120,I121,1)</f>
        <v>#VALUE!</v>
      </c>
      <c r="J133" s="189"/>
      <c r="K133" s="189"/>
      <c r="L133" s="89"/>
      <c r="M133" s="89"/>
      <c r="N133" s="91"/>
      <c r="O133" s="91"/>
    </row>
    <row r="134" spans="1:15" s="191" customFormat="1" ht="12.75" hidden="1" customHeight="1" outlineLevel="1" x14ac:dyDescent="0.25">
      <c r="A134" s="189" t="s">
        <v>502</v>
      </c>
      <c r="B134" s="189"/>
      <c r="C134" s="189" t="s">
        <v>351</v>
      </c>
      <c r="D134" s="278" t="s">
        <v>230</v>
      </c>
      <c r="E134" s="241" t="e">
        <f>(E126+E127)/(E131+E132)</f>
        <v>#DIV/0!</v>
      </c>
      <c r="F134" s="241" t="e">
        <f>(F126+F127)/(F131+F132)</f>
        <v>#DIV/0!</v>
      </c>
      <c r="G134" s="241" t="e">
        <f>(G126+G127)/(G131+G132)</f>
        <v>#DIV/0!</v>
      </c>
      <c r="H134" s="241" t="e">
        <f>(H126+H127)/(H131+H132)</f>
        <v>#DIV/0!</v>
      </c>
      <c r="I134" s="241" t="e">
        <f>(I126+I127)/(I131+I132)</f>
        <v>#DIV/0!</v>
      </c>
      <c r="J134" s="189"/>
      <c r="K134" s="189"/>
      <c r="L134" s="89"/>
      <c r="M134" s="89"/>
      <c r="N134" s="91"/>
      <c r="O134" s="91"/>
    </row>
    <row r="135" spans="1:15" s="191" customFormat="1" ht="12.75" hidden="1" customHeight="1" outlineLevel="1" x14ac:dyDescent="0.25">
      <c r="A135" s="189" t="s">
        <v>503</v>
      </c>
      <c r="B135" s="189"/>
      <c r="C135" s="189" t="s">
        <v>504</v>
      </c>
      <c r="D135" s="278" t="s">
        <v>230</v>
      </c>
      <c r="E135" s="241" t="e">
        <f>E120*E110/E109</f>
        <v>#DIV/0!</v>
      </c>
      <c r="F135" s="241" t="e">
        <f>F120*F110/F109</f>
        <v>#DIV/0!</v>
      </c>
      <c r="G135" s="241" t="e">
        <f>G120*G110/G109</f>
        <v>#DIV/0!</v>
      </c>
      <c r="H135" s="241" t="e">
        <f>H120*H110/H109</f>
        <v>#DIV/0!</v>
      </c>
      <c r="I135" s="241" t="e">
        <f>I120*I110/I109</f>
        <v>#DIV/0!</v>
      </c>
      <c r="J135" s="189"/>
      <c r="K135" s="189"/>
      <c r="L135" s="89"/>
      <c r="M135" s="89"/>
      <c r="N135" s="91"/>
      <c r="O135" s="91"/>
    </row>
    <row r="136" spans="1:15" s="191" customFormat="1" ht="12.75" hidden="1" customHeight="1" outlineLevel="1" x14ac:dyDescent="0.25">
      <c r="A136" s="189" t="s">
        <v>505</v>
      </c>
      <c r="B136" s="189"/>
      <c r="C136" s="189" t="s">
        <v>363</v>
      </c>
      <c r="D136" s="278" t="s">
        <v>230</v>
      </c>
      <c r="E136" s="241" t="e">
        <f>(E126+E127)/(E131+E127/E135)</f>
        <v>#DIV/0!</v>
      </c>
      <c r="F136" s="241" t="e">
        <f>(F126+F127)/(F131+F127/F135)</f>
        <v>#DIV/0!</v>
      </c>
      <c r="G136" s="241" t="e">
        <f>(G126+G127)/(G131+G127/G135)</f>
        <v>#DIV/0!</v>
      </c>
      <c r="H136" s="241" t="e">
        <f>(H126+H127)/(H131+H127/H135)</f>
        <v>#DIV/0!</v>
      </c>
      <c r="I136" s="241" t="e">
        <f>(I126+I127)/(I131+I127/I135)</f>
        <v>#DIV/0!</v>
      </c>
      <c r="J136" s="189"/>
      <c r="K136" s="189"/>
      <c r="L136" s="89"/>
      <c r="M136" s="89"/>
      <c r="N136" s="91"/>
      <c r="O136" s="91"/>
    </row>
    <row r="137" spans="1:15" s="191" customFormat="1" ht="12.75" hidden="1" customHeight="1" outlineLevel="1" x14ac:dyDescent="0.25">
      <c r="A137" s="189" t="s">
        <v>453</v>
      </c>
      <c r="B137" s="189"/>
      <c r="C137" s="210" t="s">
        <v>364</v>
      </c>
      <c r="D137" s="195" t="s">
        <v>246</v>
      </c>
      <c r="E137" s="241">
        <f>Conv("dP",70,"psi","bar")</f>
        <v>4.8263301052178535</v>
      </c>
      <c r="F137" s="241"/>
      <c r="G137" s="241"/>
      <c r="H137" s="241"/>
      <c r="I137" s="241"/>
      <c r="J137" s="189"/>
      <c r="K137" s="189"/>
      <c r="L137" s="89"/>
      <c r="M137" s="89"/>
      <c r="N137" s="91"/>
      <c r="O137" s="91"/>
    </row>
    <row r="138" spans="1:15" s="191" customFormat="1" ht="12.75" hidden="1" customHeight="1" outlineLevel="1" x14ac:dyDescent="0.25">
      <c r="A138" s="189" t="s">
        <v>365</v>
      </c>
      <c r="B138" s="189"/>
      <c r="C138" s="210" t="s">
        <v>366</v>
      </c>
      <c r="D138" s="195" t="s">
        <v>367</v>
      </c>
      <c r="E138" s="241" t="str">
        <f>IF(E36="","",
    IF((200000*$E$137/E134)^0.5&lt;E133,
      (4*((E126+E127)/3600)/(PI()*(200000*$E$137*E134)^0.5))^0.5,
      (4*((E126+E127)/3600)*E133/(PI()*200000*$E$137))^0.5))</f>
        <v/>
      </c>
      <c r="F138" s="241" t="str">
        <f>IF(F36="","",
    IF((200000*$E$137/F134)^0.5&lt;F133,
      (4*((F126+F127)/3600)/(PI()*(200000*$E$137*F134)^0.5))^0.5,
      (4*((F126+F127)/3600)*F133/(PI()*200000*$E$137))^0.5))</f>
        <v/>
      </c>
      <c r="G138" s="241" t="str">
        <f>IF(G36="","",
    IF((200000*$E$137/G134)^0.5&lt;G133,
      (4*((G126+G127)/3600)/(PI()*(200000*$E$137*G134)^0.5))^0.5,
      (4*((G126+G127)/3600)*G133/(PI()*200000*$E$137))^0.5))</f>
        <v/>
      </c>
      <c r="H138" s="241" t="str">
        <f>IF(H36="","",
    IF((200000*$E$137/H134)^0.5&lt;H133,
      (4*((H126+H127)/3600)/(PI()*(200000*$E$137*H134)^0.5))^0.5,
      (4*((H126+H127)/3600)*H133/(PI()*200000*$E$137))^0.5))</f>
        <v/>
      </c>
      <c r="I138" s="241" t="str">
        <f>IF(I36="","",
    IF((200000*$E$137/I134)^0.5&lt;I133,
      (4*((I126+I127)/3600)/(PI()*(200000*$E$137*I134)^0.5))^0.5,
      (4*((I126+I127)/3600)*I133/(PI()*200000*$E$137))^0.5))</f>
        <v/>
      </c>
      <c r="J138" s="189"/>
      <c r="K138" s="189"/>
      <c r="L138" s="89"/>
      <c r="M138" s="89"/>
      <c r="N138" s="91"/>
      <c r="O138" s="91"/>
    </row>
    <row r="139" spans="1:15" s="191" customFormat="1" ht="12.75" hidden="1" customHeight="1" outlineLevel="1" x14ac:dyDescent="0.25">
      <c r="A139" s="189" t="s">
        <v>368</v>
      </c>
      <c r="B139" s="189"/>
      <c r="C139" s="210" t="s">
        <v>369</v>
      </c>
      <c r="D139" s="195" t="s">
        <v>367</v>
      </c>
      <c r="E139" s="241">
        <f>MAX(E138:I138)</f>
        <v>0</v>
      </c>
      <c r="F139" s="241"/>
      <c r="G139" s="241"/>
      <c r="H139" s="241"/>
      <c r="I139" s="241"/>
      <c r="J139" s="189"/>
      <c r="K139" s="189"/>
      <c r="L139" s="89"/>
      <c r="M139" s="89"/>
      <c r="N139" s="91"/>
      <c r="O139" s="91"/>
    </row>
    <row r="140" spans="1:15" s="191" customFormat="1" ht="12.75" hidden="1" customHeight="1" outlineLevel="1" x14ac:dyDescent="0.25">
      <c r="A140" s="189" t="s">
        <v>370</v>
      </c>
      <c r="B140" s="189"/>
      <c r="C140" s="210" t="s">
        <v>366</v>
      </c>
      <c r="D140" s="195" t="s">
        <v>367</v>
      </c>
      <c r="E140" s="241" t="str">
        <f>IF(E36="","",
    IF((200000*$E$137/E136)^0.5&lt;E133,
      (4*((E126+E127)/3600)/(PI()*(200000*$E$137*E136)^0.5))^0.5,
      (4*((E126+E127)/3600)*E133/(PI()*200000*$E$137))^0.5))</f>
        <v/>
      </c>
      <c r="F140" s="241" t="str">
        <f t="shared" ref="F140:I140" si="3">IF(F36="","",
    IF((200000*$E$137/F136)^0.5&lt;F133,
      (4*((F126+F127)/3600)/(PI()*(200000*$E$137*F136)^0.5))^0.5,
      (4*((F126+F127)/3600)*F133/(PI()*200000*$E$137))^0.5))</f>
        <v/>
      </c>
      <c r="G140" s="241" t="str">
        <f t="shared" si="3"/>
        <v/>
      </c>
      <c r="H140" s="241" t="str">
        <f t="shared" si="3"/>
        <v/>
      </c>
      <c r="I140" s="241" t="str">
        <f t="shared" si="3"/>
        <v/>
      </c>
      <c r="J140" s="189"/>
      <c r="K140" s="189"/>
      <c r="L140" s="89"/>
      <c r="M140" s="89"/>
      <c r="N140" s="91"/>
      <c r="O140" s="91"/>
    </row>
    <row r="141" spans="1:15" s="191" customFormat="1" ht="12.75" hidden="1" customHeight="1" outlineLevel="1" x14ac:dyDescent="0.25">
      <c r="A141" s="189" t="s">
        <v>371</v>
      </c>
      <c r="B141" s="189"/>
      <c r="C141" s="210" t="s">
        <v>369</v>
      </c>
      <c r="D141" s="195" t="s">
        <v>367</v>
      </c>
      <c r="E141" s="241">
        <f>MAX(E140:I140)</f>
        <v>0</v>
      </c>
      <c r="F141" s="241"/>
      <c r="G141" s="241"/>
      <c r="H141" s="241"/>
      <c r="I141" s="241"/>
      <c r="J141" s="189"/>
      <c r="K141" s="189"/>
      <c r="L141" s="89"/>
      <c r="M141" s="89"/>
      <c r="N141" s="91"/>
      <c r="O141" s="91"/>
    </row>
    <row r="142" spans="1:15" ht="12.75" customHeight="1" collapsed="1" x14ac:dyDescent="0.25"/>
    <row r="154" spans="2:13" ht="13" x14ac:dyDescent="0.3">
      <c r="L154" s="178"/>
      <c r="M154" s="178"/>
    </row>
    <row r="155" spans="2:13" x14ac:dyDescent="0.25">
      <c r="L155" s="181"/>
      <c r="M155" s="181"/>
    </row>
    <row r="157" spans="2:13" x14ac:dyDescent="0.25">
      <c r="L157" s="182"/>
      <c r="M157" s="182"/>
    </row>
    <row r="158" spans="2:13" x14ac:dyDescent="0.25">
      <c r="L158" s="182"/>
      <c r="M158" s="182"/>
    </row>
    <row r="159" spans="2:13" ht="13" x14ac:dyDescent="0.3">
      <c r="B159" s="96"/>
      <c r="L159" s="182"/>
      <c r="M159" s="182"/>
    </row>
    <row r="160" spans="2:13" x14ac:dyDescent="0.25">
      <c r="L160" s="182"/>
      <c r="M160" s="182"/>
    </row>
    <row r="161" spans="12:13" x14ac:dyDescent="0.25">
      <c r="L161" s="182"/>
      <c r="M161" s="182"/>
    </row>
    <row r="162" spans="12:13" x14ac:dyDescent="0.25">
      <c r="L162" s="182"/>
      <c r="M162" s="182"/>
    </row>
    <row r="163" spans="12:13" x14ac:dyDescent="0.25">
      <c r="L163" s="182"/>
      <c r="M163" s="182"/>
    </row>
    <row r="164" spans="12:13" x14ac:dyDescent="0.25">
      <c r="L164" s="182"/>
      <c r="M164" s="182"/>
    </row>
    <row r="165" spans="12:13" x14ac:dyDescent="0.25">
      <c r="L165" s="182"/>
      <c r="M165" s="182"/>
    </row>
    <row r="166" spans="12:13" x14ac:dyDescent="0.25">
      <c r="L166" s="182"/>
      <c r="M166" s="182"/>
    </row>
    <row r="167" spans="12:13" x14ac:dyDescent="0.25">
      <c r="L167" s="182"/>
      <c r="M167" s="182"/>
    </row>
    <row r="168" spans="12:13" x14ac:dyDescent="0.25">
      <c r="L168" s="182"/>
      <c r="M168" s="182"/>
    </row>
    <row r="169" spans="12:13" x14ac:dyDescent="0.25">
      <c r="L169" s="182"/>
      <c r="M169" s="182"/>
    </row>
    <row r="170" spans="12:13" x14ac:dyDescent="0.25">
      <c r="L170" s="182"/>
      <c r="M170" s="182"/>
    </row>
    <row r="171" spans="12:13" x14ac:dyDescent="0.25">
      <c r="L171" s="182"/>
      <c r="M171" s="182"/>
    </row>
    <row r="172" spans="12:13" x14ac:dyDescent="0.25">
      <c r="L172" s="182"/>
      <c r="M172" s="182"/>
    </row>
    <row r="173" spans="12:13" x14ac:dyDescent="0.25">
      <c r="L173" s="182"/>
      <c r="M173" s="182"/>
    </row>
    <row r="174" spans="12:13" x14ac:dyDescent="0.25">
      <c r="L174" s="182"/>
      <c r="M174" s="182"/>
    </row>
    <row r="175" spans="12:13" x14ac:dyDescent="0.25">
      <c r="L175" s="182"/>
      <c r="M175" s="182"/>
    </row>
    <row r="176" spans="12:13" x14ac:dyDescent="0.25">
      <c r="L176" s="182"/>
      <c r="M176" s="182"/>
    </row>
    <row r="177" spans="12:13" x14ac:dyDescent="0.25">
      <c r="L177" s="182"/>
      <c r="M177" s="182"/>
    </row>
    <row r="178" spans="12:13" x14ac:dyDescent="0.25">
      <c r="L178" s="182"/>
      <c r="M178" s="182"/>
    </row>
    <row r="179" spans="12:13" x14ac:dyDescent="0.25">
      <c r="L179" s="182"/>
      <c r="M179" s="182"/>
    </row>
    <row r="180" spans="12:13" x14ac:dyDescent="0.25">
      <c r="L180" s="182"/>
      <c r="M180" s="182"/>
    </row>
    <row r="181" spans="12:13" x14ac:dyDescent="0.25">
      <c r="L181" s="182"/>
      <c r="M181" s="182"/>
    </row>
    <row r="182" spans="12:13" x14ac:dyDescent="0.25">
      <c r="L182" s="182"/>
      <c r="M182" s="182"/>
    </row>
    <row r="183" spans="12:13" x14ac:dyDescent="0.25">
      <c r="L183" s="182"/>
      <c r="M183" s="182"/>
    </row>
    <row r="184" spans="12:13" x14ac:dyDescent="0.25">
      <c r="L184" s="182"/>
      <c r="M184" s="182"/>
    </row>
    <row r="185" spans="12:13" x14ac:dyDescent="0.25">
      <c r="L185" s="182"/>
      <c r="M185" s="182"/>
    </row>
    <row r="186" spans="12:13" x14ac:dyDescent="0.25">
      <c r="L186" s="182"/>
      <c r="M186" s="182"/>
    </row>
    <row r="187" spans="12:13" x14ac:dyDescent="0.25">
      <c r="L187" s="182"/>
      <c r="M187" s="182"/>
    </row>
    <row r="188" spans="12:13" x14ac:dyDescent="0.25">
      <c r="L188" s="182"/>
      <c r="M188" s="182"/>
    </row>
    <row r="189" spans="12:13" x14ac:dyDescent="0.25">
      <c r="L189" s="182"/>
      <c r="M189" s="182"/>
    </row>
    <row r="190" spans="12:13" x14ac:dyDescent="0.25">
      <c r="L190" s="182"/>
      <c r="M190" s="182"/>
    </row>
    <row r="191" spans="12:13" x14ac:dyDescent="0.25">
      <c r="L191" s="182"/>
      <c r="M191" s="182"/>
    </row>
    <row r="192" spans="12:13" x14ac:dyDescent="0.25">
      <c r="L192" s="182"/>
      <c r="M192" s="182"/>
    </row>
    <row r="193" spans="12:13" x14ac:dyDescent="0.25">
      <c r="L193" s="182"/>
      <c r="M193" s="182"/>
    </row>
    <row r="194" spans="12:13" x14ac:dyDescent="0.25">
      <c r="L194" s="182"/>
      <c r="M194" s="182"/>
    </row>
    <row r="195" spans="12:13" x14ac:dyDescent="0.25">
      <c r="L195" s="182"/>
      <c r="M195" s="182"/>
    </row>
    <row r="196" spans="12:13" x14ac:dyDescent="0.25">
      <c r="L196" s="182"/>
      <c r="M196" s="182"/>
    </row>
    <row r="197" spans="12:13" x14ac:dyDescent="0.25">
      <c r="L197" s="182"/>
      <c r="M197" s="182"/>
    </row>
    <row r="198" spans="12:13" x14ac:dyDescent="0.25">
      <c r="L198" s="182"/>
      <c r="M198" s="182"/>
    </row>
    <row r="199" spans="12:13" x14ac:dyDescent="0.25">
      <c r="L199" s="182"/>
      <c r="M199" s="182"/>
    </row>
    <row r="200" spans="12:13" x14ac:dyDescent="0.25">
      <c r="L200" s="182"/>
      <c r="M200" s="182"/>
    </row>
    <row r="201" spans="12:13" x14ac:dyDescent="0.25">
      <c r="L201" s="182"/>
      <c r="M201" s="182"/>
    </row>
    <row r="202" spans="12:13" x14ac:dyDescent="0.25">
      <c r="L202" s="182"/>
      <c r="M202" s="182"/>
    </row>
    <row r="203" spans="12:13" x14ac:dyDescent="0.25">
      <c r="L203" s="182"/>
      <c r="M203" s="182"/>
    </row>
    <row r="204" spans="12:13" x14ac:dyDescent="0.25">
      <c r="L204" s="182"/>
      <c r="M204" s="182"/>
    </row>
    <row r="205" spans="12:13" x14ac:dyDescent="0.25">
      <c r="L205" s="182"/>
      <c r="M205" s="182"/>
    </row>
    <row r="206" spans="12:13" x14ac:dyDescent="0.25">
      <c r="L206" s="182"/>
      <c r="M206" s="182"/>
    </row>
    <row r="207" spans="12:13" x14ac:dyDescent="0.25">
      <c r="L207" s="182"/>
      <c r="M207" s="182"/>
    </row>
    <row r="208" spans="12:13" x14ac:dyDescent="0.25">
      <c r="L208" s="182"/>
      <c r="M208" s="182"/>
    </row>
    <row r="209" spans="12:13" x14ac:dyDescent="0.25">
      <c r="L209" s="182"/>
      <c r="M209" s="182"/>
    </row>
    <row r="210" spans="12:13" x14ac:dyDescent="0.25">
      <c r="L210" s="182"/>
      <c r="M210" s="182"/>
    </row>
    <row r="211" spans="12:13" x14ac:dyDescent="0.25">
      <c r="L211" s="182"/>
      <c r="M211" s="182"/>
    </row>
    <row r="212" spans="12:13" x14ac:dyDescent="0.25">
      <c r="L212" s="182"/>
      <c r="M212" s="182"/>
    </row>
    <row r="213" spans="12:13" x14ac:dyDescent="0.25">
      <c r="L213" s="182"/>
      <c r="M213" s="182"/>
    </row>
    <row r="214" spans="12:13" x14ac:dyDescent="0.25">
      <c r="L214" s="182"/>
      <c r="M214" s="182"/>
    </row>
    <row r="215" spans="12:13" x14ac:dyDescent="0.25">
      <c r="L215" s="182"/>
      <c r="M215" s="182"/>
    </row>
    <row r="216" spans="12:13" x14ac:dyDescent="0.25">
      <c r="L216" s="182"/>
      <c r="M216" s="182"/>
    </row>
    <row r="217" spans="12:13" x14ac:dyDescent="0.25">
      <c r="L217" s="182"/>
      <c r="M217" s="182"/>
    </row>
    <row r="218" spans="12:13" x14ac:dyDescent="0.25">
      <c r="L218" s="182"/>
      <c r="M218" s="182"/>
    </row>
    <row r="219" spans="12:13" x14ac:dyDescent="0.25">
      <c r="L219" s="182"/>
      <c r="M219" s="182"/>
    </row>
    <row r="220" spans="12:13" x14ac:dyDescent="0.25">
      <c r="L220" s="182"/>
      <c r="M220" s="182"/>
    </row>
    <row r="221" spans="12:13" x14ac:dyDescent="0.25">
      <c r="L221" s="182"/>
      <c r="M221" s="182"/>
    </row>
    <row r="222" spans="12:13" x14ac:dyDescent="0.25">
      <c r="L222" s="182"/>
      <c r="M222" s="182"/>
    </row>
    <row r="223" spans="12:13" x14ac:dyDescent="0.25">
      <c r="L223" s="182"/>
      <c r="M223" s="182"/>
    </row>
    <row r="224" spans="12:13" x14ac:dyDescent="0.25">
      <c r="L224" s="182"/>
      <c r="M224" s="182"/>
    </row>
    <row r="225" spans="12:13" x14ac:dyDescent="0.25">
      <c r="L225" s="182"/>
      <c r="M225" s="182"/>
    </row>
    <row r="226" spans="12:13" x14ac:dyDescent="0.25">
      <c r="L226" s="182"/>
      <c r="M226" s="182"/>
    </row>
    <row r="227" spans="12:13" x14ac:dyDescent="0.25">
      <c r="L227" s="182"/>
      <c r="M227" s="182"/>
    </row>
    <row r="228" spans="12:13" x14ac:dyDescent="0.25">
      <c r="L228" s="182"/>
      <c r="M228" s="182"/>
    </row>
    <row r="229" spans="12:13" x14ac:dyDescent="0.25">
      <c r="L229" s="182"/>
      <c r="M229" s="182"/>
    </row>
  </sheetData>
  <mergeCells count="101">
    <mergeCell ref="A78:B78"/>
    <mergeCell ref="A79:B79"/>
    <mergeCell ref="A80:B80"/>
    <mergeCell ref="A89:C89"/>
    <mergeCell ref="A90:C90"/>
    <mergeCell ref="A91:C91"/>
    <mergeCell ref="A81:B81"/>
    <mergeCell ref="A82:B82"/>
    <mergeCell ref="A83:B83"/>
    <mergeCell ref="A85:H85"/>
    <mergeCell ref="A87:C87"/>
    <mergeCell ref="A88:C88"/>
    <mergeCell ref="A67:I67"/>
    <mergeCell ref="A69:C69"/>
    <mergeCell ref="A70:C70"/>
    <mergeCell ref="A72:I72"/>
    <mergeCell ref="A73:B73"/>
    <mergeCell ref="A74:B74"/>
    <mergeCell ref="A75:B75"/>
    <mergeCell ref="A76:B76"/>
    <mergeCell ref="A77:B77"/>
    <mergeCell ref="E51:I51"/>
    <mergeCell ref="A52:C52"/>
    <mergeCell ref="A41:C41"/>
    <mergeCell ref="E32:I32"/>
    <mergeCell ref="A33:C33"/>
    <mergeCell ref="A34:C34"/>
    <mergeCell ref="A35:C35"/>
    <mergeCell ref="A36:C36"/>
    <mergeCell ref="A42:C42"/>
    <mergeCell ref="A45:C45"/>
    <mergeCell ref="A37:C37"/>
    <mergeCell ref="A38:C38"/>
    <mergeCell ref="A39:C39"/>
    <mergeCell ref="A29:C29"/>
    <mergeCell ref="A30:C30"/>
    <mergeCell ref="A31:C31"/>
    <mergeCell ref="A63:C63"/>
    <mergeCell ref="A64:C64"/>
    <mergeCell ref="A57:C57"/>
    <mergeCell ref="A58:C58"/>
    <mergeCell ref="A59:C59"/>
    <mergeCell ref="A60:C60"/>
    <mergeCell ref="A61:C61"/>
    <mergeCell ref="A62:C62"/>
    <mergeCell ref="A53:C53"/>
    <mergeCell ref="A54:C54"/>
    <mergeCell ref="A55:C55"/>
    <mergeCell ref="A56:C56"/>
    <mergeCell ref="A47:C47"/>
    <mergeCell ref="A48:C48"/>
    <mergeCell ref="A49:C49"/>
    <mergeCell ref="A51:C51"/>
    <mergeCell ref="A40:C40"/>
    <mergeCell ref="A32:C32"/>
    <mergeCell ref="A43:C43"/>
    <mergeCell ref="A44:C44"/>
    <mergeCell ref="A46:C46"/>
    <mergeCell ref="A25:B25"/>
    <mergeCell ref="A26:B26"/>
    <mergeCell ref="A27:B27"/>
    <mergeCell ref="A28:C28"/>
    <mergeCell ref="A13:C13"/>
    <mergeCell ref="A14:C14"/>
    <mergeCell ref="D14:F14"/>
    <mergeCell ref="A15:C15"/>
    <mergeCell ref="D15:F15"/>
    <mergeCell ref="A16:C16"/>
    <mergeCell ref="D16:F16"/>
    <mergeCell ref="A17:C17"/>
    <mergeCell ref="D17:F17"/>
    <mergeCell ref="A18:C18"/>
    <mergeCell ref="D18:F18"/>
    <mergeCell ref="A19:C19"/>
    <mergeCell ref="D19:F19"/>
    <mergeCell ref="A20:C20"/>
    <mergeCell ref="A21:C21"/>
    <mergeCell ref="A22:C22"/>
    <mergeCell ref="A23:C23"/>
    <mergeCell ref="A24:B24"/>
    <mergeCell ref="A12:C12"/>
    <mergeCell ref="D12:F12"/>
    <mergeCell ref="A2:B7"/>
    <mergeCell ref="D6:E6"/>
    <mergeCell ref="D5:E5"/>
    <mergeCell ref="A9:C9"/>
    <mergeCell ref="D9:F9"/>
    <mergeCell ref="D2:E2"/>
    <mergeCell ref="A10:C10"/>
    <mergeCell ref="D10:F10"/>
    <mergeCell ref="D7:G7"/>
    <mergeCell ref="I5:K5"/>
    <mergeCell ref="I6:K6"/>
    <mergeCell ref="A11:C11"/>
    <mergeCell ref="D11:F11"/>
    <mergeCell ref="I1:K1"/>
    <mergeCell ref="D3:G3"/>
    <mergeCell ref="I3:K3"/>
    <mergeCell ref="D4:G4"/>
    <mergeCell ref="I4:K4"/>
    <mergeCell ref="A1:E1"/>
  </mergeCells>
  <conditionalFormatting sqref="F24:F27 E21:F22 E29:E31 E33:I41 E43:I49">
    <cfRule type="expression" dxfId="4" priority="100" stopIfTrue="1">
      <formula>NOT(ISBLANK(E21))</formula>
    </cfRule>
  </conditionalFormatting>
  <conditionalFormatting sqref="A12:F12 A16:F17 A20:F22 A28:E31 A52:I63 J53:K53 A34:I35 A38:I41 A43:I49">
    <cfRule type="expression" dxfId="3" priority="75" stopIfTrue="1">
      <formula>$L12="Not Req'd"</formula>
    </cfRule>
  </conditionalFormatting>
  <conditionalFormatting sqref="E73:I83">
    <cfRule type="cellIs" dxfId="2" priority="127" stopIfTrue="1" operator="greaterThan">
      <formula>Conv("dP",$E$137,"bar",$D$70)</formula>
    </cfRule>
  </conditionalFormatting>
  <dataValidations count="18">
    <dataValidation type="list" allowBlank="1" showInputMessage="1" showErrorMessage="1" sqref="D64">
      <formula1>"Cv,Kv"</formula1>
    </dataValidation>
    <dataValidation type="list" allowBlank="1" showInputMessage="1" showErrorMessage="1" sqref="D59 D43 D35 D54">
      <formula1>"kg/s,kg/h,lb/h,mt/h"</formula1>
    </dataValidation>
    <dataValidation type="list" allowBlank="1" showInputMessage="1" showErrorMessage="1" sqref="D62 D48 D41 D56">
      <formula1>"kg/m3,lb/ft3,g/cm3"</formula1>
    </dataValidation>
    <dataValidation type="list" allowBlank="1" showInputMessage="1" showErrorMessage="1" sqref="D14:F14 D10:F10">
      <formula1>FluidNames</formula1>
    </dataValidation>
    <dataValidation type="list" allowBlank="1" showInputMessage="1" showErrorMessage="1" sqref="D12">
      <formula1>"Direct Input,From Specific Gravity"</formula1>
    </dataValidation>
    <dataValidation type="list" allowBlank="1" showInputMessage="1" showErrorMessage="1" sqref="D11">
      <formula1>"Volume Flow Rate,Mass Flow Rate"</formula1>
    </dataValidation>
    <dataValidation type="list" allowBlank="1" showInputMessage="1" showErrorMessage="1" sqref="D19:F19">
      <formula1>ValveTypes</formula1>
    </dataValidation>
    <dataValidation type="list" allowBlank="1" showInputMessage="1" showErrorMessage="1" sqref="D16">
      <formula1>"Direct Input, Calculate from MW, Calculate from Spec Grav"</formula1>
    </dataValidation>
    <dataValidation type="list" allowBlank="1" showInputMessage="1" showErrorMessage="1" sqref="D15">
      <formula1>"Mass Flow Rate, Volume Flow Rate"</formula1>
    </dataValidation>
    <dataValidation type="list" allowBlank="1" showInputMessage="1" showErrorMessage="1" sqref="D18">
      <formula1>"Ignore Correction, Calculate Correction"</formula1>
    </dataValidation>
    <dataValidation type="list" allowBlank="1" showInputMessage="1" showErrorMessage="1" sqref="D17">
      <formula1>"Assume 1, Direct Input,Calculate from Pc &amp; Tc"</formula1>
    </dataValidation>
    <dataValidation type="list" allowBlank="1" showInputMessage="1" showErrorMessage="1" sqref="D21">
      <formula1>"mm,in."</formula1>
    </dataValidation>
    <dataValidation type="list" allowBlank="1" showInputMessage="1" showErrorMessage="1" sqref="D34">
      <formula1>"m3/h,GPM,L/min,BPD,m3/s"</formula1>
    </dataValidation>
    <dataValidation type="list" allowBlank="1" showInputMessage="1" showErrorMessage="1" sqref="D38 D31">
      <formula1>"deg C,deg F,K,deg R"</formula1>
    </dataValidation>
    <dataValidation type="list" allowBlank="1" showInputMessage="1" showErrorMessage="1" sqref="D39 D29 D36">
      <formula1>"barA,barG,MPaA,MPaG,psiA,psiG,kPaA,kPaG,kg/cm2A,kg/cm2G"</formula1>
    </dataValidation>
    <dataValidation type="list" allowBlank="1" showInputMessage="1" showErrorMessage="1" sqref="D44">
      <formula1>"Nm3/h,SCFH,SCFM,SCFD,MMSCFD,Nm3/s"</formula1>
    </dataValidation>
    <dataValidation type="list" allowBlank="1" showInputMessage="1" showErrorMessage="1" sqref="D70:D71">
      <formula1>"psi,bar,kPa"</formula1>
    </dataValidation>
    <dataValidation type="list" allowBlank="1" showInputMessage="1" showErrorMessage="1" sqref="A37:C37">
      <formula1>"Outlet Pressure, Pressure Drop"</formula1>
    </dataValidation>
  </dataValidations>
  <pageMargins left="0.53" right="0.16" top="0.52" bottom="0.46" header="0.5" footer="0.5"/>
  <pageSetup scale="59" orientation="portrait" horizontalDpi="4294967292" r:id="rId1"/>
  <headerFooter alignWithMargins="0"/>
  <ignoredErrors>
    <ignoredError sqref="D30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Sheet4">
    <pageSetUpPr fitToPage="1"/>
  </sheetPr>
  <dimension ref="A1:R78"/>
  <sheetViews>
    <sheetView showGridLines="0" zoomScaleNormal="100" workbookViewId="0">
      <selection activeCell="D2" sqref="D2:E2"/>
    </sheetView>
  </sheetViews>
  <sheetFormatPr defaultColWidth="13.90625" defaultRowHeight="12.5" outlineLevelRow="1" x14ac:dyDescent="0.25"/>
  <cols>
    <col min="1" max="6" width="12.6328125" style="92" customWidth="1"/>
    <col min="7" max="8" width="12.6328125" style="151" customWidth="1"/>
    <col min="9" max="11" width="12.6328125" style="92" customWidth="1"/>
    <col min="12" max="12" width="12.6328125" style="89" hidden="1" customWidth="1"/>
    <col min="13" max="13" width="16.453125" style="89" hidden="1" customWidth="1"/>
    <col min="14" max="14" width="20.36328125" style="91" hidden="1" customWidth="1"/>
    <col min="15" max="15" width="64.6328125" style="91" hidden="1" customWidth="1"/>
    <col min="16" max="16384" width="13.90625" style="92"/>
  </cols>
  <sheetData>
    <row r="1" spans="1:18" ht="18" customHeight="1" thickBot="1" x14ac:dyDescent="0.4">
      <c r="A1" s="335" t="s">
        <v>490</v>
      </c>
      <c r="B1" s="336"/>
      <c r="C1" s="336"/>
      <c r="D1" s="336"/>
      <c r="E1" s="336"/>
      <c r="F1" s="382" t="str">
        <f>Liquid!E1</f>
        <v>Rev 2.1</v>
      </c>
      <c r="G1" s="382"/>
      <c r="H1" s="382"/>
      <c r="I1" s="383">
        <f ca="1">NOW()</f>
        <v>42845.618730902781</v>
      </c>
      <c r="J1" s="383"/>
      <c r="K1" s="384"/>
      <c r="L1" s="65" t="s">
        <v>431</v>
      </c>
      <c r="M1" s="65" t="s">
        <v>173</v>
      </c>
      <c r="N1" s="67" t="s">
        <v>174</v>
      </c>
      <c r="O1" s="67" t="s">
        <v>175</v>
      </c>
      <c r="Q1" s="151"/>
      <c r="R1" s="151"/>
    </row>
    <row r="2" spans="1:18" ht="12.75" customHeight="1" x14ac:dyDescent="0.3">
      <c r="A2" s="341" t="s">
        <v>176</v>
      </c>
      <c r="B2" s="342"/>
      <c r="C2" s="71" t="s">
        <v>438</v>
      </c>
      <c r="D2" s="347"/>
      <c r="E2" s="347"/>
      <c r="F2" s="73" t="s">
        <v>450</v>
      </c>
      <c r="G2" s="74"/>
      <c r="H2" s="71" t="s">
        <v>443</v>
      </c>
      <c r="I2" s="72"/>
      <c r="J2" s="75" t="s">
        <v>444</v>
      </c>
      <c r="K2" s="74"/>
      <c r="L2" s="70"/>
      <c r="M2" s="70"/>
      <c r="Q2" s="151"/>
      <c r="R2" s="151"/>
    </row>
    <row r="3" spans="1:18" ht="12.75" customHeight="1" x14ac:dyDescent="0.3">
      <c r="A3" s="343"/>
      <c r="B3" s="344"/>
      <c r="C3" s="77" t="s">
        <v>439</v>
      </c>
      <c r="D3" s="328"/>
      <c r="E3" s="328"/>
      <c r="F3" s="328"/>
      <c r="G3" s="329"/>
      <c r="H3" s="77" t="s">
        <v>445</v>
      </c>
      <c r="I3" s="328"/>
      <c r="J3" s="328"/>
      <c r="K3" s="329"/>
      <c r="L3" s="70"/>
      <c r="M3" s="70"/>
      <c r="Q3" s="151"/>
      <c r="R3" s="151"/>
    </row>
    <row r="4" spans="1:18" ht="12.75" customHeight="1" x14ac:dyDescent="0.3">
      <c r="A4" s="343"/>
      <c r="B4" s="344"/>
      <c r="C4" s="77" t="s">
        <v>440</v>
      </c>
      <c r="D4" s="328"/>
      <c r="E4" s="328"/>
      <c r="F4" s="328"/>
      <c r="G4" s="328"/>
      <c r="H4" s="77" t="s">
        <v>446</v>
      </c>
      <c r="I4" s="328"/>
      <c r="J4" s="328"/>
      <c r="K4" s="329"/>
      <c r="L4" s="70"/>
      <c r="M4" s="70"/>
      <c r="Q4" s="151"/>
      <c r="R4" s="151"/>
    </row>
    <row r="5" spans="1:18" ht="12.75" customHeight="1" x14ac:dyDescent="0.3">
      <c r="A5" s="343"/>
      <c r="B5" s="344"/>
      <c r="C5" s="77" t="s">
        <v>441</v>
      </c>
      <c r="D5" s="328"/>
      <c r="E5" s="328"/>
      <c r="F5" s="79" t="s">
        <v>451</v>
      </c>
      <c r="G5" s="80">
        <f ca="1">NOW()</f>
        <v>42845.618730902781</v>
      </c>
      <c r="H5" s="77" t="s">
        <v>447</v>
      </c>
      <c r="I5" s="328"/>
      <c r="J5" s="328"/>
      <c r="K5" s="329"/>
      <c r="L5" s="70"/>
      <c r="M5" s="70"/>
      <c r="Q5" s="151"/>
      <c r="R5" s="151"/>
    </row>
    <row r="6" spans="1:18" ht="12.75" customHeight="1" x14ac:dyDescent="0.3">
      <c r="A6" s="343"/>
      <c r="B6" s="344"/>
      <c r="C6" s="77" t="s">
        <v>452</v>
      </c>
      <c r="D6" s="328"/>
      <c r="E6" s="328"/>
      <c r="F6" s="79" t="s">
        <v>451</v>
      </c>
      <c r="G6" s="80">
        <f ca="1">NOW()</f>
        <v>42845.618730902781</v>
      </c>
      <c r="H6" s="77" t="s">
        <v>448</v>
      </c>
      <c r="I6" s="328"/>
      <c r="J6" s="328"/>
      <c r="K6" s="329"/>
      <c r="L6" s="70"/>
      <c r="M6" s="70"/>
      <c r="Q6" s="151"/>
      <c r="R6" s="151"/>
    </row>
    <row r="7" spans="1:18" ht="12.75" customHeight="1" thickBot="1" x14ac:dyDescent="0.35">
      <c r="A7" s="345"/>
      <c r="B7" s="346"/>
      <c r="C7" s="81" t="s">
        <v>442</v>
      </c>
      <c r="D7" s="330"/>
      <c r="E7" s="330"/>
      <c r="F7" s="330"/>
      <c r="G7" s="330"/>
      <c r="H7" s="83" t="s">
        <v>449</v>
      </c>
      <c r="I7" s="82"/>
      <c r="J7" s="82"/>
      <c r="K7" s="84"/>
      <c r="L7" s="70"/>
      <c r="M7" s="70"/>
      <c r="Q7" s="151"/>
      <c r="R7" s="151"/>
    </row>
    <row r="8" spans="1:18" ht="12.75" customHeight="1" x14ac:dyDescent="0.3">
      <c r="A8" s="85"/>
      <c r="B8" s="85"/>
      <c r="C8" s="86"/>
      <c r="D8" s="87"/>
      <c r="E8" s="87"/>
      <c r="F8" s="87"/>
      <c r="G8" s="87"/>
      <c r="H8" s="88"/>
      <c r="I8" s="87"/>
      <c r="J8" s="87"/>
      <c r="K8" s="87"/>
      <c r="L8" s="70"/>
      <c r="M8" s="70"/>
      <c r="Q8" s="151"/>
      <c r="R8" s="151"/>
    </row>
    <row r="9" spans="1:18" ht="12.75" customHeight="1" x14ac:dyDescent="0.3">
      <c r="A9" s="333" t="s">
        <v>177</v>
      </c>
      <c r="B9" s="333"/>
      <c r="C9" s="333"/>
      <c r="D9" s="334" t="s">
        <v>178</v>
      </c>
      <c r="E9" s="334"/>
      <c r="F9" s="334"/>
      <c r="G9" s="90"/>
      <c r="H9" s="90"/>
      <c r="I9" s="90"/>
      <c r="J9" s="90"/>
      <c r="K9" s="90"/>
    </row>
    <row r="10" spans="1:18" ht="12.75" customHeight="1" x14ac:dyDescent="0.3">
      <c r="A10" s="355" t="s">
        <v>179</v>
      </c>
      <c r="B10" s="355"/>
      <c r="C10" s="355"/>
      <c r="D10" s="332" t="s">
        <v>272</v>
      </c>
      <c r="E10" s="332"/>
      <c r="F10" s="332"/>
      <c r="G10" s="102"/>
      <c r="H10" s="102"/>
      <c r="I10" s="90"/>
      <c r="J10" s="90"/>
      <c r="K10" s="90"/>
      <c r="N10" s="108"/>
    </row>
    <row r="11" spans="1:18" ht="12.75" customHeight="1" x14ac:dyDescent="0.3">
      <c r="A11" s="355" t="s">
        <v>181</v>
      </c>
      <c r="B11" s="355"/>
      <c r="C11" s="355"/>
      <c r="D11" s="332" t="s">
        <v>182</v>
      </c>
      <c r="E11" s="332"/>
      <c r="F11" s="332"/>
      <c r="G11" s="102"/>
      <c r="H11" s="102"/>
      <c r="I11" s="90"/>
      <c r="J11" s="90"/>
      <c r="K11" s="90"/>
      <c r="N11" s="108"/>
    </row>
    <row r="12" spans="1:18" ht="12.75" customHeight="1" x14ac:dyDescent="0.3">
      <c r="A12" s="355" t="s">
        <v>165</v>
      </c>
      <c r="B12" s="355"/>
      <c r="C12" s="355"/>
      <c r="D12" s="332" t="s">
        <v>526</v>
      </c>
      <c r="E12" s="332"/>
      <c r="F12" s="332"/>
      <c r="G12" s="102"/>
      <c r="H12" s="102"/>
      <c r="I12" s="90"/>
      <c r="J12" s="90"/>
      <c r="K12" s="90"/>
      <c r="N12" s="108"/>
    </row>
    <row r="13" spans="1:18" ht="12.75" customHeight="1" x14ac:dyDescent="0.3">
      <c r="A13" s="348" t="s">
        <v>183</v>
      </c>
      <c r="B13" s="348"/>
      <c r="C13" s="348"/>
      <c r="D13" s="98" t="s">
        <v>184</v>
      </c>
      <c r="E13" s="98" t="s">
        <v>185</v>
      </c>
      <c r="F13" s="98" t="s">
        <v>186</v>
      </c>
      <c r="G13" s="99"/>
      <c r="H13" s="90"/>
      <c r="I13" s="90"/>
      <c r="J13" s="90"/>
      <c r="K13" s="90"/>
      <c r="L13" s="89" t="str">
        <f>IF(wtrstm_PipeCorrectionFactorOption="Calculate Correction","Required","Not Req'd")</f>
        <v>Required</v>
      </c>
    </row>
    <row r="14" spans="1:18" ht="12.75" customHeight="1" x14ac:dyDescent="0.3">
      <c r="A14" s="331" t="str">
        <f>IF($D$11="Ignore Correction","","Nominal Pipe Size")</f>
        <v>Nominal Pipe Size</v>
      </c>
      <c r="B14" s="331"/>
      <c r="C14" s="331"/>
      <c r="D14" s="315" t="str">
        <f>M14</f>
        <v>mm</v>
      </c>
      <c r="E14" s="100"/>
      <c r="F14" s="100"/>
      <c r="G14" s="102"/>
      <c r="H14" s="90"/>
      <c r="I14" s="118"/>
      <c r="J14" s="118"/>
      <c r="K14" s="109"/>
      <c r="L14" s="89" t="str">
        <f>IF(wtrstm_PipeCorrectionFactorOption="Calculate Correction","Required","Not Req'd")</f>
        <v>Required</v>
      </c>
      <c r="M14" s="97" t="s">
        <v>313</v>
      </c>
      <c r="N14" s="91" t="str">
        <f>IF($D$11="Ignore Correction","","Given")</f>
        <v>Given</v>
      </c>
    </row>
    <row r="15" spans="1:18" s="119" customFormat="1" ht="12.75" customHeight="1" x14ac:dyDescent="0.3">
      <c r="A15" s="331" t="str">
        <f>IF($D$11="Ignore Correction","","Nominal Valve Size")</f>
        <v>Nominal Valve Size</v>
      </c>
      <c r="B15" s="331"/>
      <c r="C15" s="331"/>
      <c r="D15" s="102" t="str">
        <f>D14</f>
        <v>mm</v>
      </c>
      <c r="E15" s="100"/>
      <c r="F15" s="100"/>
      <c r="G15" s="118"/>
      <c r="H15" s="118"/>
      <c r="I15" s="90"/>
      <c r="J15" s="90"/>
      <c r="K15" s="109"/>
      <c r="L15" s="89" t="str">
        <f>IF(wtrstm_PipeCorrectionFactorOption="Calculate Correction","Required","Not Req'd")</f>
        <v>Required</v>
      </c>
      <c r="M15" s="89"/>
      <c r="N15" s="91" t="str">
        <f>IF($D$11="Ignore Correction","","Given")</f>
        <v>Given</v>
      </c>
      <c r="O15" s="91"/>
    </row>
    <row r="16" spans="1:18" s="119" customFormat="1" ht="12.75" customHeight="1" x14ac:dyDescent="0.3">
      <c r="A16" s="333" t="s">
        <v>187</v>
      </c>
      <c r="B16" s="333"/>
      <c r="C16" s="333"/>
      <c r="D16" s="116"/>
      <c r="E16" s="284" t="s">
        <v>498</v>
      </c>
      <c r="F16" s="103" t="s">
        <v>188</v>
      </c>
      <c r="G16" s="90"/>
      <c r="H16" s="90"/>
      <c r="I16" s="90"/>
      <c r="J16" s="90"/>
      <c r="K16" s="90"/>
      <c r="L16" s="89"/>
      <c r="M16" s="89"/>
      <c r="N16" s="91"/>
      <c r="O16" s="91"/>
    </row>
    <row r="17" spans="1:15" ht="12.75" customHeight="1" x14ac:dyDescent="0.3">
      <c r="A17" s="355" t="s">
        <v>189</v>
      </c>
      <c r="B17" s="355"/>
      <c r="C17" s="90" t="s">
        <v>190</v>
      </c>
      <c r="E17" s="285">
        <f>VLOOKUP(wtrstm_ValveType,ValveData!$A$4:$G$17,2)</f>
        <v>1.0699999999999999E-2</v>
      </c>
      <c r="F17" s="239">
        <f>E17</f>
        <v>1.0699999999999999E-2</v>
      </c>
      <c r="G17" s="102"/>
      <c r="H17" s="111"/>
      <c r="I17" s="90"/>
      <c r="J17" s="90"/>
      <c r="K17" s="90"/>
      <c r="N17" s="91" t="s">
        <v>191</v>
      </c>
      <c r="O17" s="91" t="s">
        <v>192</v>
      </c>
    </row>
    <row r="18" spans="1:15" ht="12.75" customHeight="1" x14ac:dyDescent="0.3">
      <c r="A18" s="355" t="s">
        <v>193</v>
      </c>
      <c r="B18" s="355"/>
      <c r="C18" s="90" t="s">
        <v>194</v>
      </c>
      <c r="E18" s="267">
        <f>VLOOKUP(wtrstm_ValveType,ValveData!$A$4:$G$17,3)</f>
        <v>1</v>
      </c>
      <c r="F18" s="185">
        <f>E18</f>
        <v>1</v>
      </c>
      <c r="G18" s="102"/>
      <c r="H18" s="111"/>
      <c r="I18" s="90"/>
      <c r="J18" s="90"/>
      <c r="K18" s="90"/>
      <c r="N18" s="91" t="s">
        <v>191</v>
      </c>
      <c r="O18" s="91" t="s">
        <v>192</v>
      </c>
    </row>
    <row r="19" spans="1:15" ht="12.75" customHeight="1" x14ac:dyDescent="0.3">
      <c r="A19" s="355" t="s">
        <v>195</v>
      </c>
      <c r="B19" s="355"/>
      <c r="C19" s="90" t="s">
        <v>196</v>
      </c>
      <c r="E19" s="267">
        <f>VLOOKUP(wtrstm_ValveType,ValveData!$A$4:$G$17,4)</f>
        <v>1</v>
      </c>
      <c r="F19" s="185">
        <f>E19</f>
        <v>1</v>
      </c>
      <c r="G19" s="102"/>
      <c r="H19" s="111"/>
      <c r="I19" s="90"/>
      <c r="J19" s="90"/>
      <c r="K19" s="90"/>
      <c r="N19" s="91" t="s">
        <v>191</v>
      </c>
      <c r="O19" s="91" t="s">
        <v>192</v>
      </c>
    </row>
    <row r="20" spans="1:15" ht="12.75" customHeight="1" x14ac:dyDescent="0.3">
      <c r="A20" s="355" t="s">
        <v>197</v>
      </c>
      <c r="B20" s="355"/>
      <c r="C20" s="90" t="s">
        <v>198</v>
      </c>
      <c r="E20" s="267">
        <f>VLOOKUP(wtrstm_ValveType,ValveData!$A$4:$G$17,5)</f>
        <v>0.09</v>
      </c>
      <c r="F20" s="185">
        <f>E20</f>
        <v>0.09</v>
      </c>
      <c r="G20" s="102"/>
      <c r="H20" s="111"/>
      <c r="I20" s="90"/>
      <c r="J20" s="90"/>
      <c r="K20" s="90"/>
      <c r="N20" s="91" t="s">
        <v>191</v>
      </c>
      <c r="O20" s="91" t="s">
        <v>192</v>
      </c>
    </row>
    <row r="21" spans="1:15" ht="12.75" customHeight="1" x14ac:dyDescent="0.3">
      <c r="A21" s="333" t="s">
        <v>199</v>
      </c>
      <c r="B21" s="333"/>
      <c r="C21" s="333"/>
      <c r="D21" s="98" t="s">
        <v>184</v>
      </c>
      <c r="E21" s="334" t="s">
        <v>200</v>
      </c>
      <c r="F21" s="334"/>
      <c r="G21" s="334"/>
      <c r="H21" s="334"/>
      <c r="I21" s="334"/>
      <c r="J21" s="90"/>
      <c r="K21" s="90"/>
    </row>
    <row r="22" spans="1:15" ht="12.75" customHeight="1" x14ac:dyDescent="0.3">
      <c r="A22" s="355" t="s">
        <v>201</v>
      </c>
      <c r="B22" s="355"/>
      <c r="C22" s="355"/>
      <c r="D22" s="102"/>
      <c r="E22" s="100"/>
      <c r="F22" s="100"/>
      <c r="G22" s="100"/>
      <c r="H22" s="100"/>
      <c r="I22" s="100"/>
      <c r="J22" s="90"/>
      <c r="K22" s="90"/>
      <c r="N22" s="255"/>
    </row>
    <row r="23" spans="1:15" ht="12.75" customHeight="1" x14ac:dyDescent="0.3">
      <c r="A23" s="355" t="s">
        <v>202</v>
      </c>
      <c r="B23" s="355"/>
      <c r="C23" s="355"/>
      <c r="D23" s="315" t="str">
        <f>M23</f>
        <v>kg/h</v>
      </c>
      <c r="E23" s="100"/>
      <c r="F23" s="100"/>
      <c r="G23" s="100"/>
      <c r="H23" s="100"/>
      <c r="I23" s="100"/>
      <c r="J23" s="90"/>
      <c r="K23" s="90"/>
      <c r="M23" s="89" t="s">
        <v>218</v>
      </c>
      <c r="N23" s="256" t="s">
        <v>204</v>
      </c>
    </row>
    <row r="24" spans="1:15" ht="12.75" customHeight="1" x14ac:dyDescent="0.3">
      <c r="A24" s="355" t="s">
        <v>205</v>
      </c>
      <c r="B24" s="355"/>
      <c r="C24" s="355"/>
      <c r="D24" s="315" t="str">
        <f>M24</f>
        <v>barA</v>
      </c>
      <c r="E24" s="100"/>
      <c r="F24" s="100"/>
      <c r="G24" s="100"/>
      <c r="H24" s="100"/>
      <c r="I24" s="100"/>
      <c r="J24" s="90"/>
      <c r="K24" s="90"/>
      <c r="M24" s="89" t="s">
        <v>432</v>
      </c>
      <c r="N24" s="256" t="s">
        <v>204</v>
      </c>
    </row>
    <row r="25" spans="1:15" ht="12.75" customHeight="1" x14ac:dyDescent="0.3">
      <c r="A25" s="355" t="s">
        <v>206</v>
      </c>
      <c r="B25" s="355"/>
      <c r="C25" s="355"/>
      <c r="D25" s="141" t="str">
        <f>IF(A25="Outlet Pressure",D24,LEFT(D24,LEN(D24)-1))</f>
        <v>barA</v>
      </c>
      <c r="E25" s="100"/>
      <c r="F25" s="100"/>
      <c r="G25" s="100"/>
      <c r="H25" s="100"/>
      <c r="I25" s="100"/>
      <c r="J25" s="90"/>
      <c r="K25" s="90"/>
      <c r="N25" s="256" t="s">
        <v>204</v>
      </c>
    </row>
    <row r="26" spans="1:15" ht="12.75" customHeight="1" x14ac:dyDescent="0.3">
      <c r="A26" s="331" t="s">
        <v>207</v>
      </c>
      <c r="B26" s="331"/>
      <c r="C26" s="331"/>
      <c r="D26" s="315" t="str">
        <f>M26</f>
        <v>kJ/kg</v>
      </c>
      <c r="E26" s="100"/>
      <c r="F26" s="100"/>
      <c r="G26" s="100"/>
      <c r="H26" s="100"/>
      <c r="I26" s="100"/>
      <c r="J26" s="90"/>
      <c r="K26" s="90"/>
      <c r="L26" s="89" t="str">
        <f>IF(wtrstm_KnownInletProperty="Enthalpy","Required","Not Req'd")</f>
        <v>Required</v>
      </c>
      <c r="M26" s="97" t="s">
        <v>223</v>
      </c>
      <c r="N26" s="256" t="str">
        <f>IF($D10="Quality","","Given")</f>
        <v>Given</v>
      </c>
    </row>
    <row r="27" spans="1:15" ht="12.75" customHeight="1" x14ac:dyDescent="0.3">
      <c r="A27" s="331" t="s">
        <v>209</v>
      </c>
      <c r="B27" s="331"/>
      <c r="C27" s="331"/>
      <c r="D27" s="94" t="s">
        <v>497</v>
      </c>
      <c r="E27" s="276">
        <v>0.2</v>
      </c>
      <c r="F27" s="276"/>
      <c r="G27" s="276"/>
      <c r="H27" s="276"/>
      <c r="I27" s="276"/>
      <c r="J27" s="90"/>
      <c r="K27" s="107"/>
      <c r="L27" s="89" t="str">
        <f>IF(wtrstm_KnownInletProperty="Quality","Required","Not Req'd")</f>
        <v>Not Req'd</v>
      </c>
      <c r="N27" s="256" t="str">
        <f>IF($D10="Quality","Given","")</f>
        <v/>
      </c>
    </row>
    <row r="28" spans="1:15" ht="12.75" customHeight="1" x14ac:dyDescent="0.3">
      <c r="A28" s="350" t="s">
        <v>271</v>
      </c>
      <c r="B28" s="350"/>
      <c r="C28" s="350"/>
      <c r="D28" s="98" t="s">
        <v>184</v>
      </c>
      <c r="E28" s="354" t="s">
        <v>200</v>
      </c>
      <c r="F28" s="354"/>
      <c r="G28" s="354"/>
      <c r="H28" s="354"/>
      <c r="I28" s="354"/>
      <c r="J28" s="90"/>
      <c r="K28" s="90"/>
    </row>
    <row r="29" spans="1:15" s="119" customFormat="1" ht="12.75" customHeight="1" x14ac:dyDescent="0.3">
      <c r="A29" s="388" t="s">
        <v>240</v>
      </c>
      <c r="B29" s="388"/>
      <c r="C29" s="388"/>
      <c r="D29" s="267" t="str">
        <f>D24</f>
        <v>barA</v>
      </c>
      <c r="E29" s="268">
        <f>Conv("P",E63,D63,D29)</f>
        <v>220.64</v>
      </c>
      <c r="F29" s="268"/>
      <c r="G29" s="268"/>
      <c r="H29" s="268"/>
      <c r="I29" s="268"/>
      <c r="J29" s="269"/>
      <c r="K29" s="118"/>
      <c r="L29" s="89"/>
      <c r="M29" s="89"/>
      <c r="N29" s="91"/>
      <c r="O29" s="91"/>
    </row>
    <row r="30" spans="1:15" s="119" customFormat="1" ht="12.75" customHeight="1" x14ac:dyDescent="0.3">
      <c r="A30" s="388" t="s">
        <v>234</v>
      </c>
      <c r="B30" s="388"/>
      <c r="C30" s="388"/>
      <c r="D30" s="315" t="str">
        <f>M30</f>
        <v>deg C</v>
      </c>
      <c r="E30" s="268" t="str">
        <f>IF(E24="","",
    Conv("T",E61,$D$61,$D$30))</f>
        <v/>
      </c>
      <c r="F30" s="268" t="str">
        <f>IF(F24="","",
    Conv("T",F61,$D$61,$D$30))</f>
        <v/>
      </c>
      <c r="G30" s="268" t="str">
        <f>IF(G24="","",
    Conv("T",G61,$D$61,$D$30))</f>
        <v/>
      </c>
      <c r="H30" s="268" t="str">
        <f>IF(H24="","",
    Conv("T",H61,$D$61,$D$30))</f>
        <v/>
      </c>
      <c r="I30" s="268" t="str">
        <f>IF(I24="","",
    Conv("T",I61,$D$61,$D$30))</f>
        <v/>
      </c>
      <c r="J30" s="269"/>
      <c r="K30" s="118"/>
      <c r="L30" s="89"/>
      <c r="M30" s="89" t="s">
        <v>22</v>
      </c>
      <c r="N30" s="91"/>
      <c r="O30" s="91"/>
    </row>
    <row r="31" spans="1:15" s="119" customFormat="1" ht="12.75" customHeight="1" x14ac:dyDescent="0.3">
      <c r="A31" s="331" t="s">
        <v>272</v>
      </c>
      <c r="B31" s="331"/>
      <c r="C31" s="331"/>
      <c r="D31" s="314" t="s">
        <v>208</v>
      </c>
      <c r="E31" s="268" t="str">
        <f>IF(E24="","",
    Conv("h",E56,$D$56,$D$31))</f>
        <v/>
      </c>
      <c r="F31" s="268" t="str">
        <f>IF(F24="","",
    Conv("h",F56,$D$56,$D$31))</f>
        <v/>
      </c>
      <c r="G31" s="268" t="str">
        <f>IF(G24="","",
    Conv("h",G56,$D$56,$D$31))</f>
        <v/>
      </c>
      <c r="H31" s="268" t="str">
        <f>IF(H24="","",
    Conv("h",H56,$D$56,$D$31))</f>
        <v/>
      </c>
      <c r="I31" s="268" t="str">
        <f>IF(I24="","",
    Conv("h",I56,$D$56,$D$31))</f>
        <v/>
      </c>
      <c r="J31" s="269"/>
      <c r="K31" s="118"/>
      <c r="L31" s="89" t="str">
        <f>IF(wtrstm_KnownInletProperty="Quality","Required","Not Req'd")</f>
        <v>Not Req'd</v>
      </c>
      <c r="M31" s="89"/>
      <c r="N31" s="91"/>
      <c r="O31" s="91"/>
    </row>
    <row r="32" spans="1:15" s="119" customFormat="1" ht="12.75" customHeight="1" x14ac:dyDescent="0.3">
      <c r="A32" s="331" t="s">
        <v>180</v>
      </c>
      <c r="B32" s="331"/>
      <c r="C32" s="331"/>
      <c r="D32" s="111"/>
      <c r="E32" s="306" t="str">
        <f>IF(E24="","",
    E57)</f>
        <v/>
      </c>
      <c r="F32" s="306" t="str">
        <f>IF(F24="","",
    F57)</f>
        <v/>
      </c>
      <c r="G32" s="306" t="str">
        <f>IF(G24="","",
    G57)</f>
        <v/>
      </c>
      <c r="H32" s="306" t="str">
        <f>IF(H24="","",
    H57)</f>
        <v/>
      </c>
      <c r="I32" s="306" t="str">
        <f>IF(I24="","",
    I57)</f>
        <v/>
      </c>
      <c r="J32" s="269"/>
      <c r="K32" s="118"/>
      <c r="L32" s="89" t="str">
        <f>IF(wtrstm_KnownInletProperty="Enthalpy","Required","Not Req'd")</f>
        <v>Required</v>
      </c>
      <c r="M32" s="89"/>
      <c r="N32" s="91"/>
      <c r="O32" s="91"/>
    </row>
    <row r="33" spans="1:15" s="119" customFormat="1" ht="12.75" customHeight="1" x14ac:dyDescent="0.3">
      <c r="A33" s="388" t="s">
        <v>225</v>
      </c>
      <c r="B33" s="388"/>
      <c r="C33" s="388"/>
      <c r="D33" s="267" t="str">
        <f>D23</f>
        <v>kg/h</v>
      </c>
      <c r="E33" s="268" t="str">
        <f>IF(E24="","",
    Conv("M",E58,$D$58,$D$33))</f>
        <v/>
      </c>
      <c r="F33" s="268" t="str">
        <f>IF(F24="","",
    Conv("M",F58,$D$58,$D$33))</f>
        <v/>
      </c>
      <c r="G33" s="268" t="str">
        <f>IF(G24="","",
    Conv("M",G58,$D$58,$D$33))</f>
        <v/>
      </c>
      <c r="H33" s="268" t="str">
        <f>IF(H24="","",
    Conv("M",H58,$D$58,$D$33))</f>
        <v/>
      </c>
      <c r="I33" s="268" t="str">
        <f>IF(I24="","",
    Conv("M",I58,$D$58,$D$33))</f>
        <v/>
      </c>
      <c r="J33" s="269"/>
      <c r="K33" s="118"/>
      <c r="L33" s="89"/>
      <c r="M33" s="89"/>
      <c r="N33" s="91"/>
      <c r="O33" s="91"/>
    </row>
    <row r="34" spans="1:15" s="119" customFormat="1" ht="12.75" customHeight="1" x14ac:dyDescent="0.3">
      <c r="A34" s="388" t="s">
        <v>273</v>
      </c>
      <c r="B34" s="388"/>
      <c r="C34" s="388"/>
      <c r="D34" s="315" t="str">
        <f>M34</f>
        <v>kg/m3</v>
      </c>
      <c r="E34" s="270" t="str">
        <f>IF(E24="","",
    Conv("rho",E59,$D$59,$D$34))</f>
        <v/>
      </c>
      <c r="F34" s="270" t="str">
        <f>IF(F24="","",
    Conv("rho",F59,$D$59,$D$34))</f>
        <v/>
      </c>
      <c r="G34" s="270" t="str">
        <f>IF(G24="","",
    Conv("rho",G59,$D$59,$D$34))</f>
        <v/>
      </c>
      <c r="H34" s="270" t="str">
        <f>IF(H24="","",
    Conv("rho",H59,$D$59,$D$34))</f>
        <v/>
      </c>
      <c r="I34" s="270" t="str">
        <f>IF(I24="","",
    Conv("rho",I59,$D$59,$D$34))</f>
        <v/>
      </c>
      <c r="J34" s="269"/>
      <c r="K34" s="118"/>
      <c r="L34" s="89"/>
      <c r="M34" s="89" t="s">
        <v>230</v>
      </c>
      <c r="N34" s="91"/>
      <c r="O34" s="91"/>
    </row>
    <row r="35" spans="1:15" s="119" customFormat="1" ht="12.75" customHeight="1" x14ac:dyDescent="0.3">
      <c r="A35" s="388" t="s">
        <v>237</v>
      </c>
      <c r="B35" s="388"/>
      <c r="C35" s="388"/>
      <c r="D35" s="267" t="str">
        <f>D24</f>
        <v>barA</v>
      </c>
      <c r="E35" s="268" t="str">
        <f>IF(E24="","",
    Conv("p",E62,$D$62,$D$35))</f>
        <v/>
      </c>
      <c r="F35" s="268" t="str">
        <f>IF(F24="","",
    Conv("p",F62,$D$62,$D$35))</f>
        <v/>
      </c>
      <c r="G35" s="268" t="str">
        <f>IF(G24="","",
    Conv("p",G62,$D$62,$D$35))</f>
        <v/>
      </c>
      <c r="H35" s="268" t="str">
        <f>IF(H24="","",
    Conv("p",H62,$D$62,$D$35))</f>
        <v/>
      </c>
      <c r="I35" s="268" t="str">
        <f>IF(I24="","",
    Conv("p",I62,$D$62,$D$35))</f>
        <v/>
      </c>
      <c r="J35" s="269"/>
      <c r="K35" s="118"/>
      <c r="L35" s="89"/>
      <c r="M35" s="89"/>
      <c r="N35" s="91"/>
      <c r="O35" s="91"/>
    </row>
    <row r="36" spans="1:15" s="119" customFormat="1" ht="12.75" customHeight="1" x14ac:dyDescent="0.3">
      <c r="A36" s="388" t="s">
        <v>248</v>
      </c>
      <c r="B36" s="388"/>
      <c r="C36" s="388"/>
      <c r="D36" s="267" t="str">
        <f>D33</f>
        <v>kg/h</v>
      </c>
      <c r="E36" s="268" t="str">
        <f>IF(E24="","",
    Conv("M",E66,$D$66,$D$36))</f>
        <v/>
      </c>
      <c r="F36" s="268" t="str">
        <f>IF(F24="","",
    Conv("M",F66,$D$66,$D$36))</f>
        <v/>
      </c>
      <c r="G36" s="268" t="str">
        <f>IF(G24="","",
    Conv("M",G66,$D$66,$D$36))</f>
        <v/>
      </c>
      <c r="H36" s="268" t="str">
        <f>IF(H24="","",
    Conv("M",H66,$D$66,$D$36))</f>
        <v/>
      </c>
      <c r="I36" s="268" t="str">
        <f>IF(I24="","",
    Conv("M",I66,$D$66,$D$36))</f>
        <v/>
      </c>
      <c r="J36" s="269"/>
      <c r="K36" s="118"/>
      <c r="L36" s="89"/>
      <c r="M36" s="89"/>
      <c r="N36" s="91"/>
      <c r="O36" s="91"/>
    </row>
    <row r="37" spans="1:15" s="119" customFormat="1" ht="12.75" customHeight="1" x14ac:dyDescent="0.3">
      <c r="A37" s="388" t="s">
        <v>275</v>
      </c>
      <c r="B37" s="388"/>
      <c r="C37" s="388"/>
      <c r="D37" s="267" t="str">
        <f>D34</f>
        <v>kg/m3</v>
      </c>
      <c r="E37" s="271" t="str">
        <f>IF(E24="","",
    Conv("rho",E67,$D$67,$D$37))</f>
        <v/>
      </c>
      <c r="F37" s="271" t="str">
        <f>IF(F24="","",
    Conv("rho",F67,$D$67,$D$37))</f>
        <v/>
      </c>
      <c r="G37" s="271" t="str">
        <f>IF(G24="","",
    Conv("rho",G67,$D$67,$D$37))</f>
        <v/>
      </c>
      <c r="H37" s="271" t="str">
        <f>IF(H24="","",
    Conv("rho",H67,$D$67,$D$37))</f>
        <v/>
      </c>
      <c r="I37" s="271" t="str">
        <f>IF(I24="","",
    Conv("rho",I67,$D$67,$D$37))</f>
        <v/>
      </c>
      <c r="J37" s="269"/>
      <c r="K37" s="118"/>
      <c r="L37" s="89"/>
      <c r="M37" s="89"/>
      <c r="N37" s="91"/>
      <c r="O37" s="91"/>
    </row>
    <row r="38" spans="1:15" s="119" customFormat="1" ht="12.75" customHeight="1" x14ac:dyDescent="0.3">
      <c r="A38" s="388" t="s">
        <v>276</v>
      </c>
      <c r="B38" s="388"/>
      <c r="C38" s="388"/>
      <c r="D38" s="267"/>
      <c r="E38" s="271" t="str">
        <f>IF(E24="","",
    E68)</f>
        <v/>
      </c>
      <c r="F38" s="271" t="str">
        <f>IF(F24="","",
    F68)</f>
        <v/>
      </c>
      <c r="G38" s="271" t="str">
        <f>IF(G24="","",
    G68)</f>
        <v/>
      </c>
      <c r="H38" s="271" t="str">
        <f>IF(H24="","",
    H68)</f>
        <v/>
      </c>
      <c r="I38" s="271" t="str">
        <f>IF(I24="","",
    I68)</f>
        <v/>
      </c>
      <c r="J38" s="269"/>
      <c r="K38" s="118"/>
      <c r="L38" s="89"/>
      <c r="M38" s="89"/>
      <c r="N38" s="91"/>
      <c r="O38" s="91"/>
    </row>
    <row r="39" spans="1:15" ht="12.75" customHeight="1" x14ac:dyDescent="0.3">
      <c r="A39" s="388" t="s">
        <v>277</v>
      </c>
      <c r="B39" s="388"/>
      <c r="C39" s="388"/>
      <c r="D39" s="319" t="s">
        <v>278</v>
      </c>
      <c r="E39" s="272" t="str">
        <f>IF(E24=0,"",
    IF(E57=0,"Use Liquid",
      IF(E57=1,"Use Gas",
        Conv("C",E74,$D$74,$D$39))))</f>
        <v/>
      </c>
      <c r="F39" s="272" t="str">
        <f>IF(F24=0,"",
    IF(F57=0,"Use Liquid",
      IF(F57=1,"Use Gas",
        Conv("C",F74,$D$74,$D$39))))</f>
        <v/>
      </c>
      <c r="G39" s="272" t="str">
        <f>IF(G24=0,"",
    IF(G57=0,"Use Liquid",
      IF(G57=1,"Use Gas",
        Conv("C",G74,$D$74,$D$39))))</f>
        <v/>
      </c>
      <c r="H39" s="272" t="str">
        <f>IF(H24=0,"",
    IF(H57=0,"Use Liquid",
      IF(H57=1,"Use Gas",
        Conv("C",H74,$D$74,$D$39))))</f>
        <v/>
      </c>
      <c r="I39" s="272" t="str">
        <f>IF(I24=0,"",
    IF(I57=0,"Use Liquid",
      IF(I57=1,"Use Gas",
        Conv("C",I74,$D$74,$D$39))))</f>
        <v/>
      </c>
      <c r="J39" s="118"/>
      <c r="K39" s="90"/>
      <c r="N39" s="238"/>
      <c r="O39" s="91" t="str">
        <f>IF(D39="Cv",
    "C(Cv) = W/(27.3*Fp)*(1/(rho1fe*dPfe) + 1/(rho1ge*dPge))^0.5",
    "C(Kv) = W/(31.6*Fp)*(1/(rho1fe*dPfe) + 1/(rho1ge*dPge))^0.5")</f>
        <v>C(Cv) = W/(27.3*Fp)*(1/(rho1fe*dPfe) + 1/(rho1ge*dPge))^0.5</v>
      </c>
    </row>
    <row r="40" spans="1:15" ht="12.75" customHeight="1" x14ac:dyDescent="0.25">
      <c r="A40" s="90"/>
      <c r="B40" s="90"/>
      <c r="C40" s="90"/>
      <c r="D40" s="118"/>
      <c r="E40" s="90"/>
      <c r="F40" s="90"/>
      <c r="G40" s="102"/>
      <c r="H40" s="102"/>
      <c r="I40" s="102"/>
      <c r="J40" s="102"/>
      <c r="K40" s="90"/>
    </row>
    <row r="41" spans="1:15" ht="12.75" customHeight="1" x14ac:dyDescent="0.25">
      <c r="A41" s="90"/>
      <c r="B41" s="90"/>
      <c r="C41" s="90"/>
      <c r="D41" s="90"/>
      <c r="E41" s="90"/>
      <c r="F41" s="90"/>
      <c r="G41" s="102"/>
      <c r="H41" s="102"/>
      <c r="I41" s="90"/>
      <c r="J41" s="90"/>
      <c r="K41" s="90"/>
    </row>
    <row r="42" spans="1:15" ht="12.75" customHeight="1" x14ac:dyDescent="0.25">
      <c r="A42" s="92" t="s">
        <v>279</v>
      </c>
    </row>
    <row r="43" spans="1:15" ht="12.75" customHeight="1" x14ac:dyDescent="0.3">
      <c r="A43" s="90" t="s">
        <v>496</v>
      </c>
    </row>
    <row r="44" spans="1:15" ht="12.75" customHeight="1" x14ac:dyDescent="0.25">
      <c r="A44" s="92" t="s">
        <v>495</v>
      </c>
    </row>
    <row r="45" spans="1:15" ht="12.75" customHeight="1" x14ac:dyDescent="0.25"/>
    <row r="46" spans="1:15" ht="12.75" hidden="1" customHeight="1" outlineLevel="1" x14ac:dyDescent="0.3">
      <c r="A46" s="113" t="s">
        <v>210</v>
      </c>
      <c r="B46" s="114"/>
      <c r="C46" s="115" t="s">
        <v>211</v>
      </c>
      <c r="D46" s="115" t="s">
        <v>184</v>
      </c>
      <c r="E46" s="116"/>
      <c r="F46" s="116"/>
      <c r="G46" s="117" t="s">
        <v>200</v>
      </c>
      <c r="H46" s="116"/>
      <c r="I46" s="116"/>
      <c r="J46" s="115" t="s">
        <v>212</v>
      </c>
      <c r="K46" s="118"/>
    </row>
    <row r="47" spans="1:15" s="191" customFormat="1" ht="12.75" hidden="1" customHeight="1" outlineLevel="1" x14ac:dyDescent="0.25">
      <c r="A47" s="189" t="str">
        <f>IF($D$11="Ignore Correction","","Inlet and Outlet Pipe Size")</f>
        <v>Inlet and Outlet Pipe Size</v>
      </c>
      <c r="B47" s="189"/>
      <c r="C47" s="189" t="str">
        <f>IF($D$11="Ignore Correction","","D1 &amp; D2")</f>
        <v>D1 &amp; D2</v>
      </c>
      <c r="D47" s="189" t="str">
        <f>IF($D$11="Ignore Correction","","mm")</f>
        <v>mm</v>
      </c>
      <c r="E47" s="195">
        <f>IF($D$11="Ignore Correction","",Conv("L",E14,$D$14,$D$47))</f>
        <v>0</v>
      </c>
      <c r="F47" s="195">
        <f>IF($D$11="Ignore Correction","",Conv("L",F14,$D$14,$D$47))</f>
        <v>0</v>
      </c>
      <c r="G47" s="189"/>
      <c r="H47" s="189"/>
      <c r="I47" s="189"/>
      <c r="J47" s="189"/>
      <c r="K47" s="189"/>
      <c r="L47" s="89"/>
      <c r="M47" s="89"/>
      <c r="N47" s="123" t="str">
        <f>IF($D$11="Ignore Correction","","Unit Conv")</f>
        <v>Unit Conv</v>
      </c>
      <c r="O47" s="123" t="str">
        <f>IF($D$11="Ignore Correction","","D(mm) = "&amp;TEXT(Conv("L",1,D14,D47),"General")&amp;"*D("&amp;D14&amp;")")</f>
        <v>D(mm) = 1*D(mm)</v>
      </c>
    </row>
    <row r="48" spans="1:15" s="191" customFormat="1" ht="12.75" hidden="1" customHeight="1" outlineLevel="1" x14ac:dyDescent="0.25">
      <c r="A48" s="189" t="str">
        <f>IF($D$11="Ignore Correction","","Inlet and Outlet Valve Size")</f>
        <v>Inlet and Outlet Valve Size</v>
      </c>
      <c r="B48" s="189"/>
      <c r="C48" s="189" t="str">
        <f>IF($D$11="Ignore Correction","","dv1 &amp; dv2")</f>
        <v>dv1 &amp; dv2</v>
      </c>
      <c r="D48" s="189" t="str">
        <f>IF($D$11="Ignore Correction","","mm")</f>
        <v>mm</v>
      </c>
      <c r="E48" s="195">
        <f>IF($D$11="Ignore Correction","",Conv("L",E15,$D$15,$D$48))</f>
        <v>0</v>
      </c>
      <c r="F48" s="195">
        <f>IF($D$11="Ignore Correction","",Conv("L",F15,$D$15,$D$48))</f>
        <v>0</v>
      </c>
      <c r="G48" s="189"/>
      <c r="H48" s="189"/>
      <c r="I48" s="189"/>
      <c r="J48" s="189"/>
      <c r="K48" s="189"/>
      <c r="L48" s="89"/>
      <c r="M48" s="89"/>
      <c r="N48" s="123" t="str">
        <f>IF($D$11="Ignore Correction","","Unit Conv")</f>
        <v>Unit Conv</v>
      </c>
      <c r="O48" s="123" t="str">
        <f>IF($D$11="Ignore Correction","","Dv(mm) = "&amp;TEXT(Conv("L",1,D14,D48),"General")&amp;"*Dv("&amp;D14&amp;")")</f>
        <v>Dv(mm) = 1*Dv(mm)</v>
      </c>
    </row>
    <row r="49" spans="1:15" s="191" customFormat="1" ht="12.75" hidden="1" customHeight="1" outlineLevel="1" x14ac:dyDescent="0.25">
      <c r="A49" s="189" t="str">
        <f>IF($D$11="Ignore Correction","","Resistance Coefficient")</f>
        <v>Resistance Coefficient</v>
      </c>
      <c r="B49" s="189"/>
      <c r="C49" s="189" t="str">
        <f>IF($D$11="Ignore Correction","","K1 &amp; K2")</f>
        <v>K1 &amp; K2</v>
      </c>
      <c r="D49" s="189"/>
      <c r="E49" s="241" t="e">
        <f>IF(wtrstm_PipeCorrectionFactorOption="Ignore Correction",  0,
    IF($E48&lt;$E47,
      0.5*(1-($E48/$E47)^2)^2,
      (1 - ($E47/$E48)^2)^2/($E47/$E48)^4))</f>
        <v>#DIV/0!</v>
      </c>
      <c r="F49" s="241" t="e">
        <f>IF(wtrstm_PipeCorrectionFactorOption="Ignore Correction",  0,
    IF($F48&lt;$F47,
      1*(1-($F48/$F47)^2)^2,
      0.5*(1 - ($F47/$F48)^2)^2/($F47/$F48)^4))</f>
        <v>#DIV/0!</v>
      </c>
      <c r="G49" s="189"/>
      <c r="H49" s="189"/>
      <c r="I49" s="189"/>
      <c r="J49" s="189"/>
      <c r="K49" s="189"/>
      <c r="L49" s="89"/>
      <c r="M49" s="89"/>
      <c r="N49" s="127" t="str">
        <f>IF($D$11="Ignore Correction","","Eqs. 6 &amp; 7")</f>
        <v>Eqs. 6 &amp; 7</v>
      </c>
      <c r="O49" s="127" t="str">
        <f>IF($D$11="Ignore Correction","","K1 = 0.5*(1 - (dv1/D1)^2)^2,      K2 = 1*(1 - (dv2/D2)^2)^2")</f>
        <v>K1 = 0.5*(1 - (dv1/D1)^2)^2,      K2 = 1*(1 - (dv2/D2)^2)^2</v>
      </c>
    </row>
    <row r="50" spans="1:15" s="191" customFormat="1" ht="12.75" hidden="1" customHeight="1" outlineLevel="1" x14ac:dyDescent="0.25">
      <c r="A50" s="189" t="str">
        <f>IF($D$11="Ignore Correction","","Bernoulli Coefficient")</f>
        <v>Bernoulli Coefficient</v>
      </c>
      <c r="B50" s="189"/>
      <c r="C50" s="189" t="str">
        <f>IF($D$11="Ignore Correction","","KB1 &amp; KB2")</f>
        <v>KB1 &amp; KB2</v>
      </c>
      <c r="D50" s="189"/>
      <c r="E50" s="241" t="e">
        <f>IF(wtrstm_PipeCorrectionFactorOption="Ignore Correction",  0,
    IF($E48&lt;$E47,
      1-($E48/$E47)^4,
      (1-($E47/$E48)^4)/($E47/$E48)^4))</f>
        <v>#DIV/0!</v>
      </c>
      <c r="F50" s="241" t="e">
        <f>IF(wtrstm_PipeCorrectionFactorOption="Ignore Correction",  0,
    IF($F48&lt;$F47,
      1-($F48/$F47)^4,
      (1 - ($F47/$F48)^4)/($F47/$F48)^4))</f>
        <v>#DIV/0!</v>
      </c>
      <c r="G50" s="189"/>
      <c r="H50" s="189"/>
      <c r="I50" s="189"/>
      <c r="J50" s="189"/>
      <c r="K50" s="189"/>
      <c r="L50" s="89"/>
      <c r="M50" s="89"/>
      <c r="N50" s="127" t="str">
        <f>IF($D$11="Ignore Correction","","Eq. 5")</f>
        <v>Eq. 5</v>
      </c>
      <c r="O50" s="127" t="str">
        <f>IF($D$11="Ignore Correction","","KB1 = 1 - (dv1/D1)^4,                  KB2 = 1 - (dv2/D2)^4")</f>
        <v>KB1 = 1 - (dv1/D1)^4,                  KB2 = 1 - (dv2/D2)^4</v>
      </c>
    </row>
    <row r="51" spans="1:15" s="191" customFormat="1" ht="12.75" hidden="1" customHeight="1" outlineLevel="1" x14ac:dyDescent="0.25">
      <c r="A51" s="189" t="s">
        <v>213</v>
      </c>
      <c r="B51" s="189"/>
      <c r="C51" s="189" t="s">
        <v>214</v>
      </c>
      <c r="D51" s="189"/>
      <c r="E51" s="241" t="e">
        <f>IF(wtrstm_PipeCorrectionFactorOption="Ignore Correction",1,((E49+F49+E50-F50)*F17^2/0.00214+1)^-0.5)</f>
        <v>#DIV/0!</v>
      </c>
      <c r="F51" s="190"/>
      <c r="G51" s="189"/>
      <c r="H51" s="189"/>
      <c r="I51" s="189"/>
      <c r="J51" s="189"/>
      <c r="K51" s="189"/>
      <c r="L51" s="89"/>
      <c r="M51" s="89"/>
      <c r="N51" s="91" t="str">
        <f>IF($D$11="Ignore Correction","Assumed","Eq. 3")</f>
        <v>Eq. 3</v>
      </c>
      <c r="O51" s="91" t="str">
        <f>IF(wtrstm_PipeCorrectionFactorOption="Ignore Correction","Fp = 1","Fp = ((K1 + K2 + KB1 - KB2)*Cd^2/890 + 1)^-0.5")</f>
        <v>Fp = ((K1 + K2 + KB1 - KB2)*Cd^2/890 + 1)^-0.5</v>
      </c>
    </row>
    <row r="52" spans="1:15" s="191" customFormat="1" ht="12.75" hidden="1" customHeight="1" outlineLevel="1" x14ac:dyDescent="0.25">
      <c r="A52" s="189" t="s">
        <v>215</v>
      </c>
      <c r="B52" s="189"/>
      <c r="C52" s="189" t="s">
        <v>216</v>
      </c>
      <c r="D52" s="189"/>
      <c r="E52" s="241" t="e">
        <f>IF(wtrstm_PipeCorrectionFactorOption="Ignore Correction",F19,F19/E51^2*(F19*(E49+E50)*F17^2/0.00241+1)^-1)</f>
        <v>#DIV/0!</v>
      </c>
      <c r="F52" s="190"/>
      <c r="G52" s="189"/>
      <c r="H52" s="189"/>
      <c r="I52" s="189"/>
      <c r="J52" s="189"/>
      <c r="K52" s="189"/>
      <c r="L52" s="89"/>
      <c r="M52" s="89"/>
      <c r="N52" s="91" t="str">
        <f>IF($D$11="Ignore Correction","Assumed","Eq. 22")</f>
        <v>Eq. 22</v>
      </c>
      <c r="O52" s="91" t="str">
        <f>IF($D$11="Ignore Correction","Xtp = Xt","Xtp = Xt/Fp^2*(Xt*(K1 + KB1)*Cd^2/1000 + 1)^-1")</f>
        <v>Xtp = Xt/Fp^2*(Xt*(K1 + KB1)*Cd^2/1000 + 1)^-1</v>
      </c>
    </row>
    <row r="53" spans="1:15" s="191" customFormat="1" ht="12.75" hidden="1" customHeight="1" outlineLevel="1" x14ac:dyDescent="0.25">
      <c r="A53" s="252" t="s">
        <v>202</v>
      </c>
      <c r="B53" s="189"/>
      <c r="C53" s="189" t="s">
        <v>217</v>
      </c>
      <c r="D53" s="202" t="s">
        <v>218</v>
      </c>
      <c r="E53" s="245">
        <f>Conv("m",E23,$D$23,$D$53)</f>
        <v>0</v>
      </c>
      <c r="F53" s="245">
        <f>Conv("m",F23,$D$23,$D$53)</f>
        <v>0</v>
      </c>
      <c r="G53" s="245">
        <f>Conv("m",G23,$D$23,$D$53)</f>
        <v>0</v>
      </c>
      <c r="H53" s="245">
        <f>Conv("m",H23,$D$23,$D$53)</f>
        <v>0</v>
      </c>
      <c r="I53" s="245">
        <f>Conv("m",I23,$D$23,$D$53)</f>
        <v>0</v>
      </c>
      <c r="J53" s="189"/>
      <c r="K53" s="189"/>
      <c r="L53" s="89"/>
      <c r="M53" s="89"/>
      <c r="N53" s="108" t="s">
        <v>219</v>
      </c>
      <c r="O53" s="123" t="str">
        <f>"W(kg/h) = "&amp;TEXT(Conv("M",1,$D$23,$D$53),"General")&amp;"*W("&amp;$D$23&amp;")"</f>
        <v>W(kg/h) = 1*W(kg/h)</v>
      </c>
    </row>
    <row r="54" spans="1:15" s="191" customFormat="1" ht="12.75" hidden="1" customHeight="1" outlineLevel="1" x14ac:dyDescent="0.25">
      <c r="A54" s="196" t="s">
        <v>205</v>
      </c>
      <c r="B54" s="197"/>
      <c r="C54" s="197" t="s">
        <v>220</v>
      </c>
      <c r="D54" s="197" t="s">
        <v>432</v>
      </c>
      <c r="E54" s="258">
        <f>Conv("P",E24,$D$24,$D$54)</f>
        <v>0</v>
      </c>
      <c r="F54" s="258">
        <f>Conv("P",F24,$D$24,$D$54)</f>
        <v>0</v>
      </c>
      <c r="G54" s="258">
        <f>Conv("P",G24,$D$24,$D$54)</f>
        <v>0</v>
      </c>
      <c r="H54" s="258">
        <f>Conv("P",H24,$D$24,$D$54)</f>
        <v>0</v>
      </c>
      <c r="I54" s="258">
        <f>Conv("P",I24,$D$24,$D$54)</f>
        <v>0</v>
      </c>
      <c r="J54" s="189"/>
      <c r="K54" s="189"/>
      <c r="L54" s="89"/>
      <c r="M54" s="89"/>
      <c r="N54" s="108" t="s">
        <v>219</v>
      </c>
      <c r="O54" s="123" t="str">
        <f>"P1(barA) = "&amp;TEXT((Conv("P",1,$D$24,$D$54)-Conv("P",0,$D$24,$D$54))/1,"General")&amp;"*P1("&amp;D24&amp;") + "&amp;TEXT(Conv("P",0,$D$24,$D$54),"General")</f>
        <v>P1(barA) = 1*P1(barA) + 0</v>
      </c>
    </row>
    <row r="55" spans="1:15" s="191" customFormat="1" ht="12.75" hidden="1" customHeight="1" outlineLevel="1" x14ac:dyDescent="0.25">
      <c r="A55" s="189" t="s">
        <v>206</v>
      </c>
      <c r="B55" s="189"/>
      <c r="C55" s="189" t="s">
        <v>221</v>
      </c>
      <c r="D55" s="189" t="s">
        <v>432</v>
      </c>
      <c r="E55" s="258">
        <f>Conv("P",IF($A$25="Outlet Pressure",E25,E24-E25),$D$24,$D$55)</f>
        <v>0</v>
      </c>
      <c r="F55" s="258">
        <f t="shared" ref="F55:I55" si="0">Conv("P",IF($A$25="Outlet Pressure",F25,F24-F25),$D$24,$D$55)</f>
        <v>0</v>
      </c>
      <c r="G55" s="258">
        <f t="shared" si="0"/>
        <v>0</v>
      </c>
      <c r="H55" s="258">
        <f t="shared" si="0"/>
        <v>0</v>
      </c>
      <c r="I55" s="258">
        <f t="shared" si="0"/>
        <v>0</v>
      </c>
      <c r="J55" s="189"/>
      <c r="K55" s="189"/>
      <c r="L55" s="89"/>
      <c r="M55" s="89"/>
      <c r="N55" s="108" t="s">
        <v>219</v>
      </c>
      <c r="O55" s="123" t="str">
        <f>"P1(barA) = "&amp;TEXT((Conv("P",1,$D$25,$D$55)-Conv("P",0,$D$25,$D$55))/1,"General")&amp;"*P1("&amp;D25&amp;") + "&amp;TEXT(Conv("P",0,$D$25,$D$55),"General")</f>
        <v>P1(barA) = 1*P1(barA) + 0</v>
      </c>
    </row>
    <row r="56" spans="1:15" s="191" customFormat="1" ht="12.75" hidden="1" customHeight="1" outlineLevel="1" x14ac:dyDescent="0.25">
      <c r="A56" s="189" t="s">
        <v>207</v>
      </c>
      <c r="B56" s="189"/>
      <c r="C56" s="189" t="s">
        <v>222</v>
      </c>
      <c r="D56" s="189" t="s">
        <v>223</v>
      </c>
      <c r="E56" s="245">
        <f>IF($D10="Quality",
    wtrPQH(E54,E27,1),
    Conv("H",E26,$D$26,$D$56))</f>
        <v>0</v>
      </c>
      <c r="F56" s="245">
        <f>IF($D10="Quality",
    wtrPQH(F54,F27,1),
    Conv("H",F26,$D$26,$D$56))</f>
        <v>0</v>
      </c>
      <c r="G56" s="245">
        <f>IF($D10="Quality",
    wtrPQH(G54,G27,1),
    Conv("H",G26,$D$26,$D$56))</f>
        <v>0</v>
      </c>
      <c r="H56" s="245">
        <f>IF($D10="Quality",
    wtrPQH(H54,H27,1),
    Conv("H",H26,$D$26,$D$56))</f>
        <v>0</v>
      </c>
      <c r="I56" s="245">
        <f>IF($D10="Quality",
    wtrPQH(I54,I27,1),
    Conv("H",I26,$D$26,$D$56))</f>
        <v>0</v>
      </c>
      <c r="J56" s="189"/>
      <c r="K56" s="189"/>
      <c r="L56" s="89"/>
      <c r="M56" s="89"/>
      <c r="N56" s="108" t="str">
        <f>IF($D10="Quality","","Unit Conv")</f>
        <v>Unit Conv</v>
      </c>
      <c r="O56" s="91" t="str">
        <f>IF($D10="Quality","","H(kJ/kg) = "&amp;TEXT(Conv("H",1,$D$26,$D$56),"General")&amp;"*H("&amp;$D$26&amp;")")</f>
        <v>H(kJ/kg) = 1*H(kJ/kg)</v>
      </c>
    </row>
    <row r="57" spans="1:15" s="191" customFormat="1" ht="12.75" hidden="1" customHeight="1" outlineLevel="1" x14ac:dyDescent="0.25">
      <c r="A57" s="189" t="s">
        <v>209</v>
      </c>
      <c r="B57" s="189"/>
      <c r="C57" s="189" t="s">
        <v>224</v>
      </c>
      <c r="D57" s="189"/>
      <c r="E57" s="259" t="str">
        <f>IF($D10="Quality",E27,wtrPHQ(E54,E56,1))</f>
        <v>p too small</v>
      </c>
      <c r="F57" s="259" t="str">
        <f>IF($D10="Quality",F27,wtrPHQ(F54,F56,1))</f>
        <v>p too small</v>
      </c>
      <c r="G57" s="259" t="str">
        <f>IF($D10="Quality",G27,wtrPHQ(G54,G56,1))</f>
        <v>p too small</v>
      </c>
      <c r="H57" s="259" t="str">
        <f>IF($D10="Quality",H27,wtrPHQ(H54,H56,1))</f>
        <v>p too small</v>
      </c>
      <c r="I57" s="259" t="str">
        <f>IF($D10="Quality",I27,wtrPHQ(I54,I56,1))</f>
        <v>p too small</v>
      </c>
      <c r="J57" s="189"/>
      <c r="K57" s="189"/>
      <c r="L57" s="89"/>
      <c r="M57" s="89"/>
      <c r="N57" s="91" t="str">
        <f>IF($D10="Quality","Given","Stm Function")</f>
        <v>Stm Function</v>
      </c>
      <c r="O57" s="91" t="str">
        <f>IF($D10="Quality","","Q = wtrPHQ(P1, H1)")</f>
        <v>Q = wtrPHQ(P1, H1)</v>
      </c>
    </row>
    <row r="58" spans="1:15" s="191" customFormat="1" ht="12.75" hidden="1" customHeight="1" outlineLevel="1" x14ac:dyDescent="0.25">
      <c r="A58" s="189" t="s">
        <v>225</v>
      </c>
      <c r="B58" s="189"/>
      <c r="C58" s="189" t="s">
        <v>226</v>
      </c>
      <c r="D58" s="189" t="s">
        <v>218</v>
      </c>
      <c r="E58" s="260">
        <f>(1-E57)*E53</f>
        <v>0</v>
      </c>
      <c r="F58" s="260">
        <f>(1-F57)*F53</f>
        <v>0</v>
      </c>
      <c r="G58" s="260">
        <f>(1-G57)*G53</f>
        <v>0</v>
      </c>
      <c r="H58" s="260">
        <f>(1-H57)*H53</f>
        <v>0</v>
      </c>
      <c r="I58" s="260">
        <f>(1-I57)*I53</f>
        <v>0</v>
      </c>
      <c r="J58" s="189"/>
      <c r="K58" s="189"/>
      <c r="L58" s="89"/>
      <c r="M58" s="89"/>
      <c r="N58" s="91"/>
      <c r="O58" s="91" t="s">
        <v>227</v>
      </c>
    </row>
    <row r="59" spans="1:15" s="191" customFormat="1" ht="12.75" hidden="1" customHeight="1" outlineLevel="1" x14ac:dyDescent="0.25">
      <c r="A59" s="189" t="s">
        <v>228</v>
      </c>
      <c r="B59" s="189"/>
      <c r="C59" s="189" t="s">
        <v>229</v>
      </c>
      <c r="D59" s="189" t="s">
        <v>230</v>
      </c>
      <c r="E59" s="261" t="str">
        <f>wtrPQD(E54,0,1)</f>
        <v>p too small</v>
      </c>
      <c r="F59" s="261" t="str">
        <f>wtrPQD(F54,0,1)</f>
        <v>p too small</v>
      </c>
      <c r="G59" s="261" t="str">
        <f>wtrPQD(G54,0,1)</f>
        <v>p too small</v>
      </c>
      <c r="H59" s="261" t="str">
        <f>wtrPQD(H54,0,1)</f>
        <v>p too small</v>
      </c>
      <c r="I59" s="261" t="str">
        <f>wtrPQD(I54,0,1)</f>
        <v>p too small</v>
      </c>
      <c r="J59" s="189"/>
      <c r="K59" s="189"/>
      <c r="L59" s="89"/>
      <c r="M59" s="89"/>
      <c r="N59" s="91"/>
      <c r="O59" s="91" t="s">
        <v>231</v>
      </c>
    </row>
    <row r="60" spans="1:15" s="191" customFormat="1" ht="12.75" hidden="1" customHeight="1" outlineLevel="1" x14ac:dyDescent="0.25">
      <c r="A60" s="189" t="s">
        <v>494</v>
      </c>
      <c r="B60" s="189"/>
      <c r="C60" s="189" t="s">
        <v>232</v>
      </c>
      <c r="D60" s="189" t="s">
        <v>230</v>
      </c>
      <c r="E60" s="261">
        <f>E59/(1-E57)</f>
        <v>0</v>
      </c>
      <c r="F60" s="261">
        <f>F59/(1-F57)</f>
        <v>0</v>
      </c>
      <c r="G60" s="261">
        <f>G59/(1-G57)</f>
        <v>0</v>
      </c>
      <c r="H60" s="261">
        <f>H59/(1-H57)</f>
        <v>0</v>
      </c>
      <c r="I60" s="261">
        <f>I59/(1-I57)</f>
        <v>0</v>
      </c>
      <c r="J60" s="189"/>
      <c r="K60" s="189"/>
      <c r="L60" s="89"/>
      <c r="M60" s="89"/>
      <c r="N60" s="91"/>
      <c r="O60" s="91" t="s">
        <v>233</v>
      </c>
    </row>
    <row r="61" spans="1:15" s="191" customFormat="1" ht="12.75" hidden="1" customHeight="1" outlineLevel="1" x14ac:dyDescent="0.3">
      <c r="A61" s="189" t="s">
        <v>234</v>
      </c>
      <c r="B61" s="189"/>
      <c r="C61" s="189" t="s">
        <v>235</v>
      </c>
      <c r="D61" s="189" t="s">
        <v>22</v>
      </c>
      <c r="E61" s="257" t="e">
        <f>wtrPHT(E54,wtrPQH(E54,E57,1),1)</f>
        <v>#VALUE!</v>
      </c>
      <c r="F61" s="257" t="e">
        <f>wtrPHT(F54,wtrPQH(F54,F57,1),1)</f>
        <v>#VALUE!</v>
      </c>
      <c r="G61" s="257" t="e">
        <f>wtrPHT(G54,wtrPQH(G54,G57,1),1)</f>
        <v>#VALUE!</v>
      </c>
      <c r="H61" s="257" t="e">
        <f>wtrPHT(H54,wtrPQH(H54,H57,1),1)</f>
        <v>#VALUE!</v>
      </c>
      <c r="I61" s="257" t="e">
        <f>wtrPHT(I54,wtrPQH(I54,I57,1),1)</f>
        <v>#VALUE!</v>
      </c>
      <c r="J61" s="189"/>
      <c r="K61" s="189"/>
      <c r="L61" s="89"/>
      <c r="M61" s="89"/>
      <c r="N61" s="262"/>
      <c r="O61" s="91" t="s">
        <v>236</v>
      </c>
    </row>
    <row r="62" spans="1:15" s="191" customFormat="1" ht="12.75" hidden="1" customHeight="1" outlineLevel="1" x14ac:dyDescent="0.25">
      <c r="A62" s="189" t="s">
        <v>237</v>
      </c>
      <c r="B62" s="189"/>
      <c r="C62" s="189" t="s">
        <v>238</v>
      </c>
      <c r="D62" s="189" t="s">
        <v>432</v>
      </c>
      <c r="E62" s="263" t="e">
        <f>wtrtp(E61,1)</f>
        <v>#VALUE!</v>
      </c>
      <c r="F62" s="263" t="e">
        <f>wtrtp(F61,1)</f>
        <v>#VALUE!</v>
      </c>
      <c r="G62" s="263" t="e">
        <f>wtrtp(G61,1)</f>
        <v>#VALUE!</v>
      </c>
      <c r="H62" s="263" t="e">
        <f>wtrtp(H61,1)</f>
        <v>#VALUE!</v>
      </c>
      <c r="I62" s="263" t="e">
        <f>wtrtp(I61,1)</f>
        <v>#VALUE!</v>
      </c>
      <c r="J62" s="189"/>
      <c r="K62" s="189"/>
      <c r="L62" s="89"/>
      <c r="M62" s="89"/>
      <c r="N62" s="91"/>
      <c r="O62" s="91" t="s">
        <v>239</v>
      </c>
    </row>
    <row r="63" spans="1:15" s="191" customFormat="1" ht="12.75" hidden="1" customHeight="1" outlineLevel="1" x14ac:dyDescent="0.3">
      <c r="A63" s="189" t="s">
        <v>240</v>
      </c>
      <c r="B63" s="189"/>
      <c r="C63" s="189" t="s">
        <v>112</v>
      </c>
      <c r="D63" s="189" t="s">
        <v>432</v>
      </c>
      <c r="E63" s="264">
        <v>220.64</v>
      </c>
      <c r="F63" s="264"/>
      <c r="G63" s="264"/>
      <c r="H63" s="264"/>
      <c r="I63" s="264"/>
      <c r="J63" s="189"/>
      <c r="K63" s="189"/>
      <c r="L63" s="89"/>
      <c r="M63" s="89"/>
      <c r="N63" s="91"/>
      <c r="O63" s="91" t="s">
        <v>241</v>
      </c>
    </row>
    <row r="64" spans="1:15" s="191" customFormat="1" ht="12.75" hidden="1" customHeight="1" outlineLevel="1" x14ac:dyDescent="0.25">
      <c r="A64" s="189" t="s">
        <v>242</v>
      </c>
      <c r="B64" s="189"/>
      <c r="C64" s="189" t="s">
        <v>243</v>
      </c>
      <c r="D64" s="189"/>
      <c r="E64" s="257" t="e">
        <f>0.96-0.28*(E62/$E$63)^0.5</f>
        <v>#VALUE!</v>
      </c>
      <c r="F64" s="257" t="e">
        <f>0.96-0.28*(F62/$E$63)^0.5</f>
        <v>#VALUE!</v>
      </c>
      <c r="G64" s="257" t="e">
        <f>0.96-0.28*(G62/$E$63)^0.5</f>
        <v>#VALUE!</v>
      </c>
      <c r="H64" s="257" t="e">
        <f>0.96-0.28*(H62/$E$63)^0.5</f>
        <v>#VALUE!</v>
      </c>
      <c r="I64" s="257" t="e">
        <f>0.96-0.28*(I62/$E$63)^0.5</f>
        <v>#VALUE!</v>
      </c>
      <c r="J64" s="189"/>
      <c r="K64" s="189"/>
      <c r="L64" s="89"/>
      <c r="M64" s="89"/>
      <c r="N64" s="91"/>
      <c r="O64" s="91" t="s">
        <v>244</v>
      </c>
    </row>
    <row r="65" spans="1:15" s="191" customFormat="1" ht="12.75" hidden="1" customHeight="1" outlineLevel="1" x14ac:dyDescent="0.25">
      <c r="A65" s="189" t="s">
        <v>493</v>
      </c>
      <c r="B65" s="189"/>
      <c r="C65" s="189" t="s">
        <v>245</v>
      </c>
      <c r="D65" s="189" t="s">
        <v>246</v>
      </c>
      <c r="E65" s="195" t="e">
        <f>MINA(E54-E55,$F18^2*(E54-E64*E62))</f>
        <v>#VALUE!</v>
      </c>
      <c r="F65" s="195" t="e">
        <f>MINA(F54-F55,$F18^2*(F54-F64*F62))</f>
        <v>#VALUE!</v>
      </c>
      <c r="G65" s="195" t="e">
        <f>MINA(G54-G55,$F18^2*(G54-G64*G62))</f>
        <v>#VALUE!</v>
      </c>
      <c r="H65" s="195" t="e">
        <f>MINA(H54-H55,$F18^2*(H54-H64*H62))</f>
        <v>#VALUE!</v>
      </c>
      <c r="I65" s="195" t="e">
        <f>MINA(I54-I55,$F18^2*(I54-I64*I62))</f>
        <v>#VALUE!</v>
      </c>
      <c r="J65" s="189"/>
      <c r="K65" s="189"/>
      <c r="L65" s="89"/>
      <c r="M65" s="89"/>
      <c r="N65" s="91"/>
      <c r="O65" s="91" t="s">
        <v>247</v>
      </c>
    </row>
    <row r="66" spans="1:15" s="191" customFormat="1" ht="12.75" hidden="1" customHeight="1" outlineLevel="1" x14ac:dyDescent="0.25">
      <c r="A66" s="189" t="s">
        <v>248</v>
      </c>
      <c r="B66" s="189"/>
      <c r="C66" s="189" t="s">
        <v>249</v>
      </c>
      <c r="D66" s="189" t="s">
        <v>218</v>
      </c>
      <c r="E66" s="260">
        <f>E57*E53</f>
        <v>0</v>
      </c>
      <c r="F66" s="260">
        <f>F57*F53</f>
        <v>0</v>
      </c>
      <c r="G66" s="260">
        <f>G57*G53</f>
        <v>0</v>
      </c>
      <c r="H66" s="260">
        <f>H57*H53</f>
        <v>0</v>
      </c>
      <c r="I66" s="260">
        <f>I57*I53</f>
        <v>0</v>
      </c>
      <c r="J66" s="189"/>
      <c r="K66" s="189"/>
      <c r="L66" s="89"/>
      <c r="M66" s="89"/>
      <c r="N66" s="91"/>
      <c r="O66" s="91" t="s">
        <v>250</v>
      </c>
    </row>
    <row r="67" spans="1:15" s="191" customFormat="1" ht="12.75" hidden="1" customHeight="1" outlineLevel="1" x14ac:dyDescent="0.25">
      <c r="A67" s="189" t="s">
        <v>251</v>
      </c>
      <c r="B67" s="189"/>
      <c r="C67" s="189" t="s">
        <v>252</v>
      </c>
      <c r="D67" s="189" t="s">
        <v>230</v>
      </c>
      <c r="E67" s="257" t="str">
        <f>wtrPQD(E54,1,1)</f>
        <v>p too small</v>
      </c>
      <c r="F67" s="257" t="str">
        <f>wtrPQD(F54,1,1)</f>
        <v>p too small</v>
      </c>
      <c r="G67" s="257" t="str">
        <f>wtrPQD(G54,1,1)</f>
        <v>p too small</v>
      </c>
      <c r="H67" s="257" t="str">
        <f>wtrPQD(H54,1,1)</f>
        <v>p too small</v>
      </c>
      <c r="I67" s="257" t="str">
        <f>wtrPQD(I54,1,1)</f>
        <v>p too small</v>
      </c>
      <c r="J67" s="189"/>
      <c r="K67" s="189"/>
      <c r="L67" s="89"/>
      <c r="M67" s="89"/>
      <c r="N67" s="91"/>
      <c r="O67" s="91" t="s">
        <v>253</v>
      </c>
    </row>
    <row r="68" spans="1:15" s="191" customFormat="1" ht="12.75" hidden="1" customHeight="1" outlineLevel="1" x14ac:dyDescent="0.3">
      <c r="A68" s="189" t="s">
        <v>254</v>
      </c>
      <c r="B68" s="189"/>
      <c r="C68" s="189" t="s">
        <v>118</v>
      </c>
      <c r="D68" s="189"/>
      <c r="E68" s="265" t="e">
        <f>wtrPTG(E54,E61+0.1,1)</f>
        <v>#VALUE!</v>
      </c>
      <c r="F68" s="265" t="e">
        <f>wtrPTG(F54,F61+0.1,1)</f>
        <v>#VALUE!</v>
      </c>
      <c r="G68" s="265" t="e">
        <f>wtrPTG(G54,G61+0.1,1)</f>
        <v>#VALUE!</v>
      </c>
      <c r="H68" s="265" t="e">
        <f>wtrPTG(H54,H61+0.1,1)</f>
        <v>#VALUE!</v>
      </c>
      <c r="I68" s="265" t="e">
        <f>wtrPTG(I54,I61+0.1,1)</f>
        <v>#VALUE!</v>
      </c>
      <c r="J68" s="189"/>
      <c r="K68" s="189"/>
      <c r="L68" s="89"/>
      <c r="M68" s="89"/>
      <c r="N68" s="91"/>
      <c r="O68" s="91" t="s">
        <v>255</v>
      </c>
    </row>
    <row r="69" spans="1:15" s="191" customFormat="1" ht="12.75" hidden="1" customHeight="1" outlineLevel="1" x14ac:dyDescent="0.25">
      <c r="A69" s="189" t="s">
        <v>256</v>
      </c>
      <c r="B69" s="189"/>
      <c r="C69" s="189" t="s">
        <v>257</v>
      </c>
      <c r="D69" s="189"/>
      <c r="E69" s="257" t="e">
        <f>E68/1.4</f>
        <v>#VALUE!</v>
      </c>
      <c r="F69" s="257" t="e">
        <f>F68/1.4</f>
        <v>#VALUE!</v>
      </c>
      <c r="G69" s="257" t="e">
        <f>G68/1.4</f>
        <v>#VALUE!</v>
      </c>
      <c r="H69" s="257" t="e">
        <f>H68/1.4</f>
        <v>#VALUE!</v>
      </c>
      <c r="I69" s="257" t="e">
        <f>I68/1.4</f>
        <v>#VALUE!</v>
      </c>
      <c r="J69" s="189"/>
      <c r="K69" s="189"/>
      <c r="L69" s="89"/>
      <c r="M69" s="89"/>
      <c r="N69" s="91"/>
      <c r="O69" s="91" t="s">
        <v>258</v>
      </c>
    </row>
    <row r="70" spans="1:15" s="191" customFormat="1" ht="12.75" hidden="1" customHeight="1" outlineLevel="1" x14ac:dyDescent="0.25">
      <c r="A70" s="189" t="s">
        <v>259</v>
      </c>
      <c r="B70" s="189"/>
      <c r="C70" s="189" t="s">
        <v>260</v>
      </c>
      <c r="D70" s="189"/>
      <c r="E70" s="257" t="e">
        <f>MINA(E69*$E52,(E54-E55)/E54)</f>
        <v>#VALUE!</v>
      </c>
      <c r="F70" s="257" t="e">
        <f>MINA(F69*$E52,(F54-F55)/F54)</f>
        <v>#VALUE!</v>
      </c>
      <c r="G70" s="257" t="e">
        <f>MINA(G69*$E52,(G54-G55)/G54)</f>
        <v>#VALUE!</v>
      </c>
      <c r="H70" s="257" t="e">
        <f>MINA(H69*$E52,(H54-H55)/H54)</f>
        <v>#VALUE!</v>
      </c>
      <c r="I70" s="257" t="e">
        <f>MINA(I69*$E52,(I54-I55)/I54)</f>
        <v>#VALUE!</v>
      </c>
      <c r="J70" s="189"/>
      <c r="K70" s="189"/>
      <c r="L70" s="89"/>
      <c r="M70" s="89"/>
      <c r="N70" s="91"/>
      <c r="O70" s="91" t="s">
        <v>261</v>
      </c>
    </row>
    <row r="71" spans="1:15" s="191" customFormat="1" ht="12.75" hidden="1" customHeight="1" outlineLevel="1" x14ac:dyDescent="0.25">
      <c r="A71" s="189" t="s">
        <v>262</v>
      </c>
      <c r="B71" s="189"/>
      <c r="C71" s="189" t="s">
        <v>263</v>
      </c>
      <c r="D71" s="189"/>
      <c r="E71" s="257" t="e">
        <f>1-E70/(3*E69*$E52)</f>
        <v>#VALUE!</v>
      </c>
      <c r="F71" s="257" t="e">
        <f>1-F70/(3*F69*$E52)</f>
        <v>#VALUE!</v>
      </c>
      <c r="G71" s="257" t="e">
        <f>1-G70/(3*G69*$E52)</f>
        <v>#VALUE!</v>
      </c>
      <c r="H71" s="257" t="e">
        <f>1-H70/(3*H69*$E52)</f>
        <v>#VALUE!</v>
      </c>
      <c r="I71" s="257" t="e">
        <f>1-I70/(3*I69*$E52)</f>
        <v>#VALUE!</v>
      </c>
      <c r="J71" s="189"/>
      <c r="K71" s="189"/>
      <c r="L71" s="89"/>
      <c r="M71" s="89"/>
      <c r="N71" s="91"/>
      <c r="O71" s="91" t="s">
        <v>264</v>
      </c>
    </row>
    <row r="72" spans="1:15" s="191" customFormat="1" ht="12.75" hidden="1" customHeight="1" outlineLevel="1" x14ac:dyDescent="0.25">
      <c r="A72" s="189" t="s">
        <v>492</v>
      </c>
      <c r="B72" s="189"/>
      <c r="C72" s="189" t="s">
        <v>265</v>
      </c>
      <c r="D72" s="189" t="s">
        <v>230</v>
      </c>
      <c r="E72" s="266" t="e">
        <f>E67*E71^2/E57</f>
        <v>#VALUE!</v>
      </c>
      <c r="F72" s="266" t="e">
        <f>F67*F71^2/F57</f>
        <v>#VALUE!</v>
      </c>
      <c r="G72" s="266" t="e">
        <f>G67*G71^2/G57</f>
        <v>#VALUE!</v>
      </c>
      <c r="H72" s="266" t="e">
        <f>H67*H71^2/H57</f>
        <v>#VALUE!</v>
      </c>
      <c r="I72" s="266" t="e">
        <f>I67*I71^2/I57</f>
        <v>#VALUE!</v>
      </c>
      <c r="J72" s="189"/>
      <c r="K72" s="189"/>
      <c r="L72" s="89"/>
      <c r="M72" s="89"/>
      <c r="N72" s="91"/>
      <c r="O72" s="91" t="s">
        <v>266</v>
      </c>
    </row>
    <row r="73" spans="1:15" s="191" customFormat="1" ht="12.75" hidden="1" customHeight="1" outlineLevel="1" x14ac:dyDescent="0.25">
      <c r="A73" s="189" t="s">
        <v>491</v>
      </c>
      <c r="B73" s="189"/>
      <c r="C73" s="189" t="s">
        <v>267</v>
      </c>
      <c r="D73" s="189"/>
      <c r="E73" s="195" t="e">
        <f>MINA(E54-E55,E54*E69*$E52)</f>
        <v>#VALUE!</v>
      </c>
      <c r="F73" s="195" t="e">
        <f>MINA(F54-F55,F54*F69*$E52)</f>
        <v>#VALUE!</v>
      </c>
      <c r="G73" s="195" t="e">
        <f>MINA(G54-G55,G54*G69*$E52)</f>
        <v>#VALUE!</v>
      </c>
      <c r="H73" s="195" t="e">
        <f>MINA(H54-H55,H54*H69*$E52)</f>
        <v>#VALUE!</v>
      </c>
      <c r="I73" s="195" t="e">
        <f>MINA(I54-I55,I54*I69*$E52)</f>
        <v>#VALUE!</v>
      </c>
      <c r="J73" s="189"/>
      <c r="K73" s="189"/>
      <c r="L73" s="89"/>
      <c r="M73" s="89"/>
      <c r="N73" s="91"/>
      <c r="O73" s="91" t="s">
        <v>268</v>
      </c>
    </row>
    <row r="74" spans="1:15" s="191" customFormat="1" ht="12.75" hidden="1" customHeight="1" outlineLevel="1" x14ac:dyDescent="0.25">
      <c r="A74" s="189" t="s">
        <v>269</v>
      </c>
      <c r="B74" s="189"/>
      <c r="C74" s="189" t="s">
        <v>115</v>
      </c>
      <c r="D74" s="189" t="s">
        <v>270</v>
      </c>
      <c r="E74" s="195" t="e">
        <f>E53/(31.6*$E51)*(1/(E60*E65)+1/(E72*E73))^0.5</f>
        <v>#DIV/0!</v>
      </c>
      <c r="F74" s="195" t="e">
        <f>F53/(31.6*$E51)*(1/(F60*F65)+1/(F72*F73))^0.5</f>
        <v>#DIV/0!</v>
      </c>
      <c r="G74" s="195" t="e">
        <f>G53/(31.6*$E51)*(1/(G60*G65)+1/(G72*G73))^0.5</f>
        <v>#DIV/0!</v>
      </c>
      <c r="H74" s="195" t="e">
        <f>H53/(31.6*$E51)*(1/(H60*H65)+1/(H72*H73))^0.5</f>
        <v>#DIV/0!</v>
      </c>
      <c r="I74" s="195" t="e">
        <f>I53/(31.6*$E51)*(1/(I60*I65)+1/(I72*I73))^0.5</f>
        <v>#DIV/0!</v>
      </c>
      <c r="J74" s="189"/>
      <c r="K74" s="189"/>
      <c r="L74" s="89"/>
      <c r="M74" s="89"/>
      <c r="N74" s="91"/>
      <c r="O74" s="91"/>
    </row>
    <row r="75" spans="1:15" ht="12.75" customHeight="1" collapsed="1" x14ac:dyDescent="0.25"/>
    <row r="78" spans="1:15" x14ac:dyDescent="0.25">
      <c r="L78" s="180"/>
      <c r="M78" s="180"/>
    </row>
  </sheetData>
  <mergeCells count="51">
    <mergeCell ref="A39:C39"/>
    <mergeCell ref="A31:C31"/>
    <mergeCell ref="A32:C32"/>
    <mergeCell ref="A33:C33"/>
    <mergeCell ref="A34:C34"/>
    <mergeCell ref="A35:C35"/>
    <mergeCell ref="A36:C36"/>
    <mergeCell ref="A21:C21"/>
    <mergeCell ref="E21:I21"/>
    <mergeCell ref="A37:C37"/>
    <mergeCell ref="A38:C38"/>
    <mergeCell ref="A22:C22"/>
    <mergeCell ref="A23:C23"/>
    <mergeCell ref="A24:C24"/>
    <mergeCell ref="A25:C25"/>
    <mergeCell ref="A26:C26"/>
    <mergeCell ref="A27:C27"/>
    <mergeCell ref="A28:C28"/>
    <mergeCell ref="E28:I28"/>
    <mergeCell ref="A29:C29"/>
    <mergeCell ref="A30:C30"/>
    <mergeCell ref="A16:C16"/>
    <mergeCell ref="A17:B17"/>
    <mergeCell ref="A18:B18"/>
    <mergeCell ref="A19:B19"/>
    <mergeCell ref="A20:B20"/>
    <mergeCell ref="A12:C12"/>
    <mergeCell ref="D12:F12"/>
    <mergeCell ref="A13:C13"/>
    <mergeCell ref="A14:C14"/>
    <mergeCell ref="A15:C15"/>
    <mergeCell ref="A11:C11"/>
    <mergeCell ref="D11:F11"/>
    <mergeCell ref="A2:B7"/>
    <mergeCell ref="D6:E6"/>
    <mergeCell ref="D4:G4"/>
    <mergeCell ref="A9:C9"/>
    <mergeCell ref="D9:F9"/>
    <mergeCell ref="A10:C10"/>
    <mergeCell ref="D10:F10"/>
    <mergeCell ref="D7:G7"/>
    <mergeCell ref="I4:K4"/>
    <mergeCell ref="D5:E5"/>
    <mergeCell ref="I5:K5"/>
    <mergeCell ref="I6:K6"/>
    <mergeCell ref="F1:H1"/>
    <mergeCell ref="I1:K1"/>
    <mergeCell ref="D3:G3"/>
    <mergeCell ref="I3:K3"/>
    <mergeCell ref="D2:E2"/>
    <mergeCell ref="A1:E1"/>
  </mergeCells>
  <conditionalFormatting sqref="F17:F20 E14:F15 E22:I27">
    <cfRule type="expression" dxfId="1" priority="47" stopIfTrue="1">
      <formula>NOT(ISBLANK(E14))</formula>
    </cfRule>
  </conditionalFormatting>
  <conditionalFormatting sqref="A13:F15 A31:I32 A26:C27 E26:I27 D27">
    <cfRule type="expression" dxfId="0" priority="37" stopIfTrue="1">
      <formula>$L13="Not Req'd"</formula>
    </cfRule>
  </conditionalFormatting>
  <dataValidations count="11">
    <dataValidation type="list" allowBlank="1" showInputMessage="1" showErrorMessage="1" sqref="D34">
      <formula1>"kg/m3,lb/ft3,g/cm3"</formula1>
    </dataValidation>
    <dataValidation type="list" allowBlank="1" showInputMessage="1" showErrorMessage="1" sqref="D30">
      <formula1>"deg C,deg F,K,deg R"</formula1>
    </dataValidation>
    <dataValidation type="list" allowBlank="1" showInputMessage="1" showErrorMessage="1" sqref="D39">
      <formula1>"Cv,Kv"</formula1>
    </dataValidation>
    <dataValidation type="list" allowBlank="1" showInputMessage="1" showErrorMessage="1" sqref="D31">
      <formula1>"Btu/lb,kcal/kg,kJ/kg"</formula1>
    </dataValidation>
    <dataValidation type="list" allowBlank="1" showInputMessage="1" showErrorMessage="1" sqref="D12:F12">
      <formula1>ValveTypes</formula1>
    </dataValidation>
    <dataValidation type="list" allowBlank="1" showInputMessage="1" showErrorMessage="1" sqref="D10">
      <formula1>"Enthalpy,Quality"</formula1>
    </dataValidation>
    <dataValidation type="list" allowBlank="1" showInputMessage="1" showErrorMessage="1" sqref="D11">
      <formula1>"Ignore Correction, Calculate Correction"</formula1>
    </dataValidation>
    <dataValidation type="list" allowBlank="1" showInputMessage="1" showErrorMessage="1" sqref="D14">
      <formula1>"mm,in."</formula1>
    </dataValidation>
    <dataValidation type="list" allowBlank="1" showInputMessage="1" showErrorMessage="1" sqref="D23">
      <formula1>"kg/s,kg/h,lb/h,mt/h"</formula1>
    </dataValidation>
    <dataValidation type="list" allowBlank="1" showInputMessage="1" showErrorMessage="1" sqref="D24 D26">
      <formula1>"barA,barG,MPaA,MPaG,psiA,psiG,kPaA,kPaG,kg/cm2A,kg/cm2G"</formula1>
    </dataValidation>
    <dataValidation type="list" allowBlank="1" showInputMessage="1" showErrorMessage="1" sqref="A25:C25">
      <formula1>"Outlet Pressure, Pressure Drop"</formula1>
    </dataValidation>
  </dataValidations>
  <pageMargins left="0.47" right="0.41" top="0.71" bottom="1.1659999999999999" header="0.9" footer="0.5"/>
  <pageSetup scale="58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22"/>
  </sheetPr>
  <dimension ref="A1:AR153"/>
  <sheetViews>
    <sheetView workbookViewId="0">
      <selection activeCell="C21" sqref="C21"/>
    </sheetView>
  </sheetViews>
  <sheetFormatPr defaultColWidth="11.453125" defaultRowHeight="15.5" x14ac:dyDescent="0.35"/>
  <cols>
    <col min="1" max="2" width="33.08984375" style="15" customWidth="1"/>
    <col min="3" max="3" width="10" style="17" customWidth="1"/>
    <col min="4" max="4" width="11.453125" style="15" customWidth="1"/>
    <col min="5" max="7" width="11.54296875" style="15" customWidth="1"/>
    <col min="8" max="8" width="11.54296875" style="17" customWidth="1"/>
    <col min="9" max="11" width="11.54296875" style="15" customWidth="1"/>
    <col min="12" max="13" width="15.6328125" style="15" customWidth="1"/>
    <col min="14" max="22" width="11.54296875" style="15" customWidth="1"/>
    <col min="23" max="24" width="11.453125" style="15" customWidth="1"/>
    <col min="25" max="28" width="13.90625" style="15" customWidth="1"/>
    <col min="29" max="32" width="13.90625" style="48" customWidth="1"/>
    <col min="33" max="34" width="11.453125" style="15" customWidth="1"/>
    <col min="35" max="35" width="11.90625" style="15" customWidth="1"/>
    <col min="36" max="43" width="11.453125" style="15" customWidth="1"/>
    <col min="44" max="44" width="12.54296875" style="15" customWidth="1"/>
    <col min="45" max="16384" width="11.453125" style="15"/>
  </cols>
  <sheetData>
    <row r="1" spans="1:42" ht="20" x14ac:dyDescent="0.4">
      <c r="A1" s="47" t="s">
        <v>18</v>
      </c>
      <c r="B1" s="47" t="s">
        <v>455</v>
      </c>
      <c r="C1" s="16"/>
      <c r="AO1" s="17">
        <v>104</v>
      </c>
      <c r="AP1" s="15" t="s">
        <v>19</v>
      </c>
    </row>
    <row r="2" spans="1:42" ht="18" x14ac:dyDescent="0.4">
      <c r="A2" s="14"/>
      <c r="C2" s="16"/>
      <c r="AO2" s="17"/>
    </row>
    <row r="3" spans="1:42" s="19" customFormat="1" ht="18" x14ac:dyDescent="0.4">
      <c r="A3" s="18" t="s">
        <v>20</v>
      </c>
      <c r="C3" s="16"/>
      <c r="H3" s="17"/>
      <c r="AC3" s="49"/>
      <c r="AD3" s="49"/>
      <c r="AE3" s="49"/>
      <c r="AF3" s="49"/>
      <c r="AO3" s="17">
        <f>Conv("T",AO1,$AP$1,AP3)</f>
        <v>563.66999999999996</v>
      </c>
      <c r="AP3" s="19" t="s">
        <v>456</v>
      </c>
    </row>
    <row r="4" spans="1:42" ht="18" x14ac:dyDescent="0.4">
      <c r="A4" s="19" t="s">
        <v>21</v>
      </c>
      <c r="C4" s="16"/>
      <c r="AO4" s="17">
        <f>Conv("T",AO1,$AP$1,AP4)</f>
        <v>40</v>
      </c>
      <c r="AP4" s="15" t="s">
        <v>22</v>
      </c>
    </row>
    <row r="5" spans="1:42" x14ac:dyDescent="0.35">
      <c r="A5" s="20" t="s">
        <v>23</v>
      </c>
      <c r="AO5" s="17">
        <f>Conv("T",AO1,$AP$1,AP5)</f>
        <v>313.14999999999998</v>
      </c>
      <c r="AP5" s="15" t="s">
        <v>24</v>
      </c>
    </row>
    <row r="6" spans="1:42" x14ac:dyDescent="0.35">
      <c r="B6" s="20"/>
      <c r="AO6" s="17"/>
    </row>
    <row r="7" spans="1:42" ht="18" x14ac:dyDescent="0.4">
      <c r="A7" s="14" t="s">
        <v>25</v>
      </c>
      <c r="B7" s="20"/>
      <c r="AO7" s="17"/>
    </row>
    <row r="8" spans="1:42" x14ac:dyDescent="0.35">
      <c r="B8" s="20"/>
      <c r="AO8" s="17"/>
    </row>
    <row r="9" spans="1:42" x14ac:dyDescent="0.35">
      <c r="A9" s="21" t="s">
        <v>26</v>
      </c>
      <c r="B9" s="21" t="s">
        <v>27</v>
      </c>
      <c r="AO9" s="17"/>
    </row>
    <row r="10" spans="1:42" x14ac:dyDescent="0.35">
      <c r="A10" s="392" t="s">
        <v>28</v>
      </c>
      <c r="B10" s="21" t="s">
        <v>29</v>
      </c>
      <c r="AO10" s="17"/>
    </row>
    <row r="11" spans="1:42" x14ac:dyDescent="0.35">
      <c r="A11" s="392" t="s">
        <v>30</v>
      </c>
      <c r="B11" s="64" t="s">
        <v>176</v>
      </c>
      <c r="AO11" s="17"/>
    </row>
    <row r="12" spans="1:42" x14ac:dyDescent="0.35">
      <c r="A12" s="393" t="s">
        <v>31</v>
      </c>
      <c r="B12" s="22" t="s">
        <v>31</v>
      </c>
      <c r="AO12" s="17"/>
    </row>
    <row r="13" spans="1:42" x14ac:dyDescent="0.35">
      <c r="A13" s="393" t="s">
        <v>32</v>
      </c>
      <c r="B13" s="22" t="s">
        <v>32</v>
      </c>
      <c r="AO13" s="17"/>
    </row>
    <row r="14" spans="1:42" x14ac:dyDescent="0.35">
      <c r="A14" s="393" t="s">
        <v>33</v>
      </c>
      <c r="B14" s="22" t="s">
        <v>31</v>
      </c>
      <c r="AO14" s="17"/>
    </row>
    <row r="15" spans="1:42" x14ac:dyDescent="0.35">
      <c r="A15" s="393" t="s">
        <v>34</v>
      </c>
      <c r="B15" s="22" t="s">
        <v>32</v>
      </c>
      <c r="AO15" s="17"/>
    </row>
    <row r="16" spans="1:42" x14ac:dyDescent="0.35">
      <c r="A16" s="393" t="s">
        <v>35</v>
      </c>
      <c r="B16" s="22" t="s">
        <v>36</v>
      </c>
      <c r="AO16" s="17"/>
    </row>
    <row r="17" spans="1:41" x14ac:dyDescent="0.35">
      <c r="A17" s="393" t="s">
        <v>37</v>
      </c>
      <c r="B17" s="22" t="s">
        <v>38</v>
      </c>
      <c r="AO17" s="17"/>
    </row>
    <row r="18" spans="1:41" x14ac:dyDescent="0.35">
      <c r="A18" s="393" t="s">
        <v>39</v>
      </c>
      <c r="B18" s="22" t="s">
        <v>31</v>
      </c>
      <c r="AO18" s="17"/>
    </row>
    <row r="19" spans="1:41" x14ac:dyDescent="0.35">
      <c r="A19" s="393" t="s">
        <v>40</v>
      </c>
      <c r="B19" s="22" t="s">
        <v>41</v>
      </c>
      <c r="AO19" s="17"/>
    </row>
    <row r="20" spans="1:41" x14ac:dyDescent="0.35">
      <c r="A20" s="393" t="s">
        <v>42</v>
      </c>
      <c r="B20" s="22" t="s">
        <v>43</v>
      </c>
      <c r="AO20" s="17"/>
    </row>
    <row r="21" spans="1:41" x14ac:dyDescent="0.35">
      <c r="A21" s="393" t="s">
        <v>44</v>
      </c>
      <c r="B21" s="22" t="s">
        <v>44</v>
      </c>
      <c r="AO21" s="17"/>
    </row>
    <row r="22" spans="1:41" x14ac:dyDescent="0.35">
      <c r="A22" s="393" t="s">
        <v>45</v>
      </c>
      <c r="B22" s="22" t="s">
        <v>45</v>
      </c>
      <c r="AO22" s="17"/>
    </row>
    <row r="23" spans="1:41" x14ac:dyDescent="0.35">
      <c r="A23" s="393" t="s">
        <v>46</v>
      </c>
      <c r="B23" s="22" t="s">
        <v>47</v>
      </c>
      <c r="AO23" s="17"/>
    </row>
    <row r="24" spans="1:41" x14ac:dyDescent="0.35">
      <c r="A24" s="393" t="s">
        <v>48</v>
      </c>
      <c r="B24" s="22" t="s">
        <v>48</v>
      </c>
      <c r="AO24" s="17"/>
    </row>
    <row r="25" spans="1:41" x14ac:dyDescent="0.35">
      <c r="A25" s="393" t="s">
        <v>49</v>
      </c>
      <c r="B25" s="22" t="s">
        <v>49</v>
      </c>
      <c r="AO25" s="17"/>
    </row>
    <row r="26" spans="1:41" x14ac:dyDescent="0.35">
      <c r="A26" s="393" t="s">
        <v>50</v>
      </c>
      <c r="B26" s="22" t="s">
        <v>50</v>
      </c>
      <c r="AO26" s="17"/>
    </row>
    <row r="27" spans="1:41" x14ac:dyDescent="0.35">
      <c r="A27" s="393" t="s">
        <v>51</v>
      </c>
      <c r="B27" s="22" t="s">
        <v>51</v>
      </c>
      <c r="AO27" s="17"/>
    </row>
    <row r="28" spans="1:41" x14ac:dyDescent="0.35">
      <c r="A28" s="393" t="s">
        <v>52</v>
      </c>
      <c r="B28" s="22" t="s">
        <v>52</v>
      </c>
      <c r="AO28" s="17"/>
    </row>
    <row r="29" spans="1:41" x14ac:dyDescent="0.35">
      <c r="A29" s="393" t="s">
        <v>36</v>
      </c>
      <c r="B29" s="22" t="s">
        <v>36</v>
      </c>
      <c r="AO29" s="17"/>
    </row>
    <row r="30" spans="1:41" x14ac:dyDescent="0.35">
      <c r="A30" s="393" t="s">
        <v>53</v>
      </c>
      <c r="B30" s="22" t="s">
        <v>53</v>
      </c>
      <c r="AO30" s="17"/>
    </row>
    <row r="31" spans="1:41" x14ac:dyDescent="0.35">
      <c r="A31" s="393" t="s">
        <v>54</v>
      </c>
      <c r="B31" s="22" t="s">
        <v>54</v>
      </c>
      <c r="AO31" s="17"/>
    </row>
    <row r="32" spans="1:41" x14ac:dyDescent="0.35">
      <c r="A32" s="393" t="s">
        <v>55</v>
      </c>
      <c r="B32" s="22" t="s">
        <v>55</v>
      </c>
      <c r="AO32" s="17"/>
    </row>
    <row r="33" spans="1:41" x14ac:dyDescent="0.35">
      <c r="A33" s="393" t="s">
        <v>56</v>
      </c>
      <c r="B33" s="22" t="s">
        <v>56</v>
      </c>
      <c r="AO33" s="17"/>
    </row>
    <row r="34" spans="1:41" x14ac:dyDescent="0.35">
      <c r="A34" s="393" t="s">
        <v>57</v>
      </c>
      <c r="B34" s="22" t="s">
        <v>57</v>
      </c>
      <c r="AO34" s="17"/>
    </row>
    <row r="35" spans="1:41" x14ac:dyDescent="0.35">
      <c r="A35" s="393" t="s">
        <v>58</v>
      </c>
      <c r="B35" s="22" t="s">
        <v>58</v>
      </c>
      <c r="AO35" s="17"/>
    </row>
    <row r="36" spans="1:41" x14ac:dyDescent="0.35">
      <c r="A36" s="393" t="s">
        <v>59</v>
      </c>
      <c r="B36" s="22" t="s">
        <v>59</v>
      </c>
      <c r="AO36" s="17"/>
    </row>
    <row r="37" spans="1:41" x14ac:dyDescent="0.35">
      <c r="A37" s="393" t="s">
        <v>60</v>
      </c>
      <c r="B37" s="22" t="s">
        <v>60</v>
      </c>
      <c r="AO37" s="17"/>
    </row>
    <row r="38" spans="1:41" x14ac:dyDescent="0.35">
      <c r="A38" s="393" t="s">
        <v>47</v>
      </c>
      <c r="B38" s="22" t="s">
        <v>47</v>
      </c>
      <c r="AO38" s="17"/>
    </row>
    <row r="39" spans="1:41" x14ac:dyDescent="0.35">
      <c r="A39" s="393" t="s">
        <v>61</v>
      </c>
      <c r="B39" s="22" t="s">
        <v>43</v>
      </c>
      <c r="AO39" s="17"/>
    </row>
    <row r="40" spans="1:41" x14ac:dyDescent="0.35">
      <c r="A40" s="393" t="s">
        <v>62</v>
      </c>
      <c r="B40" s="22" t="s">
        <v>47</v>
      </c>
      <c r="AO40" s="17"/>
    </row>
    <row r="41" spans="1:41" x14ac:dyDescent="0.35">
      <c r="A41" s="393" t="s">
        <v>63</v>
      </c>
      <c r="B41" s="22" t="s">
        <v>63</v>
      </c>
      <c r="AO41" s="17"/>
    </row>
    <row r="42" spans="1:41" x14ac:dyDescent="0.35">
      <c r="A42" s="393" t="s">
        <v>43</v>
      </c>
      <c r="B42" s="22" t="s">
        <v>43</v>
      </c>
      <c r="AO42" s="17"/>
    </row>
    <row r="43" spans="1:41" x14ac:dyDescent="0.35">
      <c r="A43" s="393" t="s">
        <v>64</v>
      </c>
      <c r="B43" s="22" t="s">
        <v>59</v>
      </c>
      <c r="AO43" s="17"/>
    </row>
    <row r="44" spans="1:41" x14ac:dyDescent="0.35">
      <c r="A44" s="393" t="s">
        <v>65</v>
      </c>
      <c r="B44" s="22" t="s">
        <v>65</v>
      </c>
      <c r="AO44" s="17"/>
    </row>
    <row r="45" spans="1:41" x14ac:dyDescent="0.35">
      <c r="A45" s="393" t="s">
        <v>66</v>
      </c>
      <c r="B45" s="22" t="s">
        <v>66</v>
      </c>
      <c r="AO45" s="17"/>
    </row>
    <row r="46" spans="1:41" x14ac:dyDescent="0.35">
      <c r="A46" s="393" t="s">
        <v>67</v>
      </c>
      <c r="B46" s="22" t="s">
        <v>67</v>
      </c>
      <c r="AO46" s="17"/>
    </row>
    <row r="47" spans="1:41" x14ac:dyDescent="0.35">
      <c r="A47" s="393" t="s">
        <v>68</v>
      </c>
      <c r="B47" s="22" t="s">
        <v>68</v>
      </c>
      <c r="AO47" s="17"/>
    </row>
    <row r="48" spans="1:41" x14ac:dyDescent="0.35">
      <c r="A48" s="393" t="s">
        <v>69</v>
      </c>
      <c r="B48" s="22" t="s">
        <v>69</v>
      </c>
      <c r="AO48" s="17"/>
    </row>
    <row r="49" spans="1:41" x14ac:dyDescent="0.35">
      <c r="A49" s="393" t="s">
        <v>70</v>
      </c>
      <c r="B49" s="22" t="s">
        <v>70</v>
      </c>
      <c r="AO49" s="17"/>
    </row>
    <row r="50" spans="1:41" x14ac:dyDescent="0.35">
      <c r="A50" s="393" t="s">
        <v>71</v>
      </c>
      <c r="B50" s="22" t="s">
        <v>71</v>
      </c>
      <c r="AO50" s="17"/>
    </row>
    <row r="51" spans="1:41" x14ac:dyDescent="0.35">
      <c r="A51" s="393" t="s">
        <v>72</v>
      </c>
      <c r="B51" s="22" t="s">
        <v>31</v>
      </c>
      <c r="AO51" s="17"/>
    </row>
    <row r="52" spans="1:41" x14ac:dyDescent="0.35">
      <c r="A52" s="393" t="s">
        <v>73</v>
      </c>
      <c r="B52" s="22" t="s">
        <v>31</v>
      </c>
      <c r="AO52" s="17"/>
    </row>
    <row r="53" spans="1:41" x14ac:dyDescent="0.35">
      <c r="A53" s="393" t="s">
        <v>74</v>
      </c>
      <c r="B53" s="22" t="s">
        <v>38</v>
      </c>
      <c r="AO53" s="17"/>
    </row>
    <row r="54" spans="1:41" x14ac:dyDescent="0.35">
      <c r="A54" s="393" t="s">
        <v>75</v>
      </c>
      <c r="B54" s="22" t="s">
        <v>32</v>
      </c>
      <c r="AO54" s="17"/>
    </row>
    <row r="55" spans="1:41" x14ac:dyDescent="0.35">
      <c r="A55" s="393" t="s">
        <v>76</v>
      </c>
      <c r="B55" s="22" t="s">
        <v>51</v>
      </c>
      <c r="AO55" s="17"/>
    </row>
    <row r="56" spans="1:41" x14ac:dyDescent="0.35">
      <c r="A56" s="393" t="s">
        <v>77</v>
      </c>
      <c r="B56" s="22" t="s">
        <v>36</v>
      </c>
      <c r="AO56" s="17"/>
    </row>
    <row r="57" spans="1:41" x14ac:dyDescent="0.35">
      <c r="A57" s="393" t="s">
        <v>78</v>
      </c>
      <c r="B57" s="22" t="s">
        <v>78</v>
      </c>
      <c r="AO57" s="17"/>
    </row>
    <row r="58" spans="1:41" x14ac:dyDescent="0.35">
      <c r="A58" s="393" t="s">
        <v>79</v>
      </c>
      <c r="B58" s="22" t="s">
        <v>80</v>
      </c>
      <c r="AO58" s="17"/>
    </row>
    <row r="59" spans="1:41" x14ac:dyDescent="0.35">
      <c r="A59" s="393" t="s">
        <v>80</v>
      </c>
      <c r="B59" s="22" t="s">
        <v>80</v>
      </c>
      <c r="AO59" s="17"/>
    </row>
    <row r="60" spans="1:41" x14ac:dyDescent="0.35">
      <c r="A60" s="393" t="s">
        <v>81</v>
      </c>
      <c r="B60" s="22" t="s">
        <v>81</v>
      </c>
      <c r="AO60" s="17"/>
    </row>
    <row r="61" spans="1:41" x14ac:dyDescent="0.35">
      <c r="A61" s="393" t="s">
        <v>82</v>
      </c>
      <c r="B61" s="22" t="s">
        <v>82</v>
      </c>
      <c r="AO61" s="17"/>
    </row>
    <row r="62" spans="1:41" x14ac:dyDescent="0.35">
      <c r="A62" s="393" t="s">
        <v>83</v>
      </c>
      <c r="B62" s="22" t="s">
        <v>83</v>
      </c>
      <c r="AO62" s="17"/>
    </row>
    <row r="63" spans="1:41" x14ac:dyDescent="0.35">
      <c r="A63" s="393" t="s">
        <v>84</v>
      </c>
      <c r="B63" s="22" t="s">
        <v>84</v>
      </c>
      <c r="AO63" s="17"/>
    </row>
    <row r="64" spans="1:41" x14ac:dyDescent="0.35">
      <c r="A64" s="393" t="s">
        <v>85</v>
      </c>
      <c r="B64" s="22" t="s">
        <v>85</v>
      </c>
      <c r="AO64" s="17"/>
    </row>
    <row r="65" spans="1:41" x14ac:dyDescent="0.35">
      <c r="A65" s="393" t="s">
        <v>86</v>
      </c>
      <c r="B65" s="22" t="s">
        <v>86</v>
      </c>
      <c r="AO65" s="17"/>
    </row>
    <row r="66" spans="1:41" x14ac:dyDescent="0.35">
      <c r="A66" s="393" t="s">
        <v>87</v>
      </c>
      <c r="B66" s="22" t="s">
        <v>52</v>
      </c>
      <c r="AO66" s="17"/>
    </row>
    <row r="67" spans="1:41" x14ac:dyDescent="0.35">
      <c r="A67" s="393" t="s">
        <v>88</v>
      </c>
      <c r="B67" s="22" t="s">
        <v>58</v>
      </c>
      <c r="AO67" s="17"/>
    </row>
    <row r="68" spans="1:41" x14ac:dyDescent="0.35">
      <c r="A68" s="393" t="s">
        <v>89</v>
      </c>
      <c r="B68" s="22" t="s">
        <v>66</v>
      </c>
      <c r="AO68" s="17"/>
    </row>
    <row r="69" spans="1:41" x14ac:dyDescent="0.35">
      <c r="A69" s="393" t="s">
        <v>90</v>
      </c>
      <c r="B69" s="22" t="s">
        <v>67</v>
      </c>
      <c r="AO69" s="17"/>
    </row>
    <row r="70" spans="1:41" x14ac:dyDescent="0.35">
      <c r="A70" s="393" t="s">
        <v>91</v>
      </c>
      <c r="B70" s="22" t="s">
        <v>86</v>
      </c>
      <c r="AO70" s="17"/>
    </row>
    <row r="71" spans="1:41" x14ac:dyDescent="0.35">
      <c r="A71" s="393" t="s">
        <v>92</v>
      </c>
      <c r="B71" s="22" t="s">
        <v>93</v>
      </c>
      <c r="AO71" s="17"/>
    </row>
    <row r="72" spans="1:41" x14ac:dyDescent="0.35">
      <c r="A72" s="393" t="s">
        <v>94</v>
      </c>
      <c r="B72" s="22" t="s">
        <v>95</v>
      </c>
      <c r="AO72" s="17"/>
    </row>
    <row r="73" spans="1:41" x14ac:dyDescent="0.35">
      <c r="A73" s="393" t="s">
        <v>96</v>
      </c>
      <c r="B73" s="22" t="s">
        <v>97</v>
      </c>
      <c r="AO73" s="17"/>
    </row>
    <row r="74" spans="1:41" x14ac:dyDescent="0.35">
      <c r="A74" s="393" t="s">
        <v>93</v>
      </c>
      <c r="B74" s="22" t="s">
        <v>93</v>
      </c>
      <c r="AO74" s="17"/>
    </row>
    <row r="75" spans="1:41" x14ac:dyDescent="0.35">
      <c r="A75" s="393" t="s">
        <v>98</v>
      </c>
      <c r="B75" s="22" t="s">
        <v>98</v>
      </c>
      <c r="AO75" s="17"/>
    </row>
    <row r="76" spans="1:41" x14ac:dyDescent="0.35">
      <c r="A76" s="393" t="s">
        <v>95</v>
      </c>
      <c r="B76" s="22" t="s">
        <v>95</v>
      </c>
      <c r="AO76" s="17"/>
    </row>
    <row r="77" spans="1:41" x14ac:dyDescent="0.35">
      <c r="A77" s="393" t="s">
        <v>38</v>
      </c>
      <c r="B77" s="22" t="s">
        <v>38</v>
      </c>
      <c r="AO77" s="17"/>
    </row>
    <row r="78" spans="1:41" x14ac:dyDescent="0.35">
      <c r="A78" s="393" t="s">
        <v>41</v>
      </c>
      <c r="B78" s="22" t="s">
        <v>41</v>
      </c>
      <c r="AO78" s="17"/>
    </row>
    <row r="79" spans="1:41" x14ac:dyDescent="0.35">
      <c r="A79" s="393" t="s">
        <v>97</v>
      </c>
      <c r="B79" s="22" t="s">
        <v>97</v>
      </c>
      <c r="AO79" s="17"/>
    </row>
    <row r="80" spans="1:41" x14ac:dyDescent="0.35">
      <c r="A80" s="393" t="s">
        <v>99</v>
      </c>
      <c r="B80" s="22" t="s">
        <v>99</v>
      </c>
      <c r="AO80" s="17"/>
    </row>
    <row r="81" spans="1:41" x14ac:dyDescent="0.35">
      <c r="A81" s="393" t="s">
        <v>100</v>
      </c>
      <c r="B81" s="22" t="s">
        <v>31</v>
      </c>
      <c r="AO81" s="17"/>
    </row>
    <row r="82" spans="1:41" x14ac:dyDescent="0.35">
      <c r="A82" s="393" t="s">
        <v>101</v>
      </c>
      <c r="B82" s="22" t="s">
        <v>99</v>
      </c>
      <c r="AO82" s="17"/>
    </row>
    <row r="83" spans="1:41" x14ac:dyDescent="0.35">
      <c r="A83" s="393" t="s">
        <v>485</v>
      </c>
      <c r="B83" s="22" t="s">
        <v>29</v>
      </c>
      <c r="AO83" s="17"/>
    </row>
    <row r="84" spans="1:41" x14ac:dyDescent="0.35">
      <c r="A84" s="393" t="s">
        <v>102</v>
      </c>
      <c r="B84" s="22" t="s">
        <v>102</v>
      </c>
      <c r="AO84" s="17"/>
    </row>
    <row r="85" spans="1:41" x14ac:dyDescent="0.35">
      <c r="A85" s="393" t="s">
        <v>103</v>
      </c>
      <c r="B85" s="22" t="s">
        <v>103</v>
      </c>
      <c r="AO85" s="17"/>
    </row>
    <row r="86" spans="1:41" x14ac:dyDescent="0.35">
      <c r="A86" s="393" t="s">
        <v>29</v>
      </c>
      <c r="B86" s="22" t="s">
        <v>29</v>
      </c>
      <c r="AO86" s="17"/>
    </row>
    <row r="87" spans="1:41" x14ac:dyDescent="0.35">
      <c r="B87" s="20"/>
      <c r="AO87" s="17"/>
    </row>
    <row r="88" spans="1:41" x14ac:dyDescent="0.35">
      <c r="B88" s="20"/>
      <c r="H88" s="15"/>
      <c r="AO88" s="17"/>
    </row>
    <row r="89" spans="1:41" x14ac:dyDescent="0.35">
      <c r="B89" s="20"/>
      <c r="C89" s="15"/>
      <c r="H89" s="15"/>
      <c r="AO89" s="17"/>
    </row>
    <row r="90" spans="1:41" x14ac:dyDescent="0.35">
      <c r="B90" s="20"/>
      <c r="C90" s="15"/>
      <c r="H90" s="15"/>
      <c r="AO90" s="17"/>
    </row>
    <row r="91" spans="1:41" x14ac:dyDescent="0.35">
      <c r="B91" s="20"/>
      <c r="C91" s="15"/>
      <c r="H91" s="15"/>
      <c r="AO91" s="17"/>
    </row>
    <row r="92" spans="1:41" x14ac:dyDescent="0.35">
      <c r="B92" s="20"/>
      <c r="C92" s="15"/>
      <c r="H92" s="15"/>
      <c r="AO92" s="17"/>
    </row>
    <row r="93" spans="1:41" x14ac:dyDescent="0.35">
      <c r="B93" s="20"/>
      <c r="C93" s="23"/>
      <c r="AO93" s="17"/>
    </row>
    <row r="94" spans="1:41" x14ac:dyDescent="0.35">
      <c r="B94" s="20"/>
      <c r="C94" s="23"/>
      <c r="AO94" s="17"/>
    </row>
    <row r="95" spans="1:41" x14ac:dyDescent="0.35">
      <c r="B95" s="20"/>
      <c r="AO95" s="17"/>
    </row>
    <row r="96" spans="1:41" x14ac:dyDescent="0.35">
      <c r="B96" s="20"/>
      <c r="AO96" s="17"/>
    </row>
    <row r="97" spans="1:44" x14ac:dyDescent="0.35">
      <c r="B97" s="20"/>
      <c r="AO97" s="17"/>
    </row>
    <row r="98" spans="1:44" ht="18" x14ac:dyDescent="0.4">
      <c r="B98" s="24" t="s">
        <v>104</v>
      </c>
      <c r="AO98" s="17"/>
    </row>
    <row r="99" spans="1:44" x14ac:dyDescent="0.35">
      <c r="B99" s="25">
        <v>1</v>
      </c>
      <c r="C99" s="25">
        <v>2</v>
      </c>
      <c r="D99" s="25">
        <v>3</v>
      </c>
      <c r="E99" s="25">
        <v>4</v>
      </c>
      <c r="F99" s="25">
        <v>5</v>
      </c>
      <c r="G99" s="25">
        <v>6</v>
      </c>
      <c r="H99" s="25">
        <v>7</v>
      </c>
      <c r="I99" s="25">
        <v>8</v>
      </c>
      <c r="J99" s="25">
        <v>9</v>
      </c>
      <c r="K99" s="25">
        <v>10</v>
      </c>
      <c r="L99" s="25">
        <v>11</v>
      </c>
      <c r="M99" s="25">
        <v>12</v>
      </c>
      <c r="N99" s="25">
        <v>13</v>
      </c>
    </row>
    <row r="100" spans="1:44" s="26" customFormat="1" ht="35.15" customHeight="1" x14ac:dyDescent="0.35">
      <c r="C100" s="27" t="s">
        <v>105</v>
      </c>
      <c r="H100" s="27" t="s">
        <v>106</v>
      </c>
      <c r="I100" s="390" t="s">
        <v>433</v>
      </c>
      <c r="J100" s="390"/>
      <c r="K100" s="390"/>
      <c r="L100" s="390" t="s">
        <v>107</v>
      </c>
      <c r="M100" s="390"/>
      <c r="O100" s="27" t="s">
        <v>457</v>
      </c>
      <c r="P100" s="390" t="s">
        <v>458</v>
      </c>
      <c r="Q100" s="390"/>
      <c r="R100" s="390"/>
      <c r="S100" s="390"/>
      <c r="T100" s="390"/>
      <c r="U100" s="390"/>
      <c r="V100" s="390"/>
      <c r="W100" s="390"/>
      <c r="X100" s="390"/>
      <c r="Y100" s="390" t="s">
        <v>459</v>
      </c>
      <c r="Z100" s="390"/>
      <c r="AA100" s="390"/>
      <c r="AB100" s="390"/>
      <c r="AC100" s="391" t="s">
        <v>460</v>
      </c>
      <c r="AD100" s="391"/>
      <c r="AE100" s="391"/>
      <c r="AF100" s="391"/>
      <c r="AG100" s="390" t="s">
        <v>461</v>
      </c>
      <c r="AH100" s="390"/>
      <c r="AI100" s="390"/>
      <c r="AJ100" s="390"/>
      <c r="AK100" s="390"/>
      <c r="AL100" s="390"/>
      <c r="AM100" s="390"/>
      <c r="AN100" s="390"/>
      <c r="AO100" s="389" t="s">
        <v>462</v>
      </c>
      <c r="AP100" s="389"/>
      <c r="AQ100" s="389"/>
      <c r="AR100" s="389"/>
    </row>
    <row r="101" spans="1:44" x14ac:dyDescent="0.35">
      <c r="A101" s="21"/>
      <c r="B101" s="21" t="s">
        <v>108</v>
      </c>
      <c r="C101" s="28"/>
      <c r="D101" s="21" t="s">
        <v>109</v>
      </c>
      <c r="E101" s="28" t="s">
        <v>110</v>
      </c>
      <c r="F101" s="28" t="s">
        <v>111</v>
      </c>
      <c r="G101" s="28" t="s">
        <v>112</v>
      </c>
      <c r="H101" s="28"/>
      <c r="I101" s="28" t="s">
        <v>113</v>
      </c>
      <c r="J101" s="28" t="s">
        <v>114</v>
      </c>
      <c r="K101" s="28" t="s">
        <v>115</v>
      </c>
      <c r="L101" s="28" t="s">
        <v>116</v>
      </c>
      <c r="M101" s="29" t="s">
        <v>117</v>
      </c>
      <c r="N101" s="28" t="s">
        <v>118</v>
      </c>
      <c r="O101" s="28" t="s">
        <v>463</v>
      </c>
      <c r="P101" s="28" t="s">
        <v>464</v>
      </c>
      <c r="Q101" s="28" t="s">
        <v>465</v>
      </c>
      <c r="R101" s="28" t="s">
        <v>466</v>
      </c>
      <c r="S101" s="28" t="s">
        <v>467</v>
      </c>
      <c r="T101" s="28" t="s">
        <v>468</v>
      </c>
      <c r="U101" s="28" t="s">
        <v>469</v>
      </c>
      <c r="V101" s="28" t="s">
        <v>470</v>
      </c>
      <c r="W101" s="28" t="s">
        <v>471</v>
      </c>
      <c r="X101" s="28" t="s">
        <v>472</v>
      </c>
      <c r="Y101" s="28" t="s">
        <v>473</v>
      </c>
      <c r="Z101" s="28" t="s">
        <v>474</v>
      </c>
      <c r="AA101" s="28" t="s">
        <v>119</v>
      </c>
      <c r="AB101" s="28" t="s">
        <v>475</v>
      </c>
      <c r="AC101" s="30" t="s">
        <v>473</v>
      </c>
      <c r="AD101" s="30" t="s">
        <v>474</v>
      </c>
      <c r="AE101" s="30" t="s">
        <v>119</v>
      </c>
      <c r="AF101" s="30" t="s">
        <v>475</v>
      </c>
      <c r="AG101" s="28" t="s">
        <v>113</v>
      </c>
      <c r="AH101" s="28" t="s">
        <v>114</v>
      </c>
      <c r="AI101" s="28" t="s">
        <v>115</v>
      </c>
      <c r="AJ101" s="28" t="s">
        <v>476</v>
      </c>
      <c r="AK101" s="28" t="s">
        <v>477</v>
      </c>
      <c r="AL101" s="28" t="s">
        <v>478</v>
      </c>
      <c r="AM101" s="28" t="s">
        <v>479</v>
      </c>
      <c r="AN101" s="28" t="s">
        <v>480</v>
      </c>
      <c r="AO101" s="28" t="s">
        <v>481</v>
      </c>
      <c r="AP101" s="28" t="s">
        <v>482</v>
      </c>
      <c r="AQ101" s="28" t="s">
        <v>483</v>
      </c>
      <c r="AR101" s="28" t="s">
        <v>484</v>
      </c>
    </row>
    <row r="102" spans="1:44" x14ac:dyDescent="0.35">
      <c r="B102" s="31"/>
      <c r="C102" s="28"/>
      <c r="D102" s="31"/>
      <c r="E102" s="28"/>
      <c r="F102" s="32" t="s">
        <v>24</v>
      </c>
      <c r="G102" s="32" t="s">
        <v>432</v>
      </c>
      <c r="H102" s="32" t="s">
        <v>24</v>
      </c>
      <c r="I102" s="31"/>
      <c r="J102" s="31"/>
      <c r="K102" s="31"/>
      <c r="L102" s="31"/>
      <c r="M102" s="33" t="s">
        <v>24</v>
      </c>
      <c r="N102" s="28"/>
      <c r="O102" s="28"/>
    </row>
    <row r="103" spans="1:44" ht="17.5" x14ac:dyDescent="0.45">
      <c r="B103" s="22" t="s">
        <v>31</v>
      </c>
      <c r="C103" s="30">
        <v>164</v>
      </c>
      <c r="D103" s="22" t="s">
        <v>120</v>
      </c>
      <c r="E103" s="30">
        <v>56.107999999999997</v>
      </c>
      <c r="F103" s="30">
        <v>417.72</v>
      </c>
      <c r="G103" s="30">
        <v>40.033999999999999</v>
      </c>
      <c r="H103" s="30">
        <v>216.4</v>
      </c>
      <c r="I103" s="30">
        <v>9.1326999999999998</v>
      </c>
      <c r="J103" s="30">
        <v>2125.6999999999998</v>
      </c>
      <c r="K103" s="30">
        <v>-33.15</v>
      </c>
      <c r="L103" s="30">
        <v>0.59399999999999997</v>
      </c>
      <c r="M103" s="34">
        <v>292.82</v>
      </c>
      <c r="N103" s="30">
        <v>1.1000000000000001</v>
      </c>
      <c r="O103" s="50">
        <v>0.1953</v>
      </c>
      <c r="AO103" s="51" t="str">
        <f t="shared" ref="AO103:AO150" si="0">IF(P103="","",
    4.1868*(P103+Q103*((R103/$AO$5)/SINH(R103/$AO$5))^2+S103*((T103/$AO$5)/COSH(T103/$AO$5))^2+U103*((V103/$AO$5)/SINH(V103/$AO$5))^2+W103*((X103/$AO$5)/COSH(X103/$AO$5))^2)/$E103)</f>
        <v/>
      </c>
      <c r="AP103" s="51" t="str">
        <f>IF(Y103="","",
    (Y103+Z103*$AO$5+AA103*$AO$5^2+AB103*$AO$5^3)/E103)</f>
        <v/>
      </c>
      <c r="AQ103" s="51" t="str">
        <f t="shared" ref="AQ103:AQ150" si="1">IF(AC103="","",
    4.1868*(AC103+AD103*$AO$3+AE103*$AO$3^2+AF103*$AO$3^3)/$E103)</f>
        <v/>
      </c>
      <c r="AR103" s="51" t="str">
        <f t="shared" ref="AR103:AR150" si="2">IF(AG103="","",
    (AG103+AH103*($AO$5/1000)+AI103*($AO$5/1000)^2+AJ103*($AO$5/1000)^3+AK103/($AO$5/1000)^2)/$E103)</f>
        <v/>
      </c>
    </row>
    <row r="104" spans="1:44" ht="17.5" x14ac:dyDescent="0.45">
      <c r="B104" s="22" t="s">
        <v>32</v>
      </c>
      <c r="C104" s="30">
        <v>201</v>
      </c>
      <c r="D104" s="22" t="s">
        <v>121</v>
      </c>
      <c r="E104" s="34">
        <v>68.119</v>
      </c>
      <c r="F104" s="34">
        <v>483.82</v>
      </c>
      <c r="G104" s="34">
        <v>38.514000000000003</v>
      </c>
      <c r="H104" s="34">
        <v>215.5</v>
      </c>
      <c r="I104" s="34">
        <v>9.2347000000000001</v>
      </c>
      <c r="J104" s="34">
        <v>2467.4</v>
      </c>
      <c r="K104" s="34">
        <v>-39.639000000000003</v>
      </c>
      <c r="L104" s="34">
        <v>0.68100000000000005</v>
      </c>
      <c r="M104" s="34">
        <v>292.82</v>
      </c>
      <c r="N104" s="34">
        <v>1.0900000000000001</v>
      </c>
      <c r="O104" s="52">
        <v>0.17449999999999999</v>
      </c>
      <c r="AO104" s="51" t="str">
        <f t="shared" si="0"/>
        <v/>
      </c>
      <c r="AP104" s="51" t="str">
        <f>IF(Y104="","",
    (Y104+Z104*$AO$5+AA104*$AO$5^2+AB104*$AO$5^3)/E104)</f>
        <v/>
      </c>
      <c r="AQ104" s="51" t="str">
        <f t="shared" si="1"/>
        <v/>
      </c>
      <c r="AR104" s="51" t="str">
        <f t="shared" si="2"/>
        <v/>
      </c>
    </row>
    <row r="105" spans="1:44" ht="17.5" x14ac:dyDescent="0.45">
      <c r="B105" s="22" t="s">
        <v>44</v>
      </c>
      <c r="C105" s="30">
        <v>77</v>
      </c>
      <c r="D105" s="22" t="s">
        <v>122</v>
      </c>
      <c r="E105" s="30">
        <v>26.038</v>
      </c>
      <c r="F105" s="30">
        <v>308.12</v>
      </c>
      <c r="G105" s="30">
        <v>61.42</v>
      </c>
      <c r="H105" s="30">
        <v>192.59</v>
      </c>
      <c r="I105" s="34">
        <v>9.7279999999999998</v>
      </c>
      <c r="J105" s="34">
        <v>1637.1</v>
      </c>
      <c r="K105" s="34">
        <v>-19.772000000000002</v>
      </c>
      <c r="L105" s="30">
        <v>0.61499999999999999</v>
      </c>
      <c r="M105" s="34">
        <v>188.82</v>
      </c>
      <c r="N105" s="30">
        <v>1.23</v>
      </c>
      <c r="O105" s="50">
        <v>0.19489999999999999</v>
      </c>
      <c r="Y105" s="34">
        <v>21.8</v>
      </c>
      <c r="Z105" s="53">
        <v>9.2143000000000003E-2</v>
      </c>
      <c r="AA105" s="53">
        <v>-6.5270000000000004E-5</v>
      </c>
      <c r="AB105" s="53">
        <v>1.8209999999999999E-8</v>
      </c>
      <c r="AC105" s="30">
        <v>5.21</v>
      </c>
      <c r="AD105" s="30">
        <v>1.2227E-2</v>
      </c>
      <c r="AE105" s="30">
        <v>-4.8119999999999998E-6</v>
      </c>
      <c r="AF105" s="30">
        <v>7.4570000000000002E-10</v>
      </c>
      <c r="AG105" s="30">
        <v>40.686970000000002</v>
      </c>
      <c r="AH105" s="30">
        <v>40.732790000000001</v>
      </c>
      <c r="AI105" s="30">
        <v>-16.1784</v>
      </c>
      <c r="AJ105" s="30">
        <v>3.6697410000000001</v>
      </c>
      <c r="AK105" s="30">
        <v>-0.65841099999999997</v>
      </c>
      <c r="AL105" s="30">
        <v>210.70670000000001</v>
      </c>
      <c r="AM105" s="30">
        <v>235.0052</v>
      </c>
      <c r="AN105" s="30">
        <v>226.73140000000001</v>
      </c>
      <c r="AO105" s="51" t="str">
        <f t="shared" si="0"/>
        <v/>
      </c>
      <c r="AP105" s="51">
        <f>IF(Y105="","",
    (Y105+Z105*$AO$5+AA105*$AO$5^2+AB105*$AO$5^3)/$E105)</f>
        <v>1.721069726498146</v>
      </c>
      <c r="AQ105" s="51">
        <f t="shared" si="1"/>
        <v>1.721584615632223</v>
      </c>
      <c r="AR105" s="51">
        <f t="shared" si="2"/>
        <v>1.7380161779997452</v>
      </c>
    </row>
    <row r="106" spans="1:44" x14ac:dyDescent="0.35">
      <c r="B106" s="22" t="s">
        <v>45</v>
      </c>
      <c r="C106" s="30"/>
      <c r="D106" s="35"/>
      <c r="E106" s="30">
        <v>28.97</v>
      </c>
      <c r="F106" s="30">
        <v>132</v>
      </c>
      <c r="G106" s="30">
        <v>37.799999999999997</v>
      </c>
      <c r="H106" s="30"/>
      <c r="I106" s="36"/>
      <c r="J106" s="35"/>
      <c r="K106" s="35"/>
      <c r="L106" s="35"/>
      <c r="M106" s="35"/>
      <c r="N106" s="30">
        <v>1.4</v>
      </c>
      <c r="O106" s="50"/>
      <c r="Y106" s="34">
        <v>28.11</v>
      </c>
      <c r="Z106" s="53">
        <v>1.967E-3</v>
      </c>
      <c r="AA106" s="53">
        <v>4.8019999999999999E-6</v>
      </c>
      <c r="AB106" s="53">
        <v>-1.966E-9</v>
      </c>
      <c r="AC106" s="34">
        <v>6.7130000000000001</v>
      </c>
      <c r="AD106" s="34">
        <v>2.609E-4</v>
      </c>
      <c r="AE106" s="34">
        <v>3.5400000000000002E-7</v>
      </c>
      <c r="AF106" s="34">
        <v>-8.0519999999999997E-11</v>
      </c>
      <c r="AO106" s="51" t="str">
        <f t="shared" si="0"/>
        <v/>
      </c>
      <c r="AP106" s="51">
        <f t="shared" ref="AP106:AP150" si="3">IF(Y106="","",
    (Y106+Z106*$AO$5+AA106*$AO$5^2+AB106*$AO$5^3)/E106)</f>
        <v>1.0057470307637348</v>
      </c>
      <c r="AQ106" s="51">
        <f t="shared" si="1"/>
        <v>1.0056001790916904</v>
      </c>
      <c r="AR106" s="51" t="str">
        <f t="shared" si="2"/>
        <v/>
      </c>
    </row>
    <row r="107" spans="1:44" ht="17.5" x14ac:dyDescent="0.45">
      <c r="B107" s="22" t="s">
        <v>48</v>
      </c>
      <c r="C107" s="30">
        <v>22</v>
      </c>
      <c r="D107" s="22" t="s">
        <v>123</v>
      </c>
      <c r="E107" s="30">
        <v>17.030999999999999</v>
      </c>
      <c r="F107" s="30">
        <v>405.42</v>
      </c>
      <c r="G107" s="30">
        <v>112.81</v>
      </c>
      <c r="H107" s="30">
        <v>164</v>
      </c>
      <c r="I107" s="30">
        <v>10.327999999999999</v>
      </c>
      <c r="J107" s="30">
        <v>2132.5</v>
      </c>
      <c r="K107" s="30">
        <v>-32.978000000000002</v>
      </c>
      <c r="L107" s="30">
        <v>0.63900000000000001</v>
      </c>
      <c r="M107" s="34">
        <v>273.04000000000002</v>
      </c>
      <c r="N107" s="30">
        <v>1.31</v>
      </c>
      <c r="O107" s="50">
        <v>0.25580000000000003</v>
      </c>
      <c r="Y107" s="34">
        <v>27.568000000000001</v>
      </c>
      <c r="Z107" s="53">
        <v>2.563E-2</v>
      </c>
      <c r="AA107" s="53">
        <v>9.9072000000000006E-6</v>
      </c>
      <c r="AB107" s="53">
        <v>-6.6908999999999997E-9</v>
      </c>
      <c r="AC107" s="34">
        <v>6.5846</v>
      </c>
      <c r="AD107" s="34">
        <v>3.4028000000000001E-3</v>
      </c>
      <c r="AE107" s="34">
        <v>7.3033999999999996E-7</v>
      </c>
      <c r="AF107" s="34">
        <v>-2.7402E-10</v>
      </c>
      <c r="AG107" s="34">
        <v>19.995629999999998</v>
      </c>
      <c r="AH107" s="34">
        <v>49.771189999999997</v>
      </c>
      <c r="AI107" s="34">
        <v>-15.37599</v>
      </c>
      <c r="AJ107" s="34">
        <v>1.921168</v>
      </c>
      <c r="AK107" s="34">
        <v>0.18917400000000001</v>
      </c>
      <c r="AL107" s="34">
        <v>-53.306669999999997</v>
      </c>
      <c r="AM107" s="34">
        <v>203.85910000000001</v>
      </c>
      <c r="AN107" s="34">
        <v>-45.898060000000001</v>
      </c>
      <c r="AO107" s="51" t="str">
        <f t="shared" si="0"/>
        <v/>
      </c>
      <c r="AP107" s="51">
        <f t="shared" si="3"/>
        <v>2.1349360944312248</v>
      </c>
      <c r="AQ107" s="51">
        <f t="shared" si="1"/>
        <v>2.1352232821371224</v>
      </c>
      <c r="AR107" s="51">
        <f t="shared" si="2"/>
        <v>2.1174192918497732</v>
      </c>
    </row>
    <row r="108" spans="1:44" x14ac:dyDescent="0.35">
      <c r="B108" s="22" t="s">
        <v>49</v>
      </c>
      <c r="C108" s="30">
        <v>1</v>
      </c>
      <c r="D108" s="22" t="s">
        <v>124</v>
      </c>
      <c r="E108" s="30">
        <v>39.948</v>
      </c>
      <c r="F108" s="30">
        <v>150.62</v>
      </c>
      <c r="G108" s="30">
        <v>48.750999999999998</v>
      </c>
      <c r="H108" s="30">
        <v>83.78</v>
      </c>
      <c r="I108" s="30">
        <v>8.6128999999999998</v>
      </c>
      <c r="J108" s="30">
        <v>700.5</v>
      </c>
      <c r="K108" s="30">
        <v>-5.8389000000000006</v>
      </c>
      <c r="L108" s="30">
        <v>1.373</v>
      </c>
      <c r="M108" s="34">
        <v>89.817000000000007</v>
      </c>
      <c r="N108" s="30">
        <v>1.67</v>
      </c>
      <c r="O108" s="50">
        <v>4.0000000000000001E-3</v>
      </c>
      <c r="P108" s="17">
        <v>4.9649999999999999</v>
      </c>
      <c r="Q108" s="17">
        <v>0</v>
      </c>
      <c r="R108" s="17">
        <v>100</v>
      </c>
      <c r="S108" s="17">
        <v>0</v>
      </c>
      <c r="T108" s="17">
        <v>100</v>
      </c>
      <c r="U108" s="17">
        <v>0</v>
      </c>
      <c r="V108" s="17">
        <v>100</v>
      </c>
      <c r="W108" s="17">
        <v>0</v>
      </c>
      <c r="X108" s="17">
        <v>100</v>
      </c>
      <c r="AG108" s="17">
        <v>20.786000000000001</v>
      </c>
      <c r="AH108" s="54">
        <v>2.8259110000000001E-7</v>
      </c>
      <c r="AI108" s="54">
        <v>-1.464191E-7</v>
      </c>
      <c r="AJ108" s="54">
        <v>1.092131E-8</v>
      </c>
      <c r="AK108" s="54">
        <v>-3.661371E-8</v>
      </c>
      <c r="AL108" s="17">
        <v>-6.1973500000000001</v>
      </c>
      <c r="AM108" s="17">
        <v>179.999</v>
      </c>
      <c r="AN108" s="17">
        <v>0</v>
      </c>
      <c r="AO108" s="55">
        <f t="shared" si="0"/>
        <v>0.52036302192850703</v>
      </c>
      <c r="AP108" s="51" t="str">
        <f t="shared" si="3"/>
        <v/>
      </c>
      <c r="AQ108" s="51" t="str">
        <f t="shared" si="1"/>
        <v/>
      </c>
      <c r="AR108" s="56">
        <f t="shared" si="2"/>
        <v>0.52032641686945369</v>
      </c>
    </row>
    <row r="109" spans="1:44" ht="17.5" x14ac:dyDescent="0.45">
      <c r="B109" s="22" t="s">
        <v>50</v>
      </c>
      <c r="C109" s="30">
        <v>242</v>
      </c>
      <c r="D109" s="22" t="s">
        <v>125</v>
      </c>
      <c r="E109" s="30">
        <v>78.114000000000004</v>
      </c>
      <c r="F109" s="30">
        <v>561.91999999999996</v>
      </c>
      <c r="G109" s="30">
        <v>48.953000000000003</v>
      </c>
      <c r="H109" s="30">
        <v>287.7</v>
      </c>
      <c r="I109" s="30">
        <v>9.2807000000000013</v>
      </c>
      <c r="J109" s="30">
        <v>2788.5</v>
      </c>
      <c r="K109" s="30">
        <v>-52.361000000000004</v>
      </c>
      <c r="L109" s="30">
        <v>0.88500000000000001</v>
      </c>
      <c r="M109" s="34">
        <v>288.82</v>
      </c>
      <c r="N109" s="30">
        <v>1.1100000000000001</v>
      </c>
      <c r="O109" s="50">
        <v>0.20899999999999999</v>
      </c>
      <c r="Y109" s="34">
        <v>-36.22</v>
      </c>
      <c r="Z109" s="34">
        <v>0.48475000000000001</v>
      </c>
      <c r="AA109" s="34">
        <v>-3.1569999999999998E-4</v>
      </c>
      <c r="AB109" s="34">
        <v>7.7620000000000003E-8</v>
      </c>
      <c r="AC109" s="57">
        <v>-8.65</v>
      </c>
      <c r="AD109" s="57">
        <v>6.4322000000000004E-2</v>
      </c>
      <c r="AE109" s="57">
        <v>-2.3269999999999999E-5</v>
      </c>
      <c r="AF109" s="57">
        <v>3.1789999999999999E-9</v>
      </c>
      <c r="AO109" s="51" t="str">
        <f t="shared" si="0"/>
        <v/>
      </c>
      <c r="AP109" s="51">
        <f t="shared" si="3"/>
        <v>1.1138155029734687</v>
      </c>
      <c r="AQ109" s="51">
        <f t="shared" si="1"/>
        <v>1.1139007777582512</v>
      </c>
      <c r="AR109" s="51" t="str">
        <f t="shared" si="2"/>
        <v/>
      </c>
    </row>
    <row r="110" spans="1:44" ht="17.5" x14ac:dyDescent="0.45">
      <c r="B110" s="22" t="s">
        <v>51</v>
      </c>
      <c r="C110" s="30">
        <v>379</v>
      </c>
      <c r="D110" s="22" t="s">
        <v>126</v>
      </c>
      <c r="E110" s="30">
        <v>120.19499999999999</v>
      </c>
      <c r="F110" s="30">
        <v>630.82000000000005</v>
      </c>
      <c r="G110" s="30">
        <v>32.128999999999998</v>
      </c>
      <c r="H110" s="30">
        <v>343.17</v>
      </c>
      <c r="I110" s="30">
        <v>9.3521000000000001</v>
      </c>
      <c r="J110" s="30">
        <v>3363.6</v>
      </c>
      <c r="K110" s="30">
        <v>-63.372</v>
      </c>
      <c r="L110" s="30">
        <v>0.86199999999999999</v>
      </c>
      <c r="M110" s="34">
        <v>292.82</v>
      </c>
      <c r="N110" s="30">
        <v>1.06</v>
      </c>
      <c r="O110" s="50">
        <v>0.32600000000000001</v>
      </c>
      <c r="AO110" s="51" t="str">
        <f t="shared" si="0"/>
        <v/>
      </c>
      <c r="AP110" s="51" t="str">
        <f t="shared" si="3"/>
        <v/>
      </c>
      <c r="AQ110" s="51" t="str">
        <f t="shared" si="1"/>
        <v/>
      </c>
      <c r="AR110" s="51" t="str">
        <f t="shared" si="2"/>
        <v/>
      </c>
    </row>
    <row r="111" spans="1:44" ht="17.5" x14ac:dyDescent="0.45">
      <c r="B111" s="22" t="s">
        <v>52</v>
      </c>
      <c r="C111" s="30">
        <v>181</v>
      </c>
      <c r="D111" s="22" t="s">
        <v>127</v>
      </c>
      <c r="E111" s="30">
        <v>58.124000000000002</v>
      </c>
      <c r="F111" s="30">
        <v>425.02</v>
      </c>
      <c r="G111" s="30">
        <v>38.006999999999998</v>
      </c>
      <c r="H111" s="30">
        <v>135.41999999999999</v>
      </c>
      <c r="I111" s="30">
        <v>9.0580999999999996</v>
      </c>
      <c r="J111" s="30">
        <v>2154.9</v>
      </c>
      <c r="K111" s="30">
        <v>-34.422000000000004</v>
      </c>
      <c r="L111" s="30">
        <v>0.57899999999999996</v>
      </c>
      <c r="M111" s="34">
        <v>292.82</v>
      </c>
      <c r="N111" s="30">
        <v>1.0900000000000001</v>
      </c>
      <c r="O111" s="50">
        <v>0.1981</v>
      </c>
      <c r="P111" s="17">
        <v>18.638300000000001</v>
      </c>
      <c r="Q111" s="17">
        <v>57.4178</v>
      </c>
      <c r="R111" s="17">
        <v>1792.73</v>
      </c>
      <c r="S111" s="17">
        <v>38.6599</v>
      </c>
      <c r="T111" s="17">
        <v>814.15099999999995</v>
      </c>
      <c r="U111" s="17">
        <v>0</v>
      </c>
      <c r="V111" s="17">
        <v>100</v>
      </c>
      <c r="W111" s="17">
        <v>0</v>
      </c>
      <c r="X111" s="17">
        <v>100</v>
      </c>
      <c r="Y111" s="34">
        <v>3.96</v>
      </c>
      <c r="Z111" s="53">
        <v>0.3715</v>
      </c>
      <c r="AA111" s="53">
        <v>-1.8340000000000001E-4</v>
      </c>
      <c r="AB111" s="53">
        <v>3.5000000000000002E-8</v>
      </c>
      <c r="AC111" s="34">
        <v>0.94499999999999995</v>
      </c>
      <c r="AD111" s="34">
        <v>4.929E-2</v>
      </c>
      <c r="AE111" s="34">
        <v>-1.3519999999999999E-5</v>
      </c>
      <c r="AF111" s="34">
        <v>1.4329999999999999E-9</v>
      </c>
      <c r="AO111" s="51">
        <f t="shared" si="0"/>
        <v>1.7592469943299773</v>
      </c>
      <c r="AP111" s="51">
        <f t="shared" si="3"/>
        <v>1.7787020707423888</v>
      </c>
      <c r="AQ111" s="51">
        <f t="shared" si="1"/>
        <v>1.7784251709106211</v>
      </c>
      <c r="AR111" s="51" t="str">
        <f t="shared" si="2"/>
        <v/>
      </c>
    </row>
    <row r="112" spans="1:44" ht="17.5" x14ac:dyDescent="0.45">
      <c r="B112" s="22" t="s">
        <v>36</v>
      </c>
      <c r="C112" s="30">
        <v>224</v>
      </c>
      <c r="D112" s="21" t="s">
        <v>128</v>
      </c>
      <c r="E112" s="30">
        <v>72.150999999999996</v>
      </c>
      <c r="F112" s="30">
        <v>460.22</v>
      </c>
      <c r="G112" s="30">
        <v>33.852000000000004</v>
      </c>
      <c r="H112" s="30">
        <v>190.2</v>
      </c>
      <c r="I112" s="30">
        <v>9.0137</v>
      </c>
      <c r="J112" s="30">
        <v>2348.6</v>
      </c>
      <c r="K112" s="30">
        <v>-40.049999999999997</v>
      </c>
      <c r="L112" s="30">
        <v>0.62</v>
      </c>
      <c r="M112" s="34">
        <v>292.82</v>
      </c>
      <c r="N112" s="30">
        <v>1.08</v>
      </c>
      <c r="O112" s="50">
        <v>0.2286</v>
      </c>
      <c r="P112" s="17">
        <v>22.501200000000001</v>
      </c>
      <c r="Q112" s="17">
        <v>69.578900000000004</v>
      </c>
      <c r="R112" s="17">
        <v>1719.58</v>
      </c>
      <c r="S112" s="17">
        <v>46.21264</v>
      </c>
      <c r="T112" s="17">
        <v>802.17399999999998</v>
      </c>
      <c r="U112" s="17">
        <v>0</v>
      </c>
      <c r="V112" s="17">
        <v>100</v>
      </c>
      <c r="W112" s="17">
        <v>0</v>
      </c>
      <c r="X112" s="17">
        <v>100</v>
      </c>
      <c r="Y112" s="58"/>
      <c r="Z112" s="58"/>
      <c r="AA112" s="58"/>
      <c r="AB112" s="58"/>
      <c r="AC112" s="58"/>
      <c r="AD112" s="58"/>
      <c r="AE112" s="58"/>
      <c r="AF112" s="58"/>
      <c r="AO112" s="51">
        <f t="shared" si="0"/>
        <v>1.7283004814456813</v>
      </c>
      <c r="AP112" s="51" t="str">
        <f t="shared" si="3"/>
        <v/>
      </c>
      <c r="AQ112" s="51" t="str">
        <f t="shared" si="1"/>
        <v/>
      </c>
      <c r="AR112" s="51" t="str">
        <f t="shared" si="2"/>
        <v/>
      </c>
    </row>
    <row r="113" spans="2:44" ht="17.5" x14ac:dyDescent="0.45">
      <c r="B113" s="22" t="s">
        <v>53</v>
      </c>
      <c r="C113" s="30">
        <v>46</v>
      </c>
      <c r="D113" s="21" t="s">
        <v>129</v>
      </c>
      <c r="E113" s="30">
        <v>44.01</v>
      </c>
      <c r="F113" s="30">
        <v>304.02</v>
      </c>
      <c r="G113" s="30">
        <v>73.784999999999997</v>
      </c>
      <c r="H113" s="30">
        <v>154.26</v>
      </c>
      <c r="I113" s="30">
        <v>15.97</v>
      </c>
      <c r="J113" s="30">
        <v>3103.3</v>
      </c>
      <c r="K113" s="30">
        <v>-0.16111</v>
      </c>
      <c r="L113" s="30">
        <v>0.77700000000000002</v>
      </c>
      <c r="M113" s="34">
        <v>292.82</v>
      </c>
      <c r="N113" s="30">
        <v>1.29</v>
      </c>
      <c r="O113" s="50">
        <v>0.26669999999999999</v>
      </c>
      <c r="P113" s="17">
        <v>6.9623699999999999</v>
      </c>
      <c r="Q113" s="17">
        <v>2.6864499999999998</v>
      </c>
      <c r="R113" s="17">
        <v>500.37099999999998</v>
      </c>
      <c r="S113" s="17">
        <v>-2.5642900000000002</v>
      </c>
      <c r="T113" s="17">
        <v>-530.44299999999998</v>
      </c>
      <c r="U113" s="17">
        <v>3.9192100000000001</v>
      </c>
      <c r="V113" s="17">
        <v>500.19799999999998</v>
      </c>
      <c r="W113" s="17">
        <v>2.1328999999999998</v>
      </c>
      <c r="X113" s="17">
        <v>2197.2199999999998</v>
      </c>
      <c r="Y113" s="34">
        <v>22.26</v>
      </c>
      <c r="Z113" s="34">
        <v>5.9810000000000002E-2</v>
      </c>
      <c r="AA113" s="34">
        <v>-3.5009999999999999E-5</v>
      </c>
      <c r="AB113" s="34">
        <v>7.4690000000000006E-9</v>
      </c>
      <c r="AC113" s="34">
        <v>5.3159999999999998</v>
      </c>
      <c r="AD113" s="34">
        <v>7.9360999999999998E-3</v>
      </c>
      <c r="AE113" s="34">
        <v>-2.5809999999999999E-6</v>
      </c>
      <c r="AF113" s="34">
        <v>3.059E-10</v>
      </c>
      <c r="AG113" s="34">
        <v>24.997350000000001</v>
      </c>
      <c r="AH113" s="34">
        <v>55.186959999999999</v>
      </c>
      <c r="AI113" s="34">
        <v>-33.691369999999999</v>
      </c>
      <c r="AJ113" s="34">
        <v>7.9483870000000003</v>
      </c>
      <c r="AK113" s="34">
        <v>-0.13663800000000001</v>
      </c>
      <c r="AL113" s="34">
        <v>-403.60750000000002</v>
      </c>
      <c r="AM113" s="34">
        <v>228.2431</v>
      </c>
      <c r="AN113" s="34">
        <v>-393.5224</v>
      </c>
      <c r="AO113" s="51">
        <f t="shared" si="0"/>
        <v>0.85959356860421754</v>
      </c>
      <c r="AP113" s="51">
        <f t="shared" si="3"/>
        <v>0.85857031706662024</v>
      </c>
      <c r="AQ113" s="51">
        <f t="shared" si="1"/>
        <v>0.85848714311178742</v>
      </c>
      <c r="AR113" s="51">
        <f t="shared" si="2"/>
        <v>0.85948611519241436</v>
      </c>
    </row>
    <row r="114" spans="2:44" x14ac:dyDescent="0.35">
      <c r="B114" s="22" t="s">
        <v>54</v>
      </c>
      <c r="C114" s="30">
        <v>44</v>
      </c>
      <c r="D114" s="22" t="s">
        <v>130</v>
      </c>
      <c r="E114" s="30">
        <v>28.01</v>
      </c>
      <c r="F114" s="30">
        <v>132.72</v>
      </c>
      <c r="G114" s="30">
        <v>34.966999999999999</v>
      </c>
      <c r="H114" s="59">
        <v>50</v>
      </c>
      <c r="I114" s="30">
        <v>7.7484999999999999</v>
      </c>
      <c r="J114" s="30">
        <v>530.20000000000005</v>
      </c>
      <c r="K114" s="30">
        <v>-13.15</v>
      </c>
      <c r="L114" s="30">
        <v>0.80300000000000005</v>
      </c>
      <c r="M114" s="34">
        <v>80.817000000000007</v>
      </c>
      <c r="N114" s="30">
        <v>1.4</v>
      </c>
      <c r="O114" s="50">
        <v>4.7699999999999999E-2</v>
      </c>
      <c r="P114" s="17">
        <v>6.9585400000000002</v>
      </c>
      <c r="Q114" s="17">
        <v>2.02441</v>
      </c>
      <c r="R114" s="17">
        <v>1541.22</v>
      </c>
      <c r="S114" s="17">
        <v>9.6773999999999999E-2</v>
      </c>
      <c r="T114" s="17">
        <v>3674.81</v>
      </c>
      <c r="U114" s="17">
        <v>0</v>
      </c>
      <c r="V114" s="17">
        <v>100</v>
      </c>
      <c r="W114" s="17">
        <v>0</v>
      </c>
      <c r="X114" s="17">
        <v>100</v>
      </c>
      <c r="Y114" s="34">
        <v>28.16</v>
      </c>
      <c r="Z114" s="34">
        <v>1.6750000000000001E-3</v>
      </c>
      <c r="AA114" s="34">
        <v>5.3720000000000004E-6</v>
      </c>
      <c r="AB114" s="34">
        <v>-2.222E-9</v>
      </c>
      <c r="AC114" s="30">
        <v>6.726</v>
      </c>
      <c r="AD114" s="30">
        <v>2.2220000000000001E-4</v>
      </c>
      <c r="AE114" s="30">
        <v>3.96E-7</v>
      </c>
      <c r="AF114" s="30">
        <v>-9.0999999999999996E-11</v>
      </c>
      <c r="AG114" s="30">
        <v>25.567589999999999</v>
      </c>
      <c r="AH114" s="30">
        <v>6.0961299999999996</v>
      </c>
      <c r="AI114" s="30">
        <v>4.0546559999999996</v>
      </c>
      <c r="AJ114" s="30">
        <v>-2.6713010000000001</v>
      </c>
      <c r="AK114" s="30">
        <v>0.131021</v>
      </c>
      <c r="AL114" s="30">
        <v>-118.0089</v>
      </c>
      <c r="AM114" s="30">
        <v>227.3665</v>
      </c>
      <c r="AN114" s="30">
        <v>-110.5271</v>
      </c>
      <c r="AO114" s="51">
        <f t="shared" si="0"/>
        <v>1.0416860854021055</v>
      </c>
      <c r="AP114" s="51">
        <f t="shared" si="3"/>
        <v>1.0404529166576257</v>
      </c>
      <c r="AQ114" s="51">
        <f t="shared" si="1"/>
        <v>1.0404622221769793</v>
      </c>
      <c r="AR114" s="51">
        <f t="shared" si="2"/>
        <v>1.0399237506701031</v>
      </c>
    </row>
    <row r="115" spans="2:44" s="37" customFormat="1" ht="17.5" x14ac:dyDescent="0.45">
      <c r="B115" s="22" t="s">
        <v>55</v>
      </c>
      <c r="C115" s="30">
        <v>6</v>
      </c>
      <c r="D115" s="21" t="s">
        <v>131</v>
      </c>
      <c r="E115" s="30">
        <v>70.906000000000006</v>
      </c>
      <c r="F115" s="30">
        <v>416.82</v>
      </c>
      <c r="G115" s="30">
        <v>79.841000000000008</v>
      </c>
      <c r="H115" s="30">
        <v>155</v>
      </c>
      <c r="I115" s="30">
        <v>9.3409000000000013</v>
      </c>
      <c r="J115" s="30">
        <v>1978.3</v>
      </c>
      <c r="K115" s="30">
        <v>-27.010999999999999</v>
      </c>
      <c r="L115" s="30">
        <v>1.5629999999999999</v>
      </c>
      <c r="M115" s="30">
        <v>238.93</v>
      </c>
      <c r="N115" s="30">
        <v>1.33</v>
      </c>
      <c r="O115" s="50">
        <v>8.7800000000000003E-2</v>
      </c>
      <c r="Y115" s="60"/>
      <c r="Z115" s="60"/>
      <c r="AA115" s="60"/>
      <c r="AB115" s="60"/>
      <c r="AC115" s="60"/>
      <c r="AD115" s="60"/>
      <c r="AE115" s="60"/>
      <c r="AF115" s="60"/>
      <c r="AG115" s="28">
        <v>33.050600000000003</v>
      </c>
      <c r="AH115" s="28">
        <v>12.2294</v>
      </c>
      <c r="AI115" s="28">
        <v>-12.065099999999999</v>
      </c>
      <c r="AJ115" s="28">
        <v>4.3853299999999997</v>
      </c>
      <c r="AK115" s="28">
        <v>-0.159494</v>
      </c>
      <c r="AL115" s="28">
        <v>-10.8348</v>
      </c>
      <c r="AM115" s="28">
        <v>259.029</v>
      </c>
      <c r="AN115" s="28">
        <v>0</v>
      </c>
      <c r="AO115" s="61" t="str">
        <f t="shared" si="0"/>
        <v/>
      </c>
      <c r="AP115" s="61" t="str">
        <f t="shared" si="3"/>
        <v/>
      </c>
      <c r="AQ115" s="61" t="str">
        <f t="shared" si="1"/>
        <v/>
      </c>
      <c r="AR115" s="61">
        <f t="shared" si="2"/>
        <v>0.48240372633948214</v>
      </c>
    </row>
    <row r="116" spans="2:44" ht="17.5" x14ac:dyDescent="0.45">
      <c r="B116" s="22" t="s">
        <v>56</v>
      </c>
      <c r="C116" s="30">
        <v>249</v>
      </c>
      <c r="D116" s="21" t="s">
        <v>132</v>
      </c>
      <c r="E116" s="30">
        <v>84.162000000000006</v>
      </c>
      <c r="F116" s="30">
        <v>553.22</v>
      </c>
      <c r="G116" s="30">
        <v>40.744</v>
      </c>
      <c r="H116" s="30">
        <v>293.06</v>
      </c>
      <c r="I116" s="30">
        <v>9.1326000000000001</v>
      </c>
      <c r="J116" s="30">
        <v>2766.6</v>
      </c>
      <c r="K116" s="30">
        <v>-50.5</v>
      </c>
      <c r="L116" s="30">
        <v>0.77900000000000003</v>
      </c>
      <c r="M116" s="34">
        <v>292.82</v>
      </c>
      <c r="N116" s="30">
        <v>1.0900000000000001</v>
      </c>
      <c r="O116" s="50">
        <v>2.9399999999999999E-2</v>
      </c>
      <c r="Y116" s="58"/>
      <c r="Z116" s="58"/>
      <c r="AA116" s="58"/>
      <c r="AB116" s="58"/>
      <c r="AC116" s="58"/>
      <c r="AD116" s="58"/>
      <c r="AE116" s="58"/>
      <c r="AF116" s="58"/>
      <c r="AO116" s="51" t="str">
        <f t="shared" si="0"/>
        <v/>
      </c>
      <c r="AP116" s="51" t="str">
        <f t="shared" si="3"/>
        <v/>
      </c>
      <c r="AQ116" s="51" t="str">
        <f t="shared" si="1"/>
        <v/>
      </c>
      <c r="AR116" s="51" t="str">
        <f t="shared" si="2"/>
        <v/>
      </c>
    </row>
    <row r="117" spans="2:44" ht="17.5" x14ac:dyDescent="0.45">
      <c r="B117" s="22" t="s">
        <v>57</v>
      </c>
      <c r="C117" s="30">
        <v>204</v>
      </c>
      <c r="D117" s="21" t="s">
        <v>133</v>
      </c>
      <c r="E117" s="30">
        <v>70.135000000000005</v>
      </c>
      <c r="F117" s="30">
        <v>511.42</v>
      </c>
      <c r="G117" s="30">
        <v>45.102000000000004</v>
      </c>
      <c r="H117" s="30">
        <v>225.9</v>
      </c>
      <c r="I117" s="30">
        <v>9.2373000000000012</v>
      </c>
      <c r="J117" s="30">
        <v>2588.4</v>
      </c>
      <c r="K117" s="30">
        <v>-41.789000000000001</v>
      </c>
      <c r="L117" s="30">
        <v>0.745</v>
      </c>
      <c r="M117" s="34">
        <v>292.82</v>
      </c>
      <c r="N117" s="30">
        <v>1.1100000000000001</v>
      </c>
      <c r="O117" s="50">
        <v>0.1938</v>
      </c>
      <c r="Y117" s="58"/>
      <c r="Z117" s="58"/>
      <c r="AA117" s="58"/>
      <c r="AB117" s="58"/>
      <c r="AC117" s="58"/>
      <c r="AD117" s="58"/>
      <c r="AE117" s="58"/>
      <c r="AF117" s="58"/>
      <c r="AO117" s="51" t="str">
        <f t="shared" si="0"/>
        <v/>
      </c>
      <c r="AP117" s="51" t="str">
        <f t="shared" si="3"/>
        <v/>
      </c>
      <c r="AQ117" s="51" t="str">
        <f t="shared" si="1"/>
        <v/>
      </c>
      <c r="AR117" s="51" t="str">
        <f t="shared" si="2"/>
        <v/>
      </c>
    </row>
    <row r="118" spans="2:44" ht="17.5" x14ac:dyDescent="0.45">
      <c r="B118" s="22" t="s">
        <v>58</v>
      </c>
      <c r="C118" s="30">
        <v>418</v>
      </c>
      <c r="D118" s="21" t="s">
        <v>134</v>
      </c>
      <c r="E118" s="30">
        <v>142.286</v>
      </c>
      <c r="F118" s="30">
        <v>617.41999999999996</v>
      </c>
      <c r="G118" s="30">
        <v>21.081</v>
      </c>
      <c r="H118" s="30">
        <v>243.49</v>
      </c>
      <c r="I118" s="30">
        <v>9.3913000000000011</v>
      </c>
      <c r="J118" s="30">
        <v>3456.8</v>
      </c>
      <c r="K118" s="30">
        <v>-78.671999999999997</v>
      </c>
      <c r="L118" s="30">
        <v>0.73</v>
      </c>
      <c r="M118" s="34">
        <v>292.82</v>
      </c>
      <c r="N118" s="30">
        <v>1.04</v>
      </c>
      <c r="O118" s="50">
        <v>0.48809999999999998</v>
      </c>
      <c r="P118" s="17">
        <v>42.714300000000001</v>
      </c>
      <c r="Q118" s="17">
        <v>122.173</v>
      </c>
      <c r="R118" s="17">
        <v>1654.85</v>
      </c>
      <c r="S118" s="17">
        <v>90.225499999999997</v>
      </c>
      <c r="T118" s="17">
        <v>785.56399999999996</v>
      </c>
      <c r="U118" s="17">
        <v>0</v>
      </c>
      <c r="V118" s="17">
        <v>100</v>
      </c>
      <c r="W118" s="17">
        <v>0</v>
      </c>
      <c r="X118" s="17">
        <v>100</v>
      </c>
      <c r="Y118" s="58"/>
      <c r="Z118" s="58"/>
      <c r="AA118" s="58"/>
      <c r="AB118" s="58"/>
      <c r="AC118" s="58"/>
      <c r="AD118" s="58"/>
      <c r="AE118" s="58"/>
      <c r="AF118" s="58"/>
      <c r="AO118" s="51">
        <f t="shared" si="0"/>
        <v>1.7040195901810278</v>
      </c>
      <c r="AP118" s="51" t="str">
        <f t="shared" si="3"/>
        <v/>
      </c>
      <c r="AQ118" s="51" t="str">
        <f t="shared" si="1"/>
        <v/>
      </c>
      <c r="AR118" s="51" t="str">
        <f t="shared" si="2"/>
        <v/>
      </c>
    </row>
    <row r="119" spans="2:44" ht="17.5" x14ac:dyDescent="0.45">
      <c r="B119" s="22" t="s">
        <v>59</v>
      </c>
      <c r="C119" s="30">
        <v>39</v>
      </c>
      <c r="D119" s="21" t="s">
        <v>135</v>
      </c>
      <c r="E119" s="30">
        <v>120.914</v>
      </c>
      <c r="F119" s="30">
        <v>384.82</v>
      </c>
      <c r="G119" s="30">
        <v>41.250999999999998</v>
      </c>
      <c r="H119" s="30">
        <v>154.6</v>
      </c>
      <c r="I119" s="62">
        <v>8.7753999999999994</v>
      </c>
      <c r="J119" s="62">
        <v>1800.8</v>
      </c>
      <c r="K119" s="62">
        <v>-37.773000000000003</v>
      </c>
      <c r="L119" s="30">
        <v>1.75</v>
      </c>
      <c r="M119" s="34">
        <v>157.82</v>
      </c>
      <c r="N119" s="30">
        <v>1.1299999999999999</v>
      </c>
      <c r="O119" s="50"/>
      <c r="Y119" s="58"/>
      <c r="Z119" s="58"/>
      <c r="AA119" s="58"/>
      <c r="AB119" s="58"/>
      <c r="AC119" s="58"/>
      <c r="AD119" s="58"/>
      <c r="AE119" s="58"/>
      <c r="AF119" s="58"/>
      <c r="AG119" s="17">
        <v>48.01014</v>
      </c>
      <c r="AH119" s="17">
        <v>139.1808</v>
      </c>
      <c r="AI119" s="17">
        <v>-124.3326</v>
      </c>
      <c r="AJ119" s="17">
        <v>39.751469999999998</v>
      </c>
      <c r="AK119" s="17">
        <v>-0.66338339999999996</v>
      </c>
      <c r="AL119" s="17">
        <v>-513.23040000000003</v>
      </c>
      <c r="AM119" s="17">
        <v>319.1028</v>
      </c>
      <c r="AN119" s="17">
        <v>-491.62</v>
      </c>
      <c r="AO119" s="51" t="str">
        <f t="shared" si="0"/>
        <v/>
      </c>
      <c r="AP119" s="51" t="str">
        <f t="shared" si="3"/>
        <v/>
      </c>
      <c r="AQ119" s="51" t="str">
        <f t="shared" si="1"/>
        <v/>
      </c>
      <c r="AR119" s="51">
        <f t="shared" si="2"/>
        <v>0.61083099343773317</v>
      </c>
    </row>
    <row r="120" spans="2:44" ht="17.5" x14ac:dyDescent="0.45">
      <c r="B120" s="22" t="s">
        <v>60</v>
      </c>
      <c r="C120" s="30">
        <v>100</v>
      </c>
      <c r="D120" s="21" t="s">
        <v>136</v>
      </c>
      <c r="E120" s="30">
        <v>30.07</v>
      </c>
      <c r="F120" s="30">
        <v>305.22000000000003</v>
      </c>
      <c r="G120" s="30">
        <v>48.852000000000004</v>
      </c>
      <c r="H120" s="30">
        <v>91.33</v>
      </c>
      <c r="I120" s="30">
        <v>9.0435999999999996</v>
      </c>
      <c r="J120" s="30">
        <v>1511.4</v>
      </c>
      <c r="K120" s="30">
        <v>-17.161000000000001</v>
      </c>
      <c r="L120" s="30">
        <v>0.54800000000000004</v>
      </c>
      <c r="M120" s="34">
        <v>182.82</v>
      </c>
      <c r="N120" s="30">
        <v>1.19</v>
      </c>
      <c r="O120" s="50">
        <v>9.7199999999999995E-2</v>
      </c>
      <c r="P120" s="17">
        <v>7.9813900000000002</v>
      </c>
      <c r="Q120" s="17">
        <v>24.366800000000001</v>
      </c>
      <c r="R120" s="17">
        <v>752.32</v>
      </c>
      <c r="S120" s="17">
        <v>3.5398999999999998</v>
      </c>
      <c r="T120" s="17">
        <v>272.846</v>
      </c>
      <c r="U120" s="17">
        <v>8.4472400000000007</v>
      </c>
      <c r="V120" s="17">
        <v>1020.13</v>
      </c>
      <c r="W120" s="17">
        <v>-13.273199999999999</v>
      </c>
      <c r="X120" s="17">
        <v>869.51</v>
      </c>
      <c r="Y120" s="34">
        <v>6.9</v>
      </c>
      <c r="Z120" s="34">
        <v>0.17269999999999999</v>
      </c>
      <c r="AA120" s="34">
        <v>-6.4060000000000007E-5</v>
      </c>
      <c r="AB120" s="34">
        <v>7.2850000000000004E-9</v>
      </c>
      <c r="AC120" s="30">
        <v>1.6479999999999999</v>
      </c>
      <c r="AD120" s="30">
        <v>2.291E-2</v>
      </c>
      <c r="AE120" s="30">
        <v>-4.7219999999999999E-6</v>
      </c>
      <c r="AF120" s="30">
        <v>2.9840000000000002E-10</v>
      </c>
      <c r="AO120" s="51">
        <f t="shared" si="0"/>
        <v>1.808188669960046</v>
      </c>
      <c r="AP120" s="51">
        <f t="shared" si="3"/>
        <v>1.8264983341904777</v>
      </c>
      <c r="AQ120" s="51">
        <f t="shared" si="1"/>
        <v>1.8260446901547716</v>
      </c>
      <c r="AR120" s="51" t="str">
        <f t="shared" si="2"/>
        <v/>
      </c>
    </row>
    <row r="121" spans="2:44" ht="17.5" x14ac:dyDescent="0.45">
      <c r="B121" s="22" t="s">
        <v>47</v>
      </c>
      <c r="C121" s="30">
        <v>102</v>
      </c>
      <c r="D121" s="21" t="s">
        <v>137</v>
      </c>
      <c r="E121" s="30">
        <v>46.069000000000003</v>
      </c>
      <c r="F121" s="30">
        <v>516.02</v>
      </c>
      <c r="G121" s="30">
        <v>63.852000000000004</v>
      </c>
      <c r="H121" s="30">
        <v>273</v>
      </c>
      <c r="I121" s="30">
        <v>12.292</v>
      </c>
      <c r="J121" s="30">
        <v>3803.9</v>
      </c>
      <c r="K121" s="30">
        <v>-41.678000000000004</v>
      </c>
      <c r="L121" s="30">
        <v>0.78900000000000003</v>
      </c>
      <c r="M121" s="34">
        <v>292.82</v>
      </c>
      <c r="N121" s="30">
        <v>1.1499999999999999</v>
      </c>
      <c r="O121" s="50">
        <v>0.64459999999999995</v>
      </c>
      <c r="Y121" s="34">
        <v>19.899999999999999</v>
      </c>
      <c r="Z121" s="34">
        <v>0.20960000000000001</v>
      </c>
      <c r="AA121" s="34">
        <v>-1.038E-4</v>
      </c>
      <c r="AB121" s="34">
        <v>2.0050000000000001E-8</v>
      </c>
      <c r="AC121" s="30">
        <v>4.75</v>
      </c>
      <c r="AD121" s="30">
        <v>2.7810000000000001E-2</v>
      </c>
      <c r="AE121" s="30">
        <v>-7.6510000000000001E-6</v>
      </c>
      <c r="AF121" s="30">
        <v>8.2099999999999996E-10</v>
      </c>
      <c r="AO121" s="51" t="str">
        <f t="shared" si="0"/>
        <v/>
      </c>
      <c r="AP121" s="51">
        <f t="shared" si="3"/>
        <v>1.6491135502903584</v>
      </c>
      <c r="AQ121" s="51">
        <f t="shared" si="1"/>
        <v>1.648745411362617</v>
      </c>
      <c r="AR121" s="51" t="str">
        <f t="shared" si="2"/>
        <v/>
      </c>
    </row>
    <row r="122" spans="2:44" ht="17.5" x14ac:dyDescent="0.45">
      <c r="B122" s="22" t="s">
        <v>63</v>
      </c>
      <c r="C122" s="30">
        <v>325</v>
      </c>
      <c r="D122" s="21" t="s">
        <v>138</v>
      </c>
      <c r="E122" s="30">
        <v>106.16800000000001</v>
      </c>
      <c r="F122" s="30">
        <v>616.91999999999996</v>
      </c>
      <c r="G122" s="30">
        <v>36.082000000000001</v>
      </c>
      <c r="H122" s="30">
        <v>329.74</v>
      </c>
      <c r="I122" s="30">
        <v>9.3994</v>
      </c>
      <c r="J122" s="30">
        <v>3279.4</v>
      </c>
      <c r="K122" s="30">
        <v>-59.95</v>
      </c>
      <c r="L122" s="30">
        <v>0.86699999999999999</v>
      </c>
      <c r="M122" s="34">
        <v>292.82</v>
      </c>
      <c r="N122" s="30">
        <v>1.07</v>
      </c>
      <c r="O122" s="50">
        <v>0.30270000000000002</v>
      </c>
      <c r="Y122" s="58"/>
      <c r="Z122" s="58"/>
      <c r="AA122" s="58"/>
      <c r="AB122" s="58"/>
      <c r="AC122" s="58"/>
      <c r="AD122" s="58"/>
      <c r="AE122" s="58"/>
      <c r="AF122" s="58"/>
      <c r="AO122" s="51" t="str">
        <f t="shared" si="0"/>
        <v/>
      </c>
      <c r="AP122" s="51" t="str">
        <f t="shared" si="3"/>
        <v/>
      </c>
      <c r="AQ122" s="51" t="str">
        <f t="shared" si="1"/>
        <v/>
      </c>
      <c r="AR122" s="51" t="str">
        <f t="shared" si="2"/>
        <v/>
      </c>
    </row>
    <row r="123" spans="2:44" ht="17.5" x14ac:dyDescent="0.45">
      <c r="B123" s="22" t="s">
        <v>43</v>
      </c>
      <c r="C123" s="30">
        <v>88</v>
      </c>
      <c r="D123" s="21" t="s">
        <v>139</v>
      </c>
      <c r="E123" s="30">
        <v>28.053999999999998</v>
      </c>
      <c r="F123" s="30">
        <v>287.77</v>
      </c>
      <c r="G123" s="30">
        <v>50.372</v>
      </c>
      <c r="H123" s="30">
        <v>149.37</v>
      </c>
      <c r="I123" s="34">
        <v>8.9167000000000005</v>
      </c>
      <c r="J123" s="34">
        <v>1347</v>
      </c>
      <c r="K123" s="34">
        <v>-18.149999999999999</v>
      </c>
      <c r="L123" s="30">
        <v>0.57699999999999996</v>
      </c>
      <c r="M123" s="34">
        <v>162.82</v>
      </c>
      <c r="N123" s="30">
        <v>1.24</v>
      </c>
      <c r="O123" s="50"/>
      <c r="Y123" s="34">
        <v>3.95</v>
      </c>
      <c r="Z123" s="34">
        <v>0.15640000000000001</v>
      </c>
      <c r="AA123" s="34">
        <v>-8.3440000000000001E-5</v>
      </c>
      <c r="AB123" s="34">
        <v>1.7669999999999999E-8</v>
      </c>
      <c r="AC123" s="30">
        <v>0.94399999999999995</v>
      </c>
      <c r="AD123" s="30">
        <v>2.0750000000000001E-2</v>
      </c>
      <c r="AE123" s="30">
        <v>-6.1510000000000001E-6</v>
      </c>
      <c r="AF123" s="30">
        <v>7.3260000000000003E-10</v>
      </c>
      <c r="AO123" s="51" t="str">
        <f t="shared" si="0"/>
        <v/>
      </c>
      <c r="AP123" s="51">
        <f t="shared" si="3"/>
        <v>1.6142762974433615</v>
      </c>
      <c r="AQ123" s="51">
        <f t="shared" si="1"/>
        <v>1.6143424684705168</v>
      </c>
      <c r="AR123" s="51" t="str">
        <f t="shared" si="2"/>
        <v/>
      </c>
    </row>
    <row r="124" spans="2:44" x14ac:dyDescent="0.35">
      <c r="B124" s="22" t="s">
        <v>65</v>
      </c>
      <c r="C124" s="30">
        <v>24</v>
      </c>
      <c r="D124" s="22" t="s">
        <v>140</v>
      </c>
      <c r="E124" s="30">
        <v>4.0030000000000001</v>
      </c>
      <c r="F124" s="30">
        <v>5.0056000000000003</v>
      </c>
      <c r="G124" s="30">
        <v>2.2704</v>
      </c>
      <c r="H124" s="59">
        <v>1</v>
      </c>
      <c r="I124" s="30">
        <v>5.6313000000000004</v>
      </c>
      <c r="J124" s="30">
        <v>33.733000000000004</v>
      </c>
      <c r="K124" s="30">
        <v>1.7889000000000002</v>
      </c>
      <c r="L124" s="30">
        <v>0.123</v>
      </c>
      <c r="M124" s="34">
        <v>4.0944000000000003</v>
      </c>
      <c r="N124" s="59">
        <v>1.66</v>
      </c>
      <c r="O124" s="50">
        <v>0</v>
      </c>
      <c r="P124" s="17">
        <v>4.9649999999999999</v>
      </c>
      <c r="Q124" s="17">
        <v>0</v>
      </c>
      <c r="R124" s="17">
        <v>100</v>
      </c>
      <c r="S124" s="17">
        <v>0</v>
      </c>
      <c r="T124" s="17">
        <v>100</v>
      </c>
      <c r="U124" s="17">
        <v>0</v>
      </c>
      <c r="V124" s="17">
        <v>100</v>
      </c>
      <c r="W124" s="17">
        <v>0</v>
      </c>
      <c r="X124" s="17">
        <v>100</v>
      </c>
      <c r="Y124" s="58"/>
      <c r="Z124" s="58"/>
      <c r="AA124" s="58"/>
      <c r="AB124" s="58"/>
      <c r="AC124" s="58"/>
      <c r="AD124" s="58"/>
      <c r="AE124" s="58"/>
      <c r="AF124" s="58"/>
      <c r="AG124" s="34">
        <v>20.78603</v>
      </c>
      <c r="AH124" s="34">
        <v>4.8506380000000005E-10</v>
      </c>
      <c r="AI124" s="34">
        <v>-1.582916E-10</v>
      </c>
      <c r="AJ124" s="34">
        <v>1.525102E-11</v>
      </c>
      <c r="AK124" s="34">
        <v>3.1963469999999999E-11</v>
      </c>
      <c r="AL124" s="34">
        <v>-6.1973409999999998</v>
      </c>
      <c r="AM124" s="34">
        <v>151.3064</v>
      </c>
      <c r="AN124" s="34">
        <v>0</v>
      </c>
      <c r="AO124" s="51">
        <f t="shared" si="0"/>
        <v>5.1929707719210585</v>
      </c>
      <c r="AP124" s="51" t="str">
        <f t="shared" si="3"/>
        <v/>
      </c>
      <c r="AQ124" s="51" t="str">
        <f t="shared" si="1"/>
        <v/>
      </c>
      <c r="AR124" s="51">
        <f t="shared" si="2"/>
        <v>5.1926130403354458</v>
      </c>
    </row>
    <row r="125" spans="2:44" ht="17.5" x14ac:dyDescent="0.45">
      <c r="B125" s="22" t="s">
        <v>66</v>
      </c>
      <c r="C125" s="30">
        <v>308</v>
      </c>
      <c r="D125" s="21" t="s">
        <v>141</v>
      </c>
      <c r="E125" s="30">
        <v>100.205</v>
      </c>
      <c r="F125" s="30">
        <v>540.02</v>
      </c>
      <c r="G125" s="30">
        <v>27.364999999999998</v>
      </c>
      <c r="H125" s="30">
        <v>185.29</v>
      </c>
      <c r="I125" s="30">
        <v>9.2536000000000005</v>
      </c>
      <c r="J125" s="30">
        <v>2911.3</v>
      </c>
      <c r="K125" s="30">
        <v>-56.511000000000003</v>
      </c>
      <c r="L125" s="30">
        <v>0.68400000000000005</v>
      </c>
      <c r="M125" s="34">
        <v>292.82</v>
      </c>
      <c r="N125" s="30">
        <v>1.05</v>
      </c>
      <c r="O125" s="50">
        <v>0.3483</v>
      </c>
      <c r="P125" s="17">
        <v>30.402899999999999</v>
      </c>
      <c r="Q125" s="17">
        <v>90.694100000000006</v>
      </c>
      <c r="R125" s="17">
        <v>1669.32</v>
      </c>
      <c r="S125" s="17">
        <v>63.202800000000003</v>
      </c>
      <c r="T125" s="17">
        <v>786.00099999999998</v>
      </c>
      <c r="U125" s="17">
        <v>0</v>
      </c>
      <c r="V125" s="17">
        <v>100</v>
      </c>
      <c r="W125" s="17">
        <v>0</v>
      </c>
      <c r="X125" s="17">
        <v>100</v>
      </c>
      <c r="Y125" s="58"/>
      <c r="Z125" s="58"/>
      <c r="AA125" s="58"/>
      <c r="AB125" s="58"/>
      <c r="AC125" s="58"/>
      <c r="AD125" s="58"/>
      <c r="AE125" s="58"/>
      <c r="AF125" s="58"/>
      <c r="AO125" s="51">
        <f t="shared" si="0"/>
        <v>1.7141771805961887</v>
      </c>
      <c r="AP125" s="51" t="str">
        <f t="shared" si="3"/>
        <v/>
      </c>
      <c r="AQ125" s="51" t="str">
        <f t="shared" si="1"/>
        <v/>
      </c>
      <c r="AR125" s="51" t="str">
        <f t="shared" si="2"/>
        <v/>
      </c>
    </row>
    <row r="126" spans="2:44" ht="17.5" x14ac:dyDescent="0.45">
      <c r="B126" s="22" t="s">
        <v>67</v>
      </c>
      <c r="C126" s="30">
        <v>271</v>
      </c>
      <c r="D126" s="21" t="s">
        <v>142</v>
      </c>
      <c r="E126" s="30">
        <v>86.177999999999997</v>
      </c>
      <c r="F126" s="30">
        <v>507.22</v>
      </c>
      <c r="G126" s="30">
        <v>29.696000000000002</v>
      </c>
      <c r="H126" s="30">
        <v>177.7</v>
      </c>
      <c r="I126" s="30">
        <v>9.2164999999999999</v>
      </c>
      <c r="J126" s="30">
        <v>2697.5</v>
      </c>
      <c r="K126" s="30">
        <v>-48.777999999999999</v>
      </c>
      <c r="L126" s="30">
        <v>0.65900000000000003</v>
      </c>
      <c r="M126" s="34">
        <v>292.82</v>
      </c>
      <c r="N126" s="30">
        <v>1.06</v>
      </c>
      <c r="O126" s="50">
        <v>0.29899999999999999</v>
      </c>
      <c r="P126" s="17">
        <v>26.622499999999999</v>
      </c>
      <c r="Q126" s="17">
        <v>80.381900000000002</v>
      </c>
      <c r="R126" s="17">
        <v>1718.49</v>
      </c>
      <c r="S126" s="17">
        <v>55.659799999999997</v>
      </c>
      <c r="T126" s="17">
        <v>802.06899999999996</v>
      </c>
      <c r="U126" s="17">
        <v>0</v>
      </c>
      <c r="V126" s="17">
        <v>100</v>
      </c>
      <c r="W126" s="17">
        <v>0</v>
      </c>
      <c r="X126" s="17">
        <v>100</v>
      </c>
      <c r="Y126" s="34">
        <v>6.9379999999999997</v>
      </c>
      <c r="Z126" s="34">
        <v>0.55220000000000002</v>
      </c>
      <c r="AA126" s="34">
        <v>-2.8650000000000003E-4</v>
      </c>
      <c r="AB126" s="34">
        <v>5.7690000000000002E-8</v>
      </c>
      <c r="AC126" s="30">
        <v>1.657</v>
      </c>
      <c r="AD126" s="30">
        <v>7.3279999999999998E-2</v>
      </c>
      <c r="AE126" s="30">
        <v>-2.1120000000000001E-5</v>
      </c>
      <c r="AF126" s="30">
        <v>2.3629999999999998E-9</v>
      </c>
      <c r="AO126" s="51">
        <f t="shared" si="0"/>
        <v>1.719415732745569</v>
      </c>
      <c r="AP126" s="51">
        <f t="shared" si="3"/>
        <v>1.7816144554404216</v>
      </c>
      <c r="AQ126" s="51">
        <f t="shared" si="1"/>
        <v>1.781816850465235</v>
      </c>
      <c r="AR126" s="51" t="str">
        <f t="shared" si="2"/>
        <v/>
      </c>
    </row>
    <row r="127" spans="2:44" ht="17.5" x14ac:dyDescent="0.45">
      <c r="B127" s="22" t="s">
        <v>68</v>
      </c>
      <c r="C127" s="30">
        <v>19</v>
      </c>
      <c r="D127" s="21" t="s">
        <v>143</v>
      </c>
      <c r="E127" s="30">
        <v>2.016</v>
      </c>
      <c r="F127" s="30">
        <v>33.017000000000003</v>
      </c>
      <c r="G127" s="30">
        <v>12.973000000000001</v>
      </c>
      <c r="H127" s="30">
        <v>21.01</v>
      </c>
      <c r="I127" s="30">
        <v>7.0132000000000003</v>
      </c>
      <c r="J127" s="30">
        <v>164.9</v>
      </c>
      <c r="K127" s="30">
        <v>3.1889000000000003</v>
      </c>
      <c r="L127" s="30">
        <v>7.0999999999999994E-2</v>
      </c>
      <c r="M127" s="34">
        <v>19.817</v>
      </c>
      <c r="N127" s="30">
        <v>1.4</v>
      </c>
      <c r="O127" s="50">
        <v>0.22159999999999999</v>
      </c>
      <c r="P127" s="17">
        <v>6.6678899999999999</v>
      </c>
      <c r="Q127" s="17">
        <v>2.3345799999999999</v>
      </c>
      <c r="R127" s="17">
        <v>2584.98</v>
      </c>
      <c r="S127" s="17">
        <v>0.74901899999999999</v>
      </c>
      <c r="T127" s="17">
        <v>559.65599999999995</v>
      </c>
      <c r="U127" s="17">
        <v>0</v>
      </c>
      <c r="V127" s="17">
        <v>100</v>
      </c>
      <c r="W127" s="17">
        <v>0</v>
      </c>
      <c r="X127" s="17">
        <v>100</v>
      </c>
      <c r="Y127" s="34">
        <v>29.11</v>
      </c>
      <c r="Z127" s="34">
        <v>-1.916E-3</v>
      </c>
      <c r="AA127" s="34">
        <v>4.0029999999999996E-6</v>
      </c>
      <c r="AB127" s="34">
        <v>-8.7040000000000001E-10</v>
      </c>
      <c r="AC127" s="30">
        <v>6.952</v>
      </c>
      <c r="AD127" s="30">
        <v>-2.542E-4</v>
      </c>
      <c r="AE127" s="30">
        <v>2.952E-7</v>
      </c>
      <c r="AF127" s="30">
        <v>-3.5650000000000001E-11</v>
      </c>
      <c r="AG127" s="30">
        <v>33.066178000000001</v>
      </c>
      <c r="AH127" s="30">
        <v>-11.363417</v>
      </c>
      <c r="AI127" s="30">
        <v>11.432816000000001</v>
      </c>
      <c r="AJ127" s="30">
        <v>-2.7728739999999998</v>
      </c>
      <c r="AK127" s="30">
        <v>-0.158558</v>
      </c>
      <c r="AL127" s="30">
        <v>-9.9807970000000008</v>
      </c>
      <c r="AM127" s="30">
        <v>172.70797400000001</v>
      </c>
      <c r="AN127" s="30">
        <v>0</v>
      </c>
      <c r="AO127" s="51">
        <f t="shared" si="0"/>
        <v>14.375026573115248</v>
      </c>
      <c r="AP127" s="51">
        <f t="shared" si="3"/>
        <v>14.323324347107372</v>
      </c>
      <c r="AQ127" s="51">
        <f t="shared" si="1"/>
        <v>14.321768823257248</v>
      </c>
      <c r="AR127" s="51">
        <f t="shared" si="2"/>
        <v>14.348615159826451</v>
      </c>
    </row>
    <row r="128" spans="2:44" x14ac:dyDescent="0.35">
      <c r="B128" s="22" t="s">
        <v>69</v>
      </c>
      <c r="C128" s="30">
        <v>16</v>
      </c>
      <c r="D128" s="22" t="s">
        <v>144</v>
      </c>
      <c r="E128" s="30">
        <v>36.460999999999999</v>
      </c>
      <c r="F128" s="30">
        <v>324.42</v>
      </c>
      <c r="G128" s="30">
        <v>83.108999999999995</v>
      </c>
      <c r="H128" s="30">
        <v>122.3</v>
      </c>
      <c r="I128" s="30">
        <v>9.8839000000000006</v>
      </c>
      <c r="J128" s="30">
        <v>1714.2</v>
      </c>
      <c r="K128" s="30">
        <v>-14.45</v>
      </c>
      <c r="L128" s="30">
        <v>1.1930000000000001</v>
      </c>
      <c r="M128" s="34">
        <v>187.93</v>
      </c>
      <c r="N128" s="30">
        <v>1.4</v>
      </c>
      <c r="O128" s="50">
        <v>0.12590000000000001</v>
      </c>
      <c r="Y128" s="34">
        <v>30.33</v>
      </c>
      <c r="Z128" s="34">
        <v>-7.62E-3</v>
      </c>
      <c r="AA128" s="34">
        <v>1.327E-5</v>
      </c>
      <c r="AB128" s="34">
        <v>-4.3379999999999997E-9</v>
      </c>
      <c r="AC128" s="30">
        <v>7.2549999999999999</v>
      </c>
      <c r="AD128" s="30">
        <v>-1.011E-3</v>
      </c>
      <c r="AE128" s="30">
        <v>9.7830000000000002E-7</v>
      </c>
      <c r="AF128" s="30">
        <v>-1.7760000000000001E-10</v>
      </c>
      <c r="AG128" s="30">
        <v>32.123919999999998</v>
      </c>
      <c r="AH128" s="30">
        <v>-13.45805</v>
      </c>
      <c r="AI128" s="30">
        <v>19.86852</v>
      </c>
      <c r="AJ128" s="30">
        <v>-6.853936</v>
      </c>
      <c r="AK128" s="30">
        <v>-4.9672000000000001E-2</v>
      </c>
      <c r="AL128" s="30">
        <v>-101.6206</v>
      </c>
      <c r="AM128" s="30">
        <v>228.6866</v>
      </c>
      <c r="AN128" s="30">
        <v>-92.312010000000001</v>
      </c>
      <c r="AO128" s="51" t="str">
        <f t="shared" si="0"/>
        <v/>
      </c>
      <c r="AP128" s="51">
        <f t="shared" si="3"/>
        <v>0.79843885039462348</v>
      </c>
      <c r="AQ128" s="51">
        <f t="shared" si="1"/>
        <v>0.79969042717611616</v>
      </c>
      <c r="AR128" s="51">
        <f t="shared" si="2"/>
        <v>0.79923456369164692</v>
      </c>
    </row>
    <row r="129" spans="2:44" ht="17.5" x14ac:dyDescent="0.45">
      <c r="B129" s="22" t="s">
        <v>70</v>
      </c>
      <c r="C129" s="30">
        <v>21</v>
      </c>
      <c r="D129" s="22" t="s">
        <v>145</v>
      </c>
      <c r="E129" s="30">
        <v>34.08</v>
      </c>
      <c r="F129" s="30">
        <v>373.02</v>
      </c>
      <c r="G129" s="30">
        <v>89.393000000000001</v>
      </c>
      <c r="H129" s="30">
        <v>138.80000000000001</v>
      </c>
      <c r="I129" s="30">
        <v>9.4839000000000002</v>
      </c>
      <c r="J129" s="30">
        <v>1768.6</v>
      </c>
      <c r="K129" s="30">
        <v>-26.061</v>
      </c>
      <c r="L129" s="30">
        <v>0.99299999999999999</v>
      </c>
      <c r="M129" s="34">
        <v>213.43</v>
      </c>
      <c r="N129" s="30">
        <v>1.32</v>
      </c>
      <c r="O129" s="50">
        <v>9.4799999999999995E-2</v>
      </c>
      <c r="P129" s="17">
        <v>7.9467999999999996</v>
      </c>
      <c r="Q129" s="17">
        <v>-8.3799999999999999E-2</v>
      </c>
      <c r="R129" s="17">
        <v>433.80099999999999</v>
      </c>
      <c r="S129" s="17">
        <v>2.8553899999999999</v>
      </c>
      <c r="T129" s="17">
        <v>843.79200000000003</v>
      </c>
      <c r="U129" s="17">
        <v>6.31595</v>
      </c>
      <c r="V129" s="17">
        <v>1481.43</v>
      </c>
      <c r="W129" s="17">
        <v>-2.8845700000000001</v>
      </c>
      <c r="X129" s="17">
        <v>1102.23</v>
      </c>
      <c r="Y129" s="58"/>
      <c r="Z129" s="58"/>
      <c r="AA129" s="58"/>
      <c r="AB129" s="58"/>
      <c r="AC129" s="58"/>
      <c r="AD129" s="58"/>
      <c r="AE129" s="58"/>
      <c r="AF129" s="58"/>
      <c r="AG129" s="30">
        <v>26.884119999999999</v>
      </c>
      <c r="AH129" s="30">
        <v>18.678090000000001</v>
      </c>
      <c r="AI129" s="30">
        <v>3.4342030000000001</v>
      </c>
      <c r="AJ129" s="30">
        <v>-3.3787020000000001</v>
      </c>
      <c r="AK129" s="30">
        <v>0.135882</v>
      </c>
      <c r="AL129" s="30">
        <v>-28.912109999999998</v>
      </c>
      <c r="AM129" s="30">
        <v>233.2747</v>
      </c>
      <c r="AN129" s="30">
        <v>-20.502020000000002</v>
      </c>
      <c r="AO129" s="51">
        <f t="shared" si="0"/>
        <v>1.0067856975927651</v>
      </c>
      <c r="AP129" s="51" t="str">
        <f t="shared" si="3"/>
        <v/>
      </c>
      <c r="AQ129" s="51" t="str">
        <f t="shared" si="1"/>
        <v/>
      </c>
      <c r="AR129" s="51">
        <f t="shared" si="2"/>
        <v>1.0079764863098946</v>
      </c>
    </row>
    <row r="130" spans="2:44" ht="17.5" x14ac:dyDescent="0.45">
      <c r="B130" s="22" t="s">
        <v>71</v>
      </c>
      <c r="C130" s="30">
        <v>182</v>
      </c>
      <c r="D130" s="22" t="s">
        <v>127</v>
      </c>
      <c r="E130" s="30">
        <v>58.124000000000002</v>
      </c>
      <c r="F130" s="30">
        <v>407.92</v>
      </c>
      <c r="G130" s="30">
        <v>36.487000000000002</v>
      </c>
      <c r="H130" s="30">
        <v>186.06</v>
      </c>
      <c r="I130" s="30">
        <v>8.918000000000001</v>
      </c>
      <c r="J130" s="30">
        <v>2032.7</v>
      </c>
      <c r="K130" s="30">
        <v>-33.15</v>
      </c>
      <c r="L130" s="30">
        <v>0.55700000000000005</v>
      </c>
      <c r="M130" s="34">
        <v>292.82</v>
      </c>
      <c r="N130" s="30">
        <v>1.0900000000000001</v>
      </c>
      <c r="O130" s="50">
        <v>0.1852</v>
      </c>
      <c r="P130" s="17">
        <v>17.814299999999999</v>
      </c>
      <c r="Q130" s="17">
        <v>58.206200000000003</v>
      </c>
      <c r="R130" s="17">
        <v>1787.39</v>
      </c>
      <c r="S130" s="17">
        <v>40.762099999999997</v>
      </c>
      <c r="T130" s="17">
        <v>808.64499999999998</v>
      </c>
      <c r="U130" s="17">
        <v>0</v>
      </c>
      <c r="V130" s="17">
        <v>100</v>
      </c>
      <c r="W130" s="17">
        <v>0</v>
      </c>
      <c r="X130" s="17">
        <v>100</v>
      </c>
      <c r="Y130" s="34">
        <v>-7.9130000000000003</v>
      </c>
      <c r="Z130" s="34">
        <v>0.41599999999999998</v>
      </c>
      <c r="AA130" s="34">
        <v>-2.3010000000000001E-4</v>
      </c>
      <c r="AB130" s="34">
        <v>4.9910000000000002E-8</v>
      </c>
      <c r="AC130" s="30">
        <v>-1.89</v>
      </c>
      <c r="AD130" s="30">
        <v>5.5199999999999999E-2</v>
      </c>
      <c r="AE130" s="30">
        <v>-1.696E-5</v>
      </c>
      <c r="AF130" s="30">
        <v>2.044E-9</v>
      </c>
      <c r="AO130" s="51">
        <f t="shared" si="0"/>
        <v>1.7317664413856837</v>
      </c>
      <c r="AP130" s="51">
        <f t="shared" si="3"/>
        <v>1.7432691828748446</v>
      </c>
      <c r="AQ130" s="51">
        <f t="shared" si="1"/>
        <v>1.7433270778677483</v>
      </c>
      <c r="AR130" s="51" t="str">
        <f t="shared" si="2"/>
        <v/>
      </c>
    </row>
    <row r="131" spans="2:44" ht="17.5" x14ac:dyDescent="0.45">
      <c r="B131" s="22" t="s">
        <v>78</v>
      </c>
      <c r="C131" s="30">
        <v>61</v>
      </c>
      <c r="D131" s="22" t="s">
        <v>146</v>
      </c>
      <c r="E131" s="30">
        <v>16.042999999999999</v>
      </c>
      <c r="F131" s="30">
        <v>190.42</v>
      </c>
      <c r="G131" s="30">
        <v>46.014000000000003</v>
      </c>
      <c r="H131" s="30">
        <v>90.99</v>
      </c>
      <c r="I131" s="59">
        <v>9.1861999999999995</v>
      </c>
      <c r="J131" s="59">
        <v>1020.1</v>
      </c>
      <c r="K131" s="59">
        <v>-0.49</v>
      </c>
      <c r="L131" s="30">
        <v>0.42499999999999999</v>
      </c>
      <c r="M131" s="34">
        <v>111.54</v>
      </c>
      <c r="N131" s="30">
        <v>1.31</v>
      </c>
      <c r="O131" s="50">
        <v>1.0800000000000001E-2</v>
      </c>
      <c r="P131" s="17">
        <v>7.9545399999999997</v>
      </c>
      <c r="Q131" s="17">
        <v>43.941699999999997</v>
      </c>
      <c r="R131" s="17">
        <v>1037.0899999999999</v>
      </c>
      <c r="S131" s="17">
        <v>1.5672999999999999</v>
      </c>
      <c r="T131" s="17">
        <v>13.205</v>
      </c>
      <c r="U131" s="17">
        <v>-24.902699999999999</v>
      </c>
      <c r="V131" s="17">
        <v>1019.98</v>
      </c>
      <c r="W131" s="17">
        <v>-10.1601</v>
      </c>
      <c r="X131" s="17">
        <v>1070.1400000000001</v>
      </c>
      <c r="Y131" s="34">
        <v>19.89</v>
      </c>
      <c r="Z131" s="34">
        <v>5.024E-2</v>
      </c>
      <c r="AA131" s="34">
        <v>1.269E-5</v>
      </c>
      <c r="AB131" s="34">
        <v>-1.1010000000000001E-8</v>
      </c>
      <c r="AC131" s="30">
        <v>4.75</v>
      </c>
      <c r="AD131" s="30">
        <v>6.6660000000000001E-3</v>
      </c>
      <c r="AE131" s="30">
        <v>9.3519999999999996E-7</v>
      </c>
      <c r="AF131" s="30">
        <v>-4.5099999999999999E-10</v>
      </c>
      <c r="AG131" s="30">
        <v>-0.70302900000000002</v>
      </c>
      <c r="AH131" s="30">
        <v>108.4773</v>
      </c>
      <c r="AI131" s="30">
        <v>-42.521569999999997</v>
      </c>
      <c r="AJ131" s="30">
        <v>5.8627880000000001</v>
      </c>
      <c r="AK131" s="30">
        <v>0.67856499999999997</v>
      </c>
      <c r="AL131" s="30">
        <v>-76.843760000000003</v>
      </c>
      <c r="AM131" s="30">
        <v>158.71629999999999</v>
      </c>
      <c r="AN131" s="30">
        <v>-74.873099999999994</v>
      </c>
      <c r="AO131" s="51">
        <f t="shared" si="0"/>
        <v>2.2039630576226252</v>
      </c>
      <c r="AP131" s="51">
        <f t="shared" si="3"/>
        <v>2.2769416540854932</v>
      </c>
      <c r="AQ131" s="51">
        <f t="shared" si="1"/>
        <v>2.2766790046054473</v>
      </c>
      <c r="AR131" s="51">
        <f t="shared" si="2"/>
        <v>2.256222320533757</v>
      </c>
    </row>
    <row r="132" spans="2:44" ht="17.5" x14ac:dyDescent="0.45">
      <c r="B132" s="22" t="s">
        <v>80</v>
      </c>
      <c r="C132" s="30">
        <v>62</v>
      </c>
      <c r="D132" s="21" t="s">
        <v>147</v>
      </c>
      <c r="E132" s="30">
        <v>32.042000000000002</v>
      </c>
      <c r="F132" s="30">
        <v>512.41999999999996</v>
      </c>
      <c r="G132" s="30">
        <v>80.981000000000009</v>
      </c>
      <c r="H132" s="30">
        <v>288</v>
      </c>
      <c r="I132" s="30">
        <v>11.967000000000001</v>
      </c>
      <c r="J132" s="30">
        <v>3626.5</v>
      </c>
      <c r="K132" s="30">
        <v>-34.289000000000001</v>
      </c>
      <c r="L132" s="30">
        <v>0.79100000000000004</v>
      </c>
      <c r="M132" s="34">
        <v>292.82</v>
      </c>
      <c r="N132" s="30">
        <v>1.24</v>
      </c>
      <c r="O132" s="50"/>
      <c r="P132" s="17"/>
      <c r="Q132" s="17"/>
      <c r="R132" s="17"/>
      <c r="S132" s="17"/>
      <c r="T132" s="17"/>
      <c r="U132" s="17"/>
      <c r="V132" s="17"/>
      <c r="W132" s="17"/>
      <c r="X132" s="17"/>
      <c r="Y132" s="34">
        <v>19</v>
      </c>
      <c r="Z132" s="54">
        <v>9.1520000000000004E-2</v>
      </c>
      <c r="AA132" s="54">
        <v>-1.22E-5</v>
      </c>
      <c r="AB132" s="54">
        <v>-8.0390000000000001E-9</v>
      </c>
      <c r="AC132" s="30">
        <v>4.55</v>
      </c>
      <c r="AD132" s="63">
        <v>1.214E-2</v>
      </c>
      <c r="AE132" s="63">
        <v>-8.9800000000000002E-7</v>
      </c>
      <c r="AF132" s="63">
        <v>-3.29E-10</v>
      </c>
      <c r="AG132" s="30"/>
      <c r="AH132" s="30"/>
      <c r="AI132" s="30"/>
      <c r="AJ132" s="30"/>
      <c r="AK132" s="30"/>
      <c r="AL132" s="30"/>
      <c r="AM132" s="30"/>
      <c r="AN132" s="30"/>
      <c r="AO132" s="51" t="str">
        <f t="shared" si="0"/>
        <v/>
      </c>
      <c r="AP132" s="51">
        <f t="shared" si="3"/>
        <v>1.442364879979088</v>
      </c>
      <c r="AQ132" s="51">
        <f t="shared" si="1"/>
        <v>1.4436916247738045</v>
      </c>
      <c r="AR132" s="51" t="str">
        <f t="shared" si="2"/>
        <v/>
      </c>
    </row>
    <row r="133" spans="2:44" ht="17.5" x14ac:dyDescent="0.45">
      <c r="B133" s="22" t="s">
        <v>81</v>
      </c>
      <c r="C133" s="30">
        <v>57</v>
      </c>
      <c r="D133" s="22" t="s">
        <v>148</v>
      </c>
      <c r="E133" s="30">
        <v>50.488</v>
      </c>
      <c r="F133" s="30">
        <v>416.12</v>
      </c>
      <c r="G133" s="30">
        <v>66.792000000000002</v>
      </c>
      <c r="H133" s="30">
        <v>183</v>
      </c>
      <c r="I133" s="30">
        <v>9.485100000000001</v>
      </c>
      <c r="J133" s="30">
        <v>2077.9</v>
      </c>
      <c r="K133" s="30">
        <v>-29.55</v>
      </c>
      <c r="L133" s="30">
        <v>0.91500000000000004</v>
      </c>
      <c r="M133" s="34">
        <v>292.82</v>
      </c>
      <c r="N133" s="30">
        <v>1.26</v>
      </c>
      <c r="O133" s="50"/>
      <c r="Y133" s="58"/>
      <c r="Z133" s="58"/>
      <c r="AA133" s="58"/>
      <c r="AB133" s="58"/>
      <c r="AC133" s="58"/>
      <c r="AD133" s="58"/>
      <c r="AE133" s="58"/>
      <c r="AF133" s="58"/>
      <c r="AG133" s="30">
        <v>3.5246900000000001</v>
      </c>
      <c r="AH133" s="30">
        <v>136.92769999999999</v>
      </c>
      <c r="AI133" s="30">
        <v>-82.141959999999997</v>
      </c>
      <c r="AJ133" s="30">
        <v>20.227969999999999</v>
      </c>
      <c r="AK133" s="30">
        <v>0.278032</v>
      </c>
      <c r="AL133" s="30">
        <v>-89.199950000000001</v>
      </c>
      <c r="AM133" s="30">
        <v>202.8391</v>
      </c>
      <c r="AN133" s="30">
        <v>-83.68</v>
      </c>
      <c r="AO133" s="51" t="str">
        <f t="shared" si="0"/>
        <v/>
      </c>
      <c r="AP133" s="51" t="str">
        <f t="shared" si="3"/>
        <v/>
      </c>
      <c r="AQ133" s="51" t="str">
        <f t="shared" si="1"/>
        <v/>
      </c>
      <c r="AR133" s="51">
        <f t="shared" si="2"/>
        <v>0.82801711471790174</v>
      </c>
    </row>
    <row r="134" spans="2:44" x14ac:dyDescent="0.35">
      <c r="B134" s="22" t="s">
        <v>82</v>
      </c>
      <c r="C134" s="30"/>
      <c r="D134" s="35"/>
      <c r="E134" s="30">
        <v>19.5</v>
      </c>
      <c r="F134" s="30">
        <v>-70</v>
      </c>
      <c r="G134" s="30">
        <v>46.33276901009139</v>
      </c>
      <c r="H134" s="30"/>
      <c r="I134" s="22"/>
      <c r="J134" s="22"/>
      <c r="K134" s="22"/>
      <c r="L134" s="22"/>
      <c r="M134" s="22"/>
      <c r="N134" s="30">
        <v>1.27</v>
      </c>
      <c r="O134" s="50"/>
      <c r="Y134" s="58"/>
      <c r="Z134" s="58"/>
      <c r="AA134" s="58"/>
      <c r="AB134" s="58"/>
      <c r="AC134" s="58"/>
      <c r="AD134" s="58"/>
      <c r="AE134" s="58"/>
      <c r="AF134" s="58"/>
      <c r="AO134" s="51" t="str">
        <f t="shared" si="0"/>
        <v/>
      </c>
      <c r="AP134" s="51" t="str">
        <f t="shared" si="3"/>
        <v/>
      </c>
      <c r="AQ134" s="51" t="str">
        <f t="shared" si="1"/>
        <v/>
      </c>
      <c r="AR134" s="51" t="str">
        <f t="shared" si="2"/>
        <v/>
      </c>
    </row>
    <row r="135" spans="2:44" x14ac:dyDescent="0.35">
      <c r="B135" s="22" t="s">
        <v>83</v>
      </c>
      <c r="C135" s="30">
        <v>31</v>
      </c>
      <c r="D135" s="22" t="s">
        <v>149</v>
      </c>
      <c r="E135" s="30">
        <v>20.183</v>
      </c>
      <c r="F135" s="30">
        <v>44.216999999999999</v>
      </c>
      <c r="G135" s="30">
        <v>27.568000000000001</v>
      </c>
      <c r="H135" s="30">
        <v>15.8</v>
      </c>
      <c r="I135" s="30">
        <v>7.3898000000000001</v>
      </c>
      <c r="J135" s="30">
        <v>180.4</v>
      </c>
      <c r="K135" s="30">
        <v>-2.6111</v>
      </c>
      <c r="L135" s="30">
        <v>1.204</v>
      </c>
      <c r="M135" s="34">
        <v>26.817</v>
      </c>
      <c r="N135" s="59">
        <v>1.64</v>
      </c>
      <c r="O135" s="50"/>
      <c r="Y135" s="58"/>
      <c r="Z135" s="58"/>
      <c r="AA135" s="58"/>
      <c r="AB135" s="58"/>
      <c r="AC135" s="58"/>
      <c r="AD135" s="58"/>
      <c r="AE135" s="58"/>
      <c r="AF135" s="58"/>
      <c r="AG135" s="34">
        <v>20.78603</v>
      </c>
      <c r="AH135" s="34">
        <v>4.8506380000000005E-10</v>
      </c>
      <c r="AI135" s="34">
        <v>-1.582916E-10</v>
      </c>
      <c r="AJ135" s="34">
        <v>1.525102E-11</v>
      </c>
      <c r="AK135" s="34">
        <v>3.1963469999999999E-11</v>
      </c>
      <c r="AL135" s="34">
        <v>-6.1973409999999998</v>
      </c>
      <c r="AM135" s="34">
        <v>171.4821</v>
      </c>
      <c r="AN135" s="34">
        <v>0</v>
      </c>
      <c r="AO135" s="51" t="str">
        <f t="shared" si="0"/>
        <v/>
      </c>
      <c r="AP135" s="51" t="str">
        <f t="shared" si="3"/>
        <v/>
      </c>
      <c r="AQ135" s="51" t="str">
        <f t="shared" si="1"/>
        <v/>
      </c>
      <c r="AR135" s="51">
        <f t="shared" si="2"/>
        <v>1.0298781152684333</v>
      </c>
    </row>
    <row r="136" spans="2:44" ht="17.5" x14ac:dyDescent="0.45">
      <c r="B136" s="22" t="s">
        <v>84</v>
      </c>
      <c r="C136" s="30">
        <v>29</v>
      </c>
      <c r="D136" s="21" t="s">
        <v>150</v>
      </c>
      <c r="E136" s="30">
        <v>28.013000000000002</v>
      </c>
      <c r="F136" s="30">
        <v>126.02</v>
      </c>
      <c r="G136" s="30">
        <v>33.953000000000003</v>
      </c>
      <c r="H136" s="30">
        <v>63.14</v>
      </c>
      <c r="I136" s="30">
        <v>8.3341000000000012</v>
      </c>
      <c r="J136" s="30">
        <v>588.70000000000005</v>
      </c>
      <c r="K136" s="30">
        <v>-6.6</v>
      </c>
      <c r="L136" s="30">
        <v>0.80400000000000005</v>
      </c>
      <c r="M136" s="34">
        <v>78.128</v>
      </c>
      <c r="N136" s="30">
        <v>1.4</v>
      </c>
      <c r="O136" s="50">
        <v>3.6999999999999998E-2</v>
      </c>
      <c r="P136" s="17">
        <v>6.95587</v>
      </c>
      <c r="Q136" s="17">
        <v>0.27289000000000002</v>
      </c>
      <c r="R136" s="17">
        <v>662.73800000000006</v>
      </c>
      <c r="S136" s="17">
        <v>-0.29132000000000002</v>
      </c>
      <c r="T136" s="17">
        <v>-680.56200000000001</v>
      </c>
      <c r="U136" s="17">
        <v>1.7898000000000001</v>
      </c>
      <c r="V136" s="17">
        <v>1740.06</v>
      </c>
      <c r="W136" s="17">
        <v>0</v>
      </c>
      <c r="X136" s="17">
        <v>100</v>
      </c>
      <c r="Y136" s="34">
        <v>28.9</v>
      </c>
      <c r="Z136" s="34">
        <v>-1.5709999999999999E-3</v>
      </c>
      <c r="AA136" s="34">
        <v>8.0809999999999994E-6</v>
      </c>
      <c r="AB136" s="34">
        <v>-2.8729999999999999E-9</v>
      </c>
      <c r="AC136" s="30">
        <v>6.9029999999999996</v>
      </c>
      <c r="AD136" s="30">
        <v>-2.085E-4</v>
      </c>
      <c r="AE136" s="30">
        <v>5.9569999999999997E-7</v>
      </c>
      <c r="AF136" s="30">
        <v>-1.1760000000000001E-10</v>
      </c>
      <c r="AG136" s="34">
        <v>26.091999999999999</v>
      </c>
      <c r="AH136" s="34">
        <v>8.2188009999999991</v>
      </c>
      <c r="AI136" s="34">
        <v>-1.9761409999999999</v>
      </c>
      <c r="AJ136" s="30">
        <v>0.159274</v>
      </c>
      <c r="AK136" s="34">
        <v>4.4434000000000001E-2</v>
      </c>
      <c r="AL136" s="34">
        <v>-7.9892300000000001</v>
      </c>
      <c r="AM136" s="34">
        <v>221.02</v>
      </c>
      <c r="AN136" s="34">
        <v>0</v>
      </c>
      <c r="AO136" s="51">
        <f t="shared" si="0"/>
        <v>1.040647826404147</v>
      </c>
      <c r="AP136" s="51">
        <f t="shared" si="3"/>
        <v>1.0392411588016579</v>
      </c>
      <c r="AQ136" s="51">
        <f t="shared" si="1"/>
        <v>1.0392915720371971</v>
      </c>
      <c r="AR136" s="51">
        <f t="shared" si="2"/>
        <v>1.0327326474756051</v>
      </c>
    </row>
    <row r="137" spans="2:44" x14ac:dyDescent="0.35">
      <c r="B137" s="22" t="s">
        <v>151</v>
      </c>
      <c r="C137" s="30">
        <v>27</v>
      </c>
      <c r="D137" s="21" t="s">
        <v>152</v>
      </c>
      <c r="E137" s="30">
        <v>30.006</v>
      </c>
      <c r="F137" s="30">
        <v>179.82</v>
      </c>
      <c r="G137" s="30">
        <v>64.866</v>
      </c>
      <c r="H137" s="59">
        <v>100</v>
      </c>
      <c r="I137" s="30">
        <v>13.511000000000001</v>
      </c>
      <c r="J137" s="30">
        <v>1572.5</v>
      </c>
      <c r="K137" s="30">
        <v>-4.8778000000000006</v>
      </c>
      <c r="L137" s="30">
        <v>1.28</v>
      </c>
      <c r="M137" s="34">
        <v>120.82</v>
      </c>
      <c r="N137" s="30">
        <v>1.39</v>
      </c>
      <c r="O137" s="50"/>
      <c r="P137" s="17"/>
      <c r="Q137" s="17"/>
      <c r="R137" s="17"/>
      <c r="S137" s="17"/>
      <c r="T137" s="17"/>
      <c r="U137" s="17"/>
      <c r="V137" s="17"/>
      <c r="W137" s="17"/>
      <c r="X137" s="17"/>
      <c r="Y137" s="34">
        <v>29.34</v>
      </c>
      <c r="Z137" s="54">
        <v>-9.3950000000000001E-4</v>
      </c>
      <c r="AA137" s="54">
        <v>9.747E-6</v>
      </c>
      <c r="AB137" s="54">
        <v>-4.1869999999999997E-9</v>
      </c>
      <c r="AC137" s="30">
        <v>7.008</v>
      </c>
      <c r="AD137" s="30">
        <v>-1.247E-4</v>
      </c>
      <c r="AE137" s="63">
        <v>7.1849999999999998E-7</v>
      </c>
      <c r="AF137" s="63">
        <v>-1.715E-10</v>
      </c>
      <c r="AG137" s="34">
        <v>23.834910000000001</v>
      </c>
      <c r="AH137" s="34">
        <v>12.58878</v>
      </c>
      <c r="AI137" s="34">
        <v>-1.139011</v>
      </c>
      <c r="AJ137" s="30">
        <v>-1.4974590000000001</v>
      </c>
      <c r="AK137" s="34">
        <v>0.214194</v>
      </c>
      <c r="AL137" s="34">
        <v>83.357830000000007</v>
      </c>
      <c r="AM137" s="34">
        <v>237.12190000000001</v>
      </c>
      <c r="AN137" s="34">
        <v>90.291139999999999</v>
      </c>
      <c r="AO137" s="51" t="str">
        <f t="shared" si="0"/>
        <v/>
      </c>
      <c r="AP137" s="51">
        <f t="shared" si="3"/>
        <v>0.99556884597421103</v>
      </c>
      <c r="AQ137" s="51">
        <f t="shared" si="1"/>
        <v>0.99560066460889329</v>
      </c>
      <c r="AR137" s="51">
        <f t="shared" si="2"/>
        <v>0.99325660737225774</v>
      </c>
    </row>
    <row r="138" spans="2:44" ht="17.5" x14ac:dyDescent="0.45">
      <c r="B138" s="22" t="s">
        <v>85</v>
      </c>
      <c r="C138" s="30">
        <v>30</v>
      </c>
      <c r="D138" s="21" t="s">
        <v>153</v>
      </c>
      <c r="E138" s="30">
        <v>44.012999999999998</v>
      </c>
      <c r="F138" s="30">
        <v>309.42</v>
      </c>
      <c r="G138" s="30">
        <v>72.466999999999999</v>
      </c>
      <c r="H138" s="30">
        <v>129.69999999999999</v>
      </c>
      <c r="I138" s="30">
        <v>9.5069999999999997</v>
      </c>
      <c r="J138" s="30">
        <v>1506.4</v>
      </c>
      <c r="K138" s="30">
        <v>-25.989000000000001</v>
      </c>
      <c r="L138" s="30">
        <v>1.226</v>
      </c>
      <c r="M138" s="34">
        <v>183.43</v>
      </c>
      <c r="N138" s="30">
        <v>1.28</v>
      </c>
      <c r="O138" s="50"/>
      <c r="Y138" s="34">
        <v>24.11</v>
      </c>
      <c r="Z138" s="54">
        <v>5.8631999999999997E-2</v>
      </c>
      <c r="AA138" s="54">
        <v>-3.5620000000000001E-5</v>
      </c>
      <c r="AB138" s="54">
        <v>1.0579999999999999E-8</v>
      </c>
      <c r="AC138" s="34">
        <v>5.758</v>
      </c>
      <c r="AD138" s="30">
        <v>7.7799999999999996E-3</v>
      </c>
      <c r="AE138" s="30">
        <v>-2.5959999999999998E-6</v>
      </c>
      <c r="AF138" s="30">
        <v>4.3309999999999998E-10</v>
      </c>
      <c r="AG138" s="34">
        <v>27.679880000000001</v>
      </c>
      <c r="AH138" s="34">
        <v>51.148980000000002</v>
      </c>
      <c r="AI138" s="34">
        <v>-30.644539999999999</v>
      </c>
      <c r="AJ138" s="30">
        <v>6.8479109999999999</v>
      </c>
      <c r="AK138" s="34">
        <v>-0.15790599999999999</v>
      </c>
      <c r="AL138" s="34">
        <v>71.249340000000004</v>
      </c>
      <c r="AM138" s="34">
        <v>238.6164</v>
      </c>
      <c r="AN138" s="34">
        <v>82.048240000000007</v>
      </c>
      <c r="AO138" s="51" t="str">
        <f t="shared" si="0"/>
        <v/>
      </c>
      <c r="AP138" s="51">
        <f t="shared" si="3"/>
        <v>0.89297490325094075</v>
      </c>
      <c r="AQ138" s="51">
        <f t="shared" si="1"/>
        <v>0.89381810594087951</v>
      </c>
      <c r="AR138" s="51">
        <f t="shared" si="2"/>
        <v>0.89273911182840027</v>
      </c>
    </row>
    <row r="139" spans="2:44" ht="17.5" x14ac:dyDescent="0.45">
      <c r="B139" s="22" t="s">
        <v>154</v>
      </c>
      <c r="C139" s="30">
        <v>28</v>
      </c>
      <c r="D139" s="21" t="s">
        <v>155</v>
      </c>
      <c r="E139" s="30">
        <v>46.006</v>
      </c>
      <c r="F139" s="30">
        <v>431.22</v>
      </c>
      <c r="G139" s="30">
        <v>101.35</v>
      </c>
      <c r="H139" s="30">
        <v>217.5</v>
      </c>
      <c r="I139" s="30">
        <v>13.912000000000001</v>
      </c>
      <c r="J139" s="30">
        <v>4141.2</v>
      </c>
      <c r="K139" s="30">
        <v>3.65</v>
      </c>
      <c r="L139" s="30">
        <v>1.4470000000000001</v>
      </c>
      <c r="M139" s="34">
        <v>292.82</v>
      </c>
      <c r="N139" s="30">
        <v>1.29</v>
      </c>
      <c r="O139" s="50"/>
      <c r="Y139" s="34">
        <v>22.9</v>
      </c>
      <c r="Z139" s="54">
        <v>5.7149999999999999E-2</v>
      </c>
      <c r="AA139" s="54">
        <v>-3.5200000000000002E-5</v>
      </c>
      <c r="AB139" s="54">
        <v>7.8700000000000003E-9</v>
      </c>
      <c r="AC139" s="34">
        <v>5.48</v>
      </c>
      <c r="AD139" s="63">
        <v>7.5830000000000003E-3</v>
      </c>
      <c r="AE139" s="63">
        <v>-2.6000000000000001E-6</v>
      </c>
      <c r="AF139" s="63">
        <v>3.2200000000000003E-10</v>
      </c>
      <c r="AG139" s="30">
        <v>16.10857</v>
      </c>
      <c r="AH139" s="30">
        <v>75.895250000000004</v>
      </c>
      <c r="AI139" s="30">
        <v>-54.3874</v>
      </c>
      <c r="AJ139" s="30">
        <v>14.30777</v>
      </c>
      <c r="AK139" s="30">
        <v>2.39423E-2</v>
      </c>
      <c r="AL139" s="30">
        <v>26.17464</v>
      </c>
      <c r="AM139" s="30">
        <v>240.5386</v>
      </c>
      <c r="AN139" s="30">
        <v>33.095019999999998</v>
      </c>
      <c r="AO139" s="51" t="str">
        <f t="shared" si="0"/>
        <v/>
      </c>
      <c r="AP139" s="51">
        <f t="shared" si="3"/>
        <v>0.81698871383957494</v>
      </c>
      <c r="AQ139" s="51">
        <f t="shared" si="1"/>
        <v>0.81776605501427135</v>
      </c>
      <c r="AR139" s="51">
        <f t="shared" si="2"/>
        <v>0.7656675510158566</v>
      </c>
    </row>
    <row r="140" spans="2:44" ht="17.5" x14ac:dyDescent="0.45">
      <c r="B140" s="22" t="s">
        <v>86</v>
      </c>
      <c r="C140" s="30">
        <v>389</v>
      </c>
      <c r="D140" s="21" t="s">
        <v>156</v>
      </c>
      <c r="E140" s="30">
        <v>128.25899999999999</v>
      </c>
      <c r="F140" s="30">
        <v>594.41999999999996</v>
      </c>
      <c r="G140" s="30">
        <v>23.108000000000001</v>
      </c>
      <c r="H140" s="30">
        <v>219.9</v>
      </c>
      <c r="I140" s="30">
        <v>9.3470000000000013</v>
      </c>
      <c r="J140" s="30">
        <v>3291.4</v>
      </c>
      <c r="K140" s="30">
        <v>-71.328000000000003</v>
      </c>
      <c r="L140" s="30">
        <v>0.71799999999999997</v>
      </c>
      <c r="M140" s="34">
        <v>292.82</v>
      </c>
      <c r="N140" s="30">
        <v>1.05</v>
      </c>
      <c r="O140" s="50">
        <v>0.4425</v>
      </c>
      <c r="P140" s="17">
        <v>38.501399999999997</v>
      </c>
      <c r="Q140" s="17">
        <v>111.446</v>
      </c>
      <c r="R140" s="17">
        <v>1646.48</v>
      </c>
      <c r="S140" s="17">
        <v>80.501499999999993</v>
      </c>
      <c r="T140" s="17">
        <v>781.58799999999997</v>
      </c>
      <c r="U140" s="17">
        <v>0</v>
      </c>
      <c r="V140" s="17">
        <v>100</v>
      </c>
      <c r="W140" s="17">
        <v>0</v>
      </c>
      <c r="X140" s="17">
        <v>100</v>
      </c>
      <c r="Y140" s="58"/>
      <c r="Z140" s="58"/>
      <c r="AA140" s="58"/>
      <c r="AB140" s="58"/>
      <c r="AC140" s="58"/>
      <c r="AD140" s="58"/>
      <c r="AE140" s="58"/>
      <c r="AF140" s="58"/>
      <c r="AO140" s="51">
        <f t="shared" si="0"/>
        <v>1.7065798695266896</v>
      </c>
      <c r="AP140" s="51" t="str">
        <f t="shared" si="3"/>
        <v/>
      </c>
      <c r="AQ140" s="51" t="str">
        <f t="shared" si="1"/>
        <v/>
      </c>
      <c r="AR140" s="51" t="str">
        <f t="shared" si="2"/>
        <v/>
      </c>
    </row>
    <row r="141" spans="2:44" ht="17.5" x14ac:dyDescent="0.45">
      <c r="B141" s="22" t="s">
        <v>93</v>
      </c>
      <c r="C141" s="30">
        <v>354</v>
      </c>
      <c r="D141" s="21" t="s">
        <v>157</v>
      </c>
      <c r="E141" s="30">
        <v>114.32299999999999</v>
      </c>
      <c r="F141" s="30">
        <v>568.62</v>
      </c>
      <c r="G141" s="30">
        <v>24.831</v>
      </c>
      <c r="H141" s="30">
        <v>216.59</v>
      </c>
      <c r="I141" s="30">
        <v>9.3224999999999998</v>
      </c>
      <c r="J141" s="30">
        <v>3120.2</v>
      </c>
      <c r="K141" s="30">
        <v>-63.628</v>
      </c>
      <c r="L141" s="30">
        <v>0.70299999999999996</v>
      </c>
      <c r="M141" s="34">
        <v>292.82</v>
      </c>
      <c r="N141" s="30">
        <v>1.05</v>
      </c>
      <c r="O141" s="50">
        <v>0.39779999999999999</v>
      </c>
      <c r="P141" s="17">
        <v>34.084699999999998</v>
      </c>
      <c r="Q141" s="17">
        <v>100.253</v>
      </c>
      <c r="R141" s="17">
        <v>1611.55</v>
      </c>
      <c r="S141" s="17">
        <v>69.767499999999998</v>
      </c>
      <c r="T141" s="17">
        <v>768.84699999999998</v>
      </c>
      <c r="U141" s="17">
        <v>0</v>
      </c>
      <c r="V141" s="17">
        <v>100</v>
      </c>
      <c r="W141" s="17">
        <v>0</v>
      </c>
      <c r="X141" s="17">
        <v>100</v>
      </c>
      <c r="Y141" s="58"/>
      <c r="Z141" s="58"/>
      <c r="AA141" s="58"/>
      <c r="AB141" s="58"/>
      <c r="AC141" s="58"/>
      <c r="AD141" s="58"/>
      <c r="AE141" s="58"/>
      <c r="AF141" s="58"/>
      <c r="AO141" s="51">
        <f t="shared" si="0"/>
        <v>1.7088498460197752</v>
      </c>
      <c r="AP141" s="51" t="str">
        <f t="shared" si="3"/>
        <v/>
      </c>
      <c r="AQ141" s="51" t="str">
        <f t="shared" si="1"/>
        <v/>
      </c>
      <c r="AR141" s="51" t="str">
        <f t="shared" si="2"/>
        <v/>
      </c>
    </row>
    <row r="142" spans="2:44" ht="17.5" x14ac:dyDescent="0.45">
      <c r="B142" s="22" t="s">
        <v>98</v>
      </c>
      <c r="C142" s="30">
        <v>32</v>
      </c>
      <c r="D142" s="21" t="s">
        <v>158</v>
      </c>
      <c r="E142" s="30">
        <v>31.998999999999999</v>
      </c>
      <c r="F142" s="30">
        <v>154.41999999999999</v>
      </c>
      <c r="G142" s="30">
        <v>50.474000000000004</v>
      </c>
      <c r="H142" s="30">
        <v>54.36</v>
      </c>
      <c r="I142" s="30">
        <v>8.7873999999999999</v>
      </c>
      <c r="J142" s="30">
        <v>734.5</v>
      </c>
      <c r="K142" s="30">
        <v>-6.45</v>
      </c>
      <c r="L142" s="30">
        <v>1.149</v>
      </c>
      <c r="M142" s="34">
        <v>89.817000000000007</v>
      </c>
      <c r="N142" s="30">
        <v>1.4</v>
      </c>
      <c r="O142" s="50">
        <v>2.1600000000000001E-2</v>
      </c>
      <c r="P142" s="17">
        <v>6.9630200000000002</v>
      </c>
      <c r="Q142" s="17">
        <v>2.4001299999999999</v>
      </c>
      <c r="R142" s="17">
        <v>2522.0500000000002</v>
      </c>
      <c r="S142" s="17">
        <v>2.2175199999999999</v>
      </c>
      <c r="T142" s="17">
        <v>1154.1500000000001</v>
      </c>
      <c r="U142" s="17">
        <v>0</v>
      </c>
      <c r="V142" s="17">
        <v>100</v>
      </c>
      <c r="W142" s="17">
        <v>0</v>
      </c>
      <c r="X142" s="17">
        <v>100</v>
      </c>
      <c r="Y142" s="34">
        <v>25.48</v>
      </c>
      <c r="Z142" s="34">
        <v>1.52E-2</v>
      </c>
      <c r="AA142" s="34">
        <v>-7.1550000000000001E-6</v>
      </c>
      <c r="AB142" s="34">
        <v>1.312E-9</v>
      </c>
      <c r="AC142" s="30">
        <v>6.085</v>
      </c>
      <c r="AD142" s="30">
        <v>2.0170000000000001E-3</v>
      </c>
      <c r="AE142" s="30">
        <v>-5.2750000000000003E-7</v>
      </c>
      <c r="AF142" s="30">
        <v>5.3720000000000003E-11</v>
      </c>
      <c r="AG142" s="30">
        <v>29.658999999999999</v>
      </c>
      <c r="AH142" s="30">
        <v>6.1372609999999996</v>
      </c>
      <c r="AI142" s="30">
        <v>-1.1865209999999999</v>
      </c>
      <c r="AJ142" s="30">
        <v>9.5780000000000004E-2</v>
      </c>
      <c r="AK142" s="30">
        <v>-0.219663</v>
      </c>
      <c r="AL142" s="30">
        <v>-9.8613909999999994</v>
      </c>
      <c r="AM142" s="30">
        <v>237.94800000000001</v>
      </c>
      <c r="AN142" s="30">
        <v>0</v>
      </c>
      <c r="AO142" s="51">
        <f t="shared" si="0"/>
        <v>0.92096603207304795</v>
      </c>
      <c r="AP142" s="51">
        <f t="shared" si="3"/>
        <v>0.92435792417881213</v>
      </c>
      <c r="AQ142" s="51">
        <f t="shared" si="1"/>
        <v>0.92425763520027859</v>
      </c>
      <c r="AR142" s="51">
        <f t="shared" si="2"/>
        <v>0.91338635190408168</v>
      </c>
    </row>
    <row r="143" spans="2:44" ht="17.5" x14ac:dyDescent="0.45">
      <c r="B143" s="22" t="s">
        <v>95</v>
      </c>
      <c r="C143" s="30">
        <v>223</v>
      </c>
      <c r="D143" s="22" t="s">
        <v>128</v>
      </c>
      <c r="E143" s="30">
        <v>72.150999999999996</v>
      </c>
      <c r="F143" s="30">
        <v>469.42</v>
      </c>
      <c r="G143" s="30">
        <v>33.750999999999998</v>
      </c>
      <c r="H143" s="30">
        <v>268.7</v>
      </c>
      <c r="I143" s="30">
        <v>9.2132000000000005</v>
      </c>
      <c r="J143" s="30">
        <v>2477</v>
      </c>
      <c r="K143" s="30">
        <v>-39.939</v>
      </c>
      <c r="L143" s="30">
        <v>0.626</v>
      </c>
      <c r="M143" s="34">
        <v>292.82</v>
      </c>
      <c r="N143" s="30">
        <v>1.08</v>
      </c>
      <c r="O143" s="50">
        <v>0.251</v>
      </c>
      <c r="P143" s="17">
        <v>21.386099999999999</v>
      </c>
      <c r="Q143" s="17">
        <v>74.340999999999994</v>
      </c>
      <c r="R143" s="17">
        <v>1701.58</v>
      </c>
      <c r="S143" s="17">
        <v>47.058700000000002</v>
      </c>
      <c r="T143" s="17">
        <v>775.899</v>
      </c>
      <c r="U143" s="17">
        <v>0</v>
      </c>
      <c r="V143" s="17">
        <v>100</v>
      </c>
      <c r="W143" s="17">
        <v>0</v>
      </c>
      <c r="X143" s="17">
        <v>100</v>
      </c>
      <c r="Y143" s="34">
        <v>6.774</v>
      </c>
      <c r="Z143" s="34">
        <v>0.45429999999999998</v>
      </c>
      <c r="AA143" s="34">
        <v>-2.2460000000000001E-4</v>
      </c>
      <c r="AB143" s="34">
        <v>4.224E-8</v>
      </c>
      <c r="AC143" s="30">
        <v>1.6180000000000001</v>
      </c>
      <c r="AD143" s="30">
        <v>6.028E-2</v>
      </c>
      <c r="AE143" s="30">
        <v>-1.6560000000000001E-5</v>
      </c>
      <c r="AF143" s="30">
        <v>1.732E-9</v>
      </c>
      <c r="AO143" s="51">
        <f t="shared" si="0"/>
        <v>1.7165411410848463</v>
      </c>
      <c r="AP143" s="51">
        <f t="shared" si="3"/>
        <v>1.7783569957325629</v>
      </c>
      <c r="AQ143" s="51">
        <f t="shared" si="1"/>
        <v>1.7782602852133784</v>
      </c>
      <c r="AR143" s="51" t="str">
        <f t="shared" si="2"/>
        <v/>
      </c>
    </row>
    <row r="144" spans="2:44" ht="17.5" x14ac:dyDescent="0.45">
      <c r="B144" s="22" t="s">
        <v>38</v>
      </c>
      <c r="C144" s="30">
        <v>272</v>
      </c>
      <c r="D144" s="22" t="s">
        <v>142</v>
      </c>
      <c r="E144" s="30">
        <v>86.177999999999997</v>
      </c>
      <c r="F144" s="30">
        <v>497.32</v>
      </c>
      <c r="G144" s="30">
        <v>30.102</v>
      </c>
      <c r="H144" s="30">
        <v>285.91000000000003</v>
      </c>
      <c r="I144" s="30">
        <v>9.1274999999999995</v>
      </c>
      <c r="J144" s="30">
        <v>2614.3000000000002</v>
      </c>
      <c r="K144" s="30">
        <v>-46.578000000000003</v>
      </c>
      <c r="L144" s="30">
        <v>0.65300000000000002</v>
      </c>
      <c r="M144" s="34">
        <v>292.82</v>
      </c>
      <c r="N144" s="30">
        <v>1.06</v>
      </c>
      <c r="O144" s="50">
        <v>0.27800000000000002</v>
      </c>
      <c r="Y144" s="58"/>
      <c r="Z144" s="58"/>
      <c r="AA144" s="58"/>
      <c r="AB144" s="58"/>
      <c r="AC144" s="58"/>
      <c r="AD144" s="58"/>
      <c r="AE144" s="58"/>
      <c r="AF144" s="58"/>
      <c r="AO144" s="51" t="str">
        <f t="shared" si="0"/>
        <v/>
      </c>
      <c r="AP144" s="51" t="str">
        <f t="shared" si="3"/>
        <v/>
      </c>
      <c r="AQ144" s="51" t="str">
        <f t="shared" si="1"/>
        <v/>
      </c>
      <c r="AR144" s="51" t="str">
        <f t="shared" si="2"/>
        <v/>
      </c>
    </row>
    <row r="145" spans="2:44" ht="17.5" x14ac:dyDescent="0.45">
      <c r="B145" s="22" t="s">
        <v>41</v>
      </c>
      <c r="C145" s="30">
        <v>273</v>
      </c>
      <c r="D145" s="22" t="s">
        <v>142</v>
      </c>
      <c r="E145" s="30">
        <v>86.177999999999997</v>
      </c>
      <c r="F145" s="30">
        <v>504.22</v>
      </c>
      <c r="G145" s="30">
        <v>31.217000000000002</v>
      </c>
      <c r="H145" s="30">
        <v>288.44</v>
      </c>
      <c r="I145" s="30">
        <v>9.15</v>
      </c>
      <c r="J145" s="30">
        <v>2653.4</v>
      </c>
      <c r="K145" s="30">
        <v>-46.021999999999998</v>
      </c>
      <c r="L145" s="30">
        <v>0.66400000000000003</v>
      </c>
      <c r="M145" s="34">
        <v>292.82</v>
      </c>
      <c r="N145" s="30">
        <v>1.06</v>
      </c>
      <c r="O145" s="50">
        <v>0.27360000000000001</v>
      </c>
      <c r="Y145" s="58"/>
      <c r="Z145" s="58"/>
      <c r="AA145" s="58"/>
      <c r="AB145" s="58"/>
      <c r="AC145" s="58"/>
      <c r="AD145" s="58"/>
      <c r="AE145" s="58"/>
      <c r="AF145" s="58"/>
      <c r="AO145" s="51" t="str">
        <f t="shared" si="0"/>
        <v/>
      </c>
      <c r="AP145" s="51" t="str">
        <f t="shared" si="3"/>
        <v/>
      </c>
      <c r="AQ145" s="51" t="str">
        <f t="shared" si="1"/>
        <v/>
      </c>
      <c r="AR145" s="51" t="str">
        <f t="shared" si="2"/>
        <v/>
      </c>
    </row>
    <row r="146" spans="2:44" ht="17.5" x14ac:dyDescent="0.45">
      <c r="B146" s="22" t="s">
        <v>97</v>
      </c>
      <c r="C146" s="30">
        <v>132</v>
      </c>
      <c r="D146" s="22" t="s">
        <v>159</v>
      </c>
      <c r="E146" s="30">
        <v>44.097000000000001</v>
      </c>
      <c r="F146" s="30">
        <v>369.62</v>
      </c>
      <c r="G146" s="30">
        <v>42.466999999999999</v>
      </c>
      <c r="H146" s="30">
        <v>166.02</v>
      </c>
      <c r="I146" s="30">
        <v>9.1059000000000001</v>
      </c>
      <c r="J146" s="30">
        <v>1872.4</v>
      </c>
      <c r="K146" s="30">
        <v>-25.161000000000001</v>
      </c>
      <c r="L146" s="30">
        <v>0.58199999999999996</v>
      </c>
      <c r="M146" s="34">
        <v>230.82</v>
      </c>
      <c r="N146" s="30">
        <v>1.1299999999999999</v>
      </c>
      <c r="O146" s="50">
        <v>0.1515</v>
      </c>
      <c r="P146" s="17">
        <v>8.1431900000000006</v>
      </c>
      <c r="Q146" s="17">
        <v>37.062899999999999</v>
      </c>
      <c r="R146" s="17">
        <v>735.40200000000004</v>
      </c>
      <c r="S146" s="17">
        <v>9.3815899999999992</v>
      </c>
      <c r="T146" s="17">
        <v>247.19</v>
      </c>
      <c r="U146" s="17">
        <v>13.4556</v>
      </c>
      <c r="V146" s="17">
        <v>1454.78</v>
      </c>
      <c r="W146" s="17">
        <v>-11.7342</v>
      </c>
      <c r="X146" s="17">
        <v>984.51800000000003</v>
      </c>
      <c r="Y146" s="34">
        <v>-4.04</v>
      </c>
      <c r="Z146" s="34">
        <v>0.30480000000000002</v>
      </c>
      <c r="AA146" s="34">
        <v>-1.572E-4</v>
      </c>
      <c r="AB146" s="34">
        <v>3.1739999999999998E-8</v>
      </c>
      <c r="AC146" s="30">
        <v>-0.96599999999999997</v>
      </c>
      <c r="AD146" s="30">
        <v>4.0439999999999997E-2</v>
      </c>
      <c r="AE146" s="30">
        <v>-1.1590000000000001E-5</v>
      </c>
      <c r="AF146" s="30">
        <v>1.3000000000000001E-9</v>
      </c>
      <c r="AO146" s="51">
        <f t="shared" si="0"/>
        <v>1.7378481947163769</v>
      </c>
      <c r="AP146" s="51">
        <f t="shared" si="3"/>
        <v>1.7454092870649016</v>
      </c>
      <c r="AQ146" s="51">
        <f t="shared" si="1"/>
        <v>1.7450187804365209</v>
      </c>
      <c r="AR146" s="51" t="str">
        <f t="shared" si="2"/>
        <v/>
      </c>
    </row>
    <row r="147" spans="2:44" ht="17.5" x14ac:dyDescent="0.45">
      <c r="B147" s="22" t="s">
        <v>99</v>
      </c>
      <c r="C147" s="30">
        <v>120</v>
      </c>
      <c r="D147" s="22" t="s">
        <v>160</v>
      </c>
      <c r="E147" s="30">
        <v>42.081000000000003</v>
      </c>
      <c r="F147" s="30">
        <v>364.82</v>
      </c>
      <c r="G147" s="30">
        <v>46.216999999999999</v>
      </c>
      <c r="H147" s="30">
        <v>165.81</v>
      </c>
      <c r="I147" s="30">
        <v>9.0725999999999996</v>
      </c>
      <c r="J147" s="30">
        <v>1807.5</v>
      </c>
      <c r="K147" s="30">
        <v>-26.15</v>
      </c>
      <c r="L147" s="30">
        <v>0.61199999999999999</v>
      </c>
      <c r="M147" s="34">
        <v>222.82</v>
      </c>
      <c r="N147" s="30">
        <v>1.1499999999999999</v>
      </c>
      <c r="O147" s="50">
        <v>0.1404</v>
      </c>
      <c r="Y147" s="34">
        <v>3.15</v>
      </c>
      <c r="Z147" s="34">
        <v>0.23830000000000001</v>
      </c>
      <c r="AA147" s="34">
        <v>-1.2180000000000001E-4</v>
      </c>
      <c r="AB147" s="34">
        <v>2.4620000000000001E-8</v>
      </c>
      <c r="AC147" s="30">
        <v>0.753</v>
      </c>
      <c r="AD147" s="30">
        <v>3.1620000000000002E-2</v>
      </c>
      <c r="AE147" s="30">
        <v>-8.9809999999999992E-6</v>
      </c>
      <c r="AF147" s="30">
        <v>1.008E-9</v>
      </c>
      <c r="AO147" s="51" t="str">
        <f t="shared" si="0"/>
        <v/>
      </c>
      <c r="AP147" s="51">
        <f t="shared" si="3"/>
        <v>1.5823203334149172</v>
      </c>
      <c r="AQ147" s="51">
        <f t="shared" si="1"/>
        <v>1.5822794315643864</v>
      </c>
      <c r="AR147" s="51" t="str">
        <f t="shared" si="2"/>
        <v/>
      </c>
    </row>
    <row r="148" spans="2:44" ht="17.5" x14ac:dyDescent="0.45">
      <c r="B148" s="22" t="s">
        <v>102</v>
      </c>
      <c r="C148" s="30">
        <v>33</v>
      </c>
      <c r="D148" s="22" t="s">
        <v>161</v>
      </c>
      <c r="E148" s="30">
        <v>64.063000000000002</v>
      </c>
      <c r="F148" s="30">
        <v>430.62</v>
      </c>
      <c r="G148" s="30">
        <v>78.853000000000009</v>
      </c>
      <c r="H148" s="30">
        <v>177.6</v>
      </c>
      <c r="I148" s="30">
        <v>10.148</v>
      </c>
      <c r="J148" s="30">
        <v>2302.3000000000002</v>
      </c>
      <c r="K148" s="30">
        <v>-35.972000000000001</v>
      </c>
      <c r="L148" s="30">
        <v>1.4550000000000001</v>
      </c>
      <c r="M148" s="34">
        <v>262.82</v>
      </c>
      <c r="N148" s="30">
        <v>1.27</v>
      </c>
      <c r="O148" s="50">
        <v>0.25480000000000003</v>
      </c>
      <c r="Y148" s="34">
        <v>25.78</v>
      </c>
      <c r="Z148" s="34">
        <v>5.7950000000000002E-2</v>
      </c>
      <c r="AA148" s="34">
        <v>-3.8120000000000001E-5</v>
      </c>
      <c r="AB148" s="34">
        <v>8.6119999999999996E-9</v>
      </c>
      <c r="AC148" s="30">
        <v>6.157</v>
      </c>
      <c r="AD148" s="30">
        <v>7.6889999999999997E-3</v>
      </c>
      <c r="AE148" s="30">
        <v>-2.8100000000000002E-6</v>
      </c>
      <c r="AF148" s="30">
        <v>3.5269999999999998E-10</v>
      </c>
      <c r="AG148" s="30">
        <v>21.430489999999999</v>
      </c>
      <c r="AH148" s="30">
        <v>74.350939999999994</v>
      </c>
      <c r="AI148" s="30">
        <v>-57.75217</v>
      </c>
      <c r="AJ148" s="30">
        <v>16.355340000000002</v>
      </c>
      <c r="AK148" s="30">
        <v>8.6731000000000003E-2</v>
      </c>
      <c r="AL148" s="30">
        <v>-305.7688</v>
      </c>
      <c r="AM148" s="30">
        <v>254.88720000000001</v>
      </c>
      <c r="AN148" s="30">
        <v>-296.84219999999999</v>
      </c>
      <c r="AO148" s="51" t="str">
        <f t="shared" si="0"/>
        <v/>
      </c>
      <c r="AP148" s="51">
        <f t="shared" si="3"/>
        <v>0.63146191516328765</v>
      </c>
      <c r="AQ148" s="51">
        <f t="shared" si="1"/>
        <v>0.6314164755620072</v>
      </c>
      <c r="AR148" s="51">
        <f t="shared" si="2"/>
        <v>0.63120411180806968</v>
      </c>
    </row>
    <row r="149" spans="2:44" ht="17.5" x14ac:dyDescent="0.45">
      <c r="B149" s="22" t="s">
        <v>103</v>
      </c>
      <c r="C149" s="30">
        <v>35</v>
      </c>
      <c r="D149" s="22" t="s">
        <v>162</v>
      </c>
      <c r="E149" s="30">
        <v>80.058000000000007</v>
      </c>
      <c r="F149" s="30">
        <v>490.82</v>
      </c>
      <c r="G149" s="30">
        <v>82.096000000000004</v>
      </c>
      <c r="H149" s="30">
        <v>333</v>
      </c>
      <c r="I149" s="30">
        <v>4.2051499999999997</v>
      </c>
      <c r="J149" s="30">
        <v>892.17499999999995</v>
      </c>
      <c r="K149" s="30">
        <v>-103.56399999999999</v>
      </c>
      <c r="L149" s="30">
        <v>1.78</v>
      </c>
      <c r="M149" s="34">
        <v>317.58999999999997</v>
      </c>
      <c r="N149" s="30"/>
      <c r="O149" s="50"/>
      <c r="Y149" s="34">
        <v>16.399999999999999</v>
      </c>
      <c r="Z149" s="54">
        <v>0.14580000000000001</v>
      </c>
      <c r="AA149" s="54">
        <v>-1.12E-4</v>
      </c>
      <c r="AB149" s="54">
        <v>3.2420000000000002E-8</v>
      </c>
      <c r="AC149" s="30">
        <v>3.9180000000000001</v>
      </c>
      <c r="AD149" s="63">
        <v>1.9349999999999999E-2</v>
      </c>
      <c r="AE149" s="63">
        <v>-8.2560000000000002E-6</v>
      </c>
      <c r="AF149" s="63">
        <v>1.328E-9</v>
      </c>
      <c r="AG149" s="17">
        <v>24.025030000000001</v>
      </c>
      <c r="AH149" s="17">
        <v>119.4607</v>
      </c>
      <c r="AI149" s="17">
        <v>-94.386859999999999</v>
      </c>
      <c r="AJ149" s="17">
        <v>26.96237</v>
      </c>
      <c r="AK149" s="17">
        <v>-0.117517</v>
      </c>
      <c r="AL149" s="17">
        <v>-407.8526</v>
      </c>
      <c r="AM149" s="17">
        <v>253.51859999999999</v>
      </c>
      <c r="AN149" s="17">
        <v>-395.7654</v>
      </c>
      <c r="AO149" s="51" t="str">
        <f t="shared" si="0"/>
        <v/>
      </c>
      <c r="AP149" s="51">
        <f t="shared" si="3"/>
        <v>0.65040082369711916</v>
      </c>
      <c r="AQ149" s="51">
        <f t="shared" si="1"/>
        <v>0.65056107032532096</v>
      </c>
      <c r="AR149" s="51">
        <f t="shared" si="2"/>
        <v>0.64712938874290848</v>
      </c>
    </row>
    <row r="150" spans="2:44" ht="17.5" x14ac:dyDescent="0.45">
      <c r="B150" s="22" t="s">
        <v>29</v>
      </c>
      <c r="C150" s="30">
        <v>20</v>
      </c>
      <c r="D150" s="22" t="s">
        <v>163</v>
      </c>
      <c r="E150" s="30">
        <v>18.015000000000001</v>
      </c>
      <c r="F150" s="30">
        <v>647.096</v>
      </c>
      <c r="G150" s="30">
        <v>220.64</v>
      </c>
      <c r="H150" s="30">
        <v>273</v>
      </c>
      <c r="I150" s="30">
        <v>11.683</v>
      </c>
      <c r="J150" s="30">
        <v>3816.4</v>
      </c>
      <c r="K150" s="30">
        <v>-46.128</v>
      </c>
      <c r="L150" s="30">
        <v>0.998</v>
      </c>
      <c r="M150" s="34">
        <v>292.82</v>
      </c>
      <c r="N150" s="30">
        <v>1.33</v>
      </c>
      <c r="O150" s="50">
        <v>0.34449999999999997</v>
      </c>
      <c r="P150" s="17">
        <v>7.9718299999999997</v>
      </c>
      <c r="Q150" s="17">
        <v>6.2707800000000002</v>
      </c>
      <c r="R150" s="17">
        <v>2572.63</v>
      </c>
      <c r="S150" s="17">
        <v>2.0501</v>
      </c>
      <c r="T150" s="17">
        <v>1156.72</v>
      </c>
      <c r="U150" s="17">
        <v>0</v>
      </c>
      <c r="V150" s="17">
        <v>100</v>
      </c>
      <c r="W150" s="17">
        <v>0</v>
      </c>
      <c r="X150" s="17">
        <v>100</v>
      </c>
      <c r="Y150" s="30">
        <v>32.24</v>
      </c>
      <c r="Z150" s="30">
        <v>1.923E-3</v>
      </c>
      <c r="AA150" s="30">
        <v>1.0550000000000001E-5</v>
      </c>
      <c r="AB150" s="30">
        <v>-3.5950000000000001E-9</v>
      </c>
      <c r="AC150" s="30">
        <v>7.7</v>
      </c>
      <c r="AD150" s="30">
        <v>2.5520000000000002E-4</v>
      </c>
      <c r="AE150" s="30">
        <v>7.7810000000000001E-7</v>
      </c>
      <c r="AF150" s="30">
        <v>-1.4719999999999999E-10</v>
      </c>
      <c r="AG150" s="30">
        <v>30.091999999999999</v>
      </c>
      <c r="AH150" s="30">
        <v>6.8325139999999998</v>
      </c>
      <c r="AI150" s="30">
        <v>6.7934349999999997</v>
      </c>
      <c r="AJ150" s="30">
        <v>-2.5344799999999998</v>
      </c>
      <c r="AK150" s="30">
        <v>8.2139000000000004E-2</v>
      </c>
      <c r="AL150" s="30">
        <v>-250.881</v>
      </c>
      <c r="AM150" s="30">
        <v>223.39670000000001</v>
      </c>
      <c r="AN150" s="30">
        <v>-2418264</v>
      </c>
      <c r="AO150" s="51">
        <f t="shared" si="0"/>
        <v>1.8688050885305552</v>
      </c>
      <c r="AP150" s="51">
        <f t="shared" si="3"/>
        <v>1.8743466316594368</v>
      </c>
      <c r="AQ150" s="51">
        <f t="shared" si="1"/>
        <v>1.8742890035852073</v>
      </c>
      <c r="AR150" s="51">
        <f t="shared" si="2"/>
        <v>1.8683081470696106</v>
      </c>
    </row>
    <row r="151" spans="2:44" x14ac:dyDescent="0.35">
      <c r="Y151" s="58"/>
      <c r="Z151" s="58"/>
      <c r="AA151" s="58"/>
      <c r="AB151" s="58"/>
      <c r="AC151" s="58"/>
      <c r="AD151" s="58"/>
      <c r="AE151" s="58"/>
      <c r="AF151" s="58"/>
    </row>
    <row r="152" spans="2:44" x14ac:dyDescent="0.35">
      <c r="Y152" s="58"/>
      <c r="Z152" s="58"/>
      <c r="AA152" s="58"/>
      <c r="AB152" s="58"/>
      <c r="AC152" s="58"/>
      <c r="AD152" s="58"/>
      <c r="AE152" s="58"/>
      <c r="AF152" s="58"/>
    </row>
    <row r="153" spans="2:44" x14ac:dyDescent="0.35">
      <c r="Y153" s="58"/>
      <c r="Z153" s="58"/>
      <c r="AA153" s="58"/>
      <c r="AB153" s="58"/>
      <c r="AC153" s="58"/>
      <c r="AD153" s="58"/>
      <c r="AE153" s="58"/>
      <c r="AF153" s="58"/>
    </row>
  </sheetData>
  <mergeCells count="7">
    <mergeCell ref="AO100:AR100"/>
    <mergeCell ref="I100:K100"/>
    <mergeCell ref="L100:M100"/>
    <mergeCell ref="P100:X100"/>
    <mergeCell ref="Y100:AB100"/>
    <mergeCell ref="AC100:AF100"/>
    <mergeCell ref="AG100:AN100"/>
  </mergeCells>
  <hyperlinks>
    <hyperlink ref="A5" r:id="rId1"/>
  </hyperlinks>
  <pageMargins left="0.75" right="0.75" top="1" bottom="1" header="0.5" footer="0.5"/>
  <pageSetup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Sheet5">
    <tabColor indexed="22"/>
  </sheetPr>
  <dimension ref="A1:U84"/>
  <sheetViews>
    <sheetView workbookViewId="0">
      <selection activeCell="A18" sqref="A18"/>
    </sheetView>
  </sheetViews>
  <sheetFormatPr defaultColWidth="11.36328125" defaultRowHeight="15.5" x14ac:dyDescent="0.35"/>
  <cols>
    <col min="1" max="1" width="42.08984375" style="3" customWidth="1"/>
    <col min="2" max="8" width="11.36328125" style="2" customWidth="1"/>
    <col min="9" max="12" width="11.36328125" style="3"/>
    <col min="13" max="13" width="42.08984375" style="3" customWidth="1"/>
    <col min="14" max="14" width="11.36328125" style="3"/>
    <col min="15" max="15" width="12.54296875" style="3" customWidth="1"/>
    <col min="16" max="16384" width="11.36328125" style="3"/>
  </cols>
  <sheetData>
    <row r="1" spans="1:19" ht="18" x14ac:dyDescent="0.4">
      <c r="A1" s="38" t="s">
        <v>164</v>
      </c>
    </row>
    <row r="3" spans="1:19" x14ac:dyDescent="0.35">
      <c r="A3" s="39" t="s">
        <v>165</v>
      </c>
      <c r="B3" s="40" t="s">
        <v>166</v>
      </c>
      <c r="C3" s="40" t="s">
        <v>167</v>
      </c>
      <c r="D3" s="40" t="s">
        <v>168</v>
      </c>
      <c r="E3" s="40" t="s">
        <v>169</v>
      </c>
      <c r="F3" s="40" t="s">
        <v>170</v>
      </c>
      <c r="G3" s="40" t="s">
        <v>171</v>
      </c>
      <c r="J3" s="2"/>
      <c r="M3" s="39"/>
      <c r="N3" s="40"/>
      <c r="O3" s="40"/>
      <c r="P3" s="40"/>
      <c r="Q3" s="40"/>
      <c r="R3" s="40"/>
      <c r="S3" s="40"/>
    </row>
    <row r="4" spans="1:19" x14ac:dyDescent="0.35">
      <c r="A4" s="394" t="s">
        <v>526</v>
      </c>
      <c r="B4" s="322">
        <v>1.0699999999999999E-2</v>
      </c>
      <c r="C4" s="323">
        <v>1</v>
      </c>
      <c r="D4" s="323">
        <v>1</v>
      </c>
      <c r="E4" s="324">
        <v>0.09</v>
      </c>
      <c r="F4" s="323">
        <v>1</v>
      </c>
      <c r="G4" s="4" t="s">
        <v>172</v>
      </c>
      <c r="J4" s="43"/>
      <c r="N4" s="41"/>
      <c r="O4" s="42"/>
      <c r="P4" s="42"/>
      <c r="Q4" s="42"/>
      <c r="R4" s="42"/>
      <c r="S4" s="2"/>
    </row>
    <row r="5" spans="1:19" x14ac:dyDescent="0.35">
      <c r="A5" s="394" t="s">
        <v>530</v>
      </c>
      <c r="B5" s="322">
        <v>3.0999999999999999E-3</v>
      </c>
      <c r="C5" s="323">
        <v>1</v>
      </c>
      <c r="D5" s="323">
        <v>1</v>
      </c>
      <c r="E5" s="324">
        <v>0.09</v>
      </c>
      <c r="F5" s="323">
        <v>1</v>
      </c>
      <c r="G5" s="4" t="s">
        <v>172</v>
      </c>
      <c r="J5" s="43"/>
      <c r="N5" s="41"/>
      <c r="O5" s="42"/>
      <c r="P5" s="42"/>
      <c r="Q5" s="42"/>
      <c r="R5" s="42"/>
      <c r="S5" s="2"/>
    </row>
    <row r="6" spans="1:19" x14ac:dyDescent="0.35">
      <c r="A6" s="394" t="s">
        <v>531</v>
      </c>
      <c r="B6" s="322">
        <v>4.7000000000000002E-3</v>
      </c>
      <c r="C6" s="323">
        <v>1</v>
      </c>
      <c r="D6" s="323">
        <v>1</v>
      </c>
      <c r="E6" s="324">
        <v>0.09</v>
      </c>
      <c r="F6" s="323">
        <v>1</v>
      </c>
      <c r="G6" s="4" t="s">
        <v>172</v>
      </c>
      <c r="J6" s="43"/>
      <c r="N6" s="41"/>
      <c r="O6" s="42"/>
      <c r="P6" s="42"/>
      <c r="Q6" s="42"/>
      <c r="R6" s="42"/>
      <c r="S6" s="2"/>
    </row>
    <row r="7" spans="1:19" x14ac:dyDescent="0.35">
      <c r="A7" s="394" t="s">
        <v>529</v>
      </c>
      <c r="B7" s="322">
        <v>1.24E-2</v>
      </c>
      <c r="C7" s="324">
        <v>1</v>
      </c>
      <c r="D7" s="324">
        <v>1</v>
      </c>
      <c r="E7" s="324">
        <v>0.09</v>
      </c>
      <c r="F7" s="324">
        <v>1</v>
      </c>
      <c r="G7" s="4" t="s">
        <v>172</v>
      </c>
      <c r="J7" s="43"/>
      <c r="N7" s="41"/>
      <c r="O7" s="44"/>
      <c r="P7" s="44"/>
      <c r="Q7" s="44"/>
      <c r="R7" s="44"/>
      <c r="S7" s="2"/>
    </row>
    <row r="8" spans="1:19" x14ac:dyDescent="0.35">
      <c r="A8" s="394" t="s">
        <v>527</v>
      </c>
      <c r="B8" s="322">
        <v>6.7000000000000002E-3</v>
      </c>
      <c r="C8" s="324">
        <v>1</v>
      </c>
      <c r="D8" s="324">
        <v>1</v>
      </c>
      <c r="E8" s="324">
        <v>0.09</v>
      </c>
      <c r="F8" s="324">
        <v>1</v>
      </c>
      <c r="G8" s="4" t="s">
        <v>172</v>
      </c>
      <c r="J8" s="43"/>
      <c r="N8" s="41"/>
      <c r="O8" s="44"/>
      <c r="P8" s="44"/>
      <c r="Q8" s="44"/>
      <c r="R8" s="44"/>
      <c r="S8" s="2"/>
    </row>
    <row r="9" spans="1:19" x14ac:dyDescent="0.35">
      <c r="A9" s="395" t="s">
        <v>528</v>
      </c>
      <c r="B9" s="322">
        <v>1.34E-2</v>
      </c>
      <c r="C9" s="323">
        <v>0.94</v>
      </c>
      <c r="D9" s="323">
        <v>0.74199999999999999</v>
      </c>
      <c r="E9" s="324">
        <v>0.09</v>
      </c>
      <c r="F9" s="323">
        <v>0.85</v>
      </c>
      <c r="G9" s="4" t="s">
        <v>172</v>
      </c>
      <c r="J9" s="43"/>
      <c r="M9" s="45"/>
      <c r="N9" s="41"/>
      <c r="O9" s="42"/>
      <c r="P9" s="42"/>
      <c r="Q9" s="42"/>
      <c r="R9" s="42"/>
      <c r="S9" s="2"/>
    </row>
    <row r="10" spans="1:19" x14ac:dyDescent="0.35">
      <c r="A10" s="394" t="s">
        <v>532</v>
      </c>
      <c r="B10" s="325">
        <v>1.47E-2</v>
      </c>
      <c r="C10" s="323">
        <v>0.9</v>
      </c>
      <c r="D10" s="323">
        <v>0.68899999999999995</v>
      </c>
      <c r="E10" s="324">
        <v>0.37</v>
      </c>
      <c r="F10" s="323">
        <v>0.65</v>
      </c>
      <c r="G10" s="4">
        <v>4</v>
      </c>
      <c r="J10" s="43"/>
      <c r="N10" s="41"/>
      <c r="O10" s="42"/>
      <c r="P10" s="42"/>
      <c r="Q10" s="42"/>
      <c r="R10" s="42"/>
      <c r="S10" s="2"/>
    </row>
    <row r="11" spans="1:19" x14ac:dyDescent="0.35">
      <c r="A11" s="394" t="s">
        <v>534</v>
      </c>
      <c r="B11" s="325">
        <v>1.6E-2</v>
      </c>
      <c r="C11" s="323">
        <v>0.9</v>
      </c>
      <c r="D11" s="323">
        <v>0.68</v>
      </c>
      <c r="E11" s="324">
        <v>1</v>
      </c>
      <c r="F11" s="323">
        <v>0.65</v>
      </c>
      <c r="G11" s="4">
        <v>1</v>
      </c>
      <c r="J11" s="43"/>
      <c r="N11" s="41"/>
      <c r="O11" s="42"/>
      <c r="P11" s="42"/>
      <c r="Q11" s="42"/>
      <c r="R11" s="42"/>
      <c r="S11" s="2"/>
    </row>
    <row r="12" spans="1:19" x14ac:dyDescent="0.35">
      <c r="A12" s="394" t="s">
        <v>535</v>
      </c>
      <c r="B12" s="325">
        <v>1.6E-2</v>
      </c>
      <c r="C12" s="323">
        <v>0.8</v>
      </c>
      <c r="D12" s="323">
        <v>0.53800000000000003</v>
      </c>
      <c r="E12" s="324">
        <v>1</v>
      </c>
      <c r="F12" s="323">
        <v>0.57999999999999996</v>
      </c>
      <c r="G12" s="4">
        <v>1</v>
      </c>
      <c r="J12" s="43"/>
      <c r="N12" s="41"/>
      <c r="O12" s="42"/>
      <c r="P12" s="42"/>
      <c r="Q12" s="42"/>
      <c r="R12" s="42"/>
      <c r="S12" s="2"/>
    </row>
    <row r="13" spans="1:19" x14ac:dyDescent="0.35">
      <c r="A13" s="394" t="s">
        <v>536</v>
      </c>
      <c r="B13" s="325">
        <v>3.7199999999999997E-2</v>
      </c>
      <c r="C13" s="323">
        <v>0.60499999999999998</v>
      </c>
      <c r="D13" s="323">
        <v>0.308</v>
      </c>
      <c r="E13" s="324">
        <v>0.8</v>
      </c>
      <c r="F13" s="323">
        <v>0.307</v>
      </c>
      <c r="G13" s="4">
        <v>1</v>
      </c>
      <c r="J13" s="43"/>
      <c r="N13" s="41"/>
      <c r="O13" s="42"/>
      <c r="P13" s="42"/>
      <c r="Q13" s="42"/>
      <c r="R13" s="42"/>
      <c r="S13" s="2"/>
    </row>
    <row r="14" spans="1:19" x14ac:dyDescent="0.35">
      <c r="A14" s="394" t="s">
        <v>540</v>
      </c>
      <c r="B14" s="325">
        <v>2.5999999999999999E-2</v>
      </c>
      <c r="C14" s="323">
        <v>0.60499999999999998</v>
      </c>
      <c r="D14" s="323">
        <v>0.308</v>
      </c>
      <c r="E14" s="324">
        <v>0.8</v>
      </c>
      <c r="F14" s="323">
        <v>0.307</v>
      </c>
      <c r="G14" s="4">
        <v>1</v>
      </c>
      <c r="J14" s="43"/>
      <c r="N14" s="41"/>
      <c r="O14" s="42"/>
      <c r="P14" s="42"/>
      <c r="Q14" s="42"/>
      <c r="R14" s="42"/>
      <c r="S14" s="2"/>
    </row>
    <row r="15" spans="1:19" x14ac:dyDescent="0.35">
      <c r="A15" s="394" t="s">
        <v>537</v>
      </c>
      <c r="B15" s="325">
        <v>1.83E-2</v>
      </c>
      <c r="C15" s="323">
        <v>0.85</v>
      </c>
      <c r="D15" s="323">
        <v>0.60699999999999998</v>
      </c>
      <c r="E15" s="324">
        <v>0.42</v>
      </c>
      <c r="F15" s="323">
        <v>0.61299999999999999</v>
      </c>
      <c r="G15" s="4">
        <v>2</v>
      </c>
      <c r="J15" s="43"/>
      <c r="N15" s="41"/>
      <c r="O15" s="42"/>
      <c r="P15" s="42"/>
      <c r="Q15" s="42"/>
      <c r="R15" s="42"/>
      <c r="S15" s="2"/>
    </row>
    <row r="16" spans="1:19" x14ac:dyDescent="0.35">
      <c r="A16" s="394" t="s">
        <v>538</v>
      </c>
      <c r="B16" s="325">
        <v>4.07E-2</v>
      </c>
      <c r="C16" s="323">
        <v>0.55000000000000004</v>
      </c>
      <c r="D16" s="323">
        <v>0.25600000000000001</v>
      </c>
      <c r="E16" s="324">
        <v>0.61799999999999999</v>
      </c>
      <c r="F16" s="323">
        <v>0.215</v>
      </c>
      <c r="G16" s="4">
        <v>2</v>
      </c>
      <c r="J16" s="43"/>
      <c r="N16" s="41"/>
      <c r="O16" s="42"/>
      <c r="P16" s="42"/>
      <c r="Q16" s="42"/>
      <c r="R16" s="42"/>
      <c r="S16" s="2"/>
    </row>
    <row r="17" spans="1:19" x14ac:dyDescent="0.35">
      <c r="A17" s="394" t="s">
        <v>539</v>
      </c>
      <c r="B17" s="325">
        <v>4.3999999999999997E-2</v>
      </c>
      <c r="C17" s="323">
        <v>0.55200000000000005</v>
      </c>
      <c r="D17" s="323">
        <v>0.25600000000000001</v>
      </c>
      <c r="E17" s="324">
        <v>0.61799999999999999</v>
      </c>
      <c r="F17" s="323">
        <v>0.215</v>
      </c>
      <c r="G17" s="4">
        <v>2</v>
      </c>
      <c r="J17" s="43"/>
      <c r="N17" s="41"/>
      <c r="O17" s="42"/>
      <c r="P17" s="42"/>
      <c r="Q17" s="42"/>
      <c r="R17" s="42"/>
      <c r="S17" s="2"/>
    </row>
    <row r="20" spans="1:19" x14ac:dyDescent="0.35">
      <c r="B20" s="3"/>
      <c r="C20" s="3"/>
      <c r="D20" s="3"/>
      <c r="E20" s="3"/>
      <c r="F20" s="3"/>
      <c r="G20" s="3"/>
      <c r="H20" s="3"/>
    </row>
    <row r="21" spans="1:19" x14ac:dyDescent="0.35">
      <c r="B21" s="3"/>
      <c r="C21" s="3"/>
      <c r="D21" s="3"/>
      <c r="E21" s="3"/>
      <c r="F21" s="3"/>
      <c r="G21" s="3"/>
      <c r="H21" s="3"/>
    </row>
    <row r="22" spans="1:19" x14ac:dyDescent="0.35">
      <c r="B22" s="3"/>
      <c r="C22" s="3"/>
      <c r="D22" s="3"/>
      <c r="E22" s="3"/>
      <c r="F22" s="3"/>
      <c r="G22" s="3"/>
      <c r="H22" s="3"/>
    </row>
    <row r="23" spans="1:19" x14ac:dyDescent="0.35">
      <c r="B23" s="3"/>
      <c r="C23" s="3"/>
      <c r="D23" s="3"/>
      <c r="E23" s="3"/>
      <c r="F23" s="3"/>
      <c r="G23" s="3"/>
      <c r="H23" s="3"/>
      <c r="N23" s="43"/>
      <c r="O23" s="46"/>
    </row>
    <row r="24" spans="1:19" x14ac:dyDescent="0.35">
      <c r="B24" s="3"/>
      <c r="C24" s="3"/>
      <c r="D24" s="3"/>
      <c r="E24" s="3"/>
      <c r="F24" s="3"/>
      <c r="G24" s="3"/>
      <c r="H24" s="3"/>
      <c r="N24" s="43"/>
      <c r="O24" s="46"/>
    </row>
    <row r="25" spans="1:19" x14ac:dyDescent="0.35">
      <c r="B25" s="3"/>
      <c r="C25" s="3"/>
      <c r="D25" s="3"/>
      <c r="E25" s="3"/>
      <c r="F25" s="3"/>
      <c r="G25" s="3"/>
      <c r="H25" s="3"/>
      <c r="N25" s="43"/>
      <c r="O25" s="46"/>
    </row>
    <row r="26" spans="1:19" x14ac:dyDescent="0.35">
      <c r="B26" s="3"/>
      <c r="C26" s="3"/>
      <c r="D26" s="3"/>
      <c r="E26" s="3"/>
      <c r="F26" s="3"/>
      <c r="G26" s="3"/>
      <c r="H26" s="3"/>
      <c r="N26" s="43"/>
      <c r="O26" s="46"/>
    </row>
    <row r="27" spans="1:19" x14ac:dyDescent="0.35">
      <c r="B27" s="3"/>
      <c r="C27" s="3"/>
      <c r="D27" s="3"/>
      <c r="E27" s="3"/>
      <c r="F27" s="3"/>
      <c r="G27" s="3"/>
      <c r="H27" s="3"/>
      <c r="N27" s="43"/>
      <c r="O27" s="46"/>
    </row>
    <row r="28" spans="1:19" x14ac:dyDescent="0.35">
      <c r="B28" s="3"/>
      <c r="C28" s="3"/>
      <c r="D28" s="3"/>
      <c r="E28" s="3"/>
      <c r="F28" s="3"/>
      <c r="G28" s="3"/>
      <c r="H28" s="3"/>
      <c r="N28" s="43"/>
      <c r="O28" s="46"/>
    </row>
    <row r="29" spans="1:19" x14ac:dyDescent="0.35">
      <c r="B29" s="3"/>
      <c r="C29" s="3"/>
      <c r="D29" s="3"/>
      <c r="E29" s="3"/>
      <c r="F29" s="3"/>
      <c r="G29" s="3"/>
      <c r="H29" s="3"/>
      <c r="N29" s="43"/>
      <c r="O29" s="46"/>
    </row>
    <row r="30" spans="1:19" x14ac:dyDescent="0.35">
      <c r="B30" s="3"/>
      <c r="C30" s="3"/>
      <c r="D30" s="3"/>
      <c r="E30" s="3"/>
      <c r="F30" s="3"/>
      <c r="G30" s="3"/>
      <c r="H30" s="3"/>
      <c r="N30" s="43"/>
      <c r="O30" s="46"/>
    </row>
    <row r="31" spans="1:19" x14ac:dyDescent="0.35">
      <c r="B31" s="3"/>
      <c r="C31" s="3"/>
      <c r="D31" s="3"/>
      <c r="E31" s="3"/>
      <c r="F31" s="3"/>
      <c r="G31" s="3"/>
      <c r="H31" s="3"/>
      <c r="N31" s="43"/>
      <c r="O31" s="46"/>
    </row>
    <row r="32" spans="1:19" x14ac:dyDescent="0.35">
      <c r="B32" s="3"/>
      <c r="C32" s="3"/>
      <c r="D32" s="3"/>
      <c r="E32" s="3"/>
      <c r="F32" s="3"/>
      <c r="G32" s="3"/>
      <c r="H32" s="3"/>
      <c r="N32" s="43"/>
      <c r="O32" s="46"/>
    </row>
    <row r="33" spans="2:18" x14ac:dyDescent="0.35">
      <c r="B33" s="3"/>
      <c r="C33" s="3"/>
      <c r="D33" s="3"/>
      <c r="E33" s="3"/>
      <c r="F33" s="3"/>
      <c r="G33" s="3"/>
      <c r="H33" s="3"/>
      <c r="N33" s="43"/>
      <c r="O33" s="46"/>
    </row>
    <row r="34" spans="2:18" x14ac:dyDescent="0.35">
      <c r="B34" s="3"/>
      <c r="C34" s="3"/>
      <c r="D34" s="3"/>
      <c r="E34" s="3"/>
      <c r="F34" s="3"/>
      <c r="G34" s="3"/>
      <c r="H34" s="3"/>
      <c r="N34" s="43"/>
      <c r="O34" s="46"/>
    </row>
    <row r="35" spans="2:18" x14ac:dyDescent="0.35">
      <c r="B35" s="3"/>
      <c r="C35" s="3"/>
      <c r="D35" s="3"/>
      <c r="E35" s="3"/>
      <c r="F35" s="3"/>
      <c r="G35" s="3"/>
      <c r="H35" s="3"/>
      <c r="N35" s="43"/>
      <c r="O35" s="46"/>
    </row>
    <row r="36" spans="2:18" x14ac:dyDescent="0.35">
      <c r="B36" s="3"/>
      <c r="C36" s="3"/>
      <c r="D36" s="3"/>
      <c r="E36" s="3"/>
      <c r="F36" s="3"/>
      <c r="G36" s="3"/>
      <c r="H36" s="3"/>
      <c r="N36" s="43"/>
      <c r="O36" s="46"/>
      <c r="P36" s="2"/>
      <c r="Q36" s="2"/>
      <c r="R36" s="2"/>
    </row>
    <row r="37" spans="2:18" x14ac:dyDescent="0.35">
      <c r="B37" s="3"/>
      <c r="C37" s="3"/>
      <c r="D37" s="3"/>
      <c r="E37" s="3"/>
      <c r="F37" s="3"/>
      <c r="G37" s="3"/>
      <c r="H37" s="3"/>
      <c r="N37" s="43"/>
      <c r="O37" s="46"/>
    </row>
    <row r="38" spans="2:18" x14ac:dyDescent="0.35">
      <c r="B38" s="3"/>
      <c r="C38" s="3"/>
      <c r="D38" s="3"/>
      <c r="E38" s="3"/>
      <c r="F38" s="3"/>
      <c r="G38" s="3"/>
      <c r="H38" s="3"/>
      <c r="N38" s="43"/>
      <c r="O38" s="46"/>
    </row>
    <row r="39" spans="2:18" x14ac:dyDescent="0.35">
      <c r="B39" s="3"/>
      <c r="C39" s="3"/>
      <c r="D39" s="3"/>
      <c r="E39" s="3"/>
      <c r="F39" s="3"/>
      <c r="G39" s="3"/>
      <c r="H39" s="3"/>
      <c r="N39" s="43"/>
      <c r="O39" s="46"/>
    </row>
    <row r="40" spans="2:18" x14ac:dyDescent="0.35">
      <c r="B40" s="3"/>
      <c r="C40" s="3"/>
      <c r="D40" s="3"/>
      <c r="E40" s="3"/>
      <c r="F40" s="3"/>
      <c r="G40" s="3"/>
      <c r="H40" s="3"/>
    </row>
    <row r="41" spans="2:18" x14ac:dyDescent="0.35">
      <c r="B41" s="3"/>
      <c r="C41" s="3"/>
      <c r="D41" s="3"/>
      <c r="E41" s="3"/>
      <c r="F41" s="3"/>
      <c r="G41" s="3"/>
      <c r="H41" s="3"/>
    </row>
    <row r="42" spans="2:18" x14ac:dyDescent="0.35">
      <c r="B42" s="3"/>
      <c r="C42" s="3"/>
      <c r="D42" s="3"/>
      <c r="E42" s="3"/>
      <c r="F42" s="3"/>
      <c r="G42" s="3"/>
      <c r="H42" s="3"/>
      <c r="N42" s="4"/>
      <c r="O42" s="4"/>
    </row>
    <row r="43" spans="2:18" x14ac:dyDescent="0.35">
      <c r="B43" s="3"/>
      <c r="C43" s="3"/>
      <c r="D43" s="3"/>
      <c r="E43" s="3"/>
      <c r="F43" s="3"/>
      <c r="G43" s="3"/>
      <c r="H43" s="3"/>
      <c r="N43" s="4"/>
      <c r="O43" s="4"/>
    </row>
    <row r="44" spans="2:18" x14ac:dyDescent="0.35">
      <c r="B44" s="3"/>
      <c r="C44" s="3"/>
      <c r="D44" s="3"/>
      <c r="E44" s="3"/>
      <c r="F44" s="3"/>
      <c r="G44" s="3"/>
      <c r="H44" s="3"/>
    </row>
    <row r="45" spans="2:18" x14ac:dyDescent="0.35">
      <c r="B45" s="3"/>
      <c r="C45" s="3"/>
      <c r="D45" s="3"/>
      <c r="E45" s="3"/>
      <c r="F45" s="3"/>
      <c r="G45" s="3"/>
      <c r="H45" s="3"/>
      <c r="N45" s="43"/>
      <c r="O45" s="46"/>
    </row>
    <row r="46" spans="2:18" x14ac:dyDescent="0.35">
      <c r="B46" s="3"/>
      <c r="C46" s="3"/>
      <c r="D46" s="3"/>
      <c r="E46" s="3"/>
      <c r="F46" s="3"/>
      <c r="G46" s="3"/>
      <c r="H46" s="3"/>
      <c r="N46" s="43"/>
      <c r="O46" s="46"/>
    </row>
    <row r="47" spans="2:18" x14ac:dyDescent="0.35">
      <c r="B47" s="3"/>
      <c r="C47" s="3"/>
      <c r="D47" s="3"/>
      <c r="E47" s="3"/>
      <c r="F47" s="3"/>
      <c r="G47" s="3"/>
      <c r="H47" s="3"/>
      <c r="N47" s="43"/>
      <c r="O47" s="46"/>
    </row>
    <row r="48" spans="2:18" x14ac:dyDescent="0.35">
      <c r="B48" s="3"/>
      <c r="C48" s="3"/>
      <c r="D48" s="3"/>
      <c r="E48" s="3"/>
      <c r="F48" s="3"/>
      <c r="G48" s="3"/>
      <c r="H48" s="3"/>
      <c r="N48" s="43"/>
      <c r="O48" s="46"/>
    </row>
    <row r="49" spans="2:15" x14ac:dyDescent="0.35">
      <c r="B49" s="3"/>
      <c r="C49" s="3"/>
      <c r="D49" s="3"/>
      <c r="E49" s="3"/>
      <c r="F49" s="3"/>
      <c r="G49" s="3"/>
      <c r="H49" s="3"/>
      <c r="N49" s="43"/>
      <c r="O49" s="46"/>
    </row>
    <row r="50" spans="2:15" x14ac:dyDescent="0.35">
      <c r="B50" s="3"/>
      <c r="C50" s="3"/>
      <c r="D50" s="3"/>
      <c r="E50" s="3"/>
      <c r="F50" s="3"/>
      <c r="G50" s="3"/>
      <c r="H50" s="3"/>
      <c r="N50" s="43"/>
      <c r="O50" s="46"/>
    </row>
    <row r="51" spans="2:15" x14ac:dyDescent="0.35">
      <c r="B51" s="3"/>
      <c r="C51" s="3"/>
      <c r="D51" s="3"/>
      <c r="E51" s="3"/>
      <c r="F51" s="3"/>
      <c r="G51" s="3"/>
      <c r="H51" s="3"/>
      <c r="N51" s="43"/>
      <c r="O51" s="46"/>
    </row>
    <row r="52" spans="2:15" x14ac:dyDescent="0.35">
      <c r="B52" s="3"/>
      <c r="C52" s="3"/>
      <c r="D52" s="3"/>
      <c r="E52" s="3"/>
      <c r="F52" s="3"/>
      <c r="G52" s="3"/>
      <c r="H52" s="3"/>
      <c r="N52" s="43"/>
      <c r="O52" s="46"/>
    </row>
    <row r="53" spans="2:15" x14ac:dyDescent="0.35">
      <c r="B53" s="3"/>
      <c r="C53" s="3"/>
      <c r="D53" s="3"/>
      <c r="E53" s="3"/>
      <c r="F53" s="3"/>
      <c r="G53" s="3"/>
      <c r="H53" s="3"/>
      <c r="N53" s="43"/>
      <c r="O53" s="46"/>
    </row>
    <row r="54" spans="2:15" x14ac:dyDescent="0.35">
      <c r="B54" s="3"/>
      <c r="C54" s="3"/>
      <c r="D54" s="3"/>
      <c r="E54" s="3"/>
      <c r="F54" s="3"/>
      <c r="G54" s="3"/>
      <c r="H54" s="3"/>
      <c r="N54" s="43"/>
      <c r="O54" s="46"/>
    </row>
    <row r="55" spans="2:15" x14ac:dyDescent="0.35">
      <c r="B55" s="3"/>
      <c r="C55" s="3"/>
      <c r="D55" s="3"/>
      <c r="E55" s="3"/>
      <c r="F55" s="3"/>
      <c r="G55" s="3"/>
      <c r="H55" s="3"/>
      <c r="N55" s="43"/>
      <c r="O55" s="46"/>
    </row>
    <row r="56" spans="2:15" x14ac:dyDescent="0.35">
      <c r="B56" s="3"/>
      <c r="C56" s="3"/>
      <c r="D56" s="3"/>
      <c r="E56" s="3"/>
      <c r="F56" s="3"/>
      <c r="G56" s="3"/>
      <c r="H56" s="3"/>
      <c r="N56" s="43"/>
      <c r="O56" s="46"/>
    </row>
    <row r="57" spans="2:15" x14ac:dyDescent="0.35">
      <c r="B57" s="3"/>
      <c r="C57" s="3"/>
      <c r="D57" s="3"/>
      <c r="E57" s="3"/>
      <c r="F57" s="3"/>
      <c r="G57" s="3"/>
      <c r="H57" s="3"/>
      <c r="N57" s="43"/>
      <c r="O57" s="46"/>
    </row>
    <row r="58" spans="2:15" x14ac:dyDescent="0.35">
      <c r="B58" s="3"/>
      <c r="C58" s="3"/>
      <c r="D58" s="3"/>
      <c r="E58" s="3"/>
      <c r="F58" s="3"/>
      <c r="G58" s="3"/>
      <c r="H58" s="3"/>
      <c r="N58" s="43"/>
      <c r="O58" s="46"/>
    </row>
    <row r="59" spans="2:15" x14ac:dyDescent="0.35">
      <c r="B59" s="3"/>
      <c r="C59" s="3"/>
      <c r="D59" s="3"/>
      <c r="E59" s="3"/>
      <c r="F59" s="3"/>
      <c r="G59" s="3"/>
      <c r="H59" s="3"/>
      <c r="N59" s="43"/>
      <c r="O59" s="46"/>
    </row>
    <row r="60" spans="2:15" x14ac:dyDescent="0.35">
      <c r="B60" s="3"/>
      <c r="C60" s="3"/>
      <c r="D60" s="3"/>
      <c r="E60" s="3"/>
      <c r="F60" s="3"/>
      <c r="G60" s="3"/>
      <c r="H60" s="3"/>
      <c r="N60" s="43"/>
      <c r="O60" s="46"/>
    </row>
    <row r="61" spans="2:15" x14ac:dyDescent="0.35">
      <c r="B61" s="3"/>
      <c r="C61" s="3"/>
      <c r="D61" s="3"/>
      <c r="E61" s="3"/>
      <c r="F61" s="3"/>
      <c r="G61" s="3"/>
      <c r="H61" s="3"/>
      <c r="N61" s="43"/>
      <c r="O61" s="46"/>
    </row>
    <row r="62" spans="2:15" x14ac:dyDescent="0.35">
      <c r="B62" s="3"/>
      <c r="C62" s="3"/>
      <c r="D62" s="3"/>
      <c r="E62" s="3"/>
      <c r="F62" s="3"/>
      <c r="G62" s="3"/>
      <c r="H62" s="3"/>
      <c r="N62" s="43"/>
      <c r="O62" s="46"/>
    </row>
    <row r="63" spans="2:15" x14ac:dyDescent="0.35">
      <c r="B63" s="3"/>
      <c r="C63" s="3"/>
      <c r="D63" s="3"/>
      <c r="E63" s="3"/>
      <c r="F63" s="3"/>
      <c r="G63" s="3"/>
      <c r="H63" s="3"/>
      <c r="N63" s="43"/>
      <c r="O63" s="46"/>
    </row>
    <row r="64" spans="2:15" x14ac:dyDescent="0.35">
      <c r="B64" s="3"/>
      <c r="C64" s="3"/>
      <c r="D64" s="3"/>
      <c r="E64" s="3"/>
      <c r="F64" s="3"/>
      <c r="G64" s="3"/>
      <c r="H64" s="3"/>
      <c r="N64" s="43"/>
      <c r="O64" s="46"/>
    </row>
    <row r="65" spans="2:21" x14ac:dyDescent="0.35">
      <c r="B65" s="3"/>
      <c r="C65" s="3"/>
      <c r="D65" s="3"/>
      <c r="E65" s="3"/>
      <c r="F65" s="3"/>
      <c r="G65" s="3"/>
      <c r="H65" s="3"/>
      <c r="N65" s="43"/>
      <c r="O65" s="46"/>
    </row>
    <row r="66" spans="2:21" x14ac:dyDescent="0.35">
      <c r="B66" s="3"/>
      <c r="C66" s="3"/>
      <c r="D66" s="3"/>
      <c r="E66" s="3"/>
      <c r="F66" s="3"/>
      <c r="G66" s="3"/>
      <c r="H66" s="3"/>
      <c r="N66" s="43"/>
      <c r="O66" s="46"/>
    </row>
    <row r="67" spans="2:21" x14ac:dyDescent="0.35">
      <c r="B67" s="3"/>
      <c r="C67" s="3"/>
      <c r="D67" s="3"/>
      <c r="E67" s="3"/>
      <c r="F67" s="3"/>
      <c r="G67" s="3"/>
      <c r="H67" s="3"/>
      <c r="N67" s="43"/>
      <c r="O67" s="46"/>
    </row>
    <row r="68" spans="2:21" x14ac:dyDescent="0.35">
      <c r="B68" s="3"/>
      <c r="C68" s="3"/>
      <c r="D68" s="3"/>
      <c r="E68" s="3"/>
      <c r="F68" s="3"/>
      <c r="G68" s="3"/>
      <c r="H68" s="3"/>
      <c r="N68" s="43"/>
      <c r="O68" s="46"/>
    </row>
    <row r="69" spans="2:21" x14ac:dyDescent="0.35">
      <c r="B69" s="3"/>
      <c r="C69" s="3"/>
      <c r="D69" s="3"/>
      <c r="E69" s="3"/>
      <c r="F69" s="3"/>
      <c r="G69" s="3"/>
      <c r="H69" s="3"/>
      <c r="N69" s="43"/>
      <c r="O69" s="46"/>
    </row>
    <row r="70" spans="2:21" x14ac:dyDescent="0.35">
      <c r="B70" s="3"/>
      <c r="C70" s="3"/>
      <c r="D70" s="3"/>
      <c r="E70" s="3"/>
      <c r="F70" s="3"/>
      <c r="G70" s="3"/>
      <c r="H70" s="3"/>
      <c r="N70" s="43"/>
      <c r="O70" s="46"/>
    </row>
    <row r="71" spans="2:21" x14ac:dyDescent="0.35">
      <c r="B71" s="3"/>
      <c r="C71" s="3"/>
      <c r="D71" s="3"/>
      <c r="E71" s="3"/>
      <c r="F71" s="3"/>
      <c r="G71" s="3"/>
      <c r="H71" s="3"/>
      <c r="N71" s="43"/>
      <c r="O71" s="46"/>
    </row>
    <row r="72" spans="2:21" x14ac:dyDescent="0.35">
      <c r="B72" s="3"/>
      <c r="C72" s="3"/>
      <c r="D72" s="3"/>
      <c r="E72" s="3"/>
      <c r="F72" s="3"/>
      <c r="G72" s="3"/>
      <c r="H72" s="3"/>
      <c r="M72" s="2"/>
      <c r="N72" s="2"/>
      <c r="O72" s="2"/>
      <c r="P72" s="2"/>
      <c r="Q72" s="2"/>
      <c r="R72" s="2"/>
      <c r="T72" s="2"/>
      <c r="U72" s="2"/>
    </row>
    <row r="73" spans="2:21" x14ac:dyDescent="0.35">
      <c r="B73" s="3"/>
      <c r="C73" s="3"/>
      <c r="D73" s="3"/>
      <c r="E73" s="3"/>
      <c r="F73" s="3"/>
      <c r="G73" s="3"/>
      <c r="H73" s="3"/>
    </row>
    <row r="74" spans="2:21" x14ac:dyDescent="0.35">
      <c r="B74" s="3"/>
      <c r="C74" s="3"/>
      <c r="D74" s="3"/>
      <c r="E74" s="3"/>
      <c r="F74" s="3"/>
      <c r="G74" s="3"/>
      <c r="H74" s="3"/>
    </row>
    <row r="75" spans="2:21" x14ac:dyDescent="0.35">
      <c r="B75" s="3"/>
      <c r="C75" s="3"/>
      <c r="D75" s="3"/>
      <c r="E75" s="3"/>
      <c r="F75" s="3"/>
      <c r="G75" s="3"/>
      <c r="H75" s="3"/>
    </row>
    <row r="76" spans="2:21" x14ac:dyDescent="0.35">
      <c r="B76" s="3"/>
      <c r="C76" s="3"/>
      <c r="D76" s="3"/>
      <c r="E76" s="3"/>
      <c r="F76" s="3"/>
      <c r="G76" s="3"/>
      <c r="H76" s="3"/>
    </row>
    <row r="77" spans="2:21" x14ac:dyDescent="0.35">
      <c r="B77" s="3"/>
      <c r="C77" s="3"/>
      <c r="D77" s="3"/>
      <c r="E77" s="3"/>
      <c r="F77" s="3"/>
      <c r="G77" s="3"/>
      <c r="H77" s="3"/>
    </row>
    <row r="78" spans="2:21" x14ac:dyDescent="0.35">
      <c r="B78" s="3"/>
      <c r="C78" s="3"/>
      <c r="D78" s="3"/>
      <c r="E78" s="3"/>
      <c r="F78" s="3"/>
      <c r="G78" s="3"/>
      <c r="H78" s="3"/>
    </row>
    <row r="79" spans="2:21" x14ac:dyDescent="0.35">
      <c r="B79" s="3"/>
      <c r="C79" s="3"/>
      <c r="D79" s="3"/>
      <c r="E79" s="3"/>
      <c r="F79" s="3"/>
      <c r="G79" s="3"/>
      <c r="H79" s="3"/>
    </row>
    <row r="80" spans="2:21" x14ac:dyDescent="0.35">
      <c r="B80" s="3"/>
      <c r="C80" s="3"/>
      <c r="D80" s="3"/>
      <c r="E80" s="3"/>
      <c r="F80" s="3"/>
      <c r="G80" s="3"/>
      <c r="H80" s="3"/>
    </row>
    <row r="81" spans="2:8" x14ac:dyDescent="0.35">
      <c r="B81" s="3"/>
      <c r="C81" s="3"/>
      <c r="D81" s="3"/>
      <c r="E81" s="3"/>
      <c r="F81" s="3"/>
      <c r="G81" s="3"/>
      <c r="H81" s="3"/>
    </row>
    <row r="82" spans="2:8" x14ac:dyDescent="0.35">
      <c r="B82" s="3"/>
      <c r="C82" s="3"/>
      <c r="D82" s="3"/>
      <c r="E82" s="3"/>
      <c r="F82" s="3"/>
      <c r="G82" s="3"/>
      <c r="H82" s="3"/>
    </row>
    <row r="83" spans="2:8" x14ac:dyDescent="0.35">
      <c r="B83" s="3"/>
      <c r="C83" s="3"/>
      <c r="D83" s="3"/>
      <c r="E83" s="3"/>
      <c r="F83" s="3"/>
      <c r="G83" s="3"/>
      <c r="H83" s="3"/>
    </row>
    <row r="84" spans="2:8" x14ac:dyDescent="0.35">
      <c r="B84" s="3"/>
      <c r="C84" s="3"/>
      <c r="D84" s="3"/>
      <c r="E84" s="3"/>
      <c r="F84" s="3"/>
      <c r="G84" s="3"/>
      <c r="H84" s="3"/>
    </row>
  </sheetData>
  <pageMargins left="0.8" right="0.8" top="0.33300000000000002" bottom="1.1659999999999999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41"/>
  </sheetPr>
  <dimension ref="A1:H73"/>
  <sheetViews>
    <sheetView workbookViewId="0">
      <selection activeCell="A23" sqref="A23"/>
    </sheetView>
  </sheetViews>
  <sheetFormatPr defaultColWidth="11.36328125" defaultRowHeight="15.5" x14ac:dyDescent="0.35"/>
  <cols>
    <col min="1" max="1" width="16.453125" style="2" customWidth="1"/>
    <col min="2" max="3" width="13.90625" style="2" customWidth="1"/>
    <col min="4" max="4" width="11.36328125" style="2"/>
    <col min="5" max="5" width="6.08984375" style="2" customWidth="1"/>
    <col min="6" max="6" width="97.453125" style="3" customWidth="1"/>
    <col min="7" max="7" width="11.36328125" style="3"/>
    <col min="8" max="8" width="12.6328125" style="2" customWidth="1"/>
    <col min="9" max="16384" width="11.36328125" style="3"/>
  </cols>
  <sheetData>
    <row r="1" spans="1:8" x14ac:dyDescent="0.35">
      <c r="A1" s="1" t="s">
        <v>0</v>
      </c>
    </row>
    <row r="2" spans="1:8" x14ac:dyDescent="0.35">
      <c r="A2" s="4"/>
    </row>
    <row r="3" spans="1:8" ht="31" x14ac:dyDescent="0.35">
      <c r="A3" s="5" t="s">
        <v>1</v>
      </c>
      <c r="B3" s="6" t="s">
        <v>2</v>
      </c>
      <c r="C3" s="6" t="s">
        <v>3</v>
      </c>
      <c r="D3" s="6" t="s">
        <v>4</v>
      </c>
      <c r="E3" s="6" t="s">
        <v>5</v>
      </c>
      <c r="F3" s="7" t="s">
        <v>6</v>
      </c>
      <c r="G3" s="7"/>
      <c r="H3" s="6" t="s">
        <v>2</v>
      </c>
    </row>
    <row r="4" spans="1:8" x14ac:dyDescent="0.35">
      <c r="A4" s="8">
        <v>39458</v>
      </c>
      <c r="B4" s="9"/>
      <c r="C4" s="10">
        <v>1</v>
      </c>
      <c r="D4" s="9" t="s">
        <v>7</v>
      </c>
      <c r="E4" s="9">
        <v>1</v>
      </c>
      <c r="F4" s="3" t="s">
        <v>8</v>
      </c>
      <c r="G4" s="11"/>
      <c r="H4" s="9" t="s">
        <v>9</v>
      </c>
    </row>
    <row r="5" spans="1:8" x14ac:dyDescent="0.35">
      <c r="A5" s="8">
        <v>39547</v>
      </c>
      <c r="B5" s="9" t="s">
        <v>10</v>
      </c>
      <c r="C5" s="9">
        <v>1.1000000000000001</v>
      </c>
      <c r="D5" s="9" t="s">
        <v>7</v>
      </c>
      <c r="E5" s="9">
        <v>1</v>
      </c>
      <c r="F5" s="3" t="s">
        <v>11</v>
      </c>
      <c r="G5" s="11"/>
      <c r="H5" s="9" t="s">
        <v>12</v>
      </c>
    </row>
    <row r="6" spans="1:8" x14ac:dyDescent="0.35">
      <c r="A6" s="8">
        <v>39554</v>
      </c>
      <c r="B6" s="9" t="s">
        <v>10</v>
      </c>
      <c r="C6" s="9">
        <v>1.2</v>
      </c>
      <c r="D6" s="9" t="s">
        <v>7</v>
      </c>
      <c r="E6" s="9">
        <v>1</v>
      </c>
      <c r="F6" s="3" t="s">
        <v>435</v>
      </c>
      <c r="G6" s="11"/>
      <c r="H6" s="9" t="s">
        <v>13</v>
      </c>
    </row>
    <row r="7" spans="1:8" x14ac:dyDescent="0.35">
      <c r="A7" s="8">
        <v>39589</v>
      </c>
      <c r="B7" s="2" t="s">
        <v>9</v>
      </c>
      <c r="C7" s="9">
        <v>1.3</v>
      </c>
      <c r="D7" s="9" t="s">
        <v>7</v>
      </c>
      <c r="E7" s="9">
        <v>1</v>
      </c>
      <c r="F7" s="3" t="s">
        <v>436</v>
      </c>
      <c r="G7" s="11"/>
      <c r="H7" s="9" t="s">
        <v>14</v>
      </c>
    </row>
    <row r="8" spans="1:8" x14ac:dyDescent="0.35">
      <c r="A8" s="8">
        <v>39589</v>
      </c>
      <c r="B8" s="2" t="s">
        <v>10</v>
      </c>
      <c r="C8" s="2">
        <v>1.3</v>
      </c>
      <c r="D8" s="9" t="s">
        <v>7</v>
      </c>
      <c r="E8" s="2">
        <v>2</v>
      </c>
      <c r="F8" s="3" t="s">
        <v>437</v>
      </c>
      <c r="H8" s="2" t="s">
        <v>15</v>
      </c>
    </row>
    <row r="9" spans="1:8" x14ac:dyDescent="0.35">
      <c r="A9" s="8">
        <v>39589</v>
      </c>
      <c r="B9" s="2" t="s">
        <v>10</v>
      </c>
      <c r="C9" s="9">
        <v>1.3</v>
      </c>
      <c r="D9" s="9" t="s">
        <v>7</v>
      </c>
      <c r="E9" s="2">
        <v>3</v>
      </c>
      <c r="F9" s="3" t="s">
        <v>486</v>
      </c>
      <c r="H9" s="2" t="s">
        <v>16</v>
      </c>
    </row>
    <row r="10" spans="1:8" x14ac:dyDescent="0.35">
      <c r="A10" s="12">
        <v>39589</v>
      </c>
      <c r="B10" s="2" t="s">
        <v>487</v>
      </c>
      <c r="C10" s="9">
        <v>1.3</v>
      </c>
      <c r="D10" s="9" t="s">
        <v>7</v>
      </c>
      <c r="E10" s="2">
        <v>4</v>
      </c>
      <c r="F10" s="3" t="s">
        <v>488</v>
      </c>
      <c r="H10" s="2" t="s">
        <v>17</v>
      </c>
    </row>
    <row r="11" spans="1:8" x14ac:dyDescent="0.35">
      <c r="A11" s="12">
        <v>39735</v>
      </c>
      <c r="B11" s="2" t="s">
        <v>10</v>
      </c>
      <c r="C11" s="9">
        <v>1.5</v>
      </c>
      <c r="D11" s="9" t="s">
        <v>7</v>
      </c>
      <c r="E11" s="2">
        <v>1</v>
      </c>
      <c r="F11" s="3" t="s">
        <v>501</v>
      </c>
    </row>
    <row r="12" spans="1:8" x14ac:dyDescent="0.35">
      <c r="A12" s="12">
        <v>39735</v>
      </c>
      <c r="B12" s="2" t="s">
        <v>10</v>
      </c>
      <c r="C12" s="9">
        <v>1.5</v>
      </c>
      <c r="D12" s="9" t="s">
        <v>7</v>
      </c>
      <c r="E12" s="2">
        <v>2</v>
      </c>
      <c r="F12" s="3" t="s">
        <v>499</v>
      </c>
    </row>
    <row r="13" spans="1:8" x14ac:dyDescent="0.35">
      <c r="A13" s="12">
        <v>39735</v>
      </c>
      <c r="B13" s="2" t="s">
        <v>10</v>
      </c>
      <c r="C13" s="9">
        <v>1.5</v>
      </c>
      <c r="D13" s="9" t="s">
        <v>7</v>
      </c>
      <c r="E13" s="2">
        <v>3</v>
      </c>
      <c r="F13" s="3" t="s">
        <v>500</v>
      </c>
    </row>
    <row r="14" spans="1:8" x14ac:dyDescent="0.35">
      <c r="A14" s="12">
        <v>39874</v>
      </c>
      <c r="B14" s="2" t="s">
        <v>10</v>
      </c>
      <c r="C14" s="2">
        <v>1.6</v>
      </c>
      <c r="D14" s="2" t="s">
        <v>7</v>
      </c>
      <c r="E14" s="2">
        <v>1</v>
      </c>
      <c r="F14" s="3" t="s">
        <v>509</v>
      </c>
    </row>
    <row r="15" spans="1:8" x14ac:dyDescent="0.35">
      <c r="A15" s="12">
        <v>39874</v>
      </c>
      <c r="B15" s="2" t="s">
        <v>10</v>
      </c>
      <c r="C15" s="2">
        <v>1.6</v>
      </c>
      <c r="D15" s="2" t="s">
        <v>7</v>
      </c>
      <c r="E15" s="2">
        <v>2</v>
      </c>
      <c r="F15" s="3" t="s">
        <v>508</v>
      </c>
    </row>
    <row r="16" spans="1:8" x14ac:dyDescent="0.35">
      <c r="A16" s="12">
        <v>39874</v>
      </c>
      <c r="B16" s="2" t="s">
        <v>10</v>
      </c>
      <c r="C16" s="2">
        <v>1.6</v>
      </c>
      <c r="D16" s="2" t="s">
        <v>7</v>
      </c>
      <c r="E16" s="2">
        <v>3</v>
      </c>
      <c r="F16" s="3" t="s">
        <v>507</v>
      </c>
    </row>
    <row r="17" spans="1:6" x14ac:dyDescent="0.35">
      <c r="A17" s="12">
        <v>39874</v>
      </c>
      <c r="B17" s="2" t="s">
        <v>15</v>
      </c>
      <c r="C17" s="2">
        <v>1.6</v>
      </c>
      <c r="D17" s="2" t="s">
        <v>7</v>
      </c>
      <c r="E17" s="2">
        <v>4</v>
      </c>
      <c r="F17" s="3" t="s">
        <v>510</v>
      </c>
    </row>
    <row r="18" spans="1:6" x14ac:dyDescent="0.35">
      <c r="A18" s="12">
        <v>40241</v>
      </c>
      <c r="B18" s="2" t="s">
        <v>10</v>
      </c>
      <c r="C18" s="2">
        <v>1.7</v>
      </c>
      <c r="D18" s="2" t="s">
        <v>7</v>
      </c>
      <c r="E18" s="2">
        <v>1</v>
      </c>
      <c r="F18" s="3" t="s">
        <v>512</v>
      </c>
    </row>
    <row r="19" spans="1:6" x14ac:dyDescent="0.35">
      <c r="A19" s="12">
        <v>40260</v>
      </c>
      <c r="B19" s="2" t="s">
        <v>12</v>
      </c>
      <c r="C19" s="2">
        <v>1.8</v>
      </c>
      <c r="D19" s="2" t="s">
        <v>7</v>
      </c>
      <c r="E19" s="2">
        <v>1</v>
      </c>
      <c r="F19" s="3" t="s">
        <v>516</v>
      </c>
    </row>
    <row r="20" spans="1:6" x14ac:dyDescent="0.35">
      <c r="A20" s="12" t="s">
        <v>521</v>
      </c>
      <c r="B20" s="2" t="s">
        <v>521</v>
      </c>
      <c r="C20" s="2">
        <v>1.9</v>
      </c>
      <c r="D20" s="2" t="s">
        <v>7</v>
      </c>
      <c r="E20" s="2">
        <v>1</v>
      </c>
      <c r="F20" s="3" t="s">
        <v>521</v>
      </c>
    </row>
    <row r="21" spans="1:6" x14ac:dyDescent="0.35">
      <c r="A21" s="12">
        <v>42086</v>
      </c>
      <c r="B21" s="2" t="s">
        <v>10</v>
      </c>
      <c r="C21" s="2">
        <v>2</v>
      </c>
      <c r="D21" s="2" t="s">
        <v>7</v>
      </c>
      <c r="E21" s="2">
        <v>1</v>
      </c>
      <c r="F21" s="3" t="s">
        <v>522</v>
      </c>
    </row>
    <row r="22" spans="1:6" x14ac:dyDescent="0.35">
      <c r="A22" s="12"/>
      <c r="D22" s="2" t="s">
        <v>7</v>
      </c>
      <c r="E22" s="2">
        <v>2</v>
      </c>
      <c r="F22" s="3" t="s">
        <v>523</v>
      </c>
    </row>
    <row r="23" spans="1:6" x14ac:dyDescent="0.35">
      <c r="A23" s="12">
        <v>42437</v>
      </c>
      <c r="B23" s="2" t="s">
        <v>15</v>
      </c>
      <c r="C23" s="2">
        <v>2.1</v>
      </c>
      <c r="D23" s="2" t="s">
        <v>7</v>
      </c>
      <c r="E23" s="2">
        <v>1</v>
      </c>
      <c r="F23" s="3" t="s">
        <v>541</v>
      </c>
    </row>
    <row r="24" spans="1:6" x14ac:dyDescent="0.35">
      <c r="A24" s="12"/>
    </row>
    <row r="25" spans="1:6" x14ac:dyDescent="0.35">
      <c r="A25" s="12"/>
    </row>
    <row r="26" spans="1:6" x14ac:dyDescent="0.35">
      <c r="A26" s="12"/>
    </row>
    <row r="27" spans="1:6" x14ac:dyDescent="0.35">
      <c r="A27" s="12"/>
    </row>
    <row r="28" spans="1:6" x14ac:dyDescent="0.35">
      <c r="A28" s="12"/>
    </row>
    <row r="29" spans="1:6" x14ac:dyDescent="0.35">
      <c r="A29" s="12"/>
    </row>
    <row r="30" spans="1:6" x14ac:dyDescent="0.35">
      <c r="A30" s="12"/>
    </row>
    <row r="31" spans="1:6" x14ac:dyDescent="0.35">
      <c r="A31" s="12"/>
    </row>
    <row r="32" spans="1:6" x14ac:dyDescent="0.35">
      <c r="A32" s="12"/>
    </row>
    <row r="33" spans="1:6" x14ac:dyDescent="0.35">
      <c r="A33" s="12"/>
    </row>
    <row r="34" spans="1:6" x14ac:dyDescent="0.35">
      <c r="A34" s="12"/>
    </row>
    <row r="35" spans="1:6" x14ac:dyDescent="0.35">
      <c r="A35" s="12"/>
    </row>
    <row r="36" spans="1:6" x14ac:dyDescent="0.35">
      <c r="A36" s="12"/>
    </row>
    <row r="37" spans="1:6" x14ac:dyDescent="0.35">
      <c r="A37" s="12"/>
    </row>
    <row r="38" spans="1:6" x14ac:dyDescent="0.35">
      <c r="A38" s="12"/>
    </row>
    <row r="39" spans="1:6" x14ac:dyDescent="0.35">
      <c r="A39" s="12"/>
    </row>
    <row r="40" spans="1:6" x14ac:dyDescent="0.35">
      <c r="A40" s="12"/>
    </row>
    <row r="41" spans="1:6" x14ac:dyDescent="0.35">
      <c r="A41" s="12"/>
    </row>
    <row r="42" spans="1:6" x14ac:dyDescent="0.35">
      <c r="A42" s="12"/>
      <c r="F42" s="13"/>
    </row>
    <row r="45" spans="1:6" x14ac:dyDescent="0.35">
      <c r="E45" s="3"/>
    </row>
    <row r="46" spans="1:6" x14ac:dyDescent="0.35">
      <c r="E46" s="3"/>
    </row>
    <row r="49" spans="5:5" x14ac:dyDescent="0.35">
      <c r="E49" s="3"/>
    </row>
    <row r="50" spans="5:5" x14ac:dyDescent="0.35">
      <c r="E50" s="3"/>
    </row>
    <row r="51" spans="5:5" x14ac:dyDescent="0.35">
      <c r="E51" s="3"/>
    </row>
    <row r="52" spans="5:5" x14ac:dyDescent="0.35">
      <c r="E52" s="3"/>
    </row>
    <row r="55" spans="5:5" x14ac:dyDescent="0.35">
      <c r="E55" s="3"/>
    </row>
    <row r="56" spans="5:5" x14ac:dyDescent="0.35">
      <c r="E56" s="3"/>
    </row>
    <row r="57" spans="5:5" x14ac:dyDescent="0.35">
      <c r="E57" s="3"/>
    </row>
    <row r="58" spans="5:5" x14ac:dyDescent="0.35">
      <c r="E58" s="3"/>
    </row>
    <row r="61" spans="5:5" x14ac:dyDescent="0.35">
      <c r="E61" s="3"/>
    </row>
    <row r="64" spans="5:5" x14ac:dyDescent="0.35">
      <c r="E64" s="3"/>
    </row>
    <row r="65" spans="5:5" x14ac:dyDescent="0.35">
      <c r="E65" s="3"/>
    </row>
    <row r="68" spans="5:5" x14ac:dyDescent="0.35">
      <c r="E68" s="3"/>
    </row>
    <row r="69" spans="5:5" x14ac:dyDescent="0.35">
      <c r="E69" s="3"/>
    </row>
    <row r="72" spans="5:5" x14ac:dyDescent="0.35">
      <c r="E72" s="3"/>
    </row>
    <row r="73" spans="5:5" x14ac:dyDescent="0.35">
      <c r="E73" s="3"/>
    </row>
  </sheetData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A263714877574EB8BA1833754D055E" ma:contentTypeVersion="1" ma:contentTypeDescription="Create a new document." ma:contentTypeScope="" ma:versionID="5236800ea90f4c04412c990d5eda1a41">
  <xsd:schema xmlns:xsd="http://www.w3.org/2001/XMLSchema" xmlns:p="http://schemas.microsoft.com/office/2006/metadata/properties" xmlns:ns2="f4825121-5e18-4ddc-920c-7681b926e5f9" targetNamespace="http://schemas.microsoft.com/office/2006/metadata/properties" ma:root="true" ma:fieldsID="b5b6e8d5cdd4ba4cbea398c6aa7f0a83" ns2:_="">
    <xsd:import namespace="f4825121-5e18-4ddc-920c-7681b926e5f9"/>
    <xsd:element name="properties">
      <xsd:complexType>
        <xsd:sequence>
          <xsd:element name="documentManagement">
            <xsd:complexType>
              <xsd:all>
                <xsd:element ref="ns2:Description0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f4825121-5e18-4ddc-920c-7681b926e5f9" elementFormDefault="qualified">
    <xsd:import namespace="http://schemas.microsoft.com/office/2006/documentManagement/types"/>
    <xsd:element name="Description0" ma:index="8" nillable="true" ma:displayName="Description" ma:internalName="Description0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Description0 xmlns="f4825121-5e18-4ddc-920c-7681b926e5f9">Finds required Cv for liquid, gas and 2-phase conditions</Description0>
  </documentManagement>
</p:properties>
</file>

<file path=customXml/itemProps1.xml><?xml version="1.0" encoding="utf-8"?>
<ds:datastoreItem xmlns:ds="http://schemas.openxmlformats.org/officeDocument/2006/customXml" ds:itemID="{6294EC6E-798F-49DB-A9ED-D3DAA76B6A53}"/>
</file>

<file path=customXml/itemProps2.xml><?xml version="1.0" encoding="utf-8"?>
<ds:datastoreItem xmlns:ds="http://schemas.openxmlformats.org/officeDocument/2006/customXml" ds:itemID="{FA01297A-D356-41AD-AB4B-34B2636CE641}"/>
</file>

<file path=customXml/itemProps3.xml><?xml version="1.0" encoding="utf-8"?>
<ds:datastoreItem xmlns:ds="http://schemas.openxmlformats.org/officeDocument/2006/customXml" ds:itemID="{B2ACC1F9-2B37-4334-B494-527EA5678DF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30</vt:i4>
      </vt:variant>
    </vt:vector>
  </HeadingPairs>
  <TitlesOfParts>
    <vt:vector size="37" baseType="lpstr">
      <vt:lpstr>Liquid</vt:lpstr>
      <vt:lpstr>Gas</vt:lpstr>
      <vt:lpstr>LiqGas</vt:lpstr>
      <vt:lpstr>WtrStm</vt:lpstr>
      <vt:lpstr>FluidData</vt:lpstr>
      <vt:lpstr>ValveData</vt:lpstr>
      <vt:lpstr>Revisions</vt:lpstr>
      <vt:lpstr>FluidNames</vt:lpstr>
      <vt:lpstr>gas_CompressibilityOption</vt:lpstr>
      <vt:lpstr>gas_FlowRateType</vt:lpstr>
      <vt:lpstr>gas_MethodOfSpecifyingDensity</vt:lpstr>
      <vt:lpstr>gas_PipeCorrectionFactorOption</vt:lpstr>
      <vt:lpstr>gas_TypeOfGas</vt:lpstr>
      <vt:lpstr>gas_ValveType</vt:lpstr>
      <vt:lpstr>liq_FlowRateType</vt:lpstr>
      <vt:lpstr>liq_LaminarEffectOption</vt:lpstr>
      <vt:lpstr>liq_MethodOfSpecifyingDensity</vt:lpstr>
      <vt:lpstr>liq_PipeCorrectionFactorOption</vt:lpstr>
      <vt:lpstr>liq_TypeofLiquid</vt:lpstr>
      <vt:lpstr>liq_ValveType</vt:lpstr>
      <vt:lpstr>liqgas_CompressibilityOption</vt:lpstr>
      <vt:lpstr>liqgas_GasFlowRateType</vt:lpstr>
      <vt:lpstr>liqgas_LiquidFlowRateType</vt:lpstr>
      <vt:lpstr>liqgas_MethodOfSpecifyingGasDensity</vt:lpstr>
      <vt:lpstr>liqgas_MethodOfSpecifyingLiquidDensity</vt:lpstr>
      <vt:lpstr>liqgas_PipeCorrectionFactorOption</vt:lpstr>
      <vt:lpstr>liqgas_TypeOfGas</vt:lpstr>
      <vt:lpstr>liqgas_TypeOfLiquid</vt:lpstr>
      <vt:lpstr>liqgas_ValveType</vt:lpstr>
      <vt:lpstr>Gas!Print_Area</vt:lpstr>
      <vt:lpstr>LiqGas!Print_Area</vt:lpstr>
      <vt:lpstr>Liquid!Print_Area</vt:lpstr>
      <vt:lpstr>WtrStm!Print_Area</vt:lpstr>
      <vt:lpstr>ValveTypes</vt:lpstr>
      <vt:lpstr>wtrstm_KnownInletProperty</vt:lpstr>
      <vt:lpstr>wtrstm_PipeCorrectionFactorOption</vt:lpstr>
      <vt:lpstr>wtrstm_ValveType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Cv Calculation, Version 2.1</dc:title>
  <dc:creator>Administratr</dc:creator>
  <cp:lastModifiedBy>Larry</cp:lastModifiedBy>
  <cp:lastPrinted>2012-02-02T04:34:29Z</cp:lastPrinted>
  <dcterms:created xsi:type="dcterms:W3CDTF">2008-04-17T03:27:26Z</dcterms:created>
  <dcterms:modified xsi:type="dcterms:W3CDTF">2017-04-20T21:51:44Z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0x01010020A263714877574EB8BA1833754D055E</vt:lpwstr>
  </property>
</Properties>
</file>