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文档(K)\备份文件\技术交流\Common excel\"/>
    </mc:Choice>
  </mc:AlternateContent>
  <xr:revisionPtr revIDLastSave="0" documentId="13_ncr:1_{09837D08-6500-4995-A263-9DDFBE3E9EA8}" xr6:coauthVersionLast="47" xr6:coauthVersionMax="47" xr10:uidLastSave="{00000000-0000-0000-0000-000000000000}"/>
  <bookViews>
    <workbookView xWindow="-120" yWindow="-120" windowWidth="29040" windowHeight="15840" firstSheet="1" activeTab="10" xr2:uid="{00000000-000D-0000-FFFF-FFFF00000000}"/>
  </bookViews>
  <sheets>
    <sheet name="数学公式" sheetId="11" r:id="rId1"/>
    <sheet name="气缸容量" sheetId="8" r:id="rId2"/>
    <sheet name="圆环面积" sheetId="4" r:id="rId3"/>
    <sheet name="弓形面积" sheetId="16" r:id="rId4"/>
    <sheet name="圆柱体侧面积" sheetId="5" r:id="rId5"/>
    <sheet name="球台侧面积" sheetId="6" r:id="rId6"/>
    <sheet name="圆台体积" sheetId="12" r:id="rId7"/>
    <sheet name="开孔轴径向截面积" sheetId="7" r:id="rId8"/>
    <sheet name="空心管体积" sheetId="13" r:id="rId9"/>
    <sheet name="已知流速计算流量" sheetId="14" r:id="rId10"/>
    <sheet name="混合气体摩尔数" sheetId="17" r:id="rId11"/>
  </sheets>
  <calcPr calcId="191029"/>
</workbook>
</file>

<file path=xl/calcChain.xml><?xml version="1.0" encoding="utf-8"?>
<calcChain xmlns="http://schemas.openxmlformats.org/spreadsheetml/2006/main">
  <c r="I5" i="17" l="1"/>
  <c r="I4" i="17"/>
  <c r="E4" i="17"/>
  <c r="O6" i="17"/>
  <c r="O5" i="17"/>
  <c r="C26" i="16"/>
  <c r="E26" i="16" s="1"/>
  <c r="C23" i="16"/>
  <c r="C25" i="16" s="1"/>
  <c r="C14" i="16"/>
  <c r="M10" i="16"/>
  <c r="N10" i="16" s="1"/>
  <c r="R9" i="16"/>
  <c r="S9" i="16" s="1"/>
  <c r="M9" i="16"/>
  <c r="N9" i="16" s="1"/>
  <c r="M8" i="16"/>
  <c r="N8" i="16" s="1"/>
  <c r="F2" i="16"/>
  <c r="C15" i="14"/>
  <c r="C16" i="16" l="1"/>
  <c r="C17" i="16"/>
  <c r="E17" i="16" s="1"/>
  <c r="C27" i="16"/>
  <c r="E5" i="14"/>
  <c r="E6" i="14" s="1"/>
  <c r="E7" i="14" s="1"/>
  <c r="E9" i="14" s="1"/>
  <c r="E10" i="14" s="1"/>
  <c r="C6" i="14"/>
  <c r="C7" i="14" s="1"/>
  <c r="C9" i="14" s="1"/>
  <c r="C10" i="14" s="1"/>
  <c r="C18" i="16" l="1"/>
  <c r="O10" i="16"/>
  <c r="C28" i="16"/>
  <c r="P10" i="16" s="1"/>
  <c r="C16" i="14"/>
  <c r="Q10" i="16" l="1"/>
  <c r="R10" i="16"/>
  <c r="S10" i="16" s="1"/>
  <c r="C19" i="16"/>
  <c r="P8" i="16" s="1"/>
  <c r="O8" i="16"/>
  <c r="E7" i="13"/>
  <c r="E9" i="13"/>
  <c r="C12" i="13"/>
  <c r="D9" i="13" s="1"/>
  <c r="C13" i="13"/>
  <c r="R8" i="16" l="1"/>
  <c r="Q8" i="16"/>
  <c r="C9" i="13"/>
  <c r="E6" i="13" s="1"/>
  <c r="G8" i="13"/>
  <c r="G7" i="13"/>
  <c r="G6" i="13"/>
  <c r="G9" i="13" s="1"/>
  <c r="D6" i="13"/>
  <c r="S8" i="16" l="1"/>
  <c r="D7" i="13"/>
  <c r="C16" i="12"/>
  <c r="C17" i="12" s="1"/>
  <c r="J16" i="12"/>
  <c r="F2" i="12"/>
  <c r="J17" i="12" l="1"/>
  <c r="B16" i="11"/>
  <c r="B11" i="11"/>
  <c r="B10" i="11"/>
  <c r="B14" i="11"/>
  <c r="C16" i="8" l="1"/>
  <c r="C17" i="8" s="1"/>
  <c r="F2" i="8"/>
  <c r="C15" i="7" l="1"/>
  <c r="C32" i="7" s="1"/>
  <c r="F2" i="7"/>
  <c r="J16" i="6" l="1"/>
  <c r="C15" i="6"/>
  <c r="J17" i="6" s="1"/>
  <c r="F2" i="6"/>
  <c r="C15" i="5" l="1"/>
  <c r="F2" i="5"/>
  <c r="C15" i="4"/>
  <c r="C16" i="4" s="1"/>
  <c r="F2" i="4"/>
</calcChain>
</file>

<file path=xl/sharedStrings.xml><?xml version="1.0" encoding="utf-8"?>
<sst xmlns="http://schemas.openxmlformats.org/spreadsheetml/2006/main" count="198" uniqueCount="113">
  <si>
    <t>Model</t>
    <phoneticPr fontId="3"/>
  </si>
  <si>
    <t>Date</t>
    <phoneticPr fontId="3"/>
  </si>
  <si>
    <t>Size</t>
    <phoneticPr fontId="3"/>
  </si>
  <si>
    <t>Name</t>
    <phoneticPr fontId="3"/>
  </si>
  <si>
    <t>Zhao Rong</t>
    <phoneticPr fontId="3"/>
  </si>
  <si>
    <t>环形截面积计算</t>
    <phoneticPr fontId="3"/>
  </si>
  <si>
    <t>D =</t>
    <phoneticPr fontId="2" type="noConversion"/>
  </si>
  <si>
    <t>d =</t>
    <phoneticPr fontId="2" type="noConversion"/>
  </si>
  <si>
    <t>S =</t>
    <phoneticPr fontId="2" type="noConversion"/>
  </si>
  <si>
    <t>mm</t>
    <phoneticPr fontId="2" type="noConversion"/>
  </si>
  <si>
    <r>
      <t>mm</t>
    </r>
    <r>
      <rPr>
        <vertAlign val="superscript"/>
        <sz val="11"/>
        <rFont val="ＭＳ Ｐゴシック"/>
        <family val="2"/>
        <charset val="128"/>
      </rPr>
      <t>2</t>
    </r>
    <phoneticPr fontId="2" type="noConversion"/>
  </si>
  <si>
    <t>h =</t>
    <phoneticPr fontId="2" type="noConversion"/>
  </si>
  <si>
    <t>R =</t>
    <phoneticPr fontId="2" type="noConversion"/>
  </si>
  <si>
    <t>Sc =</t>
    <phoneticPr fontId="2" type="noConversion"/>
  </si>
  <si>
    <t>d =</t>
    <phoneticPr fontId="2" type="noConversion"/>
  </si>
  <si>
    <t>d1 =</t>
    <phoneticPr fontId="2" type="noConversion"/>
  </si>
  <si>
    <t>S =</t>
    <phoneticPr fontId="2" type="noConversion"/>
  </si>
  <si>
    <t>圆柱体侧面积计算</t>
    <phoneticPr fontId="3"/>
  </si>
  <si>
    <t>球台侧面积计算</t>
    <phoneticPr fontId="3"/>
  </si>
  <si>
    <t>开孔轴径向截面积计算</t>
    <phoneticPr fontId="3"/>
  </si>
  <si>
    <t>V =</t>
    <phoneticPr fontId="2" type="noConversion"/>
  </si>
  <si>
    <r>
      <t>mm</t>
    </r>
    <r>
      <rPr>
        <vertAlign val="superscript"/>
        <sz val="11"/>
        <rFont val="ＭＳ Ｐゴシック"/>
        <family val="2"/>
        <charset val="128"/>
      </rPr>
      <t>3</t>
    </r>
    <phoneticPr fontId="2" type="noConversion"/>
  </si>
  <si>
    <t>气缸容量计算</t>
    <phoneticPr fontId="3"/>
  </si>
  <si>
    <t>L =</t>
    <phoneticPr fontId="2" type="noConversion"/>
  </si>
  <si>
    <t>L</t>
    <phoneticPr fontId="2" type="noConversion"/>
  </si>
  <si>
    <t>d:气缸内径</t>
    <phoneticPr fontId="2" type="noConversion"/>
  </si>
  <si>
    <r>
      <t>L:气缸</t>
    </r>
    <r>
      <rPr>
        <sz val="11"/>
        <rFont val="宋体"/>
        <family val="3"/>
        <charset val="134"/>
      </rPr>
      <t>长度</t>
    </r>
    <phoneticPr fontId="2" type="noConversion"/>
  </si>
  <si>
    <t>插值法计算</t>
  </si>
  <si>
    <t>已知X</t>
    <phoneticPr fontId="2" type="noConversion"/>
  </si>
  <si>
    <t>已知Y</t>
    <phoneticPr fontId="2" type="noConversion"/>
  </si>
  <si>
    <t>X0</t>
    <phoneticPr fontId="2" type="noConversion"/>
  </si>
  <si>
    <t>X</t>
    <phoneticPr fontId="2" type="noConversion"/>
  </si>
  <si>
    <t>X</t>
  </si>
  <si>
    <t>X1</t>
    <phoneticPr fontId="2" type="noConversion"/>
  </si>
  <si>
    <t>Y</t>
    <phoneticPr fontId="2" type="noConversion"/>
  </si>
  <si>
    <t>Y</t>
  </si>
  <si>
    <t>Y0</t>
    <phoneticPr fontId="2" type="noConversion"/>
  </si>
  <si>
    <t>Y1</t>
    <phoneticPr fontId="2" type="noConversion"/>
  </si>
  <si>
    <t>公式验算</t>
    <phoneticPr fontId="2" type="noConversion"/>
  </si>
  <si>
    <t>公式验算</t>
    <phoneticPr fontId="2" type="noConversion"/>
  </si>
  <si>
    <t>r =</t>
    <phoneticPr fontId="2" type="noConversion"/>
  </si>
  <si>
    <t xml:space="preserve">    =</t>
    <phoneticPr fontId="2" type="noConversion"/>
  </si>
  <si>
    <t>Vc =</t>
    <phoneticPr fontId="2" type="noConversion"/>
  </si>
  <si>
    <t>mm3</t>
    <phoneticPr fontId="2" type="noConversion"/>
  </si>
  <si>
    <t>mm</t>
    <phoneticPr fontId="2" type="noConversion"/>
  </si>
  <si>
    <t>L</t>
    <phoneticPr fontId="2" type="noConversion"/>
  </si>
  <si>
    <t>圆台体积计算</t>
    <phoneticPr fontId="3"/>
  </si>
  <si>
    <t>变高求内径</t>
    <phoneticPr fontId="2" type="noConversion"/>
  </si>
  <si>
    <t>变高求外径</t>
    <phoneticPr fontId="2" type="noConversion"/>
  </si>
  <si>
    <t>验算</t>
    <phoneticPr fontId="2" type="noConversion"/>
  </si>
  <si>
    <t>大径</t>
    <phoneticPr fontId="2" type="noConversion"/>
  </si>
  <si>
    <t>小径</t>
    <phoneticPr fontId="2" type="noConversion"/>
  </si>
  <si>
    <t>体积</t>
    <phoneticPr fontId="2" type="noConversion"/>
  </si>
  <si>
    <t>长</t>
    <phoneticPr fontId="2" type="noConversion"/>
  </si>
  <si>
    <r>
      <t>cm</t>
    </r>
    <r>
      <rPr>
        <vertAlign val="superscript"/>
        <sz val="11"/>
        <rFont val="ＭＳ Ｐゴシック"/>
        <family val="2"/>
      </rPr>
      <t>2</t>
    </r>
    <phoneticPr fontId="2" type="noConversion"/>
  </si>
  <si>
    <t>主要用于弹簧重量估算</t>
    <phoneticPr fontId="2" type="noConversion"/>
  </si>
  <si>
    <t>DN200</t>
    <phoneticPr fontId="2" type="noConversion"/>
  </si>
  <si>
    <t>DN250</t>
    <phoneticPr fontId="2" type="noConversion"/>
  </si>
  <si>
    <t>m</t>
    <phoneticPr fontId="2" type="noConversion"/>
  </si>
  <si>
    <t>流通半径</t>
    <phoneticPr fontId="2" type="noConversion"/>
  </si>
  <si>
    <t>流通面积</t>
    <phoneticPr fontId="2" type="noConversion"/>
  </si>
  <si>
    <t>m2</t>
    <phoneticPr fontId="2" type="noConversion"/>
  </si>
  <si>
    <t>流速</t>
    <phoneticPr fontId="2" type="noConversion"/>
  </si>
  <si>
    <t>m/s</t>
    <phoneticPr fontId="2" type="noConversion"/>
  </si>
  <si>
    <t>m/s</t>
    <phoneticPr fontId="2" type="noConversion"/>
  </si>
  <si>
    <t>估算流速</t>
    <phoneticPr fontId="2" type="noConversion"/>
  </si>
  <si>
    <t>流量</t>
    <phoneticPr fontId="2" type="noConversion"/>
  </si>
  <si>
    <t>m3/s</t>
    <phoneticPr fontId="2" type="noConversion"/>
  </si>
  <si>
    <t>m3/h</t>
    <phoneticPr fontId="2" type="noConversion"/>
  </si>
  <si>
    <t>m2</t>
    <phoneticPr fontId="2" type="noConversion"/>
  </si>
  <si>
    <t>m3/h</t>
    <phoneticPr fontId="2" type="noConversion"/>
  </si>
  <si>
    <t>流通直径</t>
    <phoneticPr fontId="2" type="noConversion"/>
  </si>
  <si>
    <t>质量流量</t>
    <phoneticPr fontId="2" type="noConversion"/>
  </si>
  <si>
    <t>密度</t>
    <phoneticPr fontId="2" type="noConversion"/>
  </si>
  <si>
    <t>体积流量</t>
    <phoneticPr fontId="2" type="noConversion"/>
  </si>
  <si>
    <t>流速</t>
    <phoneticPr fontId="2" type="noConversion"/>
  </si>
  <si>
    <t>弓形截面积计算</t>
    <phoneticPr fontId="3"/>
  </si>
  <si>
    <t>DN500</t>
    <phoneticPr fontId="2" type="noConversion"/>
  </si>
  <si>
    <t>R=</t>
    <phoneticPr fontId="2" type="noConversion"/>
  </si>
  <si>
    <r>
      <rPr>
        <sz val="11"/>
        <rFont val="宋体"/>
        <family val="2"/>
        <charset val="134"/>
      </rPr>
      <t>h</t>
    </r>
    <r>
      <rPr>
        <sz val="11"/>
        <rFont val="ＭＳ Ｐゴシック"/>
        <family val="2"/>
        <charset val="128"/>
      </rPr>
      <t xml:space="preserve"> =</t>
    </r>
    <phoneticPr fontId="2" type="noConversion"/>
  </si>
  <si>
    <r>
      <rPr>
        <sz val="11"/>
        <rFont val="宋体"/>
        <family val="2"/>
        <charset val="134"/>
      </rPr>
      <t>a</t>
    </r>
    <r>
      <rPr>
        <sz val="11"/>
        <rFont val="ＭＳ Ｐゴシック"/>
        <family val="2"/>
        <charset val="128"/>
      </rPr>
      <t xml:space="preserve"> =</t>
    </r>
    <phoneticPr fontId="2" type="noConversion"/>
  </si>
  <si>
    <t>圆心角</t>
    <phoneticPr fontId="2" type="noConversion"/>
  </si>
  <si>
    <t>n=</t>
    <phoneticPr fontId="2" type="noConversion"/>
  </si>
  <si>
    <t>弧度</t>
    <phoneticPr fontId="2" type="noConversion"/>
  </si>
  <si>
    <t>°</t>
    <phoneticPr fontId="2" type="noConversion"/>
  </si>
  <si>
    <t>弧长</t>
    <phoneticPr fontId="2" type="noConversion"/>
  </si>
  <si>
    <t>L=</t>
    <phoneticPr fontId="2" type="noConversion"/>
  </si>
  <si>
    <t>S=</t>
    <phoneticPr fontId="2" type="noConversion"/>
  </si>
  <si>
    <t>DN600</t>
    <phoneticPr fontId="2" type="noConversion"/>
  </si>
  <si>
    <t>湿周</t>
    <phoneticPr fontId="2" type="noConversion"/>
  </si>
  <si>
    <t>截面积</t>
    <phoneticPr fontId="2" type="noConversion"/>
  </si>
  <si>
    <r>
      <rPr>
        <sz val="11"/>
        <rFont val="宋体"/>
        <family val="2"/>
        <charset val="134"/>
      </rPr>
      <t>等效</t>
    </r>
    <r>
      <rPr>
        <sz val="11"/>
        <rFont val="Segoe UI Symbol"/>
        <family val="2"/>
      </rPr>
      <t>⚪</t>
    </r>
    <phoneticPr fontId="2" type="noConversion"/>
  </si>
  <si>
    <t>弓形</t>
    <phoneticPr fontId="2" type="noConversion"/>
  </si>
  <si>
    <t>当量半径</t>
  </si>
  <si>
    <t>水力半径</t>
    <phoneticPr fontId="2" type="noConversion"/>
  </si>
  <si>
    <t>d2/√D</t>
    <phoneticPr fontId="2" type="noConversion"/>
  </si>
  <si>
    <t>当量半径</t>
    <phoneticPr fontId="2" type="noConversion"/>
  </si>
  <si>
    <t>CO</t>
    <phoneticPr fontId="2" type="noConversion"/>
  </si>
  <si>
    <t>组分1</t>
    <phoneticPr fontId="2" type="noConversion"/>
  </si>
  <si>
    <t>组分2</t>
  </si>
  <si>
    <t>组分3</t>
  </si>
  <si>
    <t>组分4</t>
  </si>
  <si>
    <t>组分5</t>
  </si>
  <si>
    <t>组分6</t>
  </si>
  <si>
    <t>名称</t>
    <phoneticPr fontId="2" type="noConversion"/>
  </si>
  <si>
    <t>MOL分数</t>
    <phoneticPr fontId="2" type="noConversion"/>
  </si>
  <si>
    <t>摩尔数</t>
    <phoneticPr fontId="2" type="noConversion"/>
  </si>
  <si>
    <t>混合气体</t>
    <phoneticPr fontId="2" type="noConversion"/>
  </si>
  <si>
    <r>
      <t>H</t>
    </r>
    <r>
      <rPr>
        <vertAlign val="subscript"/>
        <sz val="11"/>
        <color theme="1"/>
        <rFont val="等线"/>
        <family val="3"/>
        <charset val="134"/>
      </rPr>
      <t>2</t>
    </r>
    <r>
      <rPr>
        <sz val="11"/>
        <color theme="1"/>
        <rFont val="等线"/>
        <family val="3"/>
        <charset val="134"/>
      </rPr>
      <t>O</t>
    </r>
    <phoneticPr fontId="2" type="noConversion"/>
  </si>
  <si>
    <r>
      <t>H</t>
    </r>
    <r>
      <rPr>
        <vertAlign val="subscript"/>
        <sz val="11"/>
        <color theme="1"/>
        <rFont val="等线"/>
        <family val="3"/>
        <charset val="134"/>
      </rPr>
      <t>2</t>
    </r>
    <phoneticPr fontId="2" type="noConversion"/>
  </si>
  <si>
    <r>
      <t>CO</t>
    </r>
    <r>
      <rPr>
        <vertAlign val="subscript"/>
        <sz val="11"/>
        <color theme="1"/>
        <rFont val="等线"/>
        <family val="3"/>
        <charset val="134"/>
      </rPr>
      <t>2</t>
    </r>
    <phoneticPr fontId="2" type="noConversion"/>
  </si>
  <si>
    <r>
      <t>CH</t>
    </r>
    <r>
      <rPr>
        <vertAlign val="subscript"/>
        <sz val="11"/>
        <color theme="1"/>
        <rFont val="等线"/>
        <family val="3"/>
        <charset val="134"/>
      </rPr>
      <t>4</t>
    </r>
    <phoneticPr fontId="2" type="noConversion"/>
  </si>
  <si>
    <r>
      <t>N</t>
    </r>
    <r>
      <rPr>
        <vertAlign val="subscript"/>
        <sz val="11"/>
        <color theme="1"/>
        <rFont val="等线"/>
        <family val="3"/>
        <charset val="134"/>
      </rPr>
      <t>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</si>
</sst>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_);[Red]\(0.00\)"/>
  </numFmts>
  <fonts count="16">
    <font>
      <sz val="11"/>
      <color theme="1"/>
      <name val="宋体"/>
      <family val="2"/>
      <charset val="134"/>
      <scheme val="minor"/>
    </font>
    <font>
      <b/>
      <sz val="14"/>
      <name val="ＭＳ Ｐゴシック"/>
      <family val="2"/>
      <charset val="128"/>
    </font>
    <font>
      <sz val="9"/>
      <name val="宋体"/>
      <family val="2"/>
      <charset val="134"/>
      <scheme val="minor"/>
    </font>
    <font>
      <sz val="6"/>
      <name val="ＭＳ Ｐゴシック"/>
      <family val="2"/>
      <charset val="128"/>
    </font>
    <font>
      <u/>
      <sz val="11"/>
      <color indexed="39"/>
      <name val="ＭＳ Ｐゴシック"/>
      <family val="2"/>
      <charset val="128"/>
    </font>
    <font>
      <vertAlign val="superscript"/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vertAlign val="superscript"/>
      <sz val="11"/>
      <name val="ＭＳ Ｐゴシック"/>
      <family val="2"/>
    </font>
    <font>
      <sz val="11"/>
      <name val="宋体"/>
      <family val="2"/>
      <charset val="134"/>
    </font>
    <font>
      <sz val="11"/>
      <name val="ＭＳ Ｐゴシック"/>
      <family val="2"/>
      <charset val="134"/>
    </font>
    <font>
      <sz val="11"/>
      <name val="Segoe UI Symbol"/>
      <family val="2"/>
    </font>
    <font>
      <vertAlign val="subscript"/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7">
    <xf numFmtId="0" fontId="0" fillId="0" borderId="0" xfId="0">
      <alignment vertical="center"/>
    </xf>
    <xf numFmtId="0" fontId="6" fillId="0" borderId="0" xfId="1">
      <alignment vertical="center"/>
    </xf>
    <xf numFmtId="0" fontId="6" fillId="0" borderId="4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4" xfId="1" applyBorder="1" applyAlignment="1">
      <alignment horizontal="center" vertical="center"/>
    </xf>
    <xf numFmtId="0" fontId="6" fillId="0" borderId="16" xfId="1" applyBorder="1">
      <alignment vertical="center"/>
    </xf>
    <xf numFmtId="0" fontId="6" fillId="0" borderId="0" xfId="1" applyAlignment="1">
      <alignment horizontal="center" vertical="center"/>
    </xf>
    <xf numFmtId="14" fontId="6" fillId="0" borderId="0" xfId="1" applyNumberFormat="1" applyAlignment="1">
      <alignment horizontal="center" vertical="center"/>
    </xf>
    <xf numFmtId="14" fontId="6" fillId="0" borderId="17" xfId="1" applyNumberFormat="1" applyBorder="1" applyAlignment="1">
      <alignment horizontal="center" vertical="center"/>
    </xf>
    <xf numFmtId="0" fontId="6" fillId="0" borderId="17" xfId="1" applyBorder="1">
      <alignment vertical="center"/>
    </xf>
    <xf numFmtId="0" fontId="6" fillId="0" borderId="16" xfId="1" applyBorder="1" applyAlignment="1">
      <alignment horizontal="center" vertical="center"/>
    </xf>
    <xf numFmtId="0" fontId="4" fillId="0" borderId="0" xfId="1" applyFont="1">
      <alignment vertical="center"/>
    </xf>
    <xf numFmtId="0" fontId="6" fillId="0" borderId="18" xfId="1" applyBorder="1">
      <alignment vertical="center"/>
    </xf>
    <xf numFmtId="0" fontId="6" fillId="0" borderId="19" xfId="1" applyBorder="1">
      <alignment vertical="center"/>
    </xf>
    <xf numFmtId="0" fontId="6" fillId="0" borderId="20" xfId="1" applyBorder="1">
      <alignment vertical="center"/>
    </xf>
    <xf numFmtId="0" fontId="6" fillId="0" borderId="0" xfId="1" applyAlignment="1">
      <alignment horizontal="left" vertical="center"/>
    </xf>
    <xf numFmtId="0" fontId="9" fillId="0" borderId="21" xfId="0" applyFont="1" applyBorder="1" applyAlignment="1" applyProtection="1">
      <alignment horizontal="left" vertical="center" shrinkToFit="1"/>
      <protection locked="0"/>
    </xf>
    <xf numFmtId="0" fontId="9" fillId="0" borderId="21" xfId="0" applyFont="1" applyBorder="1" applyAlignment="1" applyProtection="1">
      <alignment horizontal="left" vertical="center"/>
      <protection locked="0"/>
    </xf>
    <xf numFmtId="0" fontId="9" fillId="2" borderId="21" xfId="0" applyFont="1" applyFill="1" applyBorder="1" applyAlignment="1" applyProtection="1">
      <alignment horizontal="left" vertical="center"/>
      <protection locked="0"/>
    </xf>
    <xf numFmtId="0" fontId="9" fillId="2" borderId="21" xfId="0" applyFont="1" applyFill="1" applyBorder="1" applyProtection="1">
      <alignment vertical="center"/>
      <protection locked="0"/>
    </xf>
    <xf numFmtId="0" fontId="9" fillId="0" borderId="21" xfId="0" applyFont="1" applyBorder="1" applyProtection="1">
      <alignment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9" fillId="0" borderId="25" xfId="0" applyFont="1" applyBorder="1" applyAlignment="1" applyProtection="1">
      <alignment horizontal="center" vertical="center"/>
      <protection locked="0"/>
    </xf>
    <xf numFmtId="0" fontId="0" fillId="0" borderId="17" xfId="0" applyBorder="1">
      <alignment vertical="center"/>
    </xf>
    <xf numFmtId="0" fontId="10" fillId="0" borderId="16" xfId="0" applyFont="1" applyBorder="1">
      <alignment vertical="center"/>
    </xf>
    <xf numFmtId="0" fontId="10" fillId="0" borderId="0" xfId="0" applyFont="1">
      <alignment vertical="center"/>
    </xf>
    <xf numFmtId="0" fontId="9" fillId="2" borderId="27" xfId="0" applyFont="1" applyFill="1" applyBorder="1" applyProtection="1">
      <alignment vertical="center"/>
      <protection locked="0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6" fillId="0" borderId="0" xfId="1" quotePrefix="1">
      <alignment vertical="center"/>
    </xf>
    <xf numFmtId="1" fontId="6" fillId="0" borderId="0" xfId="1" applyNumberFormat="1" applyAlignment="1">
      <alignment horizontal="left" vertical="center"/>
    </xf>
    <xf numFmtId="0" fontId="0" fillId="2" borderId="0" xfId="0" applyFill="1">
      <alignment vertical="center"/>
    </xf>
    <xf numFmtId="0" fontId="12" fillId="0" borderId="16" xfId="1" applyFont="1" applyBorder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2" fillId="0" borderId="0" xfId="1" applyFont="1" applyAlignment="1">
      <alignment horizontal="left" vertical="center"/>
    </xf>
    <xf numFmtId="176" fontId="6" fillId="0" borderId="0" xfId="1" applyNumberFormat="1" applyAlignment="1">
      <alignment horizontal="left" vertical="center"/>
    </xf>
    <xf numFmtId="177" fontId="6" fillId="0" borderId="0" xfId="1" applyNumberFormat="1" applyAlignment="1">
      <alignment horizontal="left" vertical="center"/>
    </xf>
    <xf numFmtId="2" fontId="6" fillId="0" borderId="0" xfId="1" applyNumberFormat="1" applyAlignment="1">
      <alignment horizontal="right" vertical="center"/>
    </xf>
    <xf numFmtId="2" fontId="6" fillId="0" borderId="0" xfId="1" applyNumberFormat="1" applyAlignment="1">
      <alignment horizontal="left" vertical="center"/>
    </xf>
    <xf numFmtId="2" fontId="6" fillId="0" borderId="0" xfId="1" applyNumberFormat="1">
      <alignment vertical="center"/>
    </xf>
    <xf numFmtId="0" fontId="12" fillId="2" borderId="0" xfId="1" applyFont="1" applyFill="1">
      <alignment vertical="center"/>
    </xf>
    <xf numFmtId="0" fontId="6" fillId="2" borderId="0" xfId="1" applyFill="1">
      <alignment vertical="center"/>
    </xf>
    <xf numFmtId="178" fontId="10" fillId="0" borderId="0" xfId="0" applyNumberFormat="1" applyFont="1">
      <alignment vertical="center"/>
    </xf>
    <xf numFmtId="0" fontId="7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6" fillId="0" borderId="5" xfId="1" applyBorder="1" applyAlignment="1">
      <alignment horizontal="center" vertical="center"/>
    </xf>
    <xf numFmtId="0" fontId="6" fillId="0" borderId="6" xfId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14" fontId="6" fillId="0" borderId="5" xfId="1" applyNumberFormat="1" applyBorder="1" applyAlignment="1">
      <alignment horizontal="center" vertical="center"/>
    </xf>
    <xf numFmtId="14" fontId="6" fillId="0" borderId="6" xfId="1" applyNumberFormat="1" applyBorder="1" applyAlignment="1">
      <alignment horizontal="center" vertical="center"/>
    </xf>
    <xf numFmtId="14" fontId="6" fillId="0" borderId="9" xfId="1" applyNumberFormat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13" xfId="1" applyBorder="1" applyAlignment="1">
      <alignment horizontal="center" vertical="center"/>
    </xf>
    <xf numFmtId="14" fontId="6" fillId="0" borderId="11" xfId="1" applyNumberFormat="1" applyBorder="1" applyAlignment="1">
      <alignment horizontal="center" vertical="center"/>
    </xf>
    <xf numFmtId="14" fontId="6" fillId="0" borderId="12" xfId="1" applyNumberFormat="1" applyBorder="1" applyAlignment="1">
      <alignment horizontal="center" vertical="center"/>
    </xf>
    <xf numFmtId="14" fontId="6" fillId="0" borderId="15" xfId="1" applyNumberFormat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</xdr:row>
      <xdr:rowOff>19050</xdr:rowOff>
    </xdr:from>
    <xdr:to>
      <xdr:col>7</xdr:col>
      <xdr:colOff>352425</xdr:colOff>
      <xdr:row>12</xdr:row>
      <xdr:rowOff>171450</xdr:rowOff>
    </xdr:to>
    <xdr:pic>
      <xdr:nvPicPr>
        <xdr:cNvPr id="2" name="图片 1" descr="https://gss1.bdstatic.com/9vo3dSag_xI4khGkpoWK1HF6hhy/baike/s%3D220/sign=d2b63a7219ce36d3a60484320af23a24/4ec2d5628535e5dd6e1263777ac6a7efce1b6258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400050"/>
          <a:ext cx="2057400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371474</xdr:colOff>
      <xdr:row>6</xdr:row>
      <xdr:rowOff>66675</xdr:rowOff>
    </xdr:from>
    <xdr:ext cx="3152776" cy="707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1181099" y="1514475"/>
              <a:ext cx="3152776" cy="707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𝑉</m:t>
                    </m:r>
                    <m:r>
                      <a:rPr lang="en-US" altLang="zh-CN" sz="2000" i="1">
                        <a:latin typeface="Cambria Math"/>
                        <a:ea typeface="Cambria Math"/>
                      </a:rPr>
                      <m:t>=</m:t>
                    </m:r>
                    <m:f>
                      <m:fPr>
                        <m:ctrlPr>
                          <a:rPr lang="en-US" altLang="zh-CN" sz="200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zh-CN" altLang="en-US" sz="2000" i="1">
                            <a:latin typeface="Cambria Math"/>
                            <a:ea typeface="Cambria Math"/>
                          </a:rPr>
                          <m:t>𝜋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pitchFamily="18" charset="0"/>
                                <a:ea typeface="Cambria Math"/>
                              </a:rPr>
                            </m:ctrlPr>
                          </m:sSupPr>
                          <m:e>
                            <m:r>
                              <a:rPr lang="en-US" altLang="zh-CN" sz="2000" b="0" i="1">
                                <a:latin typeface="Cambria Math"/>
                                <a:ea typeface="Cambria Math"/>
                              </a:rPr>
                              <m:t>𝑑</m:t>
                            </m:r>
                          </m:e>
                          <m:sup>
                            <m:r>
                              <a:rPr lang="en-US" altLang="zh-CN" sz="2000" b="0" i="1">
                                <a:latin typeface="Cambria Math"/>
                                <a:ea typeface="Cambria Math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altLang="zh-CN" sz="2000" b="0" i="1">
                            <a:latin typeface="Cambria Math"/>
                            <a:ea typeface="Cambria Math"/>
                          </a:rPr>
                          <m:t>4</m:t>
                        </m:r>
                      </m:den>
                    </m:f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×</m:t>
                    </m:r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𝐿</m:t>
                    </m:r>
                  </m:oMath>
                </m:oMathPara>
              </a14:m>
              <a:endParaRPr lang="en-US" altLang="zh-CN" sz="2000" b="0">
                <a:ea typeface="Cambria Math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181099" y="1514475"/>
              <a:ext cx="3152776" cy="707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altLang="zh-CN" sz="2000" b="0" i="0">
                  <a:latin typeface="Cambria Math"/>
                  <a:ea typeface="Cambria Math"/>
                </a:rPr>
                <a:t>𝑉</a:t>
              </a:r>
              <a:r>
                <a:rPr lang="en-US" altLang="zh-CN" sz="2000" i="0">
                  <a:latin typeface="Cambria Math"/>
                  <a:ea typeface="Cambria Math"/>
                </a:rPr>
                <a:t>=(</a:t>
              </a:r>
              <a:r>
                <a:rPr lang="zh-CN" altLang="en-US" sz="2000" i="0">
                  <a:latin typeface="Cambria Math"/>
                  <a:ea typeface="Cambria Math"/>
                </a:rPr>
                <a:t>𝜋</a:t>
              </a:r>
              <a:r>
                <a:rPr lang="en-US" altLang="zh-CN" sz="2000" b="0" i="0">
                  <a:latin typeface="Cambria Math"/>
                  <a:ea typeface="Cambria Math"/>
                </a:rPr>
                <a:t>𝑑^2)/4×𝐿</a:t>
              </a:r>
              <a:endParaRPr lang="en-US" altLang="zh-CN" sz="2000" b="0">
                <a:ea typeface="Cambria Math"/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21</xdr:row>
      <xdr:rowOff>66675</xdr:rowOff>
    </xdr:from>
    <xdr:to>
      <xdr:col>6</xdr:col>
      <xdr:colOff>390097</xdr:colOff>
      <xdr:row>39</xdr:row>
      <xdr:rowOff>171009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4371975"/>
          <a:ext cx="3428572" cy="3533334"/>
        </a:xfrm>
        <a:prstGeom prst="rect">
          <a:avLst/>
        </a:prstGeom>
      </xdr:spPr>
    </xdr:pic>
    <xdr:clientData/>
  </xdr:twoCellAnchor>
  <xdr:oneCellAnchor>
    <xdr:from>
      <xdr:col>1</xdr:col>
      <xdr:colOff>371474</xdr:colOff>
      <xdr:row>6</xdr:row>
      <xdr:rowOff>66675</xdr:rowOff>
    </xdr:from>
    <xdr:ext cx="1943101" cy="7637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1181099" y="1514475"/>
              <a:ext cx="1943101" cy="763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𝑆</m:t>
                    </m:r>
                    <m:r>
                      <a:rPr lang="en-US" altLang="zh-CN" sz="2000" i="1">
                        <a:latin typeface="Cambria Math"/>
                        <a:ea typeface="Cambria Math"/>
                      </a:rPr>
                      <m:t>=</m:t>
                    </m:r>
                    <m:f>
                      <m:fPr>
                        <m:ctrlPr>
                          <a:rPr lang="en-US" altLang="zh-CN" sz="200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zh-CN" altLang="en-US" sz="20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𝜋</m:t>
                        </m:r>
                        <m:sSup>
                          <m:sSupPr>
                            <m:ctrlPr>
                              <a:rPr lang="en-US" altLang="zh-CN" sz="20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altLang="zh-CN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altLang="zh-CN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p>
                            <m:r>
                              <a:rPr lang="en-US" altLang="zh-CN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altLang="zh-CN" sz="20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lang="en-US" altLang="zh-CN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altLang="zh-CN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</m:t>
                            </m:r>
                          </m:e>
                          <m:sup>
                            <m:r>
                              <a:rPr lang="en-US" altLang="zh-CN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altLang="zh-CN" sz="20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altLang="zh-CN" sz="2000" b="0" i="1">
                            <a:latin typeface="Cambria Math"/>
                            <a:ea typeface="Cambria Math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zh-CN" altLang="en-US" sz="20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181099" y="1514475"/>
              <a:ext cx="1943101" cy="763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2000" b="0" i="0">
                  <a:latin typeface="Cambria Math"/>
                  <a:ea typeface="Cambria Math"/>
                </a:rPr>
                <a:t>𝑆</a:t>
              </a:r>
              <a:r>
                <a:rPr lang="en-US" altLang="zh-CN" sz="2000" i="0">
                  <a:latin typeface="Cambria Math"/>
                  <a:ea typeface="Cambria Math"/>
                </a:rPr>
                <a:t>=(</a:t>
              </a:r>
              <a:r>
                <a:rPr lang="zh-CN" altLang="en-US" sz="20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en-US" altLang="zh-CN" sz="20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altLang="zh-CN" sz="20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</a:t>
              </a:r>
              <a:r>
                <a:rPr lang="en-US" altLang="zh-CN" sz="2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〗^2−𝑑^2)</a:t>
              </a:r>
              <a:r>
                <a:rPr lang="en-US" altLang="zh-CN" sz="20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)/</a:t>
              </a:r>
              <a:r>
                <a:rPr lang="en-US" altLang="zh-CN" sz="2000" b="0" i="0">
                  <a:latin typeface="Cambria Math"/>
                  <a:ea typeface="Cambria Math"/>
                </a:rPr>
                <a:t>4</a:t>
              </a:r>
              <a:endParaRPr lang="zh-CN" altLang="en-US" sz="20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476249</xdr:colOff>
      <xdr:row>5</xdr:row>
      <xdr:rowOff>47625</xdr:rowOff>
    </xdr:from>
    <xdr:ext cx="1943101" cy="7351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3">
              <a:extLst>
                <a:ext uri="{FF2B5EF4-FFF2-40B4-BE49-F238E27FC236}">
                  <a16:creationId xmlns:a16="http://schemas.microsoft.com/office/drawing/2014/main" id="{0712E2CC-6B99-4520-9072-7F18A452BEB3}"/>
                </a:ext>
              </a:extLst>
            </xdr:cNvPr>
            <xdr:cNvSpPr txBox="1"/>
          </xdr:nvSpPr>
          <xdr:spPr>
            <a:xfrm>
              <a:off x="1285874" y="1304925"/>
              <a:ext cx="1943101" cy="735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𝑆</m:t>
                    </m:r>
                    <m:r>
                      <a:rPr lang="en-US" altLang="zh-CN" sz="2000" i="1">
                        <a:latin typeface="Cambria Math"/>
                        <a:ea typeface="Cambria Math"/>
                      </a:rPr>
                      <m:t>=</m:t>
                    </m:r>
                    <m:f>
                      <m:fPr>
                        <m:ctrlPr>
                          <a:rPr lang="en-US" altLang="zh-CN" sz="200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𝑛</m:t>
                        </m:r>
                        <m:r>
                          <a:rPr lang="zh-CN" altLang="en-US" sz="2000" b="0" i="1">
                            <a:latin typeface="Cambria Math" panose="02040503050406030204" pitchFamily="18" charset="0"/>
                            <a:ea typeface="Cambria Math"/>
                          </a:rPr>
                          <m:t>𝜋</m:t>
                        </m:r>
                        <m:sSup>
                          <m:sSupPr>
                            <m:ctrlPr>
                              <a:rPr lang="en-US" altLang="zh-CN" sz="2000" b="0" i="1">
                                <a:latin typeface="Cambria Math" panose="02040503050406030204" pitchFamily="18" charset="0"/>
                                <a:ea typeface="Cambria Math"/>
                              </a:rPr>
                            </m:ctrlPr>
                          </m:sSupPr>
                          <m:e>
                            <m:r>
                              <a:rPr lang="en-US" altLang="zh-CN" sz="2000" b="0" i="1">
                                <a:latin typeface="Cambria Math" panose="02040503050406030204" pitchFamily="18" charset="0"/>
                                <a:ea typeface="Cambria Math"/>
                              </a:rPr>
                              <m:t>𝑅</m:t>
                            </m:r>
                          </m:e>
                          <m:sup>
                            <m:r>
                              <a:rPr lang="en-US" altLang="zh-CN" sz="2000" b="0" i="1">
                                <a:latin typeface="Cambria Math" panose="02040503050406030204" pitchFamily="18" charset="0"/>
                                <a:ea typeface="Cambria Math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360</m:t>
                        </m:r>
                      </m:den>
                    </m:f>
                    <m:r>
                      <a:rPr lang="en-US" altLang="zh-CN" sz="2000" b="0" i="1">
                        <a:latin typeface="Cambria Math" panose="02040503050406030204" pitchFamily="18" charset="0"/>
                        <a:ea typeface="Cambria Math"/>
                      </a:rPr>
                      <m:t>−</m:t>
                    </m:r>
                    <m:f>
                      <m:fPr>
                        <m:ctrlP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𝑎h</m:t>
                        </m:r>
                      </m:num>
                      <m:den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zh-CN" altLang="en-US" sz="2000"/>
            </a:p>
          </xdr:txBody>
        </xdr:sp>
      </mc:Choice>
      <mc:Fallback xmlns="">
        <xdr:sp macro="" textlink="">
          <xdr:nvSpPr>
            <xdr:cNvPr id="2" name="TextBox 3">
              <a:extLst>
                <a:ext uri="{FF2B5EF4-FFF2-40B4-BE49-F238E27FC236}">
                  <a16:creationId xmlns:a16="http://schemas.microsoft.com/office/drawing/2014/main" id="{0712E2CC-6B99-4520-9072-7F18A452BEB3}"/>
                </a:ext>
              </a:extLst>
            </xdr:cNvPr>
            <xdr:cNvSpPr txBox="1"/>
          </xdr:nvSpPr>
          <xdr:spPr>
            <a:xfrm>
              <a:off x="1285874" y="1304925"/>
              <a:ext cx="1943101" cy="735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altLang="zh-CN" sz="2000" b="0" i="0">
                  <a:latin typeface="Cambria Math"/>
                  <a:ea typeface="Cambria Math"/>
                </a:rPr>
                <a:t>𝑆</a:t>
              </a:r>
              <a:r>
                <a:rPr lang="en-US" altLang="zh-CN" sz="2000" i="0">
                  <a:latin typeface="Cambria Math"/>
                  <a:ea typeface="Cambria Math"/>
                </a:rPr>
                <a:t>=</a:t>
              </a:r>
              <a:r>
                <a:rPr lang="en-US" altLang="zh-CN" sz="2000" i="0">
                  <a:latin typeface="Cambria Math" panose="02040503050406030204" pitchFamily="18" charset="0"/>
                  <a:ea typeface="Cambria Math"/>
                </a:rPr>
                <a:t>(</a:t>
              </a:r>
              <a:r>
                <a:rPr lang="en-US" altLang="zh-CN" sz="2000" b="0" i="0">
                  <a:latin typeface="Cambria Math" panose="02040503050406030204" pitchFamily="18" charset="0"/>
                  <a:ea typeface="Cambria Math"/>
                </a:rPr>
                <a:t>𝑛</a:t>
              </a:r>
              <a:r>
                <a:rPr lang="zh-CN" altLang="en-US" sz="2000" b="0" i="0">
                  <a:latin typeface="Cambria Math" panose="02040503050406030204" pitchFamily="18" charset="0"/>
                  <a:ea typeface="Cambria Math"/>
                </a:rPr>
                <a:t>𝜋</a:t>
              </a:r>
              <a:r>
                <a:rPr lang="en-US" altLang="zh-CN" sz="2000" b="0" i="0">
                  <a:latin typeface="Cambria Math" panose="02040503050406030204" pitchFamily="18" charset="0"/>
                  <a:ea typeface="Cambria Math"/>
                </a:rPr>
                <a:t>𝑅^2)/360−𝑎ℎ/2</a:t>
              </a:r>
              <a:endParaRPr lang="zh-CN" altLang="en-US" sz="2000"/>
            </a:p>
          </xdr:txBody>
        </xdr:sp>
      </mc:Fallback>
    </mc:AlternateContent>
    <xdr:clientData/>
  </xdr:oneCellAnchor>
  <xdr:twoCellAnchor editAs="oneCell">
    <xdr:from>
      <xdr:col>1</xdr:col>
      <xdr:colOff>406044</xdr:colOff>
      <xdr:row>30</xdr:row>
      <xdr:rowOff>47625</xdr:rowOff>
    </xdr:from>
    <xdr:to>
      <xdr:col>5</xdr:col>
      <xdr:colOff>104775</xdr:colOff>
      <xdr:row>50</xdr:row>
      <xdr:rowOff>38446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7653EEB-444F-4F42-969F-53AC93C68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669" y="6067425"/>
          <a:ext cx="3442056" cy="38008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371474</xdr:colOff>
      <xdr:row>6</xdr:row>
      <xdr:rowOff>66675</xdr:rowOff>
    </xdr:from>
    <xdr:ext cx="1943101" cy="4054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1181099" y="1514475"/>
              <a:ext cx="1943101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𝑆</m:t>
                    </m:r>
                    <m:r>
                      <a:rPr lang="en-US" altLang="zh-CN" sz="2000" i="1">
                        <a:latin typeface="Cambria Math"/>
                        <a:ea typeface="Cambria Math"/>
                      </a:rPr>
                      <m:t>=</m:t>
                    </m:r>
                    <m:r>
                      <a:rPr lang="zh-CN" altLang="en-US" sz="2000" i="1">
                        <a:latin typeface="Cambria Math"/>
                        <a:ea typeface="Cambria Math"/>
                      </a:rPr>
                      <m:t>𝜋</m:t>
                    </m:r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𝐷h</m:t>
                    </m:r>
                  </m:oMath>
                </m:oMathPara>
              </a14:m>
              <a:endParaRPr lang="zh-CN" altLang="en-US" sz="20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181099" y="1514475"/>
              <a:ext cx="1943101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2000" b="0" i="0">
                  <a:latin typeface="Cambria Math"/>
                  <a:ea typeface="Cambria Math"/>
                </a:rPr>
                <a:t>𝑆</a:t>
              </a:r>
              <a:r>
                <a:rPr lang="en-US" altLang="zh-CN" sz="2000" i="0">
                  <a:latin typeface="Cambria Math"/>
                  <a:ea typeface="Cambria Math"/>
                </a:rPr>
                <a:t>=</a:t>
              </a:r>
              <a:r>
                <a:rPr lang="zh-CN" altLang="en-US" sz="2000" i="0">
                  <a:latin typeface="Cambria Math"/>
                  <a:ea typeface="Cambria Math"/>
                </a:rPr>
                <a:t>𝜋</a:t>
              </a:r>
              <a:r>
                <a:rPr lang="en-US" altLang="zh-CN" sz="2000" b="0" i="0">
                  <a:latin typeface="Cambria Math"/>
                  <a:ea typeface="Cambria Math"/>
                </a:rPr>
                <a:t>𝐷ℎ</a:t>
              </a:r>
              <a:endParaRPr lang="zh-CN" altLang="en-US" sz="20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371474</xdr:colOff>
      <xdr:row>6</xdr:row>
      <xdr:rowOff>66675</xdr:rowOff>
    </xdr:from>
    <xdr:ext cx="3152776" cy="411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1181099" y="1514475"/>
              <a:ext cx="3152776" cy="411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sSubPr>
                      <m:e>
                        <m:r>
                          <a:rPr lang="en-US" altLang="zh-CN" sz="2000" b="0" i="1">
                            <a:latin typeface="Cambria Math"/>
                            <a:ea typeface="Cambria Math"/>
                          </a:rPr>
                          <m:t>𝑆</m:t>
                        </m:r>
                      </m:e>
                      <m:sub>
                        <m:r>
                          <a:rPr lang="en-US" altLang="zh-CN" sz="2000" b="0" i="1">
                            <a:latin typeface="Cambria Math"/>
                            <a:ea typeface="Cambria Math"/>
                          </a:rPr>
                          <m:t>𝑐</m:t>
                        </m:r>
                      </m:sub>
                    </m:sSub>
                    <m:r>
                      <a:rPr lang="en-US" altLang="zh-CN" sz="2000" i="1">
                        <a:latin typeface="Cambria Math"/>
                        <a:ea typeface="Cambria Math"/>
                      </a:rPr>
                      <m:t>=</m:t>
                    </m:r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2</m:t>
                    </m:r>
                    <m:r>
                      <a:rPr lang="zh-CN" altLang="en-US" sz="2000" i="1">
                        <a:latin typeface="Cambria Math"/>
                        <a:ea typeface="Cambria Math"/>
                      </a:rPr>
                      <m:t>𝜋</m:t>
                    </m:r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𝑅h</m:t>
                    </m:r>
                  </m:oMath>
                </m:oMathPara>
              </a14:m>
              <a:endParaRPr lang="zh-CN" altLang="en-US" sz="2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181099" y="1514475"/>
              <a:ext cx="3152776" cy="411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altLang="zh-CN" sz="2000" b="0" i="0">
                  <a:latin typeface="Cambria Math"/>
                  <a:ea typeface="Cambria Math"/>
                </a:rPr>
                <a:t>𝑆_𝑐</a:t>
              </a:r>
              <a:r>
                <a:rPr lang="en-US" altLang="zh-CN" sz="2000" i="0">
                  <a:latin typeface="Cambria Math"/>
                  <a:ea typeface="Cambria Math"/>
                </a:rPr>
                <a:t>=</a:t>
              </a:r>
              <a:r>
                <a:rPr lang="en-US" altLang="zh-CN" sz="2000" b="0" i="0">
                  <a:latin typeface="Cambria Math"/>
                  <a:ea typeface="Cambria Math"/>
                </a:rPr>
                <a:t>2</a:t>
              </a:r>
              <a:r>
                <a:rPr lang="zh-CN" altLang="en-US" sz="2000" i="0">
                  <a:latin typeface="Cambria Math"/>
                  <a:ea typeface="Cambria Math"/>
                </a:rPr>
                <a:t>𝜋</a:t>
              </a:r>
              <a:r>
                <a:rPr lang="en-US" altLang="zh-CN" sz="2000" b="0" i="0">
                  <a:latin typeface="Cambria Math"/>
                  <a:ea typeface="Cambria Math"/>
                </a:rPr>
                <a:t>𝑅ℎ</a:t>
              </a:r>
              <a:endParaRPr lang="zh-CN" altLang="en-US" sz="2000"/>
            </a:p>
          </xdr:txBody>
        </xdr:sp>
      </mc:Fallback>
    </mc:AlternateContent>
    <xdr:clientData/>
  </xdr:oneCellAnchor>
  <xdr:twoCellAnchor editAs="oneCell">
    <xdr:from>
      <xdr:col>1</xdr:col>
      <xdr:colOff>0</xdr:colOff>
      <xdr:row>22</xdr:row>
      <xdr:rowOff>0</xdr:rowOff>
    </xdr:from>
    <xdr:to>
      <xdr:col>3</xdr:col>
      <xdr:colOff>533051</xdr:colOff>
      <xdr:row>34</xdr:row>
      <xdr:rowOff>37810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4495800"/>
          <a:ext cx="2790476" cy="23238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371474</xdr:colOff>
      <xdr:row>6</xdr:row>
      <xdr:rowOff>66675</xdr:rowOff>
    </xdr:from>
    <xdr:ext cx="3152776" cy="695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SpPr txBox="1"/>
          </xdr:nvSpPr>
          <xdr:spPr>
            <a:xfrm>
              <a:off x="1181099" y="1514475"/>
              <a:ext cx="3152776" cy="695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sSubPr>
                      <m:e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𝑉</m:t>
                        </m:r>
                      </m:e>
                      <m:sub>
                        <m:r>
                          <a:rPr lang="en-US" altLang="zh-CN" sz="2000" b="0" i="1">
                            <a:latin typeface="Cambria Math"/>
                            <a:ea typeface="Cambria Math"/>
                          </a:rPr>
                          <m:t>𝑐</m:t>
                        </m:r>
                      </m:sub>
                    </m:sSub>
                    <m:r>
                      <a:rPr lang="en-US" altLang="zh-CN" sz="2000" i="1">
                        <a:latin typeface="Cambria Math"/>
                        <a:ea typeface="Cambria Math"/>
                      </a:rPr>
                      <m:t>=</m:t>
                    </m:r>
                    <m:f>
                      <m:fPr>
                        <m:ctrlPr>
                          <a:rPr lang="en-US" altLang="zh-CN" sz="200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1</m:t>
                        </m:r>
                      </m:num>
                      <m:den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3</m:t>
                        </m:r>
                      </m:den>
                    </m:f>
                    <m:r>
                      <a:rPr lang="zh-CN" altLang="en-US" sz="2000" i="1">
                        <a:latin typeface="Cambria Math"/>
                        <a:ea typeface="Cambria Math"/>
                      </a:rPr>
                      <m:t>𝜋</m:t>
                    </m:r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h</m:t>
                    </m:r>
                    <m:r>
                      <a:rPr lang="en-US" altLang="zh-CN" sz="2000" b="0" i="1">
                        <a:latin typeface="Cambria Math" panose="02040503050406030204" pitchFamily="18" charset="0"/>
                        <a:ea typeface="Cambria Math"/>
                      </a:rPr>
                      <m:t>(</m:t>
                    </m:r>
                    <m:sSup>
                      <m:sSupPr>
                        <m:ctrlP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sSupPr>
                      <m:e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𝑟</m:t>
                        </m:r>
                      </m:e>
                      <m:sup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2</m:t>
                        </m:r>
                      </m:sup>
                    </m:sSup>
                    <m:r>
                      <a:rPr lang="en-US" altLang="zh-CN" sz="2000" b="0" i="1">
                        <a:latin typeface="Cambria Math" panose="02040503050406030204" pitchFamily="18" charset="0"/>
                        <a:ea typeface="Cambria Math"/>
                      </a:rPr>
                      <m:t>+</m:t>
                    </m:r>
                    <m:sSup>
                      <m:sSupPr>
                        <m:ctrlP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sSupPr>
                      <m:e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𝑅</m:t>
                        </m:r>
                      </m:e>
                      <m:sup>
                        <m:r>
                          <a:rPr lang="en-US" altLang="zh-CN" sz="2000" b="0" i="1">
                            <a:latin typeface="Cambria Math" panose="02040503050406030204" pitchFamily="18" charset="0"/>
                            <a:ea typeface="Cambria Math"/>
                          </a:rPr>
                          <m:t>2</m:t>
                        </m:r>
                      </m:sup>
                    </m:sSup>
                    <m:r>
                      <a:rPr lang="en-US" altLang="zh-CN" sz="2000" b="0" i="1">
                        <a:latin typeface="Cambria Math" panose="02040503050406030204" pitchFamily="18" charset="0"/>
                        <a:ea typeface="Cambria Math"/>
                      </a:rPr>
                      <m:t>+</m:t>
                    </m:r>
                    <m:r>
                      <a:rPr lang="en-US" altLang="zh-CN" sz="2000" b="0" i="1">
                        <a:latin typeface="Cambria Math" panose="02040503050406030204" pitchFamily="18" charset="0"/>
                        <a:ea typeface="Cambria Math"/>
                      </a:rPr>
                      <m:t>𝑟𝑅</m:t>
                    </m:r>
                    <m:r>
                      <a:rPr lang="en-US" altLang="zh-CN" sz="2000" b="0" i="1">
                        <a:latin typeface="Cambria Math" panose="02040503050406030204" pitchFamily="18" charset="0"/>
                        <a:ea typeface="Cambria Math"/>
                      </a:rPr>
                      <m:t>)</m:t>
                    </m:r>
                  </m:oMath>
                </m:oMathPara>
              </a14:m>
              <a:endParaRPr lang="zh-CN" altLang="en-US" sz="2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181099" y="1514475"/>
              <a:ext cx="3152776" cy="695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altLang="zh-CN" sz="2000" b="0" i="0">
                  <a:latin typeface="Cambria Math" panose="02040503050406030204" pitchFamily="18" charset="0"/>
                  <a:ea typeface="Cambria Math"/>
                </a:rPr>
                <a:t>𝑉_</a:t>
              </a:r>
              <a:r>
                <a:rPr lang="en-US" altLang="zh-CN" sz="2000" b="0" i="0">
                  <a:latin typeface="Cambria Math"/>
                  <a:ea typeface="Cambria Math"/>
                </a:rPr>
                <a:t>𝑐</a:t>
              </a:r>
              <a:r>
                <a:rPr lang="en-US" altLang="zh-CN" sz="2000" i="0">
                  <a:latin typeface="Cambria Math"/>
                  <a:ea typeface="Cambria Math"/>
                </a:rPr>
                <a:t>=</a:t>
              </a:r>
              <a:r>
                <a:rPr lang="en-US" altLang="zh-CN" sz="2000" b="0" i="0">
                  <a:latin typeface="Cambria Math" panose="02040503050406030204" pitchFamily="18" charset="0"/>
                  <a:ea typeface="Cambria Math"/>
                </a:rPr>
                <a:t>1/3</a:t>
              </a:r>
              <a:r>
                <a:rPr lang="zh-CN" altLang="en-US" sz="2000" b="0" i="0">
                  <a:latin typeface="Cambria Math"/>
                  <a:ea typeface="Cambria Math"/>
                </a:rPr>
                <a:t> </a:t>
              </a:r>
              <a:r>
                <a:rPr lang="zh-CN" altLang="en-US" sz="2000" i="0">
                  <a:latin typeface="Cambria Math"/>
                  <a:ea typeface="Cambria Math"/>
                </a:rPr>
                <a:t>𝜋</a:t>
              </a:r>
              <a:r>
                <a:rPr lang="en-US" altLang="zh-CN" sz="2000" b="0" i="0">
                  <a:latin typeface="Cambria Math"/>
                  <a:ea typeface="Cambria Math"/>
                </a:rPr>
                <a:t>ℎ</a:t>
              </a:r>
              <a:r>
                <a:rPr lang="en-US" altLang="zh-CN" sz="2000" b="0" i="0">
                  <a:latin typeface="Cambria Math" panose="02040503050406030204" pitchFamily="18" charset="0"/>
                  <a:ea typeface="Cambria Math"/>
                </a:rPr>
                <a:t>(𝑟^2+𝑅^2+𝑟𝑅)</a:t>
              </a:r>
              <a:endParaRPr lang="zh-CN" altLang="en-US" sz="20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371474</xdr:colOff>
      <xdr:row>6</xdr:row>
      <xdr:rowOff>66675</xdr:rowOff>
    </xdr:from>
    <xdr:ext cx="3152776" cy="707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SpPr txBox="1"/>
          </xdr:nvSpPr>
          <xdr:spPr>
            <a:xfrm>
              <a:off x="1181099" y="1514475"/>
              <a:ext cx="3152776" cy="707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2000" b="0" i="1">
                        <a:latin typeface="Cambria Math"/>
                        <a:ea typeface="Cambria Math"/>
                      </a:rPr>
                      <m:t>𝑆</m:t>
                    </m:r>
                    <m:r>
                      <a:rPr lang="en-US" altLang="zh-CN" sz="2000" i="1">
                        <a:latin typeface="Cambria Math"/>
                        <a:ea typeface="Cambria Math"/>
                      </a:rPr>
                      <m:t>=</m:t>
                    </m:r>
                    <m:f>
                      <m:fPr>
                        <m:ctrlPr>
                          <a:rPr lang="en-US" altLang="zh-CN" sz="200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zh-CN" altLang="en-US" sz="2000" i="1">
                            <a:latin typeface="Cambria Math"/>
                            <a:ea typeface="Cambria Math"/>
                          </a:rPr>
                          <m:t>𝜋</m:t>
                        </m:r>
                        <m:sSup>
                          <m:sSupPr>
                            <m:ctrlPr>
                              <a:rPr lang="en-US" altLang="zh-CN" sz="2000" i="1">
                                <a:latin typeface="Cambria Math" panose="02040503050406030204" pitchFamily="18" charset="0"/>
                                <a:ea typeface="Cambria Math"/>
                              </a:rPr>
                            </m:ctrlPr>
                          </m:sSupPr>
                          <m:e>
                            <m:r>
                              <a:rPr lang="en-US" altLang="zh-CN" sz="2000" b="0" i="1">
                                <a:latin typeface="Cambria Math"/>
                                <a:ea typeface="Cambria Math"/>
                              </a:rPr>
                              <m:t>𝑑</m:t>
                            </m:r>
                          </m:e>
                          <m:sup>
                            <m:r>
                              <a:rPr lang="en-US" altLang="zh-CN" sz="2000" b="0" i="1">
                                <a:latin typeface="Cambria Math"/>
                                <a:ea typeface="Cambria Math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altLang="zh-CN" sz="2000" b="0" i="1">
                            <a:latin typeface="Cambria Math"/>
                            <a:ea typeface="Cambria Math"/>
                          </a:rPr>
                          <m:t>4</m:t>
                        </m:r>
                      </m:den>
                    </m:f>
                    <m:r>
                      <a:rPr lang="en-US" altLang="zh-CN" sz="2000" i="0">
                        <a:latin typeface="Cambria Math"/>
                        <a:ea typeface="+mn-ea"/>
                      </a:rPr>
                      <m:t>−</m:t>
                    </m:r>
                    <m:sSub>
                      <m:sSubPr>
                        <m:ctrlPr>
                          <a:rPr lang="en-US" altLang="zh-CN" sz="2000" i="1">
                            <a:latin typeface="Cambria Math" panose="02040503050406030204" pitchFamily="18" charset="0"/>
                            <a:ea typeface="+mn-ea"/>
                          </a:rPr>
                        </m:ctrlPr>
                      </m:sSubPr>
                      <m:e>
                        <m:r>
                          <a:rPr lang="en-US" altLang="zh-CN" sz="2000" b="0" i="1">
                            <a:latin typeface="Cambria Math"/>
                            <a:ea typeface="+mn-ea"/>
                          </a:rPr>
                          <m:t>𝑑</m:t>
                        </m:r>
                      </m:e>
                      <m:sub>
                        <m:r>
                          <a:rPr lang="en-US" altLang="zh-CN" sz="2000" b="0" i="1">
                            <a:latin typeface="Cambria Math"/>
                            <a:ea typeface="+mn-ea"/>
                          </a:rPr>
                          <m:t>1</m:t>
                        </m:r>
                      </m:sub>
                    </m:sSub>
                    <m:r>
                      <a:rPr lang="en-US" altLang="zh-CN" sz="2000" b="0" i="1">
                        <a:latin typeface="Cambria Math"/>
                        <a:ea typeface="+mn-ea"/>
                      </a:rPr>
                      <m:t>𝑑</m:t>
                    </m:r>
                  </m:oMath>
                </m:oMathPara>
              </a14:m>
              <a:endParaRPr lang="zh-CN" altLang="en-US" sz="2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181099" y="1514475"/>
              <a:ext cx="3152776" cy="707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altLang="zh-CN" sz="2000" b="0" i="0">
                  <a:latin typeface="Cambria Math"/>
                  <a:ea typeface="Cambria Math"/>
                </a:rPr>
                <a:t>𝑆</a:t>
              </a:r>
              <a:r>
                <a:rPr lang="en-US" altLang="zh-CN" sz="2000" i="0">
                  <a:latin typeface="Cambria Math"/>
                  <a:ea typeface="Cambria Math"/>
                </a:rPr>
                <a:t>=(</a:t>
              </a:r>
              <a:r>
                <a:rPr lang="zh-CN" altLang="en-US" sz="2000" i="0">
                  <a:latin typeface="Cambria Math"/>
                  <a:ea typeface="Cambria Math"/>
                </a:rPr>
                <a:t>𝜋</a:t>
              </a:r>
              <a:r>
                <a:rPr lang="en-US" altLang="zh-CN" sz="2000" b="0" i="0">
                  <a:latin typeface="Cambria Math"/>
                  <a:ea typeface="Cambria Math"/>
                </a:rPr>
                <a:t>𝑑^2)/4</a:t>
              </a:r>
              <a:r>
                <a:rPr lang="en-US" altLang="zh-CN" sz="2000" i="0">
                  <a:latin typeface="+mn-lt"/>
                  <a:ea typeface="+mn-ea"/>
                </a:rPr>
                <a:t>−</a:t>
              </a:r>
              <a:r>
                <a:rPr lang="en-US" altLang="zh-CN" sz="2000" b="0" i="0">
                  <a:latin typeface="Cambria Math"/>
                  <a:ea typeface="+mn-ea"/>
                </a:rPr>
                <a:t>𝑑_1 𝑑</a:t>
              </a:r>
              <a:endParaRPr lang="zh-CN" altLang="en-US" sz="2000"/>
            </a:p>
          </xdr:txBody>
        </xdr:sp>
      </mc:Fallback>
    </mc:AlternateContent>
    <xdr:clientData/>
  </xdr:oneCellAnchor>
  <xdr:twoCellAnchor editAs="oneCell">
    <xdr:from>
      <xdr:col>0</xdr:col>
      <xdr:colOff>552450</xdr:colOff>
      <xdr:row>15</xdr:row>
      <xdr:rowOff>152400</xdr:rowOff>
    </xdr:from>
    <xdr:to>
      <xdr:col>2</xdr:col>
      <xdr:colOff>1190358</xdr:colOff>
      <xdr:row>28</xdr:row>
      <xdr:rowOff>47329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3314700"/>
          <a:ext cx="2133333" cy="23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71889</xdr:rowOff>
    </xdr:from>
    <xdr:to>
      <xdr:col>10</xdr:col>
      <xdr:colOff>351694</xdr:colOff>
      <xdr:row>36</xdr:row>
      <xdr:rowOff>52749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00F31FD-510B-9DD0-80F0-C3DA1BCBF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447"/>
          <a:ext cx="7634656" cy="5292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20"/>
  <sheetViews>
    <sheetView workbookViewId="0">
      <selection activeCell="O25" sqref="O25"/>
    </sheetView>
  </sheetViews>
  <sheetFormatPr defaultRowHeight="13.5"/>
  <cols>
    <col min="1" max="1" width="3.25" customWidth="1"/>
    <col min="2" max="2" width="11.625" bestFit="1" customWidth="1"/>
    <col min="4" max="4" width="6.25" bestFit="1" customWidth="1"/>
    <col min="5" max="5" width="5.5" bestFit="1" customWidth="1"/>
    <col min="7" max="7" width="6.25" bestFit="1" customWidth="1"/>
    <col min="8" max="8" width="5.5" bestFit="1" customWidth="1"/>
  </cols>
  <sheetData>
    <row r="1" spans="2:8" ht="14.25" thickBot="1"/>
    <row r="2" spans="2:8" ht="15.75">
      <c r="B2" s="22" t="s">
        <v>27</v>
      </c>
      <c r="C2" s="23"/>
      <c r="D2" s="24"/>
      <c r="E2" s="24"/>
      <c r="F2" s="24"/>
      <c r="G2" s="24"/>
      <c r="H2" s="25"/>
    </row>
    <row r="3" spans="2:8" ht="15.75">
      <c r="B3" s="26">
        <v>62.5</v>
      </c>
      <c r="C3" s="17" t="s">
        <v>30</v>
      </c>
      <c r="H3" s="27"/>
    </row>
    <row r="4" spans="2:8" ht="15.75">
      <c r="B4" s="26">
        <v>75</v>
      </c>
      <c r="C4" s="17" t="s">
        <v>33</v>
      </c>
      <c r="H4" s="27"/>
    </row>
    <row r="5" spans="2:8" ht="15.75">
      <c r="B5" s="26">
        <v>1280</v>
      </c>
      <c r="C5" s="17" t="s">
        <v>36</v>
      </c>
      <c r="H5" s="27"/>
    </row>
    <row r="6" spans="2:8" ht="15.75">
      <c r="B6" s="26">
        <v>1676.78</v>
      </c>
      <c r="C6" s="17" t="s">
        <v>37</v>
      </c>
      <c r="H6" s="27"/>
    </row>
    <row r="7" spans="2:8" ht="14.25">
      <c r="B7" s="28"/>
      <c r="C7" s="29"/>
      <c r="H7" s="27"/>
    </row>
    <row r="8" spans="2:8" ht="14.25">
      <c r="B8" s="28" t="s">
        <v>28</v>
      </c>
      <c r="C8" s="29"/>
      <c r="H8" s="27"/>
    </row>
    <row r="9" spans="2:8" ht="15.75">
      <c r="B9" s="26">
        <v>316</v>
      </c>
      <c r="C9" s="18" t="s">
        <v>31</v>
      </c>
      <c r="H9" s="27"/>
    </row>
    <row r="10" spans="2:8" ht="15.75">
      <c r="B10" s="33">
        <f>TREND(B5:B6,B3:B4,B9)</f>
        <v>9326.6983999999975</v>
      </c>
      <c r="C10" s="19" t="s">
        <v>34</v>
      </c>
      <c r="H10" s="27"/>
    </row>
    <row r="11" spans="2:8" ht="15.75">
      <c r="B11" s="33">
        <f>B5+(B9-B3)*(B6-B5)/(B4-B3)</f>
        <v>9326.6983999999993</v>
      </c>
      <c r="C11" s="19" t="s">
        <v>38</v>
      </c>
      <c r="H11" s="27"/>
    </row>
    <row r="12" spans="2:8" ht="14.25">
      <c r="B12" s="28"/>
      <c r="C12" s="29"/>
      <c r="H12" s="27"/>
    </row>
    <row r="13" spans="2:8" ht="14.25">
      <c r="B13" s="28" t="s">
        <v>29</v>
      </c>
      <c r="C13" s="29"/>
      <c r="H13" s="27"/>
    </row>
    <row r="14" spans="2:8" ht="15.75">
      <c r="B14" s="33">
        <f>TREND(B3:B4,B5:B6,B15)</f>
        <v>65.915305710973342</v>
      </c>
      <c r="C14" s="20" t="s">
        <v>32</v>
      </c>
      <c r="H14" s="27"/>
    </row>
    <row r="15" spans="2:8" ht="15.75">
      <c r="B15" s="26">
        <v>1388.41</v>
      </c>
      <c r="C15" s="21" t="s">
        <v>35</v>
      </c>
      <c r="H15" s="27"/>
    </row>
    <row r="16" spans="2:8" ht="16.5" thickBot="1">
      <c r="B16" s="34">
        <f>B3+(B15-B5)*(B4-B3)/(B6-B5)</f>
        <v>65.915305710973342</v>
      </c>
      <c r="C16" s="30" t="s">
        <v>39</v>
      </c>
      <c r="D16" s="31"/>
      <c r="E16" s="31"/>
      <c r="F16" s="31"/>
      <c r="G16" s="31"/>
      <c r="H16" s="32"/>
    </row>
    <row r="19" spans="2:2">
      <c r="B19">
        <v>1388.41</v>
      </c>
    </row>
    <row r="20" spans="2:2">
      <c r="B20">
        <v>1391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4"/>
  <sheetViews>
    <sheetView showGridLines="0" workbookViewId="0">
      <selection activeCell="K27" sqref="K27"/>
    </sheetView>
  </sheetViews>
  <sheetFormatPr defaultRowHeight="13.5"/>
  <cols>
    <col min="1" max="1" width="10.625" style="1" customWidth="1"/>
    <col min="2" max="2" width="9" style="1"/>
    <col min="3" max="3" width="20.625" style="1" customWidth="1"/>
    <col min="4" max="4" width="9" style="1"/>
    <col min="5" max="5" width="10.5" style="1" customWidth="1"/>
    <col min="6" max="6" width="9" style="1"/>
    <col min="7" max="7" width="12.625" style="1" customWidth="1"/>
    <col min="8" max="8" width="4.625" style="1" customWidth="1"/>
    <col min="9" max="11" width="9" style="1"/>
    <col min="12" max="12" width="18.375" style="1" bestFit="1" customWidth="1"/>
    <col min="13" max="256" width="9" style="1"/>
    <col min="257" max="257" width="10.625" style="1" customWidth="1"/>
    <col min="258" max="258" width="9" style="1"/>
    <col min="259" max="259" width="20.625" style="1" customWidth="1"/>
    <col min="260" max="260" width="9" style="1"/>
    <col min="261" max="261" width="10.5" style="1" customWidth="1"/>
    <col min="262" max="262" width="9" style="1"/>
    <col min="263" max="263" width="12.625" style="1" customWidth="1"/>
    <col min="264" max="264" width="4.625" style="1" customWidth="1"/>
    <col min="265" max="267" width="9" style="1"/>
    <col min="268" max="268" width="18.375" style="1" bestFit="1" customWidth="1"/>
    <col min="269" max="512" width="9" style="1"/>
    <col min="513" max="513" width="10.625" style="1" customWidth="1"/>
    <col min="514" max="514" width="9" style="1"/>
    <col min="515" max="515" width="20.625" style="1" customWidth="1"/>
    <col min="516" max="516" width="9" style="1"/>
    <col min="517" max="517" width="10.5" style="1" customWidth="1"/>
    <col min="518" max="518" width="9" style="1"/>
    <col min="519" max="519" width="12.625" style="1" customWidth="1"/>
    <col min="520" max="520" width="4.625" style="1" customWidth="1"/>
    <col min="521" max="523" width="9" style="1"/>
    <col min="524" max="524" width="18.375" style="1" bestFit="1" customWidth="1"/>
    <col min="525" max="768" width="9" style="1"/>
    <col min="769" max="769" width="10.625" style="1" customWidth="1"/>
    <col min="770" max="770" width="9" style="1"/>
    <col min="771" max="771" width="20.625" style="1" customWidth="1"/>
    <col min="772" max="772" width="9" style="1"/>
    <col min="773" max="773" width="10.5" style="1" customWidth="1"/>
    <col min="774" max="774" width="9" style="1"/>
    <col min="775" max="775" width="12.625" style="1" customWidth="1"/>
    <col min="776" max="776" width="4.625" style="1" customWidth="1"/>
    <col min="777" max="779" width="9" style="1"/>
    <col min="780" max="780" width="18.375" style="1" bestFit="1" customWidth="1"/>
    <col min="781" max="1024" width="9" style="1"/>
    <col min="1025" max="1025" width="10.625" style="1" customWidth="1"/>
    <col min="1026" max="1026" width="9" style="1"/>
    <col min="1027" max="1027" width="20.625" style="1" customWidth="1"/>
    <col min="1028" max="1028" width="9" style="1"/>
    <col min="1029" max="1029" width="10.5" style="1" customWidth="1"/>
    <col min="1030" max="1030" width="9" style="1"/>
    <col min="1031" max="1031" width="12.625" style="1" customWidth="1"/>
    <col min="1032" max="1032" width="4.625" style="1" customWidth="1"/>
    <col min="1033" max="1035" width="9" style="1"/>
    <col min="1036" max="1036" width="18.375" style="1" bestFit="1" customWidth="1"/>
    <col min="1037" max="1280" width="9" style="1"/>
    <col min="1281" max="1281" width="10.625" style="1" customWidth="1"/>
    <col min="1282" max="1282" width="9" style="1"/>
    <col min="1283" max="1283" width="20.625" style="1" customWidth="1"/>
    <col min="1284" max="1284" width="9" style="1"/>
    <col min="1285" max="1285" width="10.5" style="1" customWidth="1"/>
    <col min="1286" max="1286" width="9" style="1"/>
    <col min="1287" max="1287" width="12.625" style="1" customWidth="1"/>
    <col min="1288" max="1288" width="4.625" style="1" customWidth="1"/>
    <col min="1289" max="1291" width="9" style="1"/>
    <col min="1292" max="1292" width="18.375" style="1" bestFit="1" customWidth="1"/>
    <col min="1293" max="1536" width="9" style="1"/>
    <col min="1537" max="1537" width="10.625" style="1" customWidth="1"/>
    <col min="1538" max="1538" width="9" style="1"/>
    <col min="1539" max="1539" width="20.625" style="1" customWidth="1"/>
    <col min="1540" max="1540" width="9" style="1"/>
    <col min="1541" max="1541" width="10.5" style="1" customWidth="1"/>
    <col min="1542" max="1542" width="9" style="1"/>
    <col min="1543" max="1543" width="12.625" style="1" customWidth="1"/>
    <col min="1544" max="1544" width="4.625" style="1" customWidth="1"/>
    <col min="1545" max="1547" width="9" style="1"/>
    <col min="1548" max="1548" width="18.375" style="1" bestFit="1" customWidth="1"/>
    <col min="1549" max="1792" width="9" style="1"/>
    <col min="1793" max="1793" width="10.625" style="1" customWidth="1"/>
    <col min="1794" max="1794" width="9" style="1"/>
    <col min="1795" max="1795" width="20.625" style="1" customWidth="1"/>
    <col min="1796" max="1796" width="9" style="1"/>
    <col min="1797" max="1797" width="10.5" style="1" customWidth="1"/>
    <col min="1798" max="1798" width="9" style="1"/>
    <col min="1799" max="1799" width="12.625" style="1" customWidth="1"/>
    <col min="1800" max="1800" width="4.625" style="1" customWidth="1"/>
    <col min="1801" max="1803" width="9" style="1"/>
    <col min="1804" max="1804" width="18.375" style="1" bestFit="1" customWidth="1"/>
    <col min="1805" max="2048" width="9" style="1"/>
    <col min="2049" max="2049" width="10.625" style="1" customWidth="1"/>
    <col min="2050" max="2050" width="9" style="1"/>
    <col min="2051" max="2051" width="20.625" style="1" customWidth="1"/>
    <col min="2052" max="2052" width="9" style="1"/>
    <col min="2053" max="2053" width="10.5" style="1" customWidth="1"/>
    <col min="2054" max="2054" width="9" style="1"/>
    <col min="2055" max="2055" width="12.625" style="1" customWidth="1"/>
    <col min="2056" max="2056" width="4.625" style="1" customWidth="1"/>
    <col min="2057" max="2059" width="9" style="1"/>
    <col min="2060" max="2060" width="18.375" style="1" bestFit="1" customWidth="1"/>
    <col min="2061" max="2304" width="9" style="1"/>
    <col min="2305" max="2305" width="10.625" style="1" customWidth="1"/>
    <col min="2306" max="2306" width="9" style="1"/>
    <col min="2307" max="2307" width="20.625" style="1" customWidth="1"/>
    <col min="2308" max="2308" width="9" style="1"/>
    <col min="2309" max="2309" width="10.5" style="1" customWidth="1"/>
    <col min="2310" max="2310" width="9" style="1"/>
    <col min="2311" max="2311" width="12.625" style="1" customWidth="1"/>
    <col min="2312" max="2312" width="4.625" style="1" customWidth="1"/>
    <col min="2313" max="2315" width="9" style="1"/>
    <col min="2316" max="2316" width="18.375" style="1" bestFit="1" customWidth="1"/>
    <col min="2317" max="2560" width="9" style="1"/>
    <col min="2561" max="2561" width="10.625" style="1" customWidth="1"/>
    <col min="2562" max="2562" width="9" style="1"/>
    <col min="2563" max="2563" width="20.625" style="1" customWidth="1"/>
    <col min="2564" max="2564" width="9" style="1"/>
    <col min="2565" max="2565" width="10.5" style="1" customWidth="1"/>
    <col min="2566" max="2566" width="9" style="1"/>
    <col min="2567" max="2567" width="12.625" style="1" customWidth="1"/>
    <col min="2568" max="2568" width="4.625" style="1" customWidth="1"/>
    <col min="2569" max="2571" width="9" style="1"/>
    <col min="2572" max="2572" width="18.375" style="1" bestFit="1" customWidth="1"/>
    <col min="2573" max="2816" width="9" style="1"/>
    <col min="2817" max="2817" width="10.625" style="1" customWidth="1"/>
    <col min="2818" max="2818" width="9" style="1"/>
    <col min="2819" max="2819" width="20.625" style="1" customWidth="1"/>
    <col min="2820" max="2820" width="9" style="1"/>
    <col min="2821" max="2821" width="10.5" style="1" customWidth="1"/>
    <col min="2822" max="2822" width="9" style="1"/>
    <col min="2823" max="2823" width="12.625" style="1" customWidth="1"/>
    <col min="2824" max="2824" width="4.625" style="1" customWidth="1"/>
    <col min="2825" max="2827" width="9" style="1"/>
    <col min="2828" max="2828" width="18.375" style="1" bestFit="1" customWidth="1"/>
    <col min="2829" max="3072" width="9" style="1"/>
    <col min="3073" max="3073" width="10.625" style="1" customWidth="1"/>
    <col min="3074" max="3074" width="9" style="1"/>
    <col min="3075" max="3075" width="20.625" style="1" customWidth="1"/>
    <col min="3076" max="3076" width="9" style="1"/>
    <col min="3077" max="3077" width="10.5" style="1" customWidth="1"/>
    <col min="3078" max="3078" width="9" style="1"/>
    <col min="3079" max="3079" width="12.625" style="1" customWidth="1"/>
    <col min="3080" max="3080" width="4.625" style="1" customWidth="1"/>
    <col min="3081" max="3083" width="9" style="1"/>
    <col min="3084" max="3084" width="18.375" style="1" bestFit="1" customWidth="1"/>
    <col min="3085" max="3328" width="9" style="1"/>
    <col min="3329" max="3329" width="10.625" style="1" customWidth="1"/>
    <col min="3330" max="3330" width="9" style="1"/>
    <col min="3331" max="3331" width="20.625" style="1" customWidth="1"/>
    <col min="3332" max="3332" width="9" style="1"/>
    <col min="3333" max="3333" width="10.5" style="1" customWidth="1"/>
    <col min="3334" max="3334" width="9" style="1"/>
    <col min="3335" max="3335" width="12.625" style="1" customWidth="1"/>
    <col min="3336" max="3336" width="4.625" style="1" customWidth="1"/>
    <col min="3337" max="3339" width="9" style="1"/>
    <col min="3340" max="3340" width="18.375" style="1" bestFit="1" customWidth="1"/>
    <col min="3341" max="3584" width="9" style="1"/>
    <col min="3585" max="3585" width="10.625" style="1" customWidth="1"/>
    <col min="3586" max="3586" width="9" style="1"/>
    <col min="3587" max="3587" width="20.625" style="1" customWidth="1"/>
    <col min="3588" max="3588" width="9" style="1"/>
    <col min="3589" max="3589" width="10.5" style="1" customWidth="1"/>
    <col min="3590" max="3590" width="9" style="1"/>
    <col min="3591" max="3591" width="12.625" style="1" customWidth="1"/>
    <col min="3592" max="3592" width="4.625" style="1" customWidth="1"/>
    <col min="3593" max="3595" width="9" style="1"/>
    <col min="3596" max="3596" width="18.375" style="1" bestFit="1" customWidth="1"/>
    <col min="3597" max="3840" width="9" style="1"/>
    <col min="3841" max="3841" width="10.625" style="1" customWidth="1"/>
    <col min="3842" max="3842" width="9" style="1"/>
    <col min="3843" max="3843" width="20.625" style="1" customWidth="1"/>
    <col min="3844" max="3844" width="9" style="1"/>
    <col min="3845" max="3845" width="10.5" style="1" customWidth="1"/>
    <col min="3846" max="3846" width="9" style="1"/>
    <col min="3847" max="3847" width="12.625" style="1" customWidth="1"/>
    <col min="3848" max="3848" width="4.625" style="1" customWidth="1"/>
    <col min="3849" max="3851" width="9" style="1"/>
    <col min="3852" max="3852" width="18.375" style="1" bestFit="1" customWidth="1"/>
    <col min="3853" max="4096" width="9" style="1"/>
    <col min="4097" max="4097" width="10.625" style="1" customWidth="1"/>
    <col min="4098" max="4098" width="9" style="1"/>
    <col min="4099" max="4099" width="20.625" style="1" customWidth="1"/>
    <col min="4100" max="4100" width="9" style="1"/>
    <col min="4101" max="4101" width="10.5" style="1" customWidth="1"/>
    <col min="4102" max="4102" width="9" style="1"/>
    <col min="4103" max="4103" width="12.625" style="1" customWidth="1"/>
    <col min="4104" max="4104" width="4.625" style="1" customWidth="1"/>
    <col min="4105" max="4107" width="9" style="1"/>
    <col min="4108" max="4108" width="18.375" style="1" bestFit="1" customWidth="1"/>
    <col min="4109" max="4352" width="9" style="1"/>
    <col min="4353" max="4353" width="10.625" style="1" customWidth="1"/>
    <col min="4354" max="4354" width="9" style="1"/>
    <col min="4355" max="4355" width="20.625" style="1" customWidth="1"/>
    <col min="4356" max="4356" width="9" style="1"/>
    <col min="4357" max="4357" width="10.5" style="1" customWidth="1"/>
    <col min="4358" max="4358" width="9" style="1"/>
    <col min="4359" max="4359" width="12.625" style="1" customWidth="1"/>
    <col min="4360" max="4360" width="4.625" style="1" customWidth="1"/>
    <col min="4361" max="4363" width="9" style="1"/>
    <col min="4364" max="4364" width="18.375" style="1" bestFit="1" customWidth="1"/>
    <col min="4365" max="4608" width="9" style="1"/>
    <col min="4609" max="4609" width="10.625" style="1" customWidth="1"/>
    <col min="4610" max="4610" width="9" style="1"/>
    <col min="4611" max="4611" width="20.625" style="1" customWidth="1"/>
    <col min="4612" max="4612" width="9" style="1"/>
    <col min="4613" max="4613" width="10.5" style="1" customWidth="1"/>
    <col min="4614" max="4614" width="9" style="1"/>
    <col min="4615" max="4615" width="12.625" style="1" customWidth="1"/>
    <col min="4616" max="4616" width="4.625" style="1" customWidth="1"/>
    <col min="4617" max="4619" width="9" style="1"/>
    <col min="4620" max="4620" width="18.375" style="1" bestFit="1" customWidth="1"/>
    <col min="4621" max="4864" width="9" style="1"/>
    <col min="4865" max="4865" width="10.625" style="1" customWidth="1"/>
    <col min="4866" max="4866" width="9" style="1"/>
    <col min="4867" max="4867" width="20.625" style="1" customWidth="1"/>
    <col min="4868" max="4868" width="9" style="1"/>
    <col min="4869" max="4869" width="10.5" style="1" customWidth="1"/>
    <col min="4870" max="4870" width="9" style="1"/>
    <col min="4871" max="4871" width="12.625" style="1" customWidth="1"/>
    <col min="4872" max="4872" width="4.625" style="1" customWidth="1"/>
    <col min="4873" max="4875" width="9" style="1"/>
    <col min="4876" max="4876" width="18.375" style="1" bestFit="1" customWidth="1"/>
    <col min="4877" max="5120" width="9" style="1"/>
    <col min="5121" max="5121" width="10.625" style="1" customWidth="1"/>
    <col min="5122" max="5122" width="9" style="1"/>
    <col min="5123" max="5123" width="20.625" style="1" customWidth="1"/>
    <col min="5124" max="5124" width="9" style="1"/>
    <col min="5125" max="5125" width="10.5" style="1" customWidth="1"/>
    <col min="5126" max="5126" width="9" style="1"/>
    <col min="5127" max="5127" width="12.625" style="1" customWidth="1"/>
    <col min="5128" max="5128" width="4.625" style="1" customWidth="1"/>
    <col min="5129" max="5131" width="9" style="1"/>
    <col min="5132" max="5132" width="18.375" style="1" bestFit="1" customWidth="1"/>
    <col min="5133" max="5376" width="9" style="1"/>
    <col min="5377" max="5377" width="10.625" style="1" customWidth="1"/>
    <col min="5378" max="5378" width="9" style="1"/>
    <col min="5379" max="5379" width="20.625" style="1" customWidth="1"/>
    <col min="5380" max="5380" width="9" style="1"/>
    <col min="5381" max="5381" width="10.5" style="1" customWidth="1"/>
    <col min="5382" max="5382" width="9" style="1"/>
    <col min="5383" max="5383" width="12.625" style="1" customWidth="1"/>
    <col min="5384" max="5384" width="4.625" style="1" customWidth="1"/>
    <col min="5385" max="5387" width="9" style="1"/>
    <col min="5388" max="5388" width="18.375" style="1" bestFit="1" customWidth="1"/>
    <col min="5389" max="5632" width="9" style="1"/>
    <col min="5633" max="5633" width="10.625" style="1" customWidth="1"/>
    <col min="5634" max="5634" width="9" style="1"/>
    <col min="5635" max="5635" width="20.625" style="1" customWidth="1"/>
    <col min="5636" max="5636" width="9" style="1"/>
    <col min="5637" max="5637" width="10.5" style="1" customWidth="1"/>
    <col min="5638" max="5638" width="9" style="1"/>
    <col min="5639" max="5639" width="12.625" style="1" customWidth="1"/>
    <col min="5640" max="5640" width="4.625" style="1" customWidth="1"/>
    <col min="5641" max="5643" width="9" style="1"/>
    <col min="5644" max="5644" width="18.375" style="1" bestFit="1" customWidth="1"/>
    <col min="5645" max="5888" width="9" style="1"/>
    <col min="5889" max="5889" width="10.625" style="1" customWidth="1"/>
    <col min="5890" max="5890" width="9" style="1"/>
    <col min="5891" max="5891" width="20.625" style="1" customWidth="1"/>
    <col min="5892" max="5892" width="9" style="1"/>
    <col min="5893" max="5893" width="10.5" style="1" customWidth="1"/>
    <col min="5894" max="5894" width="9" style="1"/>
    <col min="5895" max="5895" width="12.625" style="1" customWidth="1"/>
    <col min="5896" max="5896" width="4.625" style="1" customWidth="1"/>
    <col min="5897" max="5899" width="9" style="1"/>
    <col min="5900" max="5900" width="18.375" style="1" bestFit="1" customWidth="1"/>
    <col min="5901" max="6144" width="9" style="1"/>
    <col min="6145" max="6145" width="10.625" style="1" customWidth="1"/>
    <col min="6146" max="6146" width="9" style="1"/>
    <col min="6147" max="6147" width="20.625" style="1" customWidth="1"/>
    <col min="6148" max="6148" width="9" style="1"/>
    <col min="6149" max="6149" width="10.5" style="1" customWidth="1"/>
    <col min="6150" max="6150" width="9" style="1"/>
    <col min="6151" max="6151" width="12.625" style="1" customWidth="1"/>
    <col min="6152" max="6152" width="4.625" style="1" customWidth="1"/>
    <col min="6153" max="6155" width="9" style="1"/>
    <col min="6156" max="6156" width="18.375" style="1" bestFit="1" customWidth="1"/>
    <col min="6157" max="6400" width="9" style="1"/>
    <col min="6401" max="6401" width="10.625" style="1" customWidth="1"/>
    <col min="6402" max="6402" width="9" style="1"/>
    <col min="6403" max="6403" width="20.625" style="1" customWidth="1"/>
    <col min="6404" max="6404" width="9" style="1"/>
    <col min="6405" max="6405" width="10.5" style="1" customWidth="1"/>
    <col min="6406" max="6406" width="9" style="1"/>
    <col min="6407" max="6407" width="12.625" style="1" customWidth="1"/>
    <col min="6408" max="6408" width="4.625" style="1" customWidth="1"/>
    <col min="6409" max="6411" width="9" style="1"/>
    <col min="6412" max="6412" width="18.375" style="1" bestFit="1" customWidth="1"/>
    <col min="6413" max="6656" width="9" style="1"/>
    <col min="6657" max="6657" width="10.625" style="1" customWidth="1"/>
    <col min="6658" max="6658" width="9" style="1"/>
    <col min="6659" max="6659" width="20.625" style="1" customWidth="1"/>
    <col min="6660" max="6660" width="9" style="1"/>
    <col min="6661" max="6661" width="10.5" style="1" customWidth="1"/>
    <col min="6662" max="6662" width="9" style="1"/>
    <col min="6663" max="6663" width="12.625" style="1" customWidth="1"/>
    <col min="6664" max="6664" width="4.625" style="1" customWidth="1"/>
    <col min="6665" max="6667" width="9" style="1"/>
    <col min="6668" max="6668" width="18.375" style="1" bestFit="1" customWidth="1"/>
    <col min="6669" max="6912" width="9" style="1"/>
    <col min="6913" max="6913" width="10.625" style="1" customWidth="1"/>
    <col min="6914" max="6914" width="9" style="1"/>
    <col min="6915" max="6915" width="20.625" style="1" customWidth="1"/>
    <col min="6916" max="6916" width="9" style="1"/>
    <col min="6917" max="6917" width="10.5" style="1" customWidth="1"/>
    <col min="6918" max="6918" width="9" style="1"/>
    <col min="6919" max="6919" width="12.625" style="1" customWidth="1"/>
    <col min="6920" max="6920" width="4.625" style="1" customWidth="1"/>
    <col min="6921" max="6923" width="9" style="1"/>
    <col min="6924" max="6924" width="18.375" style="1" bestFit="1" customWidth="1"/>
    <col min="6925" max="7168" width="9" style="1"/>
    <col min="7169" max="7169" width="10.625" style="1" customWidth="1"/>
    <col min="7170" max="7170" width="9" style="1"/>
    <col min="7171" max="7171" width="20.625" style="1" customWidth="1"/>
    <col min="7172" max="7172" width="9" style="1"/>
    <col min="7173" max="7173" width="10.5" style="1" customWidth="1"/>
    <col min="7174" max="7174" width="9" style="1"/>
    <col min="7175" max="7175" width="12.625" style="1" customWidth="1"/>
    <col min="7176" max="7176" width="4.625" style="1" customWidth="1"/>
    <col min="7177" max="7179" width="9" style="1"/>
    <col min="7180" max="7180" width="18.375" style="1" bestFit="1" customWidth="1"/>
    <col min="7181" max="7424" width="9" style="1"/>
    <col min="7425" max="7425" width="10.625" style="1" customWidth="1"/>
    <col min="7426" max="7426" width="9" style="1"/>
    <col min="7427" max="7427" width="20.625" style="1" customWidth="1"/>
    <col min="7428" max="7428" width="9" style="1"/>
    <col min="7429" max="7429" width="10.5" style="1" customWidth="1"/>
    <col min="7430" max="7430" width="9" style="1"/>
    <col min="7431" max="7431" width="12.625" style="1" customWidth="1"/>
    <col min="7432" max="7432" width="4.625" style="1" customWidth="1"/>
    <col min="7433" max="7435" width="9" style="1"/>
    <col min="7436" max="7436" width="18.375" style="1" bestFit="1" customWidth="1"/>
    <col min="7437" max="7680" width="9" style="1"/>
    <col min="7681" max="7681" width="10.625" style="1" customWidth="1"/>
    <col min="7682" max="7682" width="9" style="1"/>
    <col min="7683" max="7683" width="20.625" style="1" customWidth="1"/>
    <col min="7684" max="7684" width="9" style="1"/>
    <col min="7685" max="7685" width="10.5" style="1" customWidth="1"/>
    <col min="7686" max="7686" width="9" style="1"/>
    <col min="7687" max="7687" width="12.625" style="1" customWidth="1"/>
    <col min="7688" max="7688" width="4.625" style="1" customWidth="1"/>
    <col min="7689" max="7691" width="9" style="1"/>
    <col min="7692" max="7692" width="18.375" style="1" bestFit="1" customWidth="1"/>
    <col min="7693" max="7936" width="9" style="1"/>
    <col min="7937" max="7937" width="10.625" style="1" customWidth="1"/>
    <col min="7938" max="7938" width="9" style="1"/>
    <col min="7939" max="7939" width="20.625" style="1" customWidth="1"/>
    <col min="7940" max="7940" width="9" style="1"/>
    <col min="7941" max="7941" width="10.5" style="1" customWidth="1"/>
    <col min="7942" max="7942" width="9" style="1"/>
    <col min="7943" max="7943" width="12.625" style="1" customWidth="1"/>
    <col min="7944" max="7944" width="4.625" style="1" customWidth="1"/>
    <col min="7945" max="7947" width="9" style="1"/>
    <col min="7948" max="7948" width="18.375" style="1" bestFit="1" customWidth="1"/>
    <col min="7949" max="8192" width="9" style="1"/>
    <col min="8193" max="8193" width="10.625" style="1" customWidth="1"/>
    <col min="8194" max="8194" width="9" style="1"/>
    <col min="8195" max="8195" width="20.625" style="1" customWidth="1"/>
    <col min="8196" max="8196" width="9" style="1"/>
    <col min="8197" max="8197" width="10.5" style="1" customWidth="1"/>
    <col min="8198" max="8198" width="9" style="1"/>
    <col min="8199" max="8199" width="12.625" style="1" customWidth="1"/>
    <col min="8200" max="8200" width="4.625" style="1" customWidth="1"/>
    <col min="8201" max="8203" width="9" style="1"/>
    <col min="8204" max="8204" width="18.375" style="1" bestFit="1" customWidth="1"/>
    <col min="8205" max="8448" width="9" style="1"/>
    <col min="8449" max="8449" width="10.625" style="1" customWidth="1"/>
    <col min="8450" max="8450" width="9" style="1"/>
    <col min="8451" max="8451" width="20.625" style="1" customWidth="1"/>
    <col min="8452" max="8452" width="9" style="1"/>
    <col min="8453" max="8453" width="10.5" style="1" customWidth="1"/>
    <col min="8454" max="8454" width="9" style="1"/>
    <col min="8455" max="8455" width="12.625" style="1" customWidth="1"/>
    <col min="8456" max="8456" width="4.625" style="1" customWidth="1"/>
    <col min="8457" max="8459" width="9" style="1"/>
    <col min="8460" max="8460" width="18.375" style="1" bestFit="1" customWidth="1"/>
    <col min="8461" max="8704" width="9" style="1"/>
    <col min="8705" max="8705" width="10.625" style="1" customWidth="1"/>
    <col min="8706" max="8706" width="9" style="1"/>
    <col min="8707" max="8707" width="20.625" style="1" customWidth="1"/>
    <col min="8708" max="8708" width="9" style="1"/>
    <col min="8709" max="8709" width="10.5" style="1" customWidth="1"/>
    <col min="8710" max="8710" width="9" style="1"/>
    <col min="8711" max="8711" width="12.625" style="1" customWidth="1"/>
    <col min="8712" max="8712" width="4.625" style="1" customWidth="1"/>
    <col min="8713" max="8715" width="9" style="1"/>
    <col min="8716" max="8716" width="18.375" style="1" bestFit="1" customWidth="1"/>
    <col min="8717" max="8960" width="9" style="1"/>
    <col min="8961" max="8961" width="10.625" style="1" customWidth="1"/>
    <col min="8962" max="8962" width="9" style="1"/>
    <col min="8963" max="8963" width="20.625" style="1" customWidth="1"/>
    <col min="8964" max="8964" width="9" style="1"/>
    <col min="8965" max="8965" width="10.5" style="1" customWidth="1"/>
    <col min="8966" max="8966" width="9" style="1"/>
    <col min="8967" max="8967" width="12.625" style="1" customWidth="1"/>
    <col min="8968" max="8968" width="4.625" style="1" customWidth="1"/>
    <col min="8969" max="8971" width="9" style="1"/>
    <col min="8972" max="8972" width="18.375" style="1" bestFit="1" customWidth="1"/>
    <col min="8973" max="9216" width="9" style="1"/>
    <col min="9217" max="9217" width="10.625" style="1" customWidth="1"/>
    <col min="9218" max="9218" width="9" style="1"/>
    <col min="9219" max="9219" width="20.625" style="1" customWidth="1"/>
    <col min="9220" max="9220" width="9" style="1"/>
    <col min="9221" max="9221" width="10.5" style="1" customWidth="1"/>
    <col min="9222" max="9222" width="9" style="1"/>
    <col min="9223" max="9223" width="12.625" style="1" customWidth="1"/>
    <col min="9224" max="9224" width="4.625" style="1" customWidth="1"/>
    <col min="9225" max="9227" width="9" style="1"/>
    <col min="9228" max="9228" width="18.375" style="1" bestFit="1" customWidth="1"/>
    <col min="9229" max="9472" width="9" style="1"/>
    <col min="9473" max="9473" width="10.625" style="1" customWidth="1"/>
    <col min="9474" max="9474" width="9" style="1"/>
    <col min="9475" max="9475" width="20.625" style="1" customWidth="1"/>
    <col min="9476" max="9476" width="9" style="1"/>
    <col min="9477" max="9477" width="10.5" style="1" customWidth="1"/>
    <col min="9478" max="9478" width="9" style="1"/>
    <col min="9479" max="9479" width="12.625" style="1" customWidth="1"/>
    <col min="9480" max="9480" width="4.625" style="1" customWidth="1"/>
    <col min="9481" max="9483" width="9" style="1"/>
    <col min="9484" max="9484" width="18.375" style="1" bestFit="1" customWidth="1"/>
    <col min="9485" max="9728" width="9" style="1"/>
    <col min="9729" max="9729" width="10.625" style="1" customWidth="1"/>
    <col min="9730" max="9730" width="9" style="1"/>
    <col min="9731" max="9731" width="20.625" style="1" customWidth="1"/>
    <col min="9732" max="9732" width="9" style="1"/>
    <col min="9733" max="9733" width="10.5" style="1" customWidth="1"/>
    <col min="9734" max="9734" width="9" style="1"/>
    <col min="9735" max="9735" width="12.625" style="1" customWidth="1"/>
    <col min="9736" max="9736" width="4.625" style="1" customWidth="1"/>
    <col min="9737" max="9739" width="9" style="1"/>
    <col min="9740" max="9740" width="18.375" style="1" bestFit="1" customWidth="1"/>
    <col min="9741" max="9984" width="9" style="1"/>
    <col min="9985" max="9985" width="10.625" style="1" customWidth="1"/>
    <col min="9986" max="9986" width="9" style="1"/>
    <col min="9987" max="9987" width="20.625" style="1" customWidth="1"/>
    <col min="9988" max="9988" width="9" style="1"/>
    <col min="9989" max="9989" width="10.5" style="1" customWidth="1"/>
    <col min="9990" max="9990" width="9" style="1"/>
    <col min="9991" max="9991" width="12.625" style="1" customWidth="1"/>
    <col min="9992" max="9992" width="4.625" style="1" customWidth="1"/>
    <col min="9993" max="9995" width="9" style="1"/>
    <col min="9996" max="9996" width="18.375" style="1" bestFit="1" customWidth="1"/>
    <col min="9997" max="10240" width="9" style="1"/>
    <col min="10241" max="10241" width="10.625" style="1" customWidth="1"/>
    <col min="10242" max="10242" width="9" style="1"/>
    <col min="10243" max="10243" width="20.625" style="1" customWidth="1"/>
    <col min="10244" max="10244" width="9" style="1"/>
    <col min="10245" max="10245" width="10.5" style="1" customWidth="1"/>
    <col min="10246" max="10246" width="9" style="1"/>
    <col min="10247" max="10247" width="12.625" style="1" customWidth="1"/>
    <col min="10248" max="10248" width="4.625" style="1" customWidth="1"/>
    <col min="10249" max="10251" width="9" style="1"/>
    <col min="10252" max="10252" width="18.375" style="1" bestFit="1" customWidth="1"/>
    <col min="10253" max="10496" width="9" style="1"/>
    <col min="10497" max="10497" width="10.625" style="1" customWidth="1"/>
    <col min="10498" max="10498" width="9" style="1"/>
    <col min="10499" max="10499" width="20.625" style="1" customWidth="1"/>
    <col min="10500" max="10500" width="9" style="1"/>
    <col min="10501" max="10501" width="10.5" style="1" customWidth="1"/>
    <col min="10502" max="10502" width="9" style="1"/>
    <col min="10503" max="10503" width="12.625" style="1" customWidth="1"/>
    <col min="10504" max="10504" width="4.625" style="1" customWidth="1"/>
    <col min="10505" max="10507" width="9" style="1"/>
    <col min="10508" max="10508" width="18.375" style="1" bestFit="1" customWidth="1"/>
    <col min="10509" max="10752" width="9" style="1"/>
    <col min="10753" max="10753" width="10.625" style="1" customWidth="1"/>
    <col min="10754" max="10754" width="9" style="1"/>
    <col min="10755" max="10755" width="20.625" style="1" customWidth="1"/>
    <col min="10756" max="10756" width="9" style="1"/>
    <col min="10757" max="10757" width="10.5" style="1" customWidth="1"/>
    <col min="10758" max="10758" width="9" style="1"/>
    <col min="10759" max="10759" width="12.625" style="1" customWidth="1"/>
    <col min="10760" max="10760" width="4.625" style="1" customWidth="1"/>
    <col min="10761" max="10763" width="9" style="1"/>
    <col min="10764" max="10764" width="18.375" style="1" bestFit="1" customWidth="1"/>
    <col min="10765" max="11008" width="9" style="1"/>
    <col min="11009" max="11009" width="10.625" style="1" customWidth="1"/>
    <col min="11010" max="11010" width="9" style="1"/>
    <col min="11011" max="11011" width="20.625" style="1" customWidth="1"/>
    <col min="11012" max="11012" width="9" style="1"/>
    <col min="11013" max="11013" width="10.5" style="1" customWidth="1"/>
    <col min="11014" max="11014" width="9" style="1"/>
    <col min="11015" max="11015" width="12.625" style="1" customWidth="1"/>
    <col min="11016" max="11016" width="4.625" style="1" customWidth="1"/>
    <col min="11017" max="11019" width="9" style="1"/>
    <col min="11020" max="11020" width="18.375" style="1" bestFit="1" customWidth="1"/>
    <col min="11021" max="11264" width="9" style="1"/>
    <col min="11265" max="11265" width="10.625" style="1" customWidth="1"/>
    <col min="11266" max="11266" width="9" style="1"/>
    <col min="11267" max="11267" width="20.625" style="1" customWidth="1"/>
    <col min="11268" max="11268" width="9" style="1"/>
    <col min="11269" max="11269" width="10.5" style="1" customWidth="1"/>
    <col min="11270" max="11270" width="9" style="1"/>
    <col min="11271" max="11271" width="12.625" style="1" customWidth="1"/>
    <col min="11272" max="11272" width="4.625" style="1" customWidth="1"/>
    <col min="11273" max="11275" width="9" style="1"/>
    <col min="11276" max="11276" width="18.375" style="1" bestFit="1" customWidth="1"/>
    <col min="11277" max="11520" width="9" style="1"/>
    <col min="11521" max="11521" width="10.625" style="1" customWidth="1"/>
    <col min="11522" max="11522" width="9" style="1"/>
    <col min="11523" max="11523" width="20.625" style="1" customWidth="1"/>
    <col min="11524" max="11524" width="9" style="1"/>
    <col min="11525" max="11525" width="10.5" style="1" customWidth="1"/>
    <col min="11526" max="11526" width="9" style="1"/>
    <col min="11527" max="11527" width="12.625" style="1" customWidth="1"/>
    <col min="11528" max="11528" width="4.625" style="1" customWidth="1"/>
    <col min="11529" max="11531" width="9" style="1"/>
    <col min="11532" max="11532" width="18.375" style="1" bestFit="1" customWidth="1"/>
    <col min="11533" max="11776" width="9" style="1"/>
    <col min="11777" max="11777" width="10.625" style="1" customWidth="1"/>
    <col min="11778" max="11778" width="9" style="1"/>
    <col min="11779" max="11779" width="20.625" style="1" customWidth="1"/>
    <col min="11780" max="11780" width="9" style="1"/>
    <col min="11781" max="11781" width="10.5" style="1" customWidth="1"/>
    <col min="11782" max="11782" width="9" style="1"/>
    <col min="11783" max="11783" width="12.625" style="1" customWidth="1"/>
    <col min="11784" max="11784" width="4.625" style="1" customWidth="1"/>
    <col min="11785" max="11787" width="9" style="1"/>
    <col min="11788" max="11788" width="18.375" style="1" bestFit="1" customWidth="1"/>
    <col min="11789" max="12032" width="9" style="1"/>
    <col min="12033" max="12033" width="10.625" style="1" customWidth="1"/>
    <col min="12034" max="12034" width="9" style="1"/>
    <col min="12035" max="12035" width="20.625" style="1" customWidth="1"/>
    <col min="12036" max="12036" width="9" style="1"/>
    <col min="12037" max="12037" width="10.5" style="1" customWidth="1"/>
    <col min="12038" max="12038" width="9" style="1"/>
    <col min="12039" max="12039" width="12.625" style="1" customWidth="1"/>
    <col min="12040" max="12040" width="4.625" style="1" customWidth="1"/>
    <col min="12041" max="12043" width="9" style="1"/>
    <col min="12044" max="12044" width="18.375" style="1" bestFit="1" customWidth="1"/>
    <col min="12045" max="12288" width="9" style="1"/>
    <col min="12289" max="12289" width="10.625" style="1" customWidth="1"/>
    <col min="12290" max="12290" width="9" style="1"/>
    <col min="12291" max="12291" width="20.625" style="1" customWidth="1"/>
    <col min="12292" max="12292" width="9" style="1"/>
    <col min="12293" max="12293" width="10.5" style="1" customWidth="1"/>
    <col min="12294" max="12294" width="9" style="1"/>
    <col min="12295" max="12295" width="12.625" style="1" customWidth="1"/>
    <col min="12296" max="12296" width="4.625" style="1" customWidth="1"/>
    <col min="12297" max="12299" width="9" style="1"/>
    <col min="12300" max="12300" width="18.375" style="1" bestFit="1" customWidth="1"/>
    <col min="12301" max="12544" width="9" style="1"/>
    <col min="12545" max="12545" width="10.625" style="1" customWidth="1"/>
    <col min="12546" max="12546" width="9" style="1"/>
    <col min="12547" max="12547" width="20.625" style="1" customWidth="1"/>
    <col min="12548" max="12548" width="9" style="1"/>
    <col min="12549" max="12549" width="10.5" style="1" customWidth="1"/>
    <col min="12550" max="12550" width="9" style="1"/>
    <col min="12551" max="12551" width="12.625" style="1" customWidth="1"/>
    <col min="12552" max="12552" width="4.625" style="1" customWidth="1"/>
    <col min="12553" max="12555" width="9" style="1"/>
    <col min="12556" max="12556" width="18.375" style="1" bestFit="1" customWidth="1"/>
    <col min="12557" max="12800" width="9" style="1"/>
    <col min="12801" max="12801" width="10.625" style="1" customWidth="1"/>
    <col min="12802" max="12802" width="9" style="1"/>
    <col min="12803" max="12803" width="20.625" style="1" customWidth="1"/>
    <col min="12804" max="12804" width="9" style="1"/>
    <col min="12805" max="12805" width="10.5" style="1" customWidth="1"/>
    <col min="12806" max="12806" width="9" style="1"/>
    <col min="12807" max="12807" width="12.625" style="1" customWidth="1"/>
    <col min="12808" max="12808" width="4.625" style="1" customWidth="1"/>
    <col min="12809" max="12811" width="9" style="1"/>
    <col min="12812" max="12812" width="18.375" style="1" bestFit="1" customWidth="1"/>
    <col min="12813" max="13056" width="9" style="1"/>
    <col min="13057" max="13057" width="10.625" style="1" customWidth="1"/>
    <col min="13058" max="13058" width="9" style="1"/>
    <col min="13059" max="13059" width="20.625" style="1" customWidth="1"/>
    <col min="13060" max="13060" width="9" style="1"/>
    <col min="13061" max="13061" width="10.5" style="1" customWidth="1"/>
    <col min="13062" max="13062" width="9" style="1"/>
    <col min="13063" max="13063" width="12.625" style="1" customWidth="1"/>
    <col min="13064" max="13064" width="4.625" style="1" customWidth="1"/>
    <col min="13065" max="13067" width="9" style="1"/>
    <col min="13068" max="13068" width="18.375" style="1" bestFit="1" customWidth="1"/>
    <col min="13069" max="13312" width="9" style="1"/>
    <col min="13313" max="13313" width="10.625" style="1" customWidth="1"/>
    <col min="13314" max="13314" width="9" style="1"/>
    <col min="13315" max="13315" width="20.625" style="1" customWidth="1"/>
    <col min="13316" max="13316" width="9" style="1"/>
    <col min="13317" max="13317" width="10.5" style="1" customWidth="1"/>
    <col min="13318" max="13318" width="9" style="1"/>
    <col min="13319" max="13319" width="12.625" style="1" customWidth="1"/>
    <col min="13320" max="13320" width="4.625" style="1" customWidth="1"/>
    <col min="13321" max="13323" width="9" style="1"/>
    <col min="13324" max="13324" width="18.375" style="1" bestFit="1" customWidth="1"/>
    <col min="13325" max="13568" width="9" style="1"/>
    <col min="13569" max="13569" width="10.625" style="1" customWidth="1"/>
    <col min="13570" max="13570" width="9" style="1"/>
    <col min="13571" max="13571" width="20.625" style="1" customWidth="1"/>
    <col min="13572" max="13572" width="9" style="1"/>
    <col min="13573" max="13573" width="10.5" style="1" customWidth="1"/>
    <col min="13574" max="13574" width="9" style="1"/>
    <col min="13575" max="13575" width="12.625" style="1" customWidth="1"/>
    <col min="13576" max="13576" width="4.625" style="1" customWidth="1"/>
    <col min="13577" max="13579" width="9" style="1"/>
    <col min="13580" max="13580" width="18.375" style="1" bestFit="1" customWidth="1"/>
    <col min="13581" max="13824" width="9" style="1"/>
    <col min="13825" max="13825" width="10.625" style="1" customWidth="1"/>
    <col min="13826" max="13826" width="9" style="1"/>
    <col min="13827" max="13827" width="20.625" style="1" customWidth="1"/>
    <col min="13828" max="13828" width="9" style="1"/>
    <col min="13829" max="13829" width="10.5" style="1" customWidth="1"/>
    <col min="13830" max="13830" width="9" style="1"/>
    <col min="13831" max="13831" width="12.625" style="1" customWidth="1"/>
    <col min="13832" max="13832" width="4.625" style="1" customWidth="1"/>
    <col min="13833" max="13835" width="9" style="1"/>
    <col min="13836" max="13836" width="18.375" style="1" bestFit="1" customWidth="1"/>
    <col min="13837" max="14080" width="9" style="1"/>
    <col min="14081" max="14081" width="10.625" style="1" customWidth="1"/>
    <col min="14082" max="14082" width="9" style="1"/>
    <col min="14083" max="14083" width="20.625" style="1" customWidth="1"/>
    <col min="14084" max="14084" width="9" style="1"/>
    <col min="14085" max="14085" width="10.5" style="1" customWidth="1"/>
    <col min="14086" max="14086" width="9" style="1"/>
    <col min="14087" max="14087" width="12.625" style="1" customWidth="1"/>
    <col min="14088" max="14088" width="4.625" style="1" customWidth="1"/>
    <col min="14089" max="14091" width="9" style="1"/>
    <col min="14092" max="14092" width="18.375" style="1" bestFit="1" customWidth="1"/>
    <col min="14093" max="14336" width="9" style="1"/>
    <col min="14337" max="14337" width="10.625" style="1" customWidth="1"/>
    <col min="14338" max="14338" width="9" style="1"/>
    <col min="14339" max="14339" width="20.625" style="1" customWidth="1"/>
    <col min="14340" max="14340" width="9" style="1"/>
    <col min="14341" max="14341" width="10.5" style="1" customWidth="1"/>
    <col min="14342" max="14342" width="9" style="1"/>
    <col min="14343" max="14343" width="12.625" style="1" customWidth="1"/>
    <col min="14344" max="14344" width="4.625" style="1" customWidth="1"/>
    <col min="14345" max="14347" width="9" style="1"/>
    <col min="14348" max="14348" width="18.375" style="1" bestFit="1" customWidth="1"/>
    <col min="14349" max="14592" width="9" style="1"/>
    <col min="14593" max="14593" width="10.625" style="1" customWidth="1"/>
    <col min="14594" max="14594" width="9" style="1"/>
    <col min="14595" max="14595" width="20.625" style="1" customWidth="1"/>
    <col min="14596" max="14596" width="9" style="1"/>
    <col min="14597" max="14597" width="10.5" style="1" customWidth="1"/>
    <col min="14598" max="14598" width="9" style="1"/>
    <col min="14599" max="14599" width="12.625" style="1" customWidth="1"/>
    <col min="14600" max="14600" width="4.625" style="1" customWidth="1"/>
    <col min="14601" max="14603" width="9" style="1"/>
    <col min="14604" max="14604" width="18.375" style="1" bestFit="1" customWidth="1"/>
    <col min="14605" max="14848" width="9" style="1"/>
    <col min="14849" max="14849" width="10.625" style="1" customWidth="1"/>
    <col min="14850" max="14850" width="9" style="1"/>
    <col min="14851" max="14851" width="20.625" style="1" customWidth="1"/>
    <col min="14852" max="14852" width="9" style="1"/>
    <col min="14853" max="14853" width="10.5" style="1" customWidth="1"/>
    <col min="14854" max="14854" width="9" style="1"/>
    <col min="14855" max="14855" width="12.625" style="1" customWidth="1"/>
    <col min="14856" max="14856" width="4.625" style="1" customWidth="1"/>
    <col min="14857" max="14859" width="9" style="1"/>
    <col min="14860" max="14860" width="18.375" style="1" bestFit="1" customWidth="1"/>
    <col min="14861" max="15104" width="9" style="1"/>
    <col min="15105" max="15105" width="10.625" style="1" customWidth="1"/>
    <col min="15106" max="15106" width="9" style="1"/>
    <col min="15107" max="15107" width="20.625" style="1" customWidth="1"/>
    <col min="15108" max="15108" width="9" style="1"/>
    <col min="15109" max="15109" width="10.5" style="1" customWidth="1"/>
    <col min="15110" max="15110" width="9" style="1"/>
    <col min="15111" max="15111" width="12.625" style="1" customWidth="1"/>
    <col min="15112" max="15112" width="4.625" style="1" customWidth="1"/>
    <col min="15113" max="15115" width="9" style="1"/>
    <col min="15116" max="15116" width="18.375" style="1" bestFit="1" customWidth="1"/>
    <col min="15117" max="15360" width="9" style="1"/>
    <col min="15361" max="15361" width="10.625" style="1" customWidth="1"/>
    <col min="15362" max="15362" width="9" style="1"/>
    <col min="15363" max="15363" width="20.625" style="1" customWidth="1"/>
    <col min="15364" max="15364" width="9" style="1"/>
    <col min="15365" max="15365" width="10.5" style="1" customWidth="1"/>
    <col min="15366" max="15366" width="9" style="1"/>
    <col min="15367" max="15367" width="12.625" style="1" customWidth="1"/>
    <col min="15368" max="15368" width="4.625" style="1" customWidth="1"/>
    <col min="15369" max="15371" width="9" style="1"/>
    <col min="15372" max="15372" width="18.375" style="1" bestFit="1" customWidth="1"/>
    <col min="15373" max="15616" width="9" style="1"/>
    <col min="15617" max="15617" width="10.625" style="1" customWidth="1"/>
    <col min="15618" max="15618" width="9" style="1"/>
    <col min="15619" max="15619" width="20.625" style="1" customWidth="1"/>
    <col min="15620" max="15620" width="9" style="1"/>
    <col min="15621" max="15621" width="10.5" style="1" customWidth="1"/>
    <col min="15622" max="15622" width="9" style="1"/>
    <col min="15623" max="15623" width="12.625" style="1" customWidth="1"/>
    <col min="15624" max="15624" width="4.625" style="1" customWidth="1"/>
    <col min="15625" max="15627" width="9" style="1"/>
    <col min="15628" max="15628" width="18.375" style="1" bestFit="1" customWidth="1"/>
    <col min="15629" max="15872" width="9" style="1"/>
    <col min="15873" max="15873" width="10.625" style="1" customWidth="1"/>
    <col min="15874" max="15874" width="9" style="1"/>
    <col min="15875" max="15875" width="20.625" style="1" customWidth="1"/>
    <col min="15876" max="15876" width="9" style="1"/>
    <col min="15877" max="15877" width="10.5" style="1" customWidth="1"/>
    <col min="15878" max="15878" width="9" style="1"/>
    <col min="15879" max="15879" width="12.625" style="1" customWidth="1"/>
    <col min="15880" max="15880" width="4.625" style="1" customWidth="1"/>
    <col min="15881" max="15883" width="9" style="1"/>
    <col min="15884" max="15884" width="18.375" style="1" bestFit="1" customWidth="1"/>
    <col min="15885" max="16128" width="9" style="1"/>
    <col min="16129" max="16129" width="10.625" style="1" customWidth="1"/>
    <col min="16130" max="16130" width="9" style="1"/>
    <col min="16131" max="16131" width="20.625" style="1" customWidth="1"/>
    <col min="16132" max="16132" width="9" style="1"/>
    <col min="16133" max="16133" width="10.5" style="1" customWidth="1"/>
    <col min="16134" max="16134" width="9" style="1"/>
    <col min="16135" max="16135" width="12.625" style="1" customWidth="1"/>
    <col min="16136" max="16136" width="4.625" style="1" customWidth="1"/>
    <col min="16137" max="16139" width="9" style="1"/>
    <col min="16140" max="16140" width="18.375" style="1" bestFit="1" customWidth="1"/>
    <col min="16141" max="16384" width="9" style="1"/>
  </cols>
  <sheetData>
    <row r="1" spans="1:8" ht="30" customHeight="1">
      <c r="A1" s="50" t="s">
        <v>22</v>
      </c>
      <c r="B1" s="51"/>
      <c r="C1" s="51"/>
      <c r="D1" s="51"/>
      <c r="E1" s="51"/>
      <c r="F1" s="51"/>
      <c r="G1" s="51"/>
      <c r="H1" s="52"/>
    </row>
    <row r="2" spans="1:8" ht="19.5" customHeight="1">
      <c r="A2" s="2" t="s">
        <v>0</v>
      </c>
      <c r="B2" s="53"/>
      <c r="C2" s="54"/>
      <c r="D2" s="55"/>
      <c r="E2" s="3" t="s">
        <v>1</v>
      </c>
      <c r="F2" s="56">
        <f ca="1">TODAY()</f>
        <v>44955</v>
      </c>
      <c r="G2" s="57"/>
      <c r="H2" s="58"/>
    </row>
    <row r="3" spans="1:8" ht="19.5" customHeight="1" thickBot="1">
      <c r="A3" s="4" t="s">
        <v>2</v>
      </c>
      <c r="B3" s="59"/>
      <c r="C3" s="60"/>
      <c r="D3" s="61"/>
      <c r="E3" s="5" t="s">
        <v>3</v>
      </c>
      <c r="F3" s="62" t="s">
        <v>4</v>
      </c>
      <c r="G3" s="63"/>
      <c r="H3" s="64"/>
    </row>
    <row r="4" spans="1:8" ht="15" customHeight="1">
      <c r="A4" s="6"/>
      <c r="B4" s="7"/>
      <c r="C4" s="7"/>
      <c r="D4" s="7"/>
      <c r="E4" s="7"/>
      <c r="F4" s="8"/>
      <c r="G4" s="8"/>
      <c r="H4" s="9"/>
    </row>
    <row r="5" spans="1:8" ht="15" customHeight="1">
      <c r="A5" s="6"/>
      <c r="H5" s="10"/>
    </row>
    <row r="6" spans="1:8" ht="15" customHeight="1">
      <c r="A6" s="11"/>
      <c r="H6" s="10"/>
    </row>
    <row r="7" spans="1:8" ht="15" customHeight="1">
      <c r="A7" s="6"/>
      <c r="H7" s="10"/>
    </row>
    <row r="8" spans="1:8" ht="15" customHeight="1">
      <c r="A8" s="6"/>
      <c r="H8" s="10"/>
    </row>
    <row r="9" spans="1:8" ht="15" customHeight="1">
      <c r="A9" s="6"/>
      <c r="H9" s="10"/>
    </row>
    <row r="10" spans="1:8" ht="15" customHeight="1">
      <c r="A10" s="6"/>
      <c r="H10" s="10"/>
    </row>
    <row r="11" spans="1:8" ht="15" customHeight="1">
      <c r="A11" s="6"/>
      <c r="B11" s="1" t="s">
        <v>25</v>
      </c>
      <c r="H11" s="10"/>
    </row>
    <row r="12" spans="1:8" ht="15" customHeight="1">
      <c r="A12" s="6"/>
      <c r="B12" s="1" t="s">
        <v>26</v>
      </c>
      <c r="H12" s="10"/>
    </row>
    <row r="13" spans="1:8" ht="15" customHeight="1">
      <c r="A13" s="6"/>
      <c r="H13" s="10"/>
    </row>
    <row r="14" spans="1:8" ht="15" customHeight="1">
      <c r="A14" s="6"/>
      <c r="B14" s="1" t="s">
        <v>14</v>
      </c>
      <c r="C14" s="16">
        <v>1000</v>
      </c>
      <c r="D14" s="1" t="s">
        <v>9</v>
      </c>
      <c r="H14" s="10"/>
    </row>
    <row r="15" spans="1:8" ht="15" customHeight="1">
      <c r="A15" s="6"/>
      <c r="B15" s="1" t="s">
        <v>23</v>
      </c>
      <c r="C15" s="16">
        <v>810</v>
      </c>
      <c r="D15" s="1" t="s">
        <v>9</v>
      </c>
      <c r="H15" s="10"/>
    </row>
    <row r="16" spans="1:8" ht="15" customHeight="1">
      <c r="A16" s="6"/>
      <c r="B16" s="1" t="s">
        <v>20</v>
      </c>
      <c r="C16" s="16">
        <f>(PI()*C14^2)/4*C15</f>
        <v>636172512.35193312</v>
      </c>
      <c r="D16" s="1" t="s">
        <v>21</v>
      </c>
      <c r="H16" s="10"/>
    </row>
    <row r="17" spans="1:8" ht="15" customHeight="1">
      <c r="A17" s="6"/>
      <c r="C17" s="16">
        <f>C16/10^6</f>
        <v>636.17251235193316</v>
      </c>
      <c r="D17" s="1" t="s">
        <v>24</v>
      </c>
      <c r="H17" s="10"/>
    </row>
    <row r="18" spans="1:8" ht="15" customHeight="1">
      <c r="A18" s="6"/>
      <c r="H18" s="10"/>
    </row>
    <row r="19" spans="1:8" ht="15" customHeight="1">
      <c r="A19" s="6"/>
      <c r="H19" s="10"/>
    </row>
    <row r="20" spans="1:8" ht="15" customHeight="1">
      <c r="A20" s="6"/>
      <c r="B20" s="12"/>
      <c r="H20" s="10"/>
    </row>
    <row r="21" spans="1:8" ht="15" customHeight="1">
      <c r="A21" s="6"/>
      <c r="H21" s="10"/>
    </row>
    <row r="22" spans="1:8" ht="15" customHeight="1">
      <c r="A22" s="6"/>
      <c r="B22" s="7"/>
      <c r="H22" s="10"/>
    </row>
    <row r="23" spans="1:8" ht="15" customHeight="1">
      <c r="A23" s="6"/>
      <c r="B23" s="7"/>
      <c r="H23" s="10"/>
    </row>
    <row r="24" spans="1:8" ht="15" customHeight="1">
      <c r="A24" s="6"/>
      <c r="B24" s="7"/>
      <c r="H24" s="10"/>
    </row>
    <row r="25" spans="1:8" ht="15" customHeight="1">
      <c r="A25" s="6"/>
      <c r="B25" s="7"/>
      <c r="H25" s="10"/>
    </row>
    <row r="26" spans="1:8" ht="15" customHeight="1">
      <c r="A26" s="6"/>
      <c r="B26" s="7"/>
      <c r="H26" s="10"/>
    </row>
    <row r="27" spans="1:8" ht="15" customHeight="1">
      <c r="A27" s="6"/>
      <c r="B27" s="7"/>
      <c r="H27" s="10"/>
    </row>
    <row r="28" spans="1:8" ht="15" customHeight="1">
      <c r="A28" s="6"/>
      <c r="B28" s="7"/>
      <c r="H28" s="10"/>
    </row>
    <row r="29" spans="1:8" ht="15" customHeight="1">
      <c r="A29" s="6"/>
      <c r="H29" s="10"/>
    </row>
    <row r="30" spans="1:8" ht="15" customHeight="1">
      <c r="A30" s="6"/>
      <c r="H30" s="10"/>
    </row>
    <row r="31" spans="1:8" ht="15" customHeight="1">
      <c r="A31" s="6"/>
      <c r="B31" s="7"/>
      <c r="H31" s="10"/>
    </row>
    <row r="32" spans="1:8" ht="15" customHeight="1">
      <c r="A32" s="6"/>
      <c r="H32" s="10"/>
    </row>
    <row r="33" spans="1:8" ht="15" customHeight="1">
      <c r="A33" s="6"/>
      <c r="H33" s="10"/>
    </row>
    <row r="34" spans="1:8" ht="15" customHeight="1">
      <c r="A34" s="6"/>
      <c r="H34" s="10"/>
    </row>
    <row r="35" spans="1:8" ht="15" customHeight="1">
      <c r="A35" s="6"/>
      <c r="H35" s="10"/>
    </row>
    <row r="36" spans="1:8" ht="15" customHeight="1">
      <c r="A36" s="6"/>
      <c r="H36" s="10"/>
    </row>
    <row r="37" spans="1:8" ht="15" customHeight="1">
      <c r="A37" s="6"/>
      <c r="H37" s="10"/>
    </row>
    <row r="38" spans="1:8" ht="15" customHeight="1">
      <c r="A38" s="6"/>
      <c r="H38" s="10"/>
    </row>
    <row r="39" spans="1:8" ht="15" customHeight="1">
      <c r="A39" s="6"/>
      <c r="H39" s="10"/>
    </row>
    <row r="40" spans="1:8" ht="15" customHeight="1">
      <c r="A40" s="6"/>
      <c r="H40" s="10"/>
    </row>
    <row r="41" spans="1:8" ht="15" customHeight="1">
      <c r="A41" s="6"/>
      <c r="H41" s="10"/>
    </row>
    <row r="42" spans="1:8" ht="15" customHeight="1">
      <c r="A42" s="6"/>
      <c r="H42" s="10"/>
    </row>
    <row r="43" spans="1:8" ht="15" customHeight="1">
      <c r="A43" s="6"/>
      <c r="H43" s="10"/>
    </row>
    <row r="44" spans="1:8" ht="15" customHeight="1">
      <c r="A44" s="6"/>
      <c r="H44" s="10"/>
    </row>
    <row r="45" spans="1:8" ht="15" customHeight="1">
      <c r="A45" s="6"/>
      <c r="H45" s="10"/>
    </row>
    <row r="46" spans="1:8" ht="15" customHeight="1">
      <c r="A46" s="6"/>
      <c r="H46" s="10"/>
    </row>
    <row r="47" spans="1:8" ht="15" customHeight="1">
      <c r="A47" s="6"/>
      <c r="H47" s="10"/>
    </row>
    <row r="48" spans="1:8" ht="15" customHeight="1">
      <c r="A48" s="6"/>
      <c r="H48" s="10"/>
    </row>
    <row r="49" spans="1:8" ht="15" customHeight="1">
      <c r="A49" s="6"/>
      <c r="H49" s="10"/>
    </row>
    <row r="50" spans="1:8" ht="15" customHeight="1">
      <c r="A50" s="6"/>
      <c r="H50" s="10"/>
    </row>
    <row r="51" spans="1:8" ht="15" customHeight="1">
      <c r="A51" s="6"/>
      <c r="H51" s="10"/>
    </row>
    <row r="52" spans="1:8" ht="15" customHeight="1">
      <c r="A52" s="6"/>
      <c r="H52" s="10"/>
    </row>
    <row r="53" spans="1:8" ht="15" customHeight="1">
      <c r="A53" s="6"/>
      <c r="H53" s="10"/>
    </row>
    <row r="54" spans="1:8" ht="15" customHeight="1" thickBot="1">
      <c r="A54" s="13"/>
      <c r="B54" s="14"/>
      <c r="C54" s="14"/>
      <c r="D54" s="14"/>
      <c r="E54" s="14"/>
      <c r="F54" s="14"/>
      <c r="G54" s="14"/>
      <c r="H54" s="15"/>
    </row>
  </sheetData>
  <mergeCells count="5">
    <mergeCell ref="A1:H1"/>
    <mergeCell ref="B2:D2"/>
    <mergeCell ref="F2:H2"/>
    <mergeCell ref="B3:D3"/>
    <mergeCell ref="F3:H3"/>
  </mergeCells>
  <phoneticPr fontId="2" type="noConversion"/>
  <pageMargins left="0.98425196850393704" right="0.59055118110236227" top="0.78740157480314965" bottom="0.39370078740157483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4"/>
  <sheetViews>
    <sheetView showGridLines="0" topLeftCell="A4" workbookViewId="0">
      <selection activeCell="K20" sqref="K20"/>
    </sheetView>
  </sheetViews>
  <sheetFormatPr defaultRowHeight="13.5"/>
  <cols>
    <col min="1" max="1" width="10.625" style="1" customWidth="1"/>
    <col min="2" max="2" width="9" style="1"/>
    <col min="3" max="3" width="20.625" style="1" customWidth="1"/>
    <col min="4" max="4" width="9" style="1"/>
    <col min="5" max="5" width="10.5" style="1" customWidth="1"/>
    <col min="6" max="6" width="9" style="1"/>
    <col min="7" max="7" width="12.625" style="1" customWidth="1"/>
    <col min="8" max="8" width="4.625" style="1" customWidth="1"/>
    <col min="9" max="11" width="9" style="1"/>
    <col min="12" max="12" width="18.375" style="1" bestFit="1" customWidth="1"/>
    <col min="13" max="256" width="9" style="1"/>
    <col min="257" max="257" width="10.625" style="1" customWidth="1"/>
    <col min="258" max="258" width="9" style="1"/>
    <col min="259" max="259" width="20.625" style="1" customWidth="1"/>
    <col min="260" max="260" width="9" style="1"/>
    <col min="261" max="261" width="10.5" style="1" customWidth="1"/>
    <col min="262" max="262" width="9" style="1"/>
    <col min="263" max="263" width="12.625" style="1" customWidth="1"/>
    <col min="264" max="264" width="4.625" style="1" customWidth="1"/>
    <col min="265" max="267" width="9" style="1"/>
    <col min="268" max="268" width="18.375" style="1" bestFit="1" customWidth="1"/>
    <col min="269" max="512" width="9" style="1"/>
    <col min="513" max="513" width="10.625" style="1" customWidth="1"/>
    <col min="514" max="514" width="9" style="1"/>
    <col min="515" max="515" width="20.625" style="1" customWidth="1"/>
    <col min="516" max="516" width="9" style="1"/>
    <col min="517" max="517" width="10.5" style="1" customWidth="1"/>
    <col min="518" max="518" width="9" style="1"/>
    <col min="519" max="519" width="12.625" style="1" customWidth="1"/>
    <col min="520" max="520" width="4.625" style="1" customWidth="1"/>
    <col min="521" max="523" width="9" style="1"/>
    <col min="524" max="524" width="18.375" style="1" bestFit="1" customWidth="1"/>
    <col min="525" max="768" width="9" style="1"/>
    <col min="769" max="769" width="10.625" style="1" customWidth="1"/>
    <col min="770" max="770" width="9" style="1"/>
    <col min="771" max="771" width="20.625" style="1" customWidth="1"/>
    <col min="772" max="772" width="9" style="1"/>
    <col min="773" max="773" width="10.5" style="1" customWidth="1"/>
    <col min="774" max="774" width="9" style="1"/>
    <col min="775" max="775" width="12.625" style="1" customWidth="1"/>
    <col min="776" max="776" width="4.625" style="1" customWidth="1"/>
    <col min="777" max="779" width="9" style="1"/>
    <col min="780" max="780" width="18.375" style="1" bestFit="1" customWidth="1"/>
    <col min="781" max="1024" width="9" style="1"/>
    <col min="1025" max="1025" width="10.625" style="1" customWidth="1"/>
    <col min="1026" max="1026" width="9" style="1"/>
    <col min="1027" max="1027" width="20.625" style="1" customWidth="1"/>
    <col min="1028" max="1028" width="9" style="1"/>
    <col min="1029" max="1029" width="10.5" style="1" customWidth="1"/>
    <col min="1030" max="1030" width="9" style="1"/>
    <col min="1031" max="1031" width="12.625" style="1" customWidth="1"/>
    <col min="1032" max="1032" width="4.625" style="1" customWidth="1"/>
    <col min="1033" max="1035" width="9" style="1"/>
    <col min="1036" max="1036" width="18.375" style="1" bestFit="1" customWidth="1"/>
    <col min="1037" max="1280" width="9" style="1"/>
    <col min="1281" max="1281" width="10.625" style="1" customWidth="1"/>
    <col min="1282" max="1282" width="9" style="1"/>
    <col min="1283" max="1283" width="20.625" style="1" customWidth="1"/>
    <col min="1284" max="1284" width="9" style="1"/>
    <col min="1285" max="1285" width="10.5" style="1" customWidth="1"/>
    <col min="1286" max="1286" width="9" style="1"/>
    <col min="1287" max="1287" width="12.625" style="1" customWidth="1"/>
    <col min="1288" max="1288" width="4.625" style="1" customWidth="1"/>
    <col min="1289" max="1291" width="9" style="1"/>
    <col min="1292" max="1292" width="18.375" style="1" bestFit="1" customWidth="1"/>
    <col min="1293" max="1536" width="9" style="1"/>
    <col min="1537" max="1537" width="10.625" style="1" customWidth="1"/>
    <col min="1538" max="1538" width="9" style="1"/>
    <col min="1539" max="1539" width="20.625" style="1" customWidth="1"/>
    <col min="1540" max="1540" width="9" style="1"/>
    <col min="1541" max="1541" width="10.5" style="1" customWidth="1"/>
    <col min="1542" max="1542" width="9" style="1"/>
    <col min="1543" max="1543" width="12.625" style="1" customWidth="1"/>
    <col min="1544" max="1544" width="4.625" style="1" customWidth="1"/>
    <col min="1545" max="1547" width="9" style="1"/>
    <col min="1548" max="1548" width="18.375" style="1" bestFit="1" customWidth="1"/>
    <col min="1549" max="1792" width="9" style="1"/>
    <col min="1793" max="1793" width="10.625" style="1" customWidth="1"/>
    <col min="1794" max="1794" width="9" style="1"/>
    <col min="1795" max="1795" width="20.625" style="1" customWidth="1"/>
    <col min="1796" max="1796" width="9" style="1"/>
    <col min="1797" max="1797" width="10.5" style="1" customWidth="1"/>
    <col min="1798" max="1798" width="9" style="1"/>
    <col min="1799" max="1799" width="12.625" style="1" customWidth="1"/>
    <col min="1800" max="1800" width="4.625" style="1" customWidth="1"/>
    <col min="1801" max="1803" width="9" style="1"/>
    <col min="1804" max="1804" width="18.375" style="1" bestFit="1" customWidth="1"/>
    <col min="1805" max="2048" width="9" style="1"/>
    <col min="2049" max="2049" width="10.625" style="1" customWidth="1"/>
    <col min="2050" max="2050" width="9" style="1"/>
    <col min="2051" max="2051" width="20.625" style="1" customWidth="1"/>
    <col min="2052" max="2052" width="9" style="1"/>
    <col min="2053" max="2053" width="10.5" style="1" customWidth="1"/>
    <col min="2054" max="2054" width="9" style="1"/>
    <col min="2055" max="2055" width="12.625" style="1" customWidth="1"/>
    <col min="2056" max="2056" width="4.625" style="1" customWidth="1"/>
    <col min="2057" max="2059" width="9" style="1"/>
    <col min="2060" max="2060" width="18.375" style="1" bestFit="1" customWidth="1"/>
    <col min="2061" max="2304" width="9" style="1"/>
    <col min="2305" max="2305" width="10.625" style="1" customWidth="1"/>
    <col min="2306" max="2306" width="9" style="1"/>
    <col min="2307" max="2307" width="20.625" style="1" customWidth="1"/>
    <col min="2308" max="2308" width="9" style="1"/>
    <col min="2309" max="2309" width="10.5" style="1" customWidth="1"/>
    <col min="2310" max="2310" width="9" style="1"/>
    <col min="2311" max="2311" width="12.625" style="1" customWidth="1"/>
    <col min="2312" max="2312" width="4.625" style="1" customWidth="1"/>
    <col min="2313" max="2315" width="9" style="1"/>
    <col min="2316" max="2316" width="18.375" style="1" bestFit="1" customWidth="1"/>
    <col min="2317" max="2560" width="9" style="1"/>
    <col min="2561" max="2561" width="10.625" style="1" customWidth="1"/>
    <col min="2562" max="2562" width="9" style="1"/>
    <col min="2563" max="2563" width="20.625" style="1" customWidth="1"/>
    <col min="2564" max="2564" width="9" style="1"/>
    <col min="2565" max="2565" width="10.5" style="1" customWidth="1"/>
    <col min="2566" max="2566" width="9" style="1"/>
    <col min="2567" max="2567" width="12.625" style="1" customWidth="1"/>
    <col min="2568" max="2568" width="4.625" style="1" customWidth="1"/>
    <col min="2569" max="2571" width="9" style="1"/>
    <col min="2572" max="2572" width="18.375" style="1" bestFit="1" customWidth="1"/>
    <col min="2573" max="2816" width="9" style="1"/>
    <col min="2817" max="2817" width="10.625" style="1" customWidth="1"/>
    <col min="2818" max="2818" width="9" style="1"/>
    <col min="2819" max="2819" width="20.625" style="1" customWidth="1"/>
    <col min="2820" max="2820" width="9" style="1"/>
    <col min="2821" max="2821" width="10.5" style="1" customWidth="1"/>
    <col min="2822" max="2822" width="9" style="1"/>
    <col min="2823" max="2823" width="12.625" style="1" customWidth="1"/>
    <col min="2824" max="2824" width="4.625" style="1" customWidth="1"/>
    <col min="2825" max="2827" width="9" style="1"/>
    <col min="2828" max="2828" width="18.375" style="1" bestFit="1" customWidth="1"/>
    <col min="2829" max="3072" width="9" style="1"/>
    <col min="3073" max="3073" width="10.625" style="1" customWidth="1"/>
    <col min="3074" max="3074" width="9" style="1"/>
    <col min="3075" max="3075" width="20.625" style="1" customWidth="1"/>
    <col min="3076" max="3076" width="9" style="1"/>
    <col min="3077" max="3077" width="10.5" style="1" customWidth="1"/>
    <col min="3078" max="3078" width="9" style="1"/>
    <col min="3079" max="3079" width="12.625" style="1" customWidth="1"/>
    <col min="3080" max="3080" width="4.625" style="1" customWidth="1"/>
    <col min="3081" max="3083" width="9" style="1"/>
    <col min="3084" max="3084" width="18.375" style="1" bestFit="1" customWidth="1"/>
    <col min="3085" max="3328" width="9" style="1"/>
    <col min="3329" max="3329" width="10.625" style="1" customWidth="1"/>
    <col min="3330" max="3330" width="9" style="1"/>
    <col min="3331" max="3331" width="20.625" style="1" customWidth="1"/>
    <col min="3332" max="3332" width="9" style="1"/>
    <col min="3333" max="3333" width="10.5" style="1" customWidth="1"/>
    <col min="3334" max="3334" width="9" style="1"/>
    <col min="3335" max="3335" width="12.625" style="1" customWidth="1"/>
    <col min="3336" max="3336" width="4.625" style="1" customWidth="1"/>
    <col min="3337" max="3339" width="9" style="1"/>
    <col min="3340" max="3340" width="18.375" style="1" bestFit="1" customWidth="1"/>
    <col min="3341" max="3584" width="9" style="1"/>
    <col min="3585" max="3585" width="10.625" style="1" customWidth="1"/>
    <col min="3586" max="3586" width="9" style="1"/>
    <col min="3587" max="3587" width="20.625" style="1" customWidth="1"/>
    <col min="3588" max="3588" width="9" style="1"/>
    <col min="3589" max="3589" width="10.5" style="1" customWidth="1"/>
    <col min="3590" max="3590" width="9" style="1"/>
    <col min="3591" max="3591" width="12.625" style="1" customWidth="1"/>
    <col min="3592" max="3592" width="4.625" style="1" customWidth="1"/>
    <col min="3593" max="3595" width="9" style="1"/>
    <col min="3596" max="3596" width="18.375" style="1" bestFit="1" customWidth="1"/>
    <col min="3597" max="3840" width="9" style="1"/>
    <col min="3841" max="3841" width="10.625" style="1" customWidth="1"/>
    <col min="3842" max="3842" width="9" style="1"/>
    <col min="3843" max="3843" width="20.625" style="1" customWidth="1"/>
    <col min="3844" max="3844" width="9" style="1"/>
    <col min="3845" max="3845" width="10.5" style="1" customWidth="1"/>
    <col min="3846" max="3846" width="9" style="1"/>
    <col min="3847" max="3847" width="12.625" style="1" customWidth="1"/>
    <col min="3848" max="3848" width="4.625" style="1" customWidth="1"/>
    <col min="3849" max="3851" width="9" style="1"/>
    <col min="3852" max="3852" width="18.375" style="1" bestFit="1" customWidth="1"/>
    <col min="3853" max="4096" width="9" style="1"/>
    <col min="4097" max="4097" width="10.625" style="1" customWidth="1"/>
    <col min="4098" max="4098" width="9" style="1"/>
    <col min="4099" max="4099" width="20.625" style="1" customWidth="1"/>
    <col min="4100" max="4100" width="9" style="1"/>
    <col min="4101" max="4101" width="10.5" style="1" customWidth="1"/>
    <col min="4102" max="4102" width="9" style="1"/>
    <col min="4103" max="4103" width="12.625" style="1" customWidth="1"/>
    <col min="4104" max="4104" width="4.625" style="1" customWidth="1"/>
    <col min="4105" max="4107" width="9" style="1"/>
    <col min="4108" max="4108" width="18.375" style="1" bestFit="1" customWidth="1"/>
    <col min="4109" max="4352" width="9" style="1"/>
    <col min="4353" max="4353" width="10.625" style="1" customWidth="1"/>
    <col min="4354" max="4354" width="9" style="1"/>
    <col min="4355" max="4355" width="20.625" style="1" customWidth="1"/>
    <col min="4356" max="4356" width="9" style="1"/>
    <col min="4357" max="4357" width="10.5" style="1" customWidth="1"/>
    <col min="4358" max="4358" width="9" style="1"/>
    <col min="4359" max="4359" width="12.625" style="1" customWidth="1"/>
    <col min="4360" max="4360" width="4.625" style="1" customWidth="1"/>
    <col min="4361" max="4363" width="9" style="1"/>
    <col min="4364" max="4364" width="18.375" style="1" bestFit="1" customWidth="1"/>
    <col min="4365" max="4608" width="9" style="1"/>
    <col min="4609" max="4609" width="10.625" style="1" customWidth="1"/>
    <col min="4610" max="4610" width="9" style="1"/>
    <col min="4611" max="4611" width="20.625" style="1" customWidth="1"/>
    <col min="4612" max="4612" width="9" style="1"/>
    <col min="4613" max="4613" width="10.5" style="1" customWidth="1"/>
    <col min="4614" max="4614" width="9" style="1"/>
    <col min="4615" max="4615" width="12.625" style="1" customWidth="1"/>
    <col min="4616" max="4616" width="4.625" style="1" customWidth="1"/>
    <col min="4617" max="4619" width="9" style="1"/>
    <col min="4620" max="4620" width="18.375" style="1" bestFit="1" customWidth="1"/>
    <col min="4621" max="4864" width="9" style="1"/>
    <col min="4865" max="4865" width="10.625" style="1" customWidth="1"/>
    <col min="4866" max="4866" width="9" style="1"/>
    <col min="4867" max="4867" width="20.625" style="1" customWidth="1"/>
    <col min="4868" max="4868" width="9" style="1"/>
    <col min="4869" max="4869" width="10.5" style="1" customWidth="1"/>
    <col min="4870" max="4870" width="9" style="1"/>
    <col min="4871" max="4871" width="12.625" style="1" customWidth="1"/>
    <col min="4872" max="4872" width="4.625" style="1" customWidth="1"/>
    <col min="4873" max="4875" width="9" style="1"/>
    <col min="4876" max="4876" width="18.375" style="1" bestFit="1" customWidth="1"/>
    <col min="4877" max="5120" width="9" style="1"/>
    <col min="5121" max="5121" width="10.625" style="1" customWidth="1"/>
    <col min="5122" max="5122" width="9" style="1"/>
    <col min="5123" max="5123" width="20.625" style="1" customWidth="1"/>
    <col min="5124" max="5124" width="9" style="1"/>
    <col min="5125" max="5125" width="10.5" style="1" customWidth="1"/>
    <col min="5126" max="5126" width="9" style="1"/>
    <col min="5127" max="5127" width="12.625" style="1" customWidth="1"/>
    <col min="5128" max="5128" width="4.625" style="1" customWidth="1"/>
    <col min="5129" max="5131" width="9" style="1"/>
    <col min="5132" max="5132" width="18.375" style="1" bestFit="1" customWidth="1"/>
    <col min="5133" max="5376" width="9" style="1"/>
    <col min="5377" max="5377" width="10.625" style="1" customWidth="1"/>
    <col min="5378" max="5378" width="9" style="1"/>
    <col min="5379" max="5379" width="20.625" style="1" customWidth="1"/>
    <col min="5380" max="5380" width="9" style="1"/>
    <col min="5381" max="5381" width="10.5" style="1" customWidth="1"/>
    <col min="5382" max="5382" width="9" style="1"/>
    <col min="5383" max="5383" width="12.625" style="1" customWidth="1"/>
    <col min="5384" max="5384" width="4.625" style="1" customWidth="1"/>
    <col min="5385" max="5387" width="9" style="1"/>
    <col min="5388" max="5388" width="18.375" style="1" bestFit="1" customWidth="1"/>
    <col min="5389" max="5632" width="9" style="1"/>
    <col min="5633" max="5633" width="10.625" style="1" customWidth="1"/>
    <col min="5634" max="5634" width="9" style="1"/>
    <col min="5635" max="5635" width="20.625" style="1" customWidth="1"/>
    <col min="5636" max="5636" width="9" style="1"/>
    <col min="5637" max="5637" width="10.5" style="1" customWidth="1"/>
    <col min="5638" max="5638" width="9" style="1"/>
    <col min="5639" max="5639" width="12.625" style="1" customWidth="1"/>
    <col min="5640" max="5640" width="4.625" style="1" customWidth="1"/>
    <col min="5641" max="5643" width="9" style="1"/>
    <col min="5644" max="5644" width="18.375" style="1" bestFit="1" customWidth="1"/>
    <col min="5645" max="5888" width="9" style="1"/>
    <col min="5889" max="5889" width="10.625" style="1" customWidth="1"/>
    <col min="5890" max="5890" width="9" style="1"/>
    <col min="5891" max="5891" width="20.625" style="1" customWidth="1"/>
    <col min="5892" max="5892" width="9" style="1"/>
    <col min="5893" max="5893" width="10.5" style="1" customWidth="1"/>
    <col min="5894" max="5894" width="9" style="1"/>
    <col min="5895" max="5895" width="12.625" style="1" customWidth="1"/>
    <col min="5896" max="5896" width="4.625" style="1" customWidth="1"/>
    <col min="5897" max="5899" width="9" style="1"/>
    <col min="5900" max="5900" width="18.375" style="1" bestFit="1" customWidth="1"/>
    <col min="5901" max="6144" width="9" style="1"/>
    <col min="6145" max="6145" width="10.625" style="1" customWidth="1"/>
    <col min="6146" max="6146" width="9" style="1"/>
    <col min="6147" max="6147" width="20.625" style="1" customWidth="1"/>
    <col min="6148" max="6148" width="9" style="1"/>
    <col min="6149" max="6149" width="10.5" style="1" customWidth="1"/>
    <col min="6150" max="6150" width="9" style="1"/>
    <col min="6151" max="6151" width="12.625" style="1" customWidth="1"/>
    <col min="6152" max="6152" width="4.625" style="1" customWidth="1"/>
    <col min="6153" max="6155" width="9" style="1"/>
    <col min="6156" max="6156" width="18.375" style="1" bestFit="1" customWidth="1"/>
    <col min="6157" max="6400" width="9" style="1"/>
    <col min="6401" max="6401" width="10.625" style="1" customWidth="1"/>
    <col min="6402" max="6402" width="9" style="1"/>
    <col min="6403" max="6403" width="20.625" style="1" customWidth="1"/>
    <col min="6404" max="6404" width="9" style="1"/>
    <col min="6405" max="6405" width="10.5" style="1" customWidth="1"/>
    <col min="6406" max="6406" width="9" style="1"/>
    <col min="6407" max="6407" width="12.625" style="1" customWidth="1"/>
    <col min="6408" max="6408" width="4.625" style="1" customWidth="1"/>
    <col min="6409" max="6411" width="9" style="1"/>
    <col min="6412" max="6412" width="18.375" style="1" bestFit="1" customWidth="1"/>
    <col min="6413" max="6656" width="9" style="1"/>
    <col min="6657" max="6657" width="10.625" style="1" customWidth="1"/>
    <col min="6658" max="6658" width="9" style="1"/>
    <col min="6659" max="6659" width="20.625" style="1" customWidth="1"/>
    <col min="6660" max="6660" width="9" style="1"/>
    <col min="6661" max="6661" width="10.5" style="1" customWidth="1"/>
    <col min="6662" max="6662" width="9" style="1"/>
    <col min="6663" max="6663" width="12.625" style="1" customWidth="1"/>
    <col min="6664" max="6664" width="4.625" style="1" customWidth="1"/>
    <col min="6665" max="6667" width="9" style="1"/>
    <col min="6668" max="6668" width="18.375" style="1" bestFit="1" customWidth="1"/>
    <col min="6669" max="6912" width="9" style="1"/>
    <col min="6913" max="6913" width="10.625" style="1" customWidth="1"/>
    <col min="6914" max="6914" width="9" style="1"/>
    <col min="6915" max="6915" width="20.625" style="1" customWidth="1"/>
    <col min="6916" max="6916" width="9" style="1"/>
    <col min="6917" max="6917" width="10.5" style="1" customWidth="1"/>
    <col min="6918" max="6918" width="9" style="1"/>
    <col min="6919" max="6919" width="12.625" style="1" customWidth="1"/>
    <col min="6920" max="6920" width="4.625" style="1" customWidth="1"/>
    <col min="6921" max="6923" width="9" style="1"/>
    <col min="6924" max="6924" width="18.375" style="1" bestFit="1" customWidth="1"/>
    <col min="6925" max="7168" width="9" style="1"/>
    <col min="7169" max="7169" width="10.625" style="1" customWidth="1"/>
    <col min="7170" max="7170" width="9" style="1"/>
    <col min="7171" max="7171" width="20.625" style="1" customWidth="1"/>
    <col min="7172" max="7172" width="9" style="1"/>
    <col min="7173" max="7173" width="10.5" style="1" customWidth="1"/>
    <col min="7174" max="7174" width="9" style="1"/>
    <col min="7175" max="7175" width="12.625" style="1" customWidth="1"/>
    <col min="7176" max="7176" width="4.625" style="1" customWidth="1"/>
    <col min="7177" max="7179" width="9" style="1"/>
    <col min="7180" max="7180" width="18.375" style="1" bestFit="1" customWidth="1"/>
    <col min="7181" max="7424" width="9" style="1"/>
    <col min="7425" max="7425" width="10.625" style="1" customWidth="1"/>
    <col min="7426" max="7426" width="9" style="1"/>
    <col min="7427" max="7427" width="20.625" style="1" customWidth="1"/>
    <col min="7428" max="7428" width="9" style="1"/>
    <col min="7429" max="7429" width="10.5" style="1" customWidth="1"/>
    <col min="7430" max="7430" width="9" style="1"/>
    <col min="7431" max="7431" width="12.625" style="1" customWidth="1"/>
    <col min="7432" max="7432" width="4.625" style="1" customWidth="1"/>
    <col min="7433" max="7435" width="9" style="1"/>
    <col min="7436" max="7436" width="18.375" style="1" bestFit="1" customWidth="1"/>
    <col min="7437" max="7680" width="9" style="1"/>
    <col min="7681" max="7681" width="10.625" style="1" customWidth="1"/>
    <col min="7682" max="7682" width="9" style="1"/>
    <col min="7683" max="7683" width="20.625" style="1" customWidth="1"/>
    <col min="7684" max="7684" width="9" style="1"/>
    <col min="7685" max="7685" width="10.5" style="1" customWidth="1"/>
    <col min="7686" max="7686" width="9" style="1"/>
    <col min="7687" max="7687" width="12.625" style="1" customWidth="1"/>
    <col min="7688" max="7688" width="4.625" style="1" customWidth="1"/>
    <col min="7689" max="7691" width="9" style="1"/>
    <col min="7692" max="7692" width="18.375" style="1" bestFit="1" customWidth="1"/>
    <col min="7693" max="7936" width="9" style="1"/>
    <col min="7937" max="7937" width="10.625" style="1" customWidth="1"/>
    <col min="7938" max="7938" width="9" style="1"/>
    <col min="7939" max="7939" width="20.625" style="1" customWidth="1"/>
    <col min="7940" max="7940" width="9" style="1"/>
    <col min="7941" max="7941" width="10.5" style="1" customWidth="1"/>
    <col min="7942" max="7942" width="9" style="1"/>
    <col min="7943" max="7943" width="12.625" style="1" customWidth="1"/>
    <col min="7944" max="7944" width="4.625" style="1" customWidth="1"/>
    <col min="7945" max="7947" width="9" style="1"/>
    <col min="7948" max="7948" width="18.375" style="1" bestFit="1" customWidth="1"/>
    <col min="7949" max="8192" width="9" style="1"/>
    <col min="8193" max="8193" width="10.625" style="1" customWidth="1"/>
    <col min="8194" max="8194" width="9" style="1"/>
    <col min="8195" max="8195" width="20.625" style="1" customWidth="1"/>
    <col min="8196" max="8196" width="9" style="1"/>
    <col min="8197" max="8197" width="10.5" style="1" customWidth="1"/>
    <col min="8198" max="8198" width="9" style="1"/>
    <col min="8199" max="8199" width="12.625" style="1" customWidth="1"/>
    <col min="8200" max="8200" width="4.625" style="1" customWidth="1"/>
    <col min="8201" max="8203" width="9" style="1"/>
    <col min="8204" max="8204" width="18.375" style="1" bestFit="1" customWidth="1"/>
    <col min="8205" max="8448" width="9" style="1"/>
    <col min="8449" max="8449" width="10.625" style="1" customWidth="1"/>
    <col min="8450" max="8450" width="9" style="1"/>
    <col min="8451" max="8451" width="20.625" style="1" customWidth="1"/>
    <col min="8452" max="8452" width="9" style="1"/>
    <col min="8453" max="8453" width="10.5" style="1" customWidth="1"/>
    <col min="8454" max="8454" width="9" style="1"/>
    <col min="8455" max="8455" width="12.625" style="1" customWidth="1"/>
    <col min="8456" max="8456" width="4.625" style="1" customWidth="1"/>
    <col min="8457" max="8459" width="9" style="1"/>
    <col min="8460" max="8460" width="18.375" style="1" bestFit="1" customWidth="1"/>
    <col min="8461" max="8704" width="9" style="1"/>
    <col min="8705" max="8705" width="10.625" style="1" customWidth="1"/>
    <col min="8706" max="8706" width="9" style="1"/>
    <col min="8707" max="8707" width="20.625" style="1" customWidth="1"/>
    <col min="8708" max="8708" width="9" style="1"/>
    <col min="8709" max="8709" width="10.5" style="1" customWidth="1"/>
    <col min="8710" max="8710" width="9" style="1"/>
    <col min="8711" max="8711" width="12.625" style="1" customWidth="1"/>
    <col min="8712" max="8712" width="4.625" style="1" customWidth="1"/>
    <col min="8713" max="8715" width="9" style="1"/>
    <col min="8716" max="8716" width="18.375" style="1" bestFit="1" customWidth="1"/>
    <col min="8717" max="8960" width="9" style="1"/>
    <col min="8961" max="8961" width="10.625" style="1" customWidth="1"/>
    <col min="8962" max="8962" width="9" style="1"/>
    <col min="8963" max="8963" width="20.625" style="1" customWidth="1"/>
    <col min="8964" max="8964" width="9" style="1"/>
    <col min="8965" max="8965" width="10.5" style="1" customWidth="1"/>
    <col min="8966" max="8966" width="9" style="1"/>
    <col min="8967" max="8967" width="12.625" style="1" customWidth="1"/>
    <col min="8968" max="8968" width="4.625" style="1" customWidth="1"/>
    <col min="8969" max="8971" width="9" style="1"/>
    <col min="8972" max="8972" width="18.375" style="1" bestFit="1" customWidth="1"/>
    <col min="8973" max="9216" width="9" style="1"/>
    <col min="9217" max="9217" width="10.625" style="1" customWidth="1"/>
    <col min="9218" max="9218" width="9" style="1"/>
    <col min="9219" max="9219" width="20.625" style="1" customWidth="1"/>
    <col min="9220" max="9220" width="9" style="1"/>
    <col min="9221" max="9221" width="10.5" style="1" customWidth="1"/>
    <col min="9222" max="9222" width="9" style="1"/>
    <col min="9223" max="9223" width="12.625" style="1" customWidth="1"/>
    <col min="9224" max="9224" width="4.625" style="1" customWidth="1"/>
    <col min="9225" max="9227" width="9" style="1"/>
    <col min="9228" max="9228" width="18.375" style="1" bestFit="1" customWidth="1"/>
    <col min="9229" max="9472" width="9" style="1"/>
    <col min="9473" max="9473" width="10.625" style="1" customWidth="1"/>
    <col min="9474" max="9474" width="9" style="1"/>
    <col min="9475" max="9475" width="20.625" style="1" customWidth="1"/>
    <col min="9476" max="9476" width="9" style="1"/>
    <col min="9477" max="9477" width="10.5" style="1" customWidth="1"/>
    <col min="9478" max="9478" width="9" style="1"/>
    <col min="9479" max="9479" width="12.625" style="1" customWidth="1"/>
    <col min="9480" max="9480" width="4.625" style="1" customWidth="1"/>
    <col min="9481" max="9483" width="9" style="1"/>
    <col min="9484" max="9484" width="18.375" style="1" bestFit="1" customWidth="1"/>
    <col min="9485" max="9728" width="9" style="1"/>
    <col min="9729" max="9729" width="10.625" style="1" customWidth="1"/>
    <col min="9730" max="9730" width="9" style="1"/>
    <col min="9731" max="9731" width="20.625" style="1" customWidth="1"/>
    <col min="9732" max="9732" width="9" style="1"/>
    <col min="9733" max="9733" width="10.5" style="1" customWidth="1"/>
    <col min="9734" max="9734" width="9" style="1"/>
    <col min="9735" max="9735" width="12.625" style="1" customWidth="1"/>
    <col min="9736" max="9736" width="4.625" style="1" customWidth="1"/>
    <col min="9737" max="9739" width="9" style="1"/>
    <col min="9740" max="9740" width="18.375" style="1" bestFit="1" customWidth="1"/>
    <col min="9741" max="9984" width="9" style="1"/>
    <col min="9985" max="9985" width="10.625" style="1" customWidth="1"/>
    <col min="9986" max="9986" width="9" style="1"/>
    <col min="9987" max="9987" width="20.625" style="1" customWidth="1"/>
    <col min="9988" max="9988" width="9" style="1"/>
    <col min="9989" max="9989" width="10.5" style="1" customWidth="1"/>
    <col min="9990" max="9990" width="9" style="1"/>
    <col min="9991" max="9991" width="12.625" style="1" customWidth="1"/>
    <col min="9992" max="9992" width="4.625" style="1" customWidth="1"/>
    <col min="9993" max="9995" width="9" style="1"/>
    <col min="9996" max="9996" width="18.375" style="1" bestFit="1" customWidth="1"/>
    <col min="9997" max="10240" width="9" style="1"/>
    <col min="10241" max="10241" width="10.625" style="1" customWidth="1"/>
    <col min="10242" max="10242" width="9" style="1"/>
    <col min="10243" max="10243" width="20.625" style="1" customWidth="1"/>
    <col min="10244" max="10244" width="9" style="1"/>
    <col min="10245" max="10245" width="10.5" style="1" customWidth="1"/>
    <col min="10246" max="10246" width="9" style="1"/>
    <col min="10247" max="10247" width="12.625" style="1" customWidth="1"/>
    <col min="10248" max="10248" width="4.625" style="1" customWidth="1"/>
    <col min="10249" max="10251" width="9" style="1"/>
    <col min="10252" max="10252" width="18.375" style="1" bestFit="1" customWidth="1"/>
    <col min="10253" max="10496" width="9" style="1"/>
    <col min="10497" max="10497" width="10.625" style="1" customWidth="1"/>
    <col min="10498" max="10498" width="9" style="1"/>
    <col min="10499" max="10499" width="20.625" style="1" customWidth="1"/>
    <col min="10500" max="10500" width="9" style="1"/>
    <col min="10501" max="10501" width="10.5" style="1" customWidth="1"/>
    <col min="10502" max="10502" width="9" style="1"/>
    <col min="10503" max="10503" width="12.625" style="1" customWidth="1"/>
    <col min="10504" max="10504" width="4.625" style="1" customWidth="1"/>
    <col min="10505" max="10507" width="9" style="1"/>
    <col min="10508" max="10508" width="18.375" style="1" bestFit="1" customWidth="1"/>
    <col min="10509" max="10752" width="9" style="1"/>
    <col min="10753" max="10753" width="10.625" style="1" customWidth="1"/>
    <col min="10754" max="10754" width="9" style="1"/>
    <col min="10755" max="10755" width="20.625" style="1" customWidth="1"/>
    <col min="10756" max="10756" width="9" style="1"/>
    <col min="10757" max="10757" width="10.5" style="1" customWidth="1"/>
    <col min="10758" max="10758" width="9" style="1"/>
    <col min="10759" max="10759" width="12.625" style="1" customWidth="1"/>
    <col min="10760" max="10760" width="4.625" style="1" customWidth="1"/>
    <col min="10761" max="10763" width="9" style="1"/>
    <col min="10764" max="10764" width="18.375" style="1" bestFit="1" customWidth="1"/>
    <col min="10765" max="11008" width="9" style="1"/>
    <col min="11009" max="11009" width="10.625" style="1" customWidth="1"/>
    <col min="11010" max="11010" width="9" style="1"/>
    <col min="11011" max="11011" width="20.625" style="1" customWidth="1"/>
    <col min="11012" max="11012" width="9" style="1"/>
    <col min="11013" max="11013" width="10.5" style="1" customWidth="1"/>
    <col min="11014" max="11014" width="9" style="1"/>
    <col min="11015" max="11015" width="12.625" style="1" customWidth="1"/>
    <col min="11016" max="11016" width="4.625" style="1" customWidth="1"/>
    <col min="11017" max="11019" width="9" style="1"/>
    <col min="11020" max="11020" width="18.375" style="1" bestFit="1" customWidth="1"/>
    <col min="11021" max="11264" width="9" style="1"/>
    <col min="11265" max="11265" width="10.625" style="1" customWidth="1"/>
    <col min="11266" max="11266" width="9" style="1"/>
    <col min="11267" max="11267" width="20.625" style="1" customWidth="1"/>
    <col min="11268" max="11268" width="9" style="1"/>
    <col min="11269" max="11269" width="10.5" style="1" customWidth="1"/>
    <col min="11270" max="11270" width="9" style="1"/>
    <col min="11271" max="11271" width="12.625" style="1" customWidth="1"/>
    <col min="11272" max="11272" width="4.625" style="1" customWidth="1"/>
    <col min="11273" max="11275" width="9" style="1"/>
    <col min="11276" max="11276" width="18.375" style="1" bestFit="1" customWidth="1"/>
    <col min="11277" max="11520" width="9" style="1"/>
    <col min="11521" max="11521" width="10.625" style="1" customWidth="1"/>
    <col min="11522" max="11522" width="9" style="1"/>
    <col min="11523" max="11523" width="20.625" style="1" customWidth="1"/>
    <col min="11524" max="11524" width="9" style="1"/>
    <col min="11525" max="11525" width="10.5" style="1" customWidth="1"/>
    <col min="11526" max="11526" width="9" style="1"/>
    <col min="11527" max="11527" width="12.625" style="1" customWidth="1"/>
    <col min="11528" max="11528" width="4.625" style="1" customWidth="1"/>
    <col min="11529" max="11531" width="9" style="1"/>
    <col min="11532" max="11532" width="18.375" style="1" bestFit="1" customWidth="1"/>
    <col min="11533" max="11776" width="9" style="1"/>
    <col min="11777" max="11777" width="10.625" style="1" customWidth="1"/>
    <col min="11778" max="11778" width="9" style="1"/>
    <col min="11779" max="11779" width="20.625" style="1" customWidth="1"/>
    <col min="11780" max="11780" width="9" style="1"/>
    <col min="11781" max="11781" width="10.5" style="1" customWidth="1"/>
    <col min="11782" max="11782" width="9" style="1"/>
    <col min="11783" max="11783" width="12.625" style="1" customWidth="1"/>
    <col min="11784" max="11784" width="4.625" style="1" customWidth="1"/>
    <col min="11785" max="11787" width="9" style="1"/>
    <col min="11788" max="11788" width="18.375" style="1" bestFit="1" customWidth="1"/>
    <col min="11789" max="12032" width="9" style="1"/>
    <col min="12033" max="12033" width="10.625" style="1" customWidth="1"/>
    <col min="12034" max="12034" width="9" style="1"/>
    <col min="12035" max="12035" width="20.625" style="1" customWidth="1"/>
    <col min="12036" max="12036" width="9" style="1"/>
    <col min="12037" max="12037" width="10.5" style="1" customWidth="1"/>
    <col min="12038" max="12038" width="9" style="1"/>
    <col min="12039" max="12039" width="12.625" style="1" customWidth="1"/>
    <col min="12040" max="12040" width="4.625" style="1" customWidth="1"/>
    <col min="12041" max="12043" width="9" style="1"/>
    <col min="12044" max="12044" width="18.375" style="1" bestFit="1" customWidth="1"/>
    <col min="12045" max="12288" width="9" style="1"/>
    <col min="12289" max="12289" width="10.625" style="1" customWidth="1"/>
    <col min="12290" max="12290" width="9" style="1"/>
    <col min="12291" max="12291" width="20.625" style="1" customWidth="1"/>
    <col min="12292" max="12292" width="9" style="1"/>
    <col min="12293" max="12293" width="10.5" style="1" customWidth="1"/>
    <col min="12294" max="12294" width="9" style="1"/>
    <col min="12295" max="12295" width="12.625" style="1" customWidth="1"/>
    <col min="12296" max="12296" width="4.625" style="1" customWidth="1"/>
    <col min="12297" max="12299" width="9" style="1"/>
    <col min="12300" max="12300" width="18.375" style="1" bestFit="1" customWidth="1"/>
    <col min="12301" max="12544" width="9" style="1"/>
    <col min="12545" max="12545" width="10.625" style="1" customWidth="1"/>
    <col min="12546" max="12546" width="9" style="1"/>
    <col min="12547" max="12547" width="20.625" style="1" customWidth="1"/>
    <col min="12548" max="12548" width="9" style="1"/>
    <col min="12549" max="12549" width="10.5" style="1" customWidth="1"/>
    <col min="12550" max="12550" width="9" style="1"/>
    <col min="12551" max="12551" width="12.625" style="1" customWidth="1"/>
    <col min="12552" max="12552" width="4.625" style="1" customWidth="1"/>
    <col min="12553" max="12555" width="9" style="1"/>
    <col min="12556" max="12556" width="18.375" style="1" bestFit="1" customWidth="1"/>
    <col min="12557" max="12800" width="9" style="1"/>
    <col min="12801" max="12801" width="10.625" style="1" customWidth="1"/>
    <col min="12802" max="12802" width="9" style="1"/>
    <col min="12803" max="12803" width="20.625" style="1" customWidth="1"/>
    <col min="12804" max="12804" width="9" style="1"/>
    <col min="12805" max="12805" width="10.5" style="1" customWidth="1"/>
    <col min="12806" max="12806" width="9" style="1"/>
    <col min="12807" max="12807" width="12.625" style="1" customWidth="1"/>
    <col min="12808" max="12808" width="4.625" style="1" customWidth="1"/>
    <col min="12809" max="12811" width="9" style="1"/>
    <col min="12812" max="12812" width="18.375" style="1" bestFit="1" customWidth="1"/>
    <col min="12813" max="13056" width="9" style="1"/>
    <col min="13057" max="13057" width="10.625" style="1" customWidth="1"/>
    <col min="13058" max="13058" width="9" style="1"/>
    <col min="13059" max="13059" width="20.625" style="1" customWidth="1"/>
    <col min="13060" max="13060" width="9" style="1"/>
    <col min="13061" max="13061" width="10.5" style="1" customWidth="1"/>
    <col min="13062" max="13062" width="9" style="1"/>
    <col min="13063" max="13063" width="12.625" style="1" customWidth="1"/>
    <col min="13064" max="13064" width="4.625" style="1" customWidth="1"/>
    <col min="13065" max="13067" width="9" style="1"/>
    <col min="13068" max="13068" width="18.375" style="1" bestFit="1" customWidth="1"/>
    <col min="13069" max="13312" width="9" style="1"/>
    <col min="13313" max="13313" width="10.625" style="1" customWidth="1"/>
    <col min="13314" max="13314" width="9" style="1"/>
    <col min="13315" max="13315" width="20.625" style="1" customWidth="1"/>
    <col min="13316" max="13316" width="9" style="1"/>
    <col min="13317" max="13317" width="10.5" style="1" customWidth="1"/>
    <col min="13318" max="13318" width="9" style="1"/>
    <col min="13319" max="13319" width="12.625" style="1" customWidth="1"/>
    <col min="13320" max="13320" width="4.625" style="1" customWidth="1"/>
    <col min="13321" max="13323" width="9" style="1"/>
    <col min="13324" max="13324" width="18.375" style="1" bestFit="1" customWidth="1"/>
    <col min="13325" max="13568" width="9" style="1"/>
    <col min="13569" max="13569" width="10.625" style="1" customWidth="1"/>
    <col min="13570" max="13570" width="9" style="1"/>
    <col min="13571" max="13571" width="20.625" style="1" customWidth="1"/>
    <col min="13572" max="13572" width="9" style="1"/>
    <col min="13573" max="13573" width="10.5" style="1" customWidth="1"/>
    <col min="13574" max="13574" width="9" style="1"/>
    <col min="13575" max="13575" width="12.625" style="1" customWidth="1"/>
    <col min="13576" max="13576" width="4.625" style="1" customWidth="1"/>
    <col min="13577" max="13579" width="9" style="1"/>
    <col min="13580" max="13580" width="18.375" style="1" bestFit="1" customWidth="1"/>
    <col min="13581" max="13824" width="9" style="1"/>
    <col min="13825" max="13825" width="10.625" style="1" customWidth="1"/>
    <col min="13826" max="13826" width="9" style="1"/>
    <col min="13827" max="13827" width="20.625" style="1" customWidth="1"/>
    <col min="13828" max="13828" width="9" style="1"/>
    <col min="13829" max="13829" width="10.5" style="1" customWidth="1"/>
    <col min="13830" max="13830" width="9" style="1"/>
    <col min="13831" max="13831" width="12.625" style="1" customWidth="1"/>
    <col min="13832" max="13832" width="4.625" style="1" customWidth="1"/>
    <col min="13833" max="13835" width="9" style="1"/>
    <col min="13836" max="13836" width="18.375" style="1" bestFit="1" customWidth="1"/>
    <col min="13837" max="14080" width="9" style="1"/>
    <col min="14081" max="14081" width="10.625" style="1" customWidth="1"/>
    <col min="14082" max="14082" width="9" style="1"/>
    <col min="14083" max="14083" width="20.625" style="1" customWidth="1"/>
    <col min="14084" max="14084" width="9" style="1"/>
    <col min="14085" max="14085" width="10.5" style="1" customWidth="1"/>
    <col min="14086" max="14086" width="9" style="1"/>
    <col min="14087" max="14087" width="12.625" style="1" customWidth="1"/>
    <col min="14088" max="14088" width="4.625" style="1" customWidth="1"/>
    <col min="14089" max="14091" width="9" style="1"/>
    <col min="14092" max="14092" width="18.375" style="1" bestFit="1" customWidth="1"/>
    <col min="14093" max="14336" width="9" style="1"/>
    <col min="14337" max="14337" width="10.625" style="1" customWidth="1"/>
    <col min="14338" max="14338" width="9" style="1"/>
    <col min="14339" max="14339" width="20.625" style="1" customWidth="1"/>
    <col min="14340" max="14340" width="9" style="1"/>
    <col min="14341" max="14341" width="10.5" style="1" customWidth="1"/>
    <col min="14342" max="14342" width="9" style="1"/>
    <col min="14343" max="14343" width="12.625" style="1" customWidth="1"/>
    <col min="14344" max="14344" width="4.625" style="1" customWidth="1"/>
    <col min="14345" max="14347" width="9" style="1"/>
    <col min="14348" max="14348" width="18.375" style="1" bestFit="1" customWidth="1"/>
    <col min="14349" max="14592" width="9" style="1"/>
    <col min="14593" max="14593" width="10.625" style="1" customWidth="1"/>
    <col min="14594" max="14594" width="9" style="1"/>
    <col min="14595" max="14595" width="20.625" style="1" customWidth="1"/>
    <col min="14596" max="14596" width="9" style="1"/>
    <col min="14597" max="14597" width="10.5" style="1" customWidth="1"/>
    <col min="14598" max="14598" width="9" style="1"/>
    <col min="14599" max="14599" width="12.625" style="1" customWidth="1"/>
    <col min="14600" max="14600" width="4.625" style="1" customWidth="1"/>
    <col min="14601" max="14603" width="9" style="1"/>
    <col min="14604" max="14604" width="18.375" style="1" bestFit="1" customWidth="1"/>
    <col min="14605" max="14848" width="9" style="1"/>
    <col min="14849" max="14849" width="10.625" style="1" customWidth="1"/>
    <col min="14850" max="14850" width="9" style="1"/>
    <col min="14851" max="14851" width="20.625" style="1" customWidth="1"/>
    <col min="14852" max="14852" width="9" style="1"/>
    <col min="14853" max="14853" width="10.5" style="1" customWidth="1"/>
    <col min="14854" max="14854" width="9" style="1"/>
    <col min="14855" max="14855" width="12.625" style="1" customWidth="1"/>
    <col min="14856" max="14856" width="4.625" style="1" customWidth="1"/>
    <col min="14857" max="14859" width="9" style="1"/>
    <col min="14860" max="14860" width="18.375" style="1" bestFit="1" customWidth="1"/>
    <col min="14861" max="15104" width="9" style="1"/>
    <col min="15105" max="15105" width="10.625" style="1" customWidth="1"/>
    <col min="15106" max="15106" width="9" style="1"/>
    <col min="15107" max="15107" width="20.625" style="1" customWidth="1"/>
    <col min="15108" max="15108" width="9" style="1"/>
    <col min="15109" max="15109" width="10.5" style="1" customWidth="1"/>
    <col min="15110" max="15110" width="9" style="1"/>
    <col min="15111" max="15111" width="12.625" style="1" customWidth="1"/>
    <col min="15112" max="15112" width="4.625" style="1" customWidth="1"/>
    <col min="15113" max="15115" width="9" style="1"/>
    <col min="15116" max="15116" width="18.375" style="1" bestFit="1" customWidth="1"/>
    <col min="15117" max="15360" width="9" style="1"/>
    <col min="15361" max="15361" width="10.625" style="1" customWidth="1"/>
    <col min="15362" max="15362" width="9" style="1"/>
    <col min="15363" max="15363" width="20.625" style="1" customWidth="1"/>
    <col min="15364" max="15364" width="9" style="1"/>
    <col min="15365" max="15365" width="10.5" style="1" customWidth="1"/>
    <col min="15366" max="15366" width="9" style="1"/>
    <col min="15367" max="15367" width="12.625" style="1" customWidth="1"/>
    <col min="15368" max="15368" width="4.625" style="1" customWidth="1"/>
    <col min="15369" max="15371" width="9" style="1"/>
    <col min="15372" max="15372" width="18.375" style="1" bestFit="1" customWidth="1"/>
    <col min="15373" max="15616" width="9" style="1"/>
    <col min="15617" max="15617" width="10.625" style="1" customWidth="1"/>
    <col min="15618" max="15618" width="9" style="1"/>
    <col min="15619" max="15619" width="20.625" style="1" customWidth="1"/>
    <col min="15620" max="15620" width="9" style="1"/>
    <col min="15621" max="15621" width="10.5" style="1" customWidth="1"/>
    <col min="15622" max="15622" width="9" style="1"/>
    <col min="15623" max="15623" width="12.625" style="1" customWidth="1"/>
    <col min="15624" max="15624" width="4.625" style="1" customWidth="1"/>
    <col min="15625" max="15627" width="9" style="1"/>
    <col min="15628" max="15628" width="18.375" style="1" bestFit="1" customWidth="1"/>
    <col min="15629" max="15872" width="9" style="1"/>
    <col min="15873" max="15873" width="10.625" style="1" customWidth="1"/>
    <col min="15874" max="15874" width="9" style="1"/>
    <col min="15875" max="15875" width="20.625" style="1" customWidth="1"/>
    <col min="15876" max="15876" width="9" style="1"/>
    <col min="15877" max="15877" width="10.5" style="1" customWidth="1"/>
    <col min="15878" max="15878" width="9" style="1"/>
    <col min="15879" max="15879" width="12.625" style="1" customWidth="1"/>
    <col min="15880" max="15880" width="4.625" style="1" customWidth="1"/>
    <col min="15881" max="15883" width="9" style="1"/>
    <col min="15884" max="15884" width="18.375" style="1" bestFit="1" customWidth="1"/>
    <col min="15885" max="16128" width="9" style="1"/>
    <col min="16129" max="16129" width="10.625" style="1" customWidth="1"/>
    <col min="16130" max="16130" width="9" style="1"/>
    <col min="16131" max="16131" width="20.625" style="1" customWidth="1"/>
    <col min="16132" max="16132" width="9" style="1"/>
    <col min="16133" max="16133" width="10.5" style="1" customWidth="1"/>
    <col min="16134" max="16134" width="9" style="1"/>
    <col min="16135" max="16135" width="12.625" style="1" customWidth="1"/>
    <col min="16136" max="16136" width="4.625" style="1" customWidth="1"/>
    <col min="16137" max="16139" width="9" style="1"/>
    <col min="16140" max="16140" width="18.375" style="1" bestFit="1" customWidth="1"/>
    <col min="16141" max="16384" width="9" style="1"/>
  </cols>
  <sheetData>
    <row r="1" spans="1:8" ht="30" customHeight="1">
      <c r="A1" s="50" t="s">
        <v>5</v>
      </c>
      <c r="B1" s="51"/>
      <c r="C1" s="51"/>
      <c r="D1" s="51"/>
      <c r="E1" s="51"/>
      <c r="F1" s="51"/>
      <c r="G1" s="51"/>
      <c r="H1" s="52"/>
    </row>
    <row r="2" spans="1:8" ht="19.5" customHeight="1">
      <c r="A2" s="2" t="s">
        <v>0</v>
      </c>
      <c r="B2" s="53"/>
      <c r="C2" s="54"/>
      <c r="D2" s="55"/>
      <c r="E2" s="3" t="s">
        <v>1</v>
      </c>
      <c r="F2" s="56">
        <f ca="1">TODAY()</f>
        <v>44955</v>
      </c>
      <c r="G2" s="57"/>
      <c r="H2" s="58"/>
    </row>
    <row r="3" spans="1:8" ht="19.5" customHeight="1" thickBot="1">
      <c r="A3" s="4" t="s">
        <v>2</v>
      </c>
      <c r="B3" s="59"/>
      <c r="C3" s="60"/>
      <c r="D3" s="61"/>
      <c r="E3" s="5" t="s">
        <v>3</v>
      </c>
      <c r="F3" s="62" t="s">
        <v>4</v>
      </c>
      <c r="G3" s="63"/>
      <c r="H3" s="64"/>
    </row>
    <row r="4" spans="1:8" ht="15" customHeight="1">
      <c r="A4" s="6"/>
      <c r="B4" s="7"/>
      <c r="C4" s="7"/>
      <c r="D4" s="7"/>
      <c r="E4" s="7"/>
      <c r="F4" s="8"/>
      <c r="G4" s="8"/>
      <c r="H4" s="9"/>
    </row>
    <row r="5" spans="1:8" ht="15" customHeight="1">
      <c r="A5" s="6"/>
      <c r="H5" s="10"/>
    </row>
    <row r="6" spans="1:8" ht="15" customHeight="1">
      <c r="A6" s="11"/>
      <c r="H6" s="10"/>
    </row>
    <row r="7" spans="1:8" ht="15" customHeight="1">
      <c r="A7" s="6"/>
      <c r="H7" s="10"/>
    </row>
    <row r="8" spans="1:8" ht="15" customHeight="1">
      <c r="A8" s="6"/>
      <c r="H8" s="10"/>
    </row>
    <row r="9" spans="1:8" ht="15" customHeight="1">
      <c r="A9" s="6"/>
      <c r="H9" s="10"/>
    </row>
    <row r="10" spans="1:8" ht="15" customHeight="1">
      <c r="A10" s="6"/>
      <c r="H10" s="10"/>
    </row>
    <row r="11" spans="1:8" ht="15" customHeight="1">
      <c r="A11" s="6"/>
      <c r="H11" s="10"/>
    </row>
    <row r="12" spans="1:8" ht="15" customHeight="1">
      <c r="A12" s="6"/>
      <c r="H12" s="10"/>
    </row>
    <row r="13" spans="1:8" ht="15" customHeight="1">
      <c r="A13" s="6"/>
      <c r="B13" s="1" t="s">
        <v>6</v>
      </c>
      <c r="C13" s="16">
        <v>120</v>
      </c>
      <c r="D13" s="1" t="s">
        <v>9</v>
      </c>
      <c r="H13" s="10"/>
    </row>
    <row r="14" spans="1:8" ht="15" customHeight="1">
      <c r="A14" s="6"/>
      <c r="B14" s="1" t="s">
        <v>7</v>
      </c>
      <c r="C14" s="16">
        <v>30</v>
      </c>
      <c r="D14" s="1" t="s">
        <v>9</v>
      </c>
      <c r="H14" s="10"/>
    </row>
    <row r="15" spans="1:8" ht="15" customHeight="1">
      <c r="A15" s="6"/>
      <c r="B15" s="1" t="s">
        <v>8</v>
      </c>
      <c r="C15" s="16">
        <f>PI()*(C13^2-C14^2)/4</f>
        <v>10602.875205865552</v>
      </c>
      <c r="D15" s="1" t="s">
        <v>10</v>
      </c>
      <c r="H15" s="10"/>
    </row>
    <row r="16" spans="1:8" ht="15" customHeight="1">
      <c r="A16" s="6"/>
      <c r="C16" s="16">
        <f>C15/100</f>
        <v>106.02875205865551</v>
      </c>
      <c r="D16" s="1" t="s">
        <v>54</v>
      </c>
      <c r="H16" s="10"/>
    </row>
    <row r="17" spans="1:8" ht="15" customHeight="1">
      <c r="A17" s="6"/>
      <c r="H17" s="10"/>
    </row>
    <row r="18" spans="1:8" ht="15" customHeight="1">
      <c r="A18" s="6"/>
      <c r="H18" s="10"/>
    </row>
    <row r="19" spans="1:8" ht="15" customHeight="1">
      <c r="A19" s="6"/>
      <c r="H19" s="10"/>
    </row>
    <row r="20" spans="1:8" ht="15" customHeight="1">
      <c r="A20" s="6"/>
      <c r="B20" s="12"/>
      <c r="H20" s="10"/>
    </row>
    <row r="21" spans="1:8" ht="15" customHeight="1">
      <c r="A21" s="6"/>
      <c r="H21" s="10"/>
    </row>
    <row r="22" spans="1:8" ht="15" customHeight="1">
      <c r="A22" s="6"/>
      <c r="B22" s="7"/>
      <c r="H22" s="10"/>
    </row>
    <row r="23" spans="1:8" ht="15" customHeight="1">
      <c r="A23" s="6"/>
      <c r="B23" s="7"/>
      <c r="H23" s="10"/>
    </row>
    <row r="24" spans="1:8" ht="15" customHeight="1">
      <c r="A24" s="6"/>
      <c r="B24" s="7"/>
      <c r="H24" s="10"/>
    </row>
    <row r="25" spans="1:8" ht="15" customHeight="1">
      <c r="A25" s="6"/>
      <c r="B25" s="7"/>
      <c r="H25" s="10"/>
    </row>
    <row r="26" spans="1:8" ht="15" customHeight="1">
      <c r="A26" s="6"/>
      <c r="B26" s="7"/>
      <c r="H26" s="10"/>
    </row>
    <row r="27" spans="1:8" ht="15" customHeight="1">
      <c r="A27" s="6"/>
      <c r="B27" s="7"/>
      <c r="H27" s="10"/>
    </row>
    <row r="28" spans="1:8" ht="15" customHeight="1">
      <c r="A28" s="6"/>
      <c r="B28" s="7"/>
      <c r="H28" s="10"/>
    </row>
    <row r="29" spans="1:8" ht="15" customHeight="1">
      <c r="A29" s="6"/>
      <c r="H29" s="10"/>
    </row>
    <row r="30" spans="1:8" ht="15" customHeight="1">
      <c r="A30" s="6"/>
      <c r="H30" s="10"/>
    </row>
    <row r="31" spans="1:8" ht="15" customHeight="1">
      <c r="A31" s="6"/>
      <c r="B31" s="7"/>
      <c r="H31" s="10"/>
    </row>
    <row r="32" spans="1:8" ht="15" customHeight="1">
      <c r="A32" s="6"/>
      <c r="H32" s="10"/>
    </row>
    <row r="33" spans="1:8" ht="15" customHeight="1">
      <c r="A33" s="6"/>
      <c r="H33" s="10"/>
    </row>
    <row r="34" spans="1:8" ht="15" customHeight="1">
      <c r="A34" s="6"/>
      <c r="H34" s="10"/>
    </row>
    <row r="35" spans="1:8" ht="15" customHeight="1">
      <c r="A35" s="6"/>
      <c r="H35" s="10"/>
    </row>
    <row r="36" spans="1:8" ht="15" customHeight="1">
      <c r="A36" s="6"/>
      <c r="H36" s="10"/>
    </row>
    <row r="37" spans="1:8" ht="15" customHeight="1">
      <c r="A37" s="6"/>
      <c r="H37" s="10"/>
    </row>
    <row r="38" spans="1:8" ht="15" customHeight="1">
      <c r="A38" s="6"/>
      <c r="H38" s="10"/>
    </row>
    <row r="39" spans="1:8" ht="15" customHeight="1">
      <c r="A39" s="6"/>
      <c r="H39" s="10"/>
    </row>
    <row r="40" spans="1:8" ht="15" customHeight="1">
      <c r="A40" s="6"/>
      <c r="H40" s="10"/>
    </row>
    <row r="41" spans="1:8" ht="15" customHeight="1">
      <c r="A41" s="6"/>
      <c r="H41" s="10"/>
    </row>
    <row r="42" spans="1:8" ht="15" customHeight="1">
      <c r="A42" s="6"/>
      <c r="H42" s="10"/>
    </row>
    <row r="43" spans="1:8" ht="15" customHeight="1">
      <c r="A43" s="6"/>
      <c r="H43" s="10"/>
    </row>
    <row r="44" spans="1:8" ht="15" customHeight="1">
      <c r="A44" s="6"/>
      <c r="H44" s="10"/>
    </row>
    <row r="45" spans="1:8" ht="15" customHeight="1">
      <c r="A45" s="6"/>
      <c r="H45" s="10"/>
    </row>
    <row r="46" spans="1:8" ht="15" customHeight="1">
      <c r="A46" s="6"/>
      <c r="H46" s="10"/>
    </row>
    <row r="47" spans="1:8" ht="15" customHeight="1">
      <c r="A47" s="6"/>
      <c r="H47" s="10"/>
    </row>
    <row r="48" spans="1:8" ht="15" customHeight="1">
      <c r="A48" s="6"/>
      <c r="H48" s="10"/>
    </row>
    <row r="49" spans="1:8" ht="15" customHeight="1">
      <c r="A49" s="6"/>
      <c r="H49" s="10"/>
    </row>
    <row r="50" spans="1:8" ht="15" customHeight="1">
      <c r="A50" s="6"/>
      <c r="H50" s="10"/>
    </row>
    <row r="51" spans="1:8" ht="15" customHeight="1">
      <c r="A51" s="6"/>
      <c r="H51" s="10"/>
    </row>
    <row r="52" spans="1:8" ht="15" customHeight="1">
      <c r="A52" s="6"/>
      <c r="H52" s="10"/>
    </row>
    <row r="53" spans="1:8" ht="15" customHeight="1">
      <c r="A53" s="6"/>
      <c r="H53" s="10"/>
    </row>
    <row r="54" spans="1:8" ht="15" customHeight="1" thickBot="1">
      <c r="A54" s="13"/>
      <c r="B54" s="14"/>
      <c r="C54" s="14"/>
      <c r="D54" s="14"/>
      <c r="E54" s="14"/>
      <c r="F54" s="14"/>
      <c r="G54" s="14"/>
      <c r="H54" s="15"/>
    </row>
  </sheetData>
  <mergeCells count="5">
    <mergeCell ref="A1:H1"/>
    <mergeCell ref="B2:D2"/>
    <mergeCell ref="F2:H2"/>
    <mergeCell ref="B3:D3"/>
    <mergeCell ref="F3:H3"/>
  </mergeCells>
  <phoneticPr fontId="2" type="noConversion"/>
  <pageMargins left="0.98425196850393704" right="0.59055118110236227" top="0.78740157480314965" bottom="0.39370078740157483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4E6D-B884-4011-B12B-7AB7026F62DA}">
  <dimension ref="A1:S54"/>
  <sheetViews>
    <sheetView showGridLines="0" zoomScaleNormal="100" workbookViewId="0">
      <selection activeCell="L18" sqref="L18"/>
    </sheetView>
  </sheetViews>
  <sheetFormatPr defaultRowHeight="13.5"/>
  <cols>
    <col min="1" max="1" width="10.625" style="1" customWidth="1"/>
    <col min="2" max="2" width="9" style="1"/>
    <col min="3" max="3" width="20.625" style="1" customWidth="1"/>
    <col min="4" max="4" width="9" style="1"/>
    <col min="5" max="5" width="10.5" style="1" customWidth="1"/>
    <col min="6" max="6" width="9" style="1"/>
    <col min="7" max="7" width="12.625" style="1" customWidth="1"/>
    <col min="8" max="8" width="4.625" style="1" customWidth="1"/>
    <col min="9" max="12" width="9" style="1"/>
    <col min="13" max="13" width="8.5" style="1" customWidth="1"/>
    <col min="14" max="258" width="9" style="1"/>
    <col min="259" max="259" width="10.625" style="1" customWidth="1"/>
    <col min="260" max="260" width="9" style="1"/>
    <col min="261" max="261" width="20.625" style="1" customWidth="1"/>
    <col min="262" max="262" width="9" style="1"/>
    <col min="263" max="263" width="10.5" style="1" customWidth="1"/>
    <col min="264" max="264" width="9" style="1"/>
    <col min="265" max="265" width="12.625" style="1" customWidth="1"/>
    <col min="266" max="266" width="4.625" style="1" customWidth="1"/>
    <col min="267" max="269" width="9" style="1"/>
    <col min="270" max="270" width="18.375" style="1" bestFit="1" customWidth="1"/>
    <col min="271" max="514" width="9" style="1"/>
    <col min="515" max="515" width="10.625" style="1" customWidth="1"/>
    <col min="516" max="516" width="9" style="1"/>
    <col min="517" max="517" width="20.625" style="1" customWidth="1"/>
    <col min="518" max="518" width="9" style="1"/>
    <col min="519" max="519" width="10.5" style="1" customWidth="1"/>
    <col min="520" max="520" width="9" style="1"/>
    <col min="521" max="521" width="12.625" style="1" customWidth="1"/>
    <col min="522" max="522" width="4.625" style="1" customWidth="1"/>
    <col min="523" max="525" width="9" style="1"/>
    <col min="526" max="526" width="18.375" style="1" bestFit="1" customWidth="1"/>
    <col min="527" max="770" width="9" style="1"/>
    <col min="771" max="771" width="10.625" style="1" customWidth="1"/>
    <col min="772" max="772" width="9" style="1"/>
    <col min="773" max="773" width="20.625" style="1" customWidth="1"/>
    <col min="774" max="774" width="9" style="1"/>
    <col min="775" max="775" width="10.5" style="1" customWidth="1"/>
    <col min="776" max="776" width="9" style="1"/>
    <col min="777" max="777" width="12.625" style="1" customWidth="1"/>
    <col min="778" max="778" width="4.625" style="1" customWidth="1"/>
    <col min="779" max="781" width="9" style="1"/>
    <col min="782" max="782" width="18.375" style="1" bestFit="1" customWidth="1"/>
    <col min="783" max="1026" width="9" style="1"/>
    <col min="1027" max="1027" width="10.625" style="1" customWidth="1"/>
    <col min="1028" max="1028" width="9" style="1"/>
    <col min="1029" max="1029" width="20.625" style="1" customWidth="1"/>
    <col min="1030" max="1030" width="9" style="1"/>
    <col min="1031" max="1031" width="10.5" style="1" customWidth="1"/>
    <col min="1032" max="1032" width="9" style="1"/>
    <col min="1033" max="1033" width="12.625" style="1" customWidth="1"/>
    <col min="1034" max="1034" width="4.625" style="1" customWidth="1"/>
    <col min="1035" max="1037" width="9" style="1"/>
    <col min="1038" max="1038" width="18.375" style="1" bestFit="1" customWidth="1"/>
    <col min="1039" max="1282" width="9" style="1"/>
    <col min="1283" max="1283" width="10.625" style="1" customWidth="1"/>
    <col min="1284" max="1284" width="9" style="1"/>
    <col min="1285" max="1285" width="20.625" style="1" customWidth="1"/>
    <col min="1286" max="1286" width="9" style="1"/>
    <col min="1287" max="1287" width="10.5" style="1" customWidth="1"/>
    <col min="1288" max="1288" width="9" style="1"/>
    <col min="1289" max="1289" width="12.625" style="1" customWidth="1"/>
    <col min="1290" max="1290" width="4.625" style="1" customWidth="1"/>
    <col min="1291" max="1293" width="9" style="1"/>
    <col min="1294" max="1294" width="18.375" style="1" bestFit="1" customWidth="1"/>
    <col min="1295" max="1538" width="9" style="1"/>
    <col min="1539" max="1539" width="10.625" style="1" customWidth="1"/>
    <col min="1540" max="1540" width="9" style="1"/>
    <col min="1541" max="1541" width="20.625" style="1" customWidth="1"/>
    <col min="1542" max="1542" width="9" style="1"/>
    <col min="1543" max="1543" width="10.5" style="1" customWidth="1"/>
    <col min="1544" max="1544" width="9" style="1"/>
    <col min="1545" max="1545" width="12.625" style="1" customWidth="1"/>
    <col min="1546" max="1546" width="4.625" style="1" customWidth="1"/>
    <col min="1547" max="1549" width="9" style="1"/>
    <col min="1550" max="1550" width="18.375" style="1" bestFit="1" customWidth="1"/>
    <col min="1551" max="1794" width="9" style="1"/>
    <col min="1795" max="1795" width="10.625" style="1" customWidth="1"/>
    <col min="1796" max="1796" width="9" style="1"/>
    <col min="1797" max="1797" width="20.625" style="1" customWidth="1"/>
    <col min="1798" max="1798" width="9" style="1"/>
    <col min="1799" max="1799" width="10.5" style="1" customWidth="1"/>
    <col min="1800" max="1800" width="9" style="1"/>
    <col min="1801" max="1801" width="12.625" style="1" customWidth="1"/>
    <col min="1802" max="1802" width="4.625" style="1" customWidth="1"/>
    <col min="1803" max="1805" width="9" style="1"/>
    <col min="1806" max="1806" width="18.375" style="1" bestFit="1" customWidth="1"/>
    <col min="1807" max="2050" width="9" style="1"/>
    <col min="2051" max="2051" width="10.625" style="1" customWidth="1"/>
    <col min="2052" max="2052" width="9" style="1"/>
    <col min="2053" max="2053" width="20.625" style="1" customWidth="1"/>
    <col min="2054" max="2054" width="9" style="1"/>
    <col min="2055" max="2055" width="10.5" style="1" customWidth="1"/>
    <col min="2056" max="2056" width="9" style="1"/>
    <col min="2057" max="2057" width="12.625" style="1" customWidth="1"/>
    <col min="2058" max="2058" width="4.625" style="1" customWidth="1"/>
    <col min="2059" max="2061" width="9" style="1"/>
    <col min="2062" max="2062" width="18.375" style="1" bestFit="1" customWidth="1"/>
    <col min="2063" max="2306" width="9" style="1"/>
    <col min="2307" max="2307" width="10.625" style="1" customWidth="1"/>
    <col min="2308" max="2308" width="9" style="1"/>
    <col min="2309" max="2309" width="20.625" style="1" customWidth="1"/>
    <col min="2310" max="2310" width="9" style="1"/>
    <col min="2311" max="2311" width="10.5" style="1" customWidth="1"/>
    <col min="2312" max="2312" width="9" style="1"/>
    <col min="2313" max="2313" width="12.625" style="1" customWidth="1"/>
    <col min="2314" max="2314" width="4.625" style="1" customWidth="1"/>
    <col min="2315" max="2317" width="9" style="1"/>
    <col min="2318" max="2318" width="18.375" style="1" bestFit="1" customWidth="1"/>
    <col min="2319" max="2562" width="9" style="1"/>
    <col min="2563" max="2563" width="10.625" style="1" customWidth="1"/>
    <col min="2564" max="2564" width="9" style="1"/>
    <col min="2565" max="2565" width="20.625" style="1" customWidth="1"/>
    <col min="2566" max="2566" width="9" style="1"/>
    <col min="2567" max="2567" width="10.5" style="1" customWidth="1"/>
    <col min="2568" max="2568" width="9" style="1"/>
    <col min="2569" max="2569" width="12.625" style="1" customWidth="1"/>
    <col min="2570" max="2570" width="4.625" style="1" customWidth="1"/>
    <col min="2571" max="2573" width="9" style="1"/>
    <col min="2574" max="2574" width="18.375" style="1" bestFit="1" customWidth="1"/>
    <col min="2575" max="2818" width="9" style="1"/>
    <col min="2819" max="2819" width="10.625" style="1" customWidth="1"/>
    <col min="2820" max="2820" width="9" style="1"/>
    <col min="2821" max="2821" width="20.625" style="1" customWidth="1"/>
    <col min="2822" max="2822" width="9" style="1"/>
    <col min="2823" max="2823" width="10.5" style="1" customWidth="1"/>
    <col min="2824" max="2824" width="9" style="1"/>
    <col min="2825" max="2825" width="12.625" style="1" customWidth="1"/>
    <col min="2826" max="2826" width="4.625" style="1" customWidth="1"/>
    <col min="2827" max="2829" width="9" style="1"/>
    <col min="2830" max="2830" width="18.375" style="1" bestFit="1" customWidth="1"/>
    <col min="2831" max="3074" width="9" style="1"/>
    <col min="3075" max="3075" width="10.625" style="1" customWidth="1"/>
    <col min="3076" max="3076" width="9" style="1"/>
    <col min="3077" max="3077" width="20.625" style="1" customWidth="1"/>
    <col min="3078" max="3078" width="9" style="1"/>
    <col min="3079" max="3079" width="10.5" style="1" customWidth="1"/>
    <col min="3080" max="3080" width="9" style="1"/>
    <col min="3081" max="3081" width="12.625" style="1" customWidth="1"/>
    <col min="3082" max="3082" width="4.625" style="1" customWidth="1"/>
    <col min="3083" max="3085" width="9" style="1"/>
    <col min="3086" max="3086" width="18.375" style="1" bestFit="1" customWidth="1"/>
    <col min="3087" max="3330" width="9" style="1"/>
    <col min="3331" max="3331" width="10.625" style="1" customWidth="1"/>
    <col min="3332" max="3332" width="9" style="1"/>
    <col min="3333" max="3333" width="20.625" style="1" customWidth="1"/>
    <col min="3334" max="3334" width="9" style="1"/>
    <col min="3335" max="3335" width="10.5" style="1" customWidth="1"/>
    <col min="3336" max="3336" width="9" style="1"/>
    <col min="3337" max="3337" width="12.625" style="1" customWidth="1"/>
    <col min="3338" max="3338" width="4.625" style="1" customWidth="1"/>
    <col min="3339" max="3341" width="9" style="1"/>
    <col min="3342" max="3342" width="18.375" style="1" bestFit="1" customWidth="1"/>
    <col min="3343" max="3586" width="9" style="1"/>
    <col min="3587" max="3587" width="10.625" style="1" customWidth="1"/>
    <col min="3588" max="3588" width="9" style="1"/>
    <col min="3589" max="3589" width="20.625" style="1" customWidth="1"/>
    <col min="3590" max="3590" width="9" style="1"/>
    <col min="3591" max="3591" width="10.5" style="1" customWidth="1"/>
    <col min="3592" max="3592" width="9" style="1"/>
    <col min="3593" max="3593" width="12.625" style="1" customWidth="1"/>
    <col min="3594" max="3594" width="4.625" style="1" customWidth="1"/>
    <col min="3595" max="3597" width="9" style="1"/>
    <col min="3598" max="3598" width="18.375" style="1" bestFit="1" customWidth="1"/>
    <col min="3599" max="3842" width="9" style="1"/>
    <col min="3843" max="3843" width="10.625" style="1" customWidth="1"/>
    <col min="3844" max="3844" width="9" style="1"/>
    <col min="3845" max="3845" width="20.625" style="1" customWidth="1"/>
    <col min="3846" max="3846" width="9" style="1"/>
    <col min="3847" max="3847" width="10.5" style="1" customWidth="1"/>
    <col min="3848" max="3848" width="9" style="1"/>
    <col min="3849" max="3849" width="12.625" style="1" customWidth="1"/>
    <col min="3850" max="3850" width="4.625" style="1" customWidth="1"/>
    <col min="3851" max="3853" width="9" style="1"/>
    <col min="3854" max="3854" width="18.375" style="1" bestFit="1" customWidth="1"/>
    <col min="3855" max="4098" width="9" style="1"/>
    <col min="4099" max="4099" width="10.625" style="1" customWidth="1"/>
    <col min="4100" max="4100" width="9" style="1"/>
    <col min="4101" max="4101" width="20.625" style="1" customWidth="1"/>
    <col min="4102" max="4102" width="9" style="1"/>
    <col min="4103" max="4103" width="10.5" style="1" customWidth="1"/>
    <col min="4104" max="4104" width="9" style="1"/>
    <col min="4105" max="4105" width="12.625" style="1" customWidth="1"/>
    <col min="4106" max="4106" width="4.625" style="1" customWidth="1"/>
    <col min="4107" max="4109" width="9" style="1"/>
    <col min="4110" max="4110" width="18.375" style="1" bestFit="1" customWidth="1"/>
    <col min="4111" max="4354" width="9" style="1"/>
    <col min="4355" max="4355" width="10.625" style="1" customWidth="1"/>
    <col min="4356" max="4356" width="9" style="1"/>
    <col min="4357" max="4357" width="20.625" style="1" customWidth="1"/>
    <col min="4358" max="4358" width="9" style="1"/>
    <col min="4359" max="4359" width="10.5" style="1" customWidth="1"/>
    <col min="4360" max="4360" width="9" style="1"/>
    <col min="4361" max="4361" width="12.625" style="1" customWidth="1"/>
    <col min="4362" max="4362" width="4.625" style="1" customWidth="1"/>
    <col min="4363" max="4365" width="9" style="1"/>
    <col min="4366" max="4366" width="18.375" style="1" bestFit="1" customWidth="1"/>
    <col min="4367" max="4610" width="9" style="1"/>
    <col min="4611" max="4611" width="10.625" style="1" customWidth="1"/>
    <col min="4612" max="4612" width="9" style="1"/>
    <col min="4613" max="4613" width="20.625" style="1" customWidth="1"/>
    <col min="4614" max="4614" width="9" style="1"/>
    <col min="4615" max="4615" width="10.5" style="1" customWidth="1"/>
    <col min="4616" max="4616" width="9" style="1"/>
    <col min="4617" max="4617" width="12.625" style="1" customWidth="1"/>
    <col min="4618" max="4618" width="4.625" style="1" customWidth="1"/>
    <col min="4619" max="4621" width="9" style="1"/>
    <col min="4622" max="4622" width="18.375" style="1" bestFit="1" customWidth="1"/>
    <col min="4623" max="4866" width="9" style="1"/>
    <col min="4867" max="4867" width="10.625" style="1" customWidth="1"/>
    <col min="4868" max="4868" width="9" style="1"/>
    <col min="4869" max="4869" width="20.625" style="1" customWidth="1"/>
    <col min="4870" max="4870" width="9" style="1"/>
    <col min="4871" max="4871" width="10.5" style="1" customWidth="1"/>
    <col min="4872" max="4872" width="9" style="1"/>
    <col min="4873" max="4873" width="12.625" style="1" customWidth="1"/>
    <col min="4874" max="4874" width="4.625" style="1" customWidth="1"/>
    <col min="4875" max="4877" width="9" style="1"/>
    <col min="4878" max="4878" width="18.375" style="1" bestFit="1" customWidth="1"/>
    <col min="4879" max="5122" width="9" style="1"/>
    <col min="5123" max="5123" width="10.625" style="1" customWidth="1"/>
    <col min="5124" max="5124" width="9" style="1"/>
    <col min="5125" max="5125" width="20.625" style="1" customWidth="1"/>
    <col min="5126" max="5126" width="9" style="1"/>
    <col min="5127" max="5127" width="10.5" style="1" customWidth="1"/>
    <col min="5128" max="5128" width="9" style="1"/>
    <col min="5129" max="5129" width="12.625" style="1" customWidth="1"/>
    <col min="5130" max="5130" width="4.625" style="1" customWidth="1"/>
    <col min="5131" max="5133" width="9" style="1"/>
    <col min="5134" max="5134" width="18.375" style="1" bestFit="1" customWidth="1"/>
    <col min="5135" max="5378" width="9" style="1"/>
    <col min="5379" max="5379" width="10.625" style="1" customWidth="1"/>
    <col min="5380" max="5380" width="9" style="1"/>
    <col min="5381" max="5381" width="20.625" style="1" customWidth="1"/>
    <col min="5382" max="5382" width="9" style="1"/>
    <col min="5383" max="5383" width="10.5" style="1" customWidth="1"/>
    <col min="5384" max="5384" width="9" style="1"/>
    <col min="5385" max="5385" width="12.625" style="1" customWidth="1"/>
    <col min="5386" max="5386" width="4.625" style="1" customWidth="1"/>
    <col min="5387" max="5389" width="9" style="1"/>
    <col min="5390" max="5390" width="18.375" style="1" bestFit="1" customWidth="1"/>
    <col min="5391" max="5634" width="9" style="1"/>
    <col min="5635" max="5635" width="10.625" style="1" customWidth="1"/>
    <col min="5636" max="5636" width="9" style="1"/>
    <col min="5637" max="5637" width="20.625" style="1" customWidth="1"/>
    <col min="5638" max="5638" width="9" style="1"/>
    <col min="5639" max="5639" width="10.5" style="1" customWidth="1"/>
    <col min="5640" max="5640" width="9" style="1"/>
    <col min="5641" max="5641" width="12.625" style="1" customWidth="1"/>
    <col min="5642" max="5642" width="4.625" style="1" customWidth="1"/>
    <col min="5643" max="5645" width="9" style="1"/>
    <col min="5646" max="5646" width="18.375" style="1" bestFit="1" customWidth="1"/>
    <col min="5647" max="5890" width="9" style="1"/>
    <col min="5891" max="5891" width="10.625" style="1" customWidth="1"/>
    <col min="5892" max="5892" width="9" style="1"/>
    <col min="5893" max="5893" width="20.625" style="1" customWidth="1"/>
    <col min="5894" max="5894" width="9" style="1"/>
    <col min="5895" max="5895" width="10.5" style="1" customWidth="1"/>
    <col min="5896" max="5896" width="9" style="1"/>
    <col min="5897" max="5897" width="12.625" style="1" customWidth="1"/>
    <col min="5898" max="5898" width="4.625" style="1" customWidth="1"/>
    <col min="5899" max="5901" width="9" style="1"/>
    <col min="5902" max="5902" width="18.375" style="1" bestFit="1" customWidth="1"/>
    <col min="5903" max="6146" width="9" style="1"/>
    <col min="6147" max="6147" width="10.625" style="1" customWidth="1"/>
    <col min="6148" max="6148" width="9" style="1"/>
    <col min="6149" max="6149" width="20.625" style="1" customWidth="1"/>
    <col min="6150" max="6150" width="9" style="1"/>
    <col min="6151" max="6151" width="10.5" style="1" customWidth="1"/>
    <col min="6152" max="6152" width="9" style="1"/>
    <col min="6153" max="6153" width="12.625" style="1" customWidth="1"/>
    <col min="6154" max="6154" width="4.625" style="1" customWidth="1"/>
    <col min="6155" max="6157" width="9" style="1"/>
    <col min="6158" max="6158" width="18.375" style="1" bestFit="1" customWidth="1"/>
    <col min="6159" max="6402" width="9" style="1"/>
    <col min="6403" max="6403" width="10.625" style="1" customWidth="1"/>
    <col min="6404" max="6404" width="9" style="1"/>
    <col min="6405" max="6405" width="20.625" style="1" customWidth="1"/>
    <col min="6406" max="6406" width="9" style="1"/>
    <col min="6407" max="6407" width="10.5" style="1" customWidth="1"/>
    <col min="6408" max="6408" width="9" style="1"/>
    <col min="6409" max="6409" width="12.625" style="1" customWidth="1"/>
    <col min="6410" max="6410" width="4.625" style="1" customWidth="1"/>
    <col min="6411" max="6413" width="9" style="1"/>
    <col min="6414" max="6414" width="18.375" style="1" bestFit="1" customWidth="1"/>
    <col min="6415" max="6658" width="9" style="1"/>
    <col min="6659" max="6659" width="10.625" style="1" customWidth="1"/>
    <col min="6660" max="6660" width="9" style="1"/>
    <col min="6661" max="6661" width="20.625" style="1" customWidth="1"/>
    <col min="6662" max="6662" width="9" style="1"/>
    <col min="6663" max="6663" width="10.5" style="1" customWidth="1"/>
    <col min="6664" max="6664" width="9" style="1"/>
    <col min="6665" max="6665" width="12.625" style="1" customWidth="1"/>
    <col min="6666" max="6666" width="4.625" style="1" customWidth="1"/>
    <col min="6667" max="6669" width="9" style="1"/>
    <col min="6670" max="6670" width="18.375" style="1" bestFit="1" customWidth="1"/>
    <col min="6671" max="6914" width="9" style="1"/>
    <col min="6915" max="6915" width="10.625" style="1" customWidth="1"/>
    <col min="6916" max="6916" width="9" style="1"/>
    <col min="6917" max="6917" width="20.625" style="1" customWidth="1"/>
    <col min="6918" max="6918" width="9" style="1"/>
    <col min="6919" max="6919" width="10.5" style="1" customWidth="1"/>
    <col min="6920" max="6920" width="9" style="1"/>
    <col min="6921" max="6921" width="12.625" style="1" customWidth="1"/>
    <col min="6922" max="6922" width="4.625" style="1" customWidth="1"/>
    <col min="6923" max="6925" width="9" style="1"/>
    <col min="6926" max="6926" width="18.375" style="1" bestFit="1" customWidth="1"/>
    <col min="6927" max="7170" width="9" style="1"/>
    <col min="7171" max="7171" width="10.625" style="1" customWidth="1"/>
    <col min="7172" max="7172" width="9" style="1"/>
    <col min="7173" max="7173" width="20.625" style="1" customWidth="1"/>
    <col min="7174" max="7174" width="9" style="1"/>
    <col min="7175" max="7175" width="10.5" style="1" customWidth="1"/>
    <col min="7176" max="7176" width="9" style="1"/>
    <col min="7177" max="7177" width="12.625" style="1" customWidth="1"/>
    <col min="7178" max="7178" width="4.625" style="1" customWidth="1"/>
    <col min="7179" max="7181" width="9" style="1"/>
    <col min="7182" max="7182" width="18.375" style="1" bestFit="1" customWidth="1"/>
    <col min="7183" max="7426" width="9" style="1"/>
    <col min="7427" max="7427" width="10.625" style="1" customWidth="1"/>
    <col min="7428" max="7428" width="9" style="1"/>
    <col min="7429" max="7429" width="20.625" style="1" customWidth="1"/>
    <col min="7430" max="7430" width="9" style="1"/>
    <col min="7431" max="7431" width="10.5" style="1" customWidth="1"/>
    <col min="7432" max="7432" width="9" style="1"/>
    <col min="7433" max="7433" width="12.625" style="1" customWidth="1"/>
    <col min="7434" max="7434" width="4.625" style="1" customWidth="1"/>
    <col min="7435" max="7437" width="9" style="1"/>
    <col min="7438" max="7438" width="18.375" style="1" bestFit="1" customWidth="1"/>
    <col min="7439" max="7682" width="9" style="1"/>
    <col min="7683" max="7683" width="10.625" style="1" customWidth="1"/>
    <col min="7684" max="7684" width="9" style="1"/>
    <col min="7685" max="7685" width="20.625" style="1" customWidth="1"/>
    <col min="7686" max="7686" width="9" style="1"/>
    <col min="7687" max="7687" width="10.5" style="1" customWidth="1"/>
    <col min="7688" max="7688" width="9" style="1"/>
    <col min="7689" max="7689" width="12.625" style="1" customWidth="1"/>
    <col min="7690" max="7690" width="4.625" style="1" customWidth="1"/>
    <col min="7691" max="7693" width="9" style="1"/>
    <col min="7694" max="7694" width="18.375" style="1" bestFit="1" customWidth="1"/>
    <col min="7695" max="7938" width="9" style="1"/>
    <col min="7939" max="7939" width="10.625" style="1" customWidth="1"/>
    <col min="7940" max="7940" width="9" style="1"/>
    <col min="7941" max="7941" width="20.625" style="1" customWidth="1"/>
    <col min="7942" max="7942" width="9" style="1"/>
    <col min="7943" max="7943" width="10.5" style="1" customWidth="1"/>
    <col min="7944" max="7944" width="9" style="1"/>
    <col min="7945" max="7945" width="12.625" style="1" customWidth="1"/>
    <col min="7946" max="7946" width="4.625" style="1" customWidth="1"/>
    <col min="7947" max="7949" width="9" style="1"/>
    <col min="7950" max="7950" width="18.375" style="1" bestFit="1" customWidth="1"/>
    <col min="7951" max="8194" width="9" style="1"/>
    <col min="8195" max="8195" width="10.625" style="1" customWidth="1"/>
    <col min="8196" max="8196" width="9" style="1"/>
    <col min="8197" max="8197" width="20.625" style="1" customWidth="1"/>
    <col min="8198" max="8198" width="9" style="1"/>
    <col min="8199" max="8199" width="10.5" style="1" customWidth="1"/>
    <col min="8200" max="8200" width="9" style="1"/>
    <col min="8201" max="8201" width="12.625" style="1" customWidth="1"/>
    <col min="8202" max="8202" width="4.625" style="1" customWidth="1"/>
    <col min="8203" max="8205" width="9" style="1"/>
    <col min="8206" max="8206" width="18.375" style="1" bestFit="1" customWidth="1"/>
    <col min="8207" max="8450" width="9" style="1"/>
    <col min="8451" max="8451" width="10.625" style="1" customWidth="1"/>
    <col min="8452" max="8452" width="9" style="1"/>
    <col min="8453" max="8453" width="20.625" style="1" customWidth="1"/>
    <col min="8454" max="8454" width="9" style="1"/>
    <col min="8455" max="8455" width="10.5" style="1" customWidth="1"/>
    <col min="8456" max="8456" width="9" style="1"/>
    <col min="8457" max="8457" width="12.625" style="1" customWidth="1"/>
    <col min="8458" max="8458" width="4.625" style="1" customWidth="1"/>
    <col min="8459" max="8461" width="9" style="1"/>
    <col min="8462" max="8462" width="18.375" style="1" bestFit="1" customWidth="1"/>
    <col min="8463" max="8706" width="9" style="1"/>
    <col min="8707" max="8707" width="10.625" style="1" customWidth="1"/>
    <col min="8708" max="8708" width="9" style="1"/>
    <col min="8709" max="8709" width="20.625" style="1" customWidth="1"/>
    <col min="8710" max="8710" width="9" style="1"/>
    <col min="8711" max="8711" width="10.5" style="1" customWidth="1"/>
    <col min="8712" max="8712" width="9" style="1"/>
    <col min="8713" max="8713" width="12.625" style="1" customWidth="1"/>
    <col min="8714" max="8714" width="4.625" style="1" customWidth="1"/>
    <col min="8715" max="8717" width="9" style="1"/>
    <col min="8718" max="8718" width="18.375" style="1" bestFit="1" customWidth="1"/>
    <col min="8719" max="8962" width="9" style="1"/>
    <col min="8963" max="8963" width="10.625" style="1" customWidth="1"/>
    <col min="8964" max="8964" width="9" style="1"/>
    <col min="8965" max="8965" width="20.625" style="1" customWidth="1"/>
    <col min="8966" max="8966" width="9" style="1"/>
    <col min="8967" max="8967" width="10.5" style="1" customWidth="1"/>
    <col min="8968" max="8968" width="9" style="1"/>
    <col min="8969" max="8969" width="12.625" style="1" customWidth="1"/>
    <col min="8970" max="8970" width="4.625" style="1" customWidth="1"/>
    <col min="8971" max="8973" width="9" style="1"/>
    <col min="8974" max="8974" width="18.375" style="1" bestFit="1" customWidth="1"/>
    <col min="8975" max="9218" width="9" style="1"/>
    <col min="9219" max="9219" width="10.625" style="1" customWidth="1"/>
    <col min="9220" max="9220" width="9" style="1"/>
    <col min="9221" max="9221" width="20.625" style="1" customWidth="1"/>
    <col min="9222" max="9222" width="9" style="1"/>
    <col min="9223" max="9223" width="10.5" style="1" customWidth="1"/>
    <col min="9224" max="9224" width="9" style="1"/>
    <col min="9225" max="9225" width="12.625" style="1" customWidth="1"/>
    <col min="9226" max="9226" width="4.625" style="1" customWidth="1"/>
    <col min="9227" max="9229" width="9" style="1"/>
    <col min="9230" max="9230" width="18.375" style="1" bestFit="1" customWidth="1"/>
    <col min="9231" max="9474" width="9" style="1"/>
    <col min="9475" max="9475" width="10.625" style="1" customWidth="1"/>
    <col min="9476" max="9476" width="9" style="1"/>
    <col min="9477" max="9477" width="20.625" style="1" customWidth="1"/>
    <col min="9478" max="9478" width="9" style="1"/>
    <col min="9479" max="9479" width="10.5" style="1" customWidth="1"/>
    <col min="9480" max="9480" width="9" style="1"/>
    <col min="9481" max="9481" width="12.625" style="1" customWidth="1"/>
    <col min="9482" max="9482" width="4.625" style="1" customWidth="1"/>
    <col min="9483" max="9485" width="9" style="1"/>
    <col min="9486" max="9486" width="18.375" style="1" bestFit="1" customWidth="1"/>
    <col min="9487" max="9730" width="9" style="1"/>
    <col min="9731" max="9731" width="10.625" style="1" customWidth="1"/>
    <col min="9732" max="9732" width="9" style="1"/>
    <col min="9733" max="9733" width="20.625" style="1" customWidth="1"/>
    <col min="9734" max="9734" width="9" style="1"/>
    <col min="9735" max="9735" width="10.5" style="1" customWidth="1"/>
    <col min="9736" max="9736" width="9" style="1"/>
    <col min="9737" max="9737" width="12.625" style="1" customWidth="1"/>
    <col min="9738" max="9738" width="4.625" style="1" customWidth="1"/>
    <col min="9739" max="9741" width="9" style="1"/>
    <col min="9742" max="9742" width="18.375" style="1" bestFit="1" customWidth="1"/>
    <col min="9743" max="9986" width="9" style="1"/>
    <col min="9987" max="9987" width="10.625" style="1" customWidth="1"/>
    <col min="9988" max="9988" width="9" style="1"/>
    <col min="9989" max="9989" width="20.625" style="1" customWidth="1"/>
    <col min="9990" max="9990" width="9" style="1"/>
    <col min="9991" max="9991" width="10.5" style="1" customWidth="1"/>
    <col min="9992" max="9992" width="9" style="1"/>
    <col min="9993" max="9993" width="12.625" style="1" customWidth="1"/>
    <col min="9994" max="9994" width="4.625" style="1" customWidth="1"/>
    <col min="9995" max="9997" width="9" style="1"/>
    <col min="9998" max="9998" width="18.375" style="1" bestFit="1" customWidth="1"/>
    <col min="9999" max="10242" width="9" style="1"/>
    <col min="10243" max="10243" width="10.625" style="1" customWidth="1"/>
    <col min="10244" max="10244" width="9" style="1"/>
    <col min="10245" max="10245" width="20.625" style="1" customWidth="1"/>
    <col min="10246" max="10246" width="9" style="1"/>
    <col min="10247" max="10247" width="10.5" style="1" customWidth="1"/>
    <col min="10248" max="10248" width="9" style="1"/>
    <col min="10249" max="10249" width="12.625" style="1" customWidth="1"/>
    <col min="10250" max="10250" width="4.625" style="1" customWidth="1"/>
    <col min="10251" max="10253" width="9" style="1"/>
    <col min="10254" max="10254" width="18.375" style="1" bestFit="1" customWidth="1"/>
    <col min="10255" max="10498" width="9" style="1"/>
    <col min="10499" max="10499" width="10.625" style="1" customWidth="1"/>
    <col min="10500" max="10500" width="9" style="1"/>
    <col min="10501" max="10501" width="20.625" style="1" customWidth="1"/>
    <col min="10502" max="10502" width="9" style="1"/>
    <col min="10503" max="10503" width="10.5" style="1" customWidth="1"/>
    <col min="10504" max="10504" width="9" style="1"/>
    <col min="10505" max="10505" width="12.625" style="1" customWidth="1"/>
    <col min="10506" max="10506" width="4.625" style="1" customWidth="1"/>
    <col min="10507" max="10509" width="9" style="1"/>
    <col min="10510" max="10510" width="18.375" style="1" bestFit="1" customWidth="1"/>
    <col min="10511" max="10754" width="9" style="1"/>
    <col min="10755" max="10755" width="10.625" style="1" customWidth="1"/>
    <col min="10756" max="10756" width="9" style="1"/>
    <col min="10757" max="10757" width="20.625" style="1" customWidth="1"/>
    <col min="10758" max="10758" width="9" style="1"/>
    <col min="10759" max="10759" width="10.5" style="1" customWidth="1"/>
    <col min="10760" max="10760" width="9" style="1"/>
    <col min="10761" max="10761" width="12.625" style="1" customWidth="1"/>
    <col min="10762" max="10762" width="4.625" style="1" customWidth="1"/>
    <col min="10763" max="10765" width="9" style="1"/>
    <col min="10766" max="10766" width="18.375" style="1" bestFit="1" customWidth="1"/>
    <col min="10767" max="11010" width="9" style="1"/>
    <col min="11011" max="11011" width="10.625" style="1" customWidth="1"/>
    <col min="11012" max="11012" width="9" style="1"/>
    <col min="11013" max="11013" width="20.625" style="1" customWidth="1"/>
    <col min="11014" max="11014" width="9" style="1"/>
    <col min="11015" max="11015" width="10.5" style="1" customWidth="1"/>
    <col min="11016" max="11016" width="9" style="1"/>
    <col min="11017" max="11017" width="12.625" style="1" customWidth="1"/>
    <col min="11018" max="11018" width="4.625" style="1" customWidth="1"/>
    <col min="11019" max="11021" width="9" style="1"/>
    <col min="11022" max="11022" width="18.375" style="1" bestFit="1" customWidth="1"/>
    <col min="11023" max="11266" width="9" style="1"/>
    <col min="11267" max="11267" width="10.625" style="1" customWidth="1"/>
    <col min="11268" max="11268" width="9" style="1"/>
    <col min="11269" max="11269" width="20.625" style="1" customWidth="1"/>
    <col min="11270" max="11270" width="9" style="1"/>
    <col min="11271" max="11271" width="10.5" style="1" customWidth="1"/>
    <col min="11272" max="11272" width="9" style="1"/>
    <col min="11273" max="11273" width="12.625" style="1" customWidth="1"/>
    <col min="11274" max="11274" width="4.625" style="1" customWidth="1"/>
    <col min="11275" max="11277" width="9" style="1"/>
    <col min="11278" max="11278" width="18.375" style="1" bestFit="1" customWidth="1"/>
    <col min="11279" max="11522" width="9" style="1"/>
    <col min="11523" max="11523" width="10.625" style="1" customWidth="1"/>
    <col min="11524" max="11524" width="9" style="1"/>
    <col min="11525" max="11525" width="20.625" style="1" customWidth="1"/>
    <col min="11526" max="11526" width="9" style="1"/>
    <col min="11527" max="11527" width="10.5" style="1" customWidth="1"/>
    <col min="11528" max="11528" width="9" style="1"/>
    <col min="11529" max="11529" width="12.625" style="1" customWidth="1"/>
    <col min="11530" max="11530" width="4.625" style="1" customWidth="1"/>
    <col min="11531" max="11533" width="9" style="1"/>
    <col min="11534" max="11534" width="18.375" style="1" bestFit="1" customWidth="1"/>
    <col min="11535" max="11778" width="9" style="1"/>
    <col min="11779" max="11779" width="10.625" style="1" customWidth="1"/>
    <col min="11780" max="11780" width="9" style="1"/>
    <col min="11781" max="11781" width="20.625" style="1" customWidth="1"/>
    <col min="11782" max="11782" width="9" style="1"/>
    <col min="11783" max="11783" width="10.5" style="1" customWidth="1"/>
    <col min="11784" max="11784" width="9" style="1"/>
    <col min="11785" max="11785" width="12.625" style="1" customWidth="1"/>
    <col min="11786" max="11786" width="4.625" style="1" customWidth="1"/>
    <col min="11787" max="11789" width="9" style="1"/>
    <col min="11790" max="11790" width="18.375" style="1" bestFit="1" customWidth="1"/>
    <col min="11791" max="12034" width="9" style="1"/>
    <col min="12035" max="12035" width="10.625" style="1" customWidth="1"/>
    <col min="12036" max="12036" width="9" style="1"/>
    <col min="12037" max="12037" width="20.625" style="1" customWidth="1"/>
    <col min="12038" max="12038" width="9" style="1"/>
    <col min="12039" max="12039" width="10.5" style="1" customWidth="1"/>
    <col min="12040" max="12040" width="9" style="1"/>
    <col min="12041" max="12041" width="12.625" style="1" customWidth="1"/>
    <col min="12042" max="12042" width="4.625" style="1" customWidth="1"/>
    <col min="12043" max="12045" width="9" style="1"/>
    <col min="12046" max="12046" width="18.375" style="1" bestFit="1" customWidth="1"/>
    <col min="12047" max="12290" width="9" style="1"/>
    <col min="12291" max="12291" width="10.625" style="1" customWidth="1"/>
    <col min="12292" max="12292" width="9" style="1"/>
    <col min="12293" max="12293" width="20.625" style="1" customWidth="1"/>
    <col min="12294" max="12294" width="9" style="1"/>
    <col min="12295" max="12295" width="10.5" style="1" customWidth="1"/>
    <col min="12296" max="12296" width="9" style="1"/>
    <col min="12297" max="12297" width="12.625" style="1" customWidth="1"/>
    <col min="12298" max="12298" width="4.625" style="1" customWidth="1"/>
    <col min="12299" max="12301" width="9" style="1"/>
    <col min="12302" max="12302" width="18.375" style="1" bestFit="1" customWidth="1"/>
    <col min="12303" max="12546" width="9" style="1"/>
    <col min="12547" max="12547" width="10.625" style="1" customWidth="1"/>
    <col min="12548" max="12548" width="9" style="1"/>
    <col min="12549" max="12549" width="20.625" style="1" customWidth="1"/>
    <col min="12550" max="12550" width="9" style="1"/>
    <col min="12551" max="12551" width="10.5" style="1" customWidth="1"/>
    <col min="12552" max="12552" width="9" style="1"/>
    <col min="12553" max="12553" width="12.625" style="1" customWidth="1"/>
    <col min="12554" max="12554" width="4.625" style="1" customWidth="1"/>
    <col min="12555" max="12557" width="9" style="1"/>
    <col min="12558" max="12558" width="18.375" style="1" bestFit="1" customWidth="1"/>
    <col min="12559" max="12802" width="9" style="1"/>
    <col min="12803" max="12803" width="10.625" style="1" customWidth="1"/>
    <col min="12804" max="12804" width="9" style="1"/>
    <col min="12805" max="12805" width="20.625" style="1" customWidth="1"/>
    <col min="12806" max="12806" width="9" style="1"/>
    <col min="12807" max="12807" width="10.5" style="1" customWidth="1"/>
    <col min="12808" max="12808" width="9" style="1"/>
    <col min="12809" max="12809" width="12.625" style="1" customWidth="1"/>
    <col min="12810" max="12810" width="4.625" style="1" customWidth="1"/>
    <col min="12811" max="12813" width="9" style="1"/>
    <col min="12814" max="12814" width="18.375" style="1" bestFit="1" customWidth="1"/>
    <col min="12815" max="13058" width="9" style="1"/>
    <col min="13059" max="13059" width="10.625" style="1" customWidth="1"/>
    <col min="13060" max="13060" width="9" style="1"/>
    <col min="13061" max="13061" width="20.625" style="1" customWidth="1"/>
    <col min="13062" max="13062" width="9" style="1"/>
    <col min="13063" max="13063" width="10.5" style="1" customWidth="1"/>
    <col min="13064" max="13064" width="9" style="1"/>
    <col min="13065" max="13065" width="12.625" style="1" customWidth="1"/>
    <col min="13066" max="13066" width="4.625" style="1" customWidth="1"/>
    <col min="13067" max="13069" width="9" style="1"/>
    <col min="13070" max="13070" width="18.375" style="1" bestFit="1" customWidth="1"/>
    <col min="13071" max="13314" width="9" style="1"/>
    <col min="13315" max="13315" width="10.625" style="1" customWidth="1"/>
    <col min="13316" max="13316" width="9" style="1"/>
    <col min="13317" max="13317" width="20.625" style="1" customWidth="1"/>
    <col min="13318" max="13318" width="9" style="1"/>
    <col min="13319" max="13319" width="10.5" style="1" customWidth="1"/>
    <col min="13320" max="13320" width="9" style="1"/>
    <col min="13321" max="13321" width="12.625" style="1" customWidth="1"/>
    <col min="13322" max="13322" width="4.625" style="1" customWidth="1"/>
    <col min="13323" max="13325" width="9" style="1"/>
    <col min="13326" max="13326" width="18.375" style="1" bestFit="1" customWidth="1"/>
    <col min="13327" max="13570" width="9" style="1"/>
    <col min="13571" max="13571" width="10.625" style="1" customWidth="1"/>
    <col min="13572" max="13572" width="9" style="1"/>
    <col min="13573" max="13573" width="20.625" style="1" customWidth="1"/>
    <col min="13574" max="13574" width="9" style="1"/>
    <col min="13575" max="13575" width="10.5" style="1" customWidth="1"/>
    <col min="13576" max="13576" width="9" style="1"/>
    <col min="13577" max="13577" width="12.625" style="1" customWidth="1"/>
    <col min="13578" max="13578" width="4.625" style="1" customWidth="1"/>
    <col min="13579" max="13581" width="9" style="1"/>
    <col min="13582" max="13582" width="18.375" style="1" bestFit="1" customWidth="1"/>
    <col min="13583" max="13826" width="9" style="1"/>
    <col min="13827" max="13827" width="10.625" style="1" customWidth="1"/>
    <col min="13828" max="13828" width="9" style="1"/>
    <col min="13829" max="13829" width="20.625" style="1" customWidth="1"/>
    <col min="13830" max="13830" width="9" style="1"/>
    <col min="13831" max="13831" width="10.5" style="1" customWidth="1"/>
    <col min="13832" max="13832" width="9" style="1"/>
    <col min="13833" max="13833" width="12.625" style="1" customWidth="1"/>
    <col min="13834" max="13834" width="4.625" style="1" customWidth="1"/>
    <col min="13835" max="13837" width="9" style="1"/>
    <col min="13838" max="13838" width="18.375" style="1" bestFit="1" customWidth="1"/>
    <col min="13839" max="14082" width="9" style="1"/>
    <col min="14083" max="14083" width="10.625" style="1" customWidth="1"/>
    <col min="14084" max="14084" width="9" style="1"/>
    <col min="14085" max="14085" width="20.625" style="1" customWidth="1"/>
    <col min="14086" max="14086" width="9" style="1"/>
    <col min="14087" max="14087" width="10.5" style="1" customWidth="1"/>
    <col min="14088" max="14088" width="9" style="1"/>
    <col min="14089" max="14089" width="12.625" style="1" customWidth="1"/>
    <col min="14090" max="14090" width="4.625" style="1" customWidth="1"/>
    <col min="14091" max="14093" width="9" style="1"/>
    <col min="14094" max="14094" width="18.375" style="1" bestFit="1" customWidth="1"/>
    <col min="14095" max="14338" width="9" style="1"/>
    <col min="14339" max="14339" width="10.625" style="1" customWidth="1"/>
    <col min="14340" max="14340" width="9" style="1"/>
    <col min="14341" max="14341" width="20.625" style="1" customWidth="1"/>
    <col min="14342" max="14342" width="9" style="1"/>
    <col min="14343" max="14343" width="10.5" style="1" customWidth="1"/>
    <col min="14344" max="14344" width="9" style="1"/>
    <col min="14345" max="14345" width="12.625" style="1" customWidth="1"/>
    <col min="14346" max="14346" width="4.625" style="1" customWidth="1"/>
    <col min="14347" max="14349" width="9" style="1"/>
    <col min="14350" max="14350" width="18.375" style="1" bestFit="1" customWidth="1"/>
    <col min="14351" max="14594" width="9" style="1"/>
    <col min="14595" max="14595" width="10.625" style="1" customWidth="1"/>
    <col min="14596" max="14596" width="9" style="1"/>
    <col min="14597" max="14597" width="20.625" style="1" customWidth="1"/>
    <col min="14598" max="14598" width="9" style="1"/>
    <col min="14599" max="14599" width="10.5" style="1" customWidth="1"/>
    <col min="14600" max="14600" width="9" style="1"/>
    <col min="14601" max="14601" width="12.625" style="1" customWidth="1"/>
    <col min="14602" max="14602" width="4.625" style="1" customWidth="1"/>
    <col min="14603" max="14605" width="9" style="1"/>
    <col min="14606" max="14606" width="18.375" style="1" bestFit="1" customWidth="1"/>
    <col min="14607" max="14850" width="9" style="1"/>
    <col min="14851" max="14851" width="10.625" style="1" customWidth="1"/>
    <col min="14852" max="14852" width="9" style="1"/>
    <col min="14853" max="14853" width="20.625" style="1" customWidth="1"/>
    <col min="14854" max="14854" width="9" style="1"/>
    <col min="14855" max="14855" width="10.5" style="1" customWidth="1"/>
    <col min="14856" max="14856" width="9" style="1"/>
    <col min="14857" max="14857" width="12.625" style="1" customWidth="1"/>
    <col min="14858" max="14858" width="4.625" style="1" customWidth="1"/>
    <col min="14859" max="14861" width="9" style="1"/>
    <col min="14862" max="14862" width="18.375" style="1" bestFit="1" customWidth="1"/>
    <col min="14863" max="15106" width="9" style="1"/>
    <col min="15107" max="15107" width="10.625" style="1" customWidth="1"/>
    <col min="15108" max="15108" width="9" style="1"/>
    <col min="15109" max="15109" width="20.625" style="1" customWidth="1"/>
    <col min="15110" max="15110" width="9" style="1"/>
    <col min="15111" max="15111" width="10.5" style="1" customWidth="1"/>
    <col min="15112" max="15112" width="9" style="1"/>
    <col min="15113" max="15113" width="12.625" style="1" customWidth="1"/>
    <col min="15114" max="15114" width="4.625" style="1" customWidth="1"/>
    <col min="15115" max="15117" width="9" style="1"/>
    <col min="15118" max="15118" width="18.375" style="1" bestFit="1" customWidth="1"/>
    <col min="15119" max="15362" width="9" style="1"/>
    <col min="15363" max="15363" width="10.625" style="1" customWidth="1"/>
    <col min="15364" max="15364" width="9" style="1"/>
    <col min="15365" max="15365" width="20.625" style="1" customWidth="1"/>
    <col min="15366" max="15366" width="9" style="1"/>
    <col min="15367" max="15367" width="10.5" style="1" customWidth="1"/>
    <col min="15368" max="15368" width="9" style="1"/>
    <col min="15369" max="15369" width="12.625" style="1" customWidth="1"/>
    <col min="15370" max="15370" width="4.625" style="1" customWidth="1"/>
    <col min="15371" max="15373" width="9" style="1"/>
    <col min="15374" max="15374" width="18.375" style="1" bestFit="1" customWidth="1"/>
    <col min="15375" max="15618" width="9" style="1"/>
    <col min="15619" max="15619" width="10.625" style="1" customWidth="1"/>
    <col min="15620" max="15620" width="9" style="1"/>
    <col min="15621" max="15621" width="20.625" style="1" customWidth="1"/>
    <col min="15622" max="15622" width="9" style="1"/>
    <col min="15623" max="15623" width="10.5" style="1" customWidth="1"/>
    <col min="15624" max="15624" width="9" style="1"/>
    <col min="15625" max="15625" width="12.625" style="1" customWidth="1"/>
    <col min="15626" max="15626" width="4.625" style="1" customWidth="1"/>
    <col min="15627" max="15629" width="9" style="1"/>
    <col min="15630" max="15630" width="18.375" style="1" bestFit="1" customWidth="1"/>
    <col min="15631" max="15874" width="9" style="1"/>
    <col min="15875" max="15875" width="10.625" style="1" customWidth="1"/>
    <col min="15876" max="15876" width="9" style="1"/>
    <col min="15877" max="15877" width="20.625" style="1" customWidth="1"/>
    <col min="15878" max="15878" width="9" style="1"/>
    <col min="15879" max="15879" width="10.5" style="1" customWidth="1"/>
    <col min="15880" max="15880" width="9" style="1"/>
    <col min="15881" max="15881" width="12.625" style="1" customWidth="1"/>
    <col min="15882" max="15882" width="4.625" style="1" customWidth="1"/>
    <col min="15883" max="15885" width="9" style="1"/>
    <col min="15886" max="15886" width="18.375" style="1" bestFit="1" customWidth="1"/>
    <col min="15887" max="16130" width="9" style="1"/>
    <col min="16131" max="16131" width="10.625" style="1" customWidth="1"/>
    <col min="16132" max="16132" width="9" style="1"/>
    <col min="16133" max="16133" width="20.625" style="1" customWidth="1"/>
    <col min="16134" max="16134" width="9" style="1"/>
    <col min="16135" max="16135" width="10.5" style="1" customWidth="1"/>
    <col min="16136" max="16136" width="9" style="1"/>
    <col min="16137" max="16137" width="12.625" style="1" customWidth="1"/>
    <col min="16138" max="16138" width="4.625" style="1" customWidth="1"/>
    <col min="16139" max="16141" width="9" style="1"/>
    <col min="16142" max="16142" width="18.375" style="1" bestFit="1" customWidth="1"/>
    <col min="16143" max="16384" width="9" style="1"/>
  </cols>
  <sheetData>
    <row r="1" spans="1:19" ht="30" customHeight="1">
      <c r="A1" s="50" t="s">
        <v>76</v>
      </c>
      <c r="B1" s="51"/>
      <c r="C1" s="51"/>
      <c r="D1" s="51"/>
      <c r="E1" s="51"/>
      <c r="F1" s="51"/>
      <c r="G1" s="51"/>
      <c r="H1" s="52"/>
    </row>
    <row r="2" spans="1:19" ht="19.5" customHeight="1">
      <c r="A2" s="2" t="s">
        <v>0</v>
      </c>
      <c r="B2" s="53"/>
      <c r="C2" s="54"/>
      <c r="D2" s="55"/>
      <c r="E2" s="3" t="s">
        <v>1</v>
      </c>
      <c r="F2" s="56">
        <f ca="1">TODAY()</f>
        <v>44955</v>
      </c>
      <c r="G2" s="57"/>
      <c r="H2" s="58"/>
    </row>
    <row r="3" spans="1:19" ht="19.5" customHeight="1" thickBot="1">
      <c r="A3" s="4" t="s">
        <v>2</v>
      </c>
      <c r="B3" s="59"/>
      <c r="C3" s="60"/>
      <c r="D3" s="61"/>
      <c r="E3" s="5" t="s">
        <v>3</v>
      </c>
      <c r="F3" s="62"/>
      <c r="G3" s="63"/>
      <c r="H3" s="64"/>
    </row>
    <row r="4" spans="1:19" ht="15" customHeight="1">
      <c r="A4" s="6"/>
      <c r="B4" s="7"/>
      <c r="C4" s="7"/>
      <c r="D4" s="7"/>
      <c r="E4" s="7"/>
      <c r="F4" s="8"/>
      <c r="G4" s="8"/>
      <c r="H4" s="9"/>
    </row>
    <row r="5" spans="1:19" ht="15" customHeight="1">
      <c r="A5" s="6"/>
      <c r="H5" s="10"/>
    </row>
    <row r="6" spans="1:19" ht="15" customHeight="1">
      <c r="A6" s="11"/>
      <c r="H6" s="10"/>
      <c r="K6" s="66" t="s">
        <v>91</v>
      </c>
      <c r="L6" s="65"/>
      <c r="M6" s="65"/>
      <c r="N6" s="7"/>
      <c r="O6" s="65" t="s">
        <v>92</v>
      </c>
      <c r="P6" s="65"/>
      <c r="Q6" s="65"/>
      <c r="R6" s="65"/>
    </row>
    <row r="7" spans="1:19" ht="15" customHeight="1">
      <c r="A7" s="6"/>
      <c r="H7" s="10"/>
      <c r="L7" s="1" t="s">
        <v>93</v>
      </c>
      <c r="M7" s="39" t="s">
        <v>94</v>
      </c>
      <c r="N7" s="47" t="s">
        <v>95</v>
      </c>
      <c r="O7" s="39" t="s">
        <v>89</v>
      </c>
      <c r="P7" s="39" t="s">
        <v>90</v>
      </c>
      <c r="Q7" s="39" t="s">
        <v>94</v>
      </c>
      <c r="R7" s="39" t="s">
        <v>96</v>
      </c>
      <c r="S7" s="48" t="s">
        <v>95</v>
      </c>
    </row>
    <row r="8" spans="1:19" ht="15" customHeight="1">
      <c r="A8" s="6"/>
      <c r="H8" s="10"/>
      <c r="K8" s="1">
        <v>18645.907799999997</v>
      </c>
      <c r="L8" s="1">
        <v>77.040098582565776</v>
      </c>
      <c r="M8" s="1">
        <f>K8/(2*PI()*L8)</f>
        <v>38.520049291282895</v>
      </c>
      <c r="N8" s="48">
        <f>(2*L8)*SQRT(M8*4)</f>
        <v>1912.5827667876185</v>
      </c>
      <c r="O8" s="46">
        <f>C18+C16</f>
        <v>826.59084773594998</v>
      </c>
      <c r="P8" s="46">
        <f>C19</f>
        <v>24418.649934691923</v>
      </c>
      <c r="Q8" s="1">
        <f>P8/O8</f>
        <v>29.541398869313792</v>
      </c>
      <c r="R8" s="1">
        <f>SQRT(P8/PI())</f>
        <v>88.162904225493918</v>
      </c>
      <c r="S8" s="48">
        <f>(2*R8)*SQRT(Q8*4)</f>
        <v>1916.732062648309</v>
      </c>
    </row>
    <row r="9" spans="1:19" ht="15" customHeight="1">
      <c r="A9" s="6"/>
      <c r="H9" s="10"/>
      <c r="K9" s="1">
        <v>18948.491400000003</v>
      </c>
      <c r="L9" s="1">
        <v>77.66268177759855</v>
      </c>
      <c r="M9" s="1">
        <f t="shared" ref="M9:M10" si="0">K9/(2*PI()*L9)</f>
        <v>38.831340888799268</v>
      </c>
      <c r="N9" s="48">
        <f>(2*L9)*SQRT(M9*4)</f>
        <v>1935.8137405895495</v>
      </c>
      <c r="O9" s="46"/>
      <c r="R9" s="1">
        <f t="shared" ref="R9:R10" si="1">SQRT(P9/PI())</f>
        <v>0</v>
      </c>
      <c r="S9" s="48">
        <f>(2*R9)*SQRT(Q9*4)</f>
        <v>0</v>
      </c>
    </row>
    <row r="10" spans="1:19" ht="15" customHeight="1">
      <c r="A10" s="6"/>
      <c r="H10" s="10"/>
      <c r="K10" s="1">
        <v>27761.7906</v>
      </c>
      <c r="L10" s="1">
        <v>94.004533965890332</v>
      </c>
      <c r="M10" s="1">
        <f t="shared" si="0"/>
        <v>47.002266982945173</v>
      </c>
      <c r="N10" s="48">
        <f>(2*L10)*SQRT(M10*4)</f>
        <v>2577.9126318243525</v>
      </c>
      <c r="O10" s="46">
        <f>C27+C25</f>
        <v>995.29348795546753</v>
      </c>
      <c r="P10" s="46">
        <f>C28</f>
        <v>35533.792884129907</v>
      </c>
      <c r="Q10" s="1">
        <f>P10/O10</f>
        <v>35.701823948555564</v>
      </c>
      <c r="R10" s="1">
        <f t="shared" si="1"/>
        <v>106.35204543696271</v>
      </c>
      <c r="S10" s="48">
        <f>(2*R10)*SQRT(Q10*4)</f>
        <v>2541.8565669679165</v>
      </c>
    </row>
    <row r="11" spans="1:19" ht="15" customHeight="1">
      <c r="A11" s="6"/>
      <c r="H11" s="10"/>
    </row>
    <row r="12" spans="1:19" ht="15" customHeight="1">
      <c r="A12" s="38" t="s">
        <v>77</v>
      </c>
      <c r="H12" s="10"/>
    </row>
    <row r="13" spans="1:19" ht="15" customHeight="1">
      <c r="A13" s="6"/>
      <c r="B13" s="1" t="s">
        <v>6</v>
      </c>
      <c r="C13" s="16">
        <v>500</v>
      </c>
      <c r="D13" s="1" t="s">
        <v>9</v>
      </c>
      <c r="H13" s="10"/>
    </row>
    <row r="14" spans="1:19" ht="15" customHeight="1">
      <c r="A14" s="6"/>
      <c r="B14" s="39" t="s">
        <v>78</v>
      </c>
      <c r="C14" s="16">
        <f>C13/2</f>
        <v>250</v>
      </c>
      <c r="D14" s="1" t="s">
        <v>9</v>
      </c>
      <c r="H14" s="10"/>
    </row>
    <row r="15" spans="1:19" ht="15" customHeight="1">
      <c r="A15" s="6"/>
      <c r="B15" s="40" t="s">
        <v>79</v>
      </c>
      <c r="C15" s="41">
        <v>91</v>
      </c>
      <c r="D15" s="1" t="s">
        <v>9</v>
      </c>
      <c r="H15" s="10"/>
    </row>
    <row r="16" spans="1:19" ht="15" customHeight="1">
      <c r="A16" s="6"/>
      <c r="B16" s="40" t="s">
        <v>80</v>
      </c>
      <c r="C16" s="42">
        <f>SQRT(C14^2-(C14-C15)^2)*2</f>
        <v>385.84452827531453</v>
      </c>
      <c r="D16" s="1" t="s">
        <v>9</v>
      </c>
      <c r="H16" s="10"/>
    </row>
    <row r="17" spans="1:8" ht="15" customHeight="1">
      <c r="A17" s="38" t="s">
        <v>81</v>
      </c>
      <c r="B17" s="39" t="s">
        <v>82</v>
      </c>
      <c r="C17" s="43">
        <f>ACOS((C14-C15)/C14)*2</f>
        <v>1.7629852778425419</v>
      </c>
      <c r="D17" s="1" t="s">
        <v>83</v>
      </c>
      <c r="E17" s="44">
        <f>C17/PI()*180</f>
        <v>101.01161576407647</v>
      </c>
      <c r="F17" s="39" t="s">
        <v>84</v>
      </c>
      <c r="H17" s="10"/>
    </row>
    <row r="18" spans="1:8" ht="15" customHeight="1">
      <c r="A18" s="39" t="s">
        <v>85</v>
      </c>
      <c r="B18" s="39" t="s">
        <v>86</v>
      </c>
      <c r="C18" s="45">
        <f>C14*C17</f>
        <v>440.74631946063545</v>
      </c>
      <c r="D18" s="1" t="s">
        <v>9</v>
      </c>
      <c r="H18" s="10"/>
    </row>
    <row r="19" spans="1:8" ht="15" customHeight="1">
      <c r="A19" s="38"/>
      <c r="B19" s="39" t="s">
        <v>87</v>
      </c>
      <c r="C19" s="45">
        <f>(C18*C14)/2-C16*(C14-C15)/2</f>
        <v>24418.649934691923</v>
      </c>
      <c r="D19" s="1" t="s">
        <v>10</v>
      </c>
      <c r="H19" s="10"/>
    </row>
    <row r="20" spans="1:8" ht="15" customHeight="1">
      <c r="A20" s="6"/>
      <c r="C20" s="16"/>
      <c r="H20" s="10"/>
    </row>
    <row r="21" spans="1:8" ht="15" customHeight="1">
      <c r="A21" s="38" t="s">
        <v>88</v>
      </c>
      <c r="H21" s="10"/>
    </row>
    <row r="22" spans="1:8" ht="15" customHeight="1">
      <c r="A22" s="6"/>
      <c r="B22" s="1" t="s">
        <v>6</v>
      </c>
      <c r="C22" s="16">
        <v>600</v>
      </c>
      <c r="D22" s="1" t="s">
        <v>9</v>
      </c>
      <c r="H22" s="10"/>
    </row>
    <row r="23" spans="1:8" ht="15" customHeight="1">
      <c r="A23" s="6"/>
      <c r="B23" s="39" t="s">
        <v>78</v>
      </c>
      <c r="C23" s="16">
        <f>C22/2</f>
        <v>300</v>
      </c>
      <c r="D23" s="1" t="s">
        <v>9</v>
      </c>
      <c r="H23" s="10"/>
    </row>
    <row r="24" spans="1:8" ht="15" customHeight="1">
      <c r="A24" s="6"/>
      <c r="B24" s="40" t="s">
        <v>79</v>
      </c>
      <c r="C24" s="41">
        <v>110</v>
      </c>
      <c r="D24" s="1" t="s">
        <v>9</v>
      </c>
      <c r="H24" s="10"/>
    </row>
    <row r="25" spans="1:8" ht="15" customHeight="1">
      <c r="A25" s="6"/>
      <c r="B25" s="40" t="s">
        <v>80</v>
      </c>
      <c r="C25" s="42">
        <f>SQRT(C23^2-(C23-C24)^2)*2</f>
        <v>464.32747064975598</v>
      </c>
      <c r="D25" s="1" t="s">
        <v>9</v>
      </c>
      <c r="H25" s="10"/>
    </row>
    <row r="26" spans="1:8" ht="15" customHeight="1">
      <c r="A26" s="38" t="s">
        <v>81</v>
      </c>
      <c r="B26" s="39" t="s">
        <v>82</v>
      </c>
      <c r="C26" s="43">
        <f>ACOS((C23-C24)/C23)*2</f>
        <v>1.7698867243523717</v>
      </c>
      <c r="D26" s="1" t="s">
        <v>83</v>
      </c>
      <c r="E26" s="44">
        <f>C26/PI()*180</f>
        <v>101.40703952162499</v>
      </c>
      <c r="F26" s="39" t="s">
        <v>84</v>
      </c>
      <c r="H26" s="10"/>
    </row>
    <row r="27" spans="1:8" ht="15" customHeight="1">
      <c r="A27" s="39" t="s">
        <v>85</v>
      </c>
      <c r="B27" s="39" t="s">
        <v>86</v>
      </c>
      <c r="C27" s="45">
        <f>C23*C26</f>
        <v>530.96601730571149</v>
      </c>
      <c r="D27" s="1" t="s">
        <v>9</v>
      </c>
      <c r="H27" s="10"/>
    </row>
    <row r="28" spans="1:8" ht="15" customHeight="1">
      <c r="A28" s="38"/>
      <c r="B28" s="39" t="s">
        <v>87</v>
      </c>
      <c r="C28" s="45">
        <f>(C27*C23)/2-C25*(C23-C24)/2</f>
        <v>35533.792884129907</v>
      </c>
      <c r="D28" s="1" t="s">
        <v>10</v>
      </c>
      <c r="H28" s="10"/>
    </row>
    <row r="29" spans="1:8" ht="15" customHeight="1">
      <c r="A29" s="6"/>
      <c r="H29" s="10"/>
    </row>
    <row r="30" spans="1:8" ht="15" customHeight="1">
      <c r="A30" s="6"/>
      <c r="H30" s="10"/>
    </row>
    <row r="31" spans="1:8" ht="15" customHeight="1">
      <c r="A31" s="6"/>
      <c r="B31" s="7"/>
      <c r="H31" s="10"/>
    </row>
    <row r="32" spans="1:8" ht="15" customHeight="1">
      <c r="A32" s="6"/>
      <c r="H32" s="10"/>
    </row>
    <row r="33" spans="1:8" ht="15" customHeight="1">
      <c r="A33" s="6"/>
      <c r="H33" s="10"/>
    </row>
    <row r="34" spans="1:8" ht="15" customHeight="1">
      <c r="A34" s="6"/>
      <c r="H34" s="10"/>
    </row>
    <row r="35" spans="1:8" ht="15" customHeight="1">
      <c r="A35" s="6"/>
      <c r="H35" s="10"/>
    </row>
    <row r="36" spans="1:8" ht="15" customHeight="1">
      <c r="A36" s="6"/>
      <c r="H36" s="10"/>
    </row>
    <row r="37" spans="1:8" ht="15" customHeight="1">
      <c r="A37" s="6"/>
      <c r="H37" s="10"/>
    </row>
    <row r="38" spans="1:8" ht="15" customHeight="1">
      <c r="A38" s="6"/>
      <c r="H38" s="10"/>
    </row>
    <row r="39" spans="1:8" ht="15" customHeight="1">
      <c r="A39" s="6"/>
      <c r="H39" s="10"/>
    </row>
    <row r="40" spans="1:8" ht="15" customHeight="1">
      <c r="A40" s="6"/>
      <c r="H40" s="10"/>
    </row>
    <row r="41" spans="1:8" ht="15" customHeight="1">
      <c r="A41" s="6"/>
      <c r="H41" s="10"/>
    </row>
    <row r="42" spans="1:8" ht="15" customHeight="1">
      <c r="A42" s="6"/>
      <c r="H42" s="10"/>
    </row>
    <row r="43" spans="1:8" ht="15" customHeight="1">
      <c r="A43" s="6"/>
      <c r="H43" s="10"/>
    </row>
    <row r="44" spans="1:8" ht="15" customHeight="1">
      <c r="A44" s="6"/>
      <c r="H44" s="10"/>
    </row>
    <row r="45" spans="1:8" ht="15" customHeight="1">
      <c r="A45" s="6"/>
      <c r="H45" s="10"/>
    </row>
    <row r="46" spans="1:8" ht="15" customHeight="1">
      <c r="A46" s="6"/>
      <c r="H46" s="10"/>
    </row>
    <row r="47" spans="1:8" ht="15" customHeight="1">
      <c r="A47" s="6"/>
      <c r="H47" s="10"/>
    </row>
    <row r="48" spans="1:8" ht="15" customHeight="1">
      <c r="A48" s="6"/>
      <c r="H48" s="10"/>
    </row>
    <row r="49" spans="1:8" ht="15" customHeight="1">
      <c r="A49" s="6"/>
      <c r="H49" s="10"/>
    </row>
    <row r="50" spans="1:8" ht="15" customHeight="1">
      <c r="A50" s="6"/>
      <c r="H50" s="10"/>
    </row>
    <row r="51" spans="1:8" ht="15" customHeight="1">
      <c r="A51" s="6"/>
      <c r="H51" s="10"/>
    </row>
    <row r="52" spans="1:8" ht="15" customHeight="1">
      <c r="A52" s="6"/>
      <c r="H52" s="10"/>
    </row>
    <row r="53" spans="1:8" ht="15" customHeight="1">
      <c r="A53" s="6"/>
      <c r="H53" s="10"/>
    </row>
    <row r="54" spans="1:8" ht="15" customHeight="1" thickBot="1">
      <c r="A54" s="13"/>
      <c r="B54" s="14"/>
      <c r="C54" s="14"/>
      <c r="D54" s="14"/>
      <c r="E54" s="14"/>
      <c r="F54" s="14"/>
      <c r="G54" s="14"/>
      <c r="H54" s="15"/>
    </row>
  </sheetData>
  <mergeCells count="7">
    <mergeCell ref="O6:R6"/>
    <mergeCell ref="A1:H1"/>
    <mergeCell ref="B2:D2"/>
    <mergeCell ref="F2:H2"/>
    <mergeCell ref="B3:D3"/>
    <mergeCell ref="F3:H3"/>
    <mergeCell ref="K6:M6"/>
  </mergeCells>
  <phoneticPr fontId="2" type="noConversion"/>
  <pageMargins left="0.98425196850393704" right="0.59055118110236227" top="0.78740157480314965" bottom="0.39370078740157483" header="0.51181102362204722" footer="0.5118110236220472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54"/>
  <sheetViews>
    <sheetView showGridLines="0" workbookViewId="0">
      <selection activeCell="C15" sqref="C15"/>
    </sheetView>
  </sheetViews>
  <sheetFormatPr defaultRowHeight="13.5"/>
  <cols>
    <col min="1" max="1" width="10.625" style="1" customWidth="1"/>
    <col min="2" max="2" width="9" style="1"/>
    <col min="3" max="3" width="20.625" style="1" customWidth="1"/>
    <col min="4" max="4" width="9" style="1"/>
    <col min="5" max="5" width="10.5" style="1" customWidth="1"/>
    <col min="6" max="6" width="9" style="1"/>
    <col min="7" max="7" width="12.625" style="1" customWidth="1"/>
    <col min="8" max="8" width="4.625" style="1" customWidth="1"/>
    <col min="9" max="11" width="9" style="1"/>
    <col min="12" max="12" width="18.375" style="1" bestFit="1" customWidth="1"/>
    <col min="13" max="256" width="9" style="1"/>
    <col min="257" max="257" width="10.625" style="1" customWidth="1"/>
    <col min="258" max="258" width="9" style="1"/>
    <col min="259" max="259" width="20.625" style="1" customWidth="1"/>
    <col min="260" max="260" width="9" style="1"/>
    <col min="261" max="261" width="10.5" style="1" customWidth="1"/>
    <col min="262" max="262" width="9" style="1"/>
    <col min="263" max="263" width="12.625" style="1" customWidth="1"/>
    <col min="264" max="264" width="4.625" style="1" customWidth="1"/>
    <col min="265" max="267" width="9" style="1"/>
    <col min="268" max="268" width="18.375" style="1" bestFit="1" customWidth="1"/>
    <col min="269" max="512" width="9" style="1"/>
    <col min="513" max="513" width="10.625" style="1" customWidth="1"/>
    <col min="514" max="514" width="9" style="1"/>
    <col min="515" max="515" width="20.625" style="1" customWidth="1"/>
    <col min="516" max="516" width="9" style="1"/>
    <col min="517" max="517" width="10.5" style="1" customWidth="1"/>
    <col min="518" max="518" width="9" style="1"/>
    <col min="519" max="519" width="12.625" style="1" customWidth="1"/>
    <col min="520" max="520" width="4.625" style="1" customWidth="1"/>
    <col min="521" max="523" width="9" style="1"/>
    <col min="524" max="524" width="18.375" style="1" bestFit="1" customWidth="1"/>
    <col min="525" max="768" width="9" style="1"/>
    <col min="769" max="769" width="10.625" style="1" customWidth="1"/>
    <col min="770" max="770" width="9" style="1"/>
    <col min="771" max="771" width="20.625" style="1" customWidth="1"/>
    <col min="772" max="772" width="9" style="1"/>
    <col min="773" max="773" width="10.5" style="1" customWidth="1"/>
    <col min="774" max="774" width="9" style="1"/>
    <col min="775" max="775" width="12.625" style="1" customWidth="1"/>
    <col min="776" max="776" width="4.625" style="1" customWidth="1"/>
    <col min="777" max="779" width="9" style="1"/>
    <col min="780" max="780" width="18.375" style="1" bestFit="1" customWidth="1"/>
    <col min="781" max="1024" width="9" style="1"/>
    <col min="1025" max="1025" width="10.625" style="1" customWidth="1"/>
    <col min="1026" max="1026" width="9" style="1"/>
    <col min="1027" max="1027" width="20.625" style="1" customWidth="1"/>
    <col min="1028" max="1028" width="9" style="1"/>
    <col min="1029" max="1029" width="10.5" style="1" customWidth="1"/>
    <col min="1030" max="1030" width="9" style="1"/>
    <col min="1031" max="1031" width="12.625" style="1" customWidth="1"/>
    <col min="1032" max="1032" width="4.625" style="1" customWidth="1"/>
    <col min="1033" max="1035" width="9" style="1"/>
    <col min="1036" max="1036" width="18.375" style="1" bestFit="1" customWidth="1"/>
    <col min="1037" max="1280" width="9" style="1"/>
    <col min="1281" max="1281" width="10.625" style="1" customWidth="1"/>
    <col min="1282" max="1282" width="9" style="1"/>
    <col min="1283" max="1283" width="20.625" style="1" customWidth="1"/>
    <col min="1284" max="1284" width="9" style="1"/>
    <col min="1285" max="1285" width="10.5" style="1" customWidth="1"/>
    <col min="1286" max="1286" width="9" style="1"/>
    <col min="1287" max="1287" width="12.625" style="1" customWidth="1"/>
    <col min="1288" max="1288" width="4.625" style="1" customWidth="1"/>
    <col min="1289" max="1291" width="9" style="1"/>
    <col min="1292" max="1292" width="18.375" style="1" bestFit="1" customWidth="1"/>
    <col min="1293" max="1536" width="9" style="1"/>
    <col min="1537" max="1537" width="10.625" style="1" customWidth="1"/>
    <col min="1538" max="1538" width="9" style="1"/>
    <col min="1539" max="1539" width="20.625" style="1" customWidth="1"/>
    <col min="1540" max="1540" width="9" style="1"/>
    <col min="1541" max="1541" width="10.5" style="1" customWidth="1"/>
    <col min="1542" max="1542" width="9" style="1"/>
    <col min="1543" max="1543" width="12.625" style="1" customWidth="1"/>
    <col min="1544" max="1544" width="4.625" style="1" customWidth="1"/>
    <col min="1545" max="1547" width="9" style="1"/>
    <col min="1548" max="1548" width="18.375" style="1" bestFit="1" customWidth="1"/>
    <col min="1549" max="1792" width="9" style="1"/>
    <col min="1793" max="1793" width="10.625" style="1" customWidth="1"/>
    <col min="1794" max="1794" width="9" style="1"/>
    <col min="1795" max="1795" width="20.625" style="1" customWidth="1"/>
    <col min="1796" max="1796" width="9" style="1"/>
    <col min="1797" max="1797" width="10.5" style="1" customWidth="1"/>
    <col min="1798" max="1798" width="9" style="1"/>
    <col min="1799" max="1799" width="12.625" style="1" customWidth="1"/>
    <col min="1800" max="1800" width="4.625" style="1" customWidth="1"/>
    <col min="1801" max="1803" width="9" style="1"/>
    <col min="1804" max="1804" width="18.375" style="1" bestFit="1" customWidth="1"/>
    <col min="1805" max="2048" width="9" style="1"/>
    <col min="2049" max="2049" width="10.625" style="1" customWidth="1"/>
    <col min="2050" max="2050" width="9" style="1"/>
    <col min="2051" max="2051" width="20.625" style="1" customWidth="1"/>
    <col min="2052" max="2052" width="9" style="1"/>
    <col min="2053" max="2053" width="10.5" style="1" customWidth="1"/>
    <col min="2054" max="2054" width="9" style="1"/>
    <col min="2055" max="2055" width="12.625" style="1" customWidth="1"/>
    <col min="2056" max="2056" width="4.625" style="1" customWidth="1"/>
    <col min="2057" max="2059" width="9" style="1"/>
    <col min="2060" max="2060" width="18.375" style="1" bestFit="1" customWidth="1"/>
    <col min="2061" max="2304" width="9" style="1"/>
    <col min="2305" max="2305" width="10.625" style="1" customWidth="1"/>
    <col min="2306" max="2306" width="9" style="1"/>
    <col min="2307" max="2307" width="20.625" style="1" customWidth="1"/>
    <col min="2308" max="2308" width="9" style="1"/>
    <col min="2309" max="2309" width="10.5" style="1" customWidth="1"/>
    <col min="2310" max="2310" width="9" style="1"/>
    <col min="2311" max="2311" width="12.625" style="1" customWidth="1"/>
    <col min="2312" max="2312" width="4.625" style="1" customWidth="1"/>
    <col min="2313" max="2315" width="9" style="1"/>
    <col min="2316" max="2316" width="18.375" style="1" bestFit="1" customWidth="1"/>
    <col min="2317" max="2560" width="9" style="1"/>
    <col min="2561" max="2561" width="10.625" style="1" customWidth="1"/>
    <col min="2562" max="2562" width="9" style="1"/>
    <col min="2563" max="2563" width="20.625" style="1" customWidth="1"/>
    <col min="2564" max="2564" width="9" style="1"/>
    <col min="2565" max="2565" width="10.5" style="1" customWidth="1"/>
    <col min="2566" max="2566" width="9" style="1"/>
    <col min="2567" max="2567" width="12.625" style="1" customWidth="1"/>
    <col min="2568" max="2568" width="4.625" style="1" customWidth="1"/>
    <col min="2569" max="2571" width="9" style="1"/>
    <col min="2572" max="2572" width="18.375" style="1" bestFit="1" customWidth="1"/>
    <col min="2573" max="2816" width="9" style="1"/>
    <col min="2817" max="2817" width="10.625" style="1" customWidth="1"/>
    <col min="2818" max="2818" width="9" style="1"/>
    <col min="2819" max="2819" width="20.625" style="1" customWidth="1"/>
    <col min="2820" max="2820" width="9" style="1"/>
    <col min="2821" max="2821" width="10.5" style="1" customWidth="1"/>
    <col min="2822" max="2822" width="9" style="1"/>
    <col min="2823" max="2823" width="12.625" style="1" customWidth="1"/>
    <col min="2824" max="2824" width="4.625" style="1" customWidth="1"/>
    <col min="2825" max="2827" width="9" style="1"/>
    <col min="2828" max="2828" width="18.375" style="1" bestFit="1" customWidth="1"/>
    <col min="2829" max="3072" width="9" style="1"/>
    <col min="3073" max="3073" width="10.625" style="1" customWidth="1"/>
    <col min="3074" max="3074" width="9" style="1"/>
    <col min="3075" max="3075" width="20.625" style="1" customWidth="1"/>
    <col min="3076" max="3076" width="9" style="1"/>
    <col min="3077" max="3077" width="10.5" style="1" customWidth="1"/>
    <col min="3078" max="3078" width="9" style="1"/>
    <col min="3079" max="3079" width="12.625" style="1" customWidth="1"/>
    <col min="3080" max="3080" width="4.625" style="1" customWidth="1"/>
    <col min="3081" max="3083" width="9" style="1"/>
    <col min="3084" max="3084" width="18.375" style="1" bestFit="1" customWidth="1"/>
    <col min="3085" max="3328" width="9" style="1"/>
    <col min="3329" max="3329" width="10.625" style="1" customWidth="1"/>
    <col min="3330" max="3330" width="9" style="1"/>
    <col min="3331" max="3331" width="20.625" style="1" customWidth="1"/>
    <col min="3332" max="3332" width="9" style="1"/>
    <col min="3333" max="3333" width="10.5" style="1" customWidth="1"/>
    <col min="3334" max="3334" width="9" style="1"/>
    <col min="3335" max="3335" width="12.625" style="1" customWidth="1"/>
    <col min="3336" max="3336" width="4.625" style="1" customWidth="1"/>
    <col min="3337" max="3339" width="9" style="1"/>
    <col min="3340" max="3340" width="18.375" style="1" bestFit="1" customWidth="1"/>
    <col min="3341" max="3584" width="9" style="1"/>
    <col min="3585" max="3585" width="10.625" style="1" customWidth="1"/>
    <col min="3586" max="3586" width="9" style="1"/>
    <col min="3587" max="3587" width="20.625" style="1" customWidth="1"/>
    <col min="3588" max="3588" width="9" style="1"/>
    <col min="3589" max="3589" width="10.5" style="1" customWidth="1"/>
    <col min="3590" max="3590" width="9" style="1"/>
    <col min="3591" max="3591" width="12.625" style="1" customWidth="1"/>
    <col min="3592" max="3592" width="4.625" style="1" customWidth="1"/>
    <col min="3593" max="3595" width="9" style="1"/>
    <col min="3596" max="3596" width="18.375" style="1" bestFit="1" customWidth="1"/>
    <col min="3597" max="3840" width="9" style="1"/>
    <col min="3841" max="3841" width="10.625" style="1" customWidth="1"/>
    <col min="3842" max="3842" width="9" style="1"/>
    <col min="3843" max="3843" width="20.625" style="1" customWidth="1"/>
    <col min="3844" max="3844" width="9" style="1"/>
    <col min="3845" max="3845" width="10.5" style="1" customWidth="1"/>
    <col min="3846" max="3846" width="9" style="1"/>
    <col min="3847" max="3847" width="12.625" style="1" customWidth="1"/>
    <col min="3848" max="3848" width="4.625" style="1" customWidth="1"/>
    <col min="3849" max="3851" width="9" style="1"/>
    <col min="3852" max="3852" width="18.375" style="1" bestFit="1" customWidth="1"/>
    <col min="3853" max="4096" width="9" style="1"/>
    <col min="4097" max="4097" width="10.625" style="1" customWidth="1"/>
    <col min="4098" max="4098" width="9" style="1"/>
    <col min="4099" max="4099" width="20.625" style="1" customWidth="1"/>
    <col min="4100" max="4100" width="9" style="1"/>
    <col min="4101" max="4101" width="10.5" style="1" customWidth="1"/>
    <col min="4102" max="4102" width="9" style="1"/>
    <col min="4103" max="4103" width="12.625" style="1" customWidth="1"/>
    <col min="4104" max="4104" width="4.625" style="1" customWidth="1"/>
    <col min="4105" max="4107" width="9" style="1"/>
    <col min="4108" max="4108" width="18.375" style="1" bestFit="1" customWidth="1"/>
    <col min="4109" max="4352" width="9" style="1"/>
    <col min="4353" max="4353" width="10.625" style="1" customWidth="1"/>
    <col min="4354" max="4354" width="9" style="1"/>
    <col min="4355" max="4355" width="20.625" style="1" customWidth="1"/>
    <col min="4356" max="4356" width="9" style="1"/>
    <col min="4357" max="4357" width="10.5" style="1" customWidth="1"/>
    <col min="4358" max="4358" width="9" style="1"/>
    <col min="4359" max="4359" width="12.625" style="1" customWidth="1"/>
    <col min="4360" max="4360" width="4.625" style="1" customWidth="1"/>
    <col min="4361" max="4363" width="9" style="1"/>
    <col min="4364" max="4364" width="18.375" style="1" bestFit="1" customWidth="1"/>
    <col min="4365" max="4608" width="9" style="1"/>
    <col min="4609" max="4609" width="10.625" style="1" customWidth="1"/>
    <col min="4610" max="4610" width="9" style="1"/>
    <col min="4611" max="4611" width="20.625" style="1" customWidth="1"/>
    <col min="4612" max="4612" width="9" style="1"/>
    <col min="4613" max="4613" width="10.5" style="1" customWidth="1"/>
    <col min="4614" max="4614" width="9" style="1"/>
    <col min="4615" max="4615" width="12.625" style="1" customWidth="1"/>
    <col min="4616" max="4616" width="4.625" style="1" customWidth="1"/>
    <col min="4617" max="4619" width="9" style="1"/>
    <col min="4620" max="4620" width="18.375" style="1" bestFit="1" customWidth="1"/>
    <col min="4621" max="4864" width="9" style="1"/>
    <col min="4865" max="4865" width="10.625" style="1" customWidth="1"/>
    <col min="4866" max="4866" width="9" style="1"/>
    <col min="4867" max="4867" width="20.625" style="1" customWidth="1"/>
    <col min="4868" max="4868" width="9" style="1"/>
    <col min="4869" max="4869" width="10.5" style="1" customWidth="1"/>
    <col min="4870" max="4870" width="9" style="1"/>
    <col min="4871" max="4871" width="12.625" style="1" customWidth="1"/>
    <col min="4872" max="4872" width="4.625" style="1" customWidth="1"/>
    <col min="4873" max="4875" width="9" style="1"/>
    <col min="4876" max="4876" width="18.375" style="1" bestFit="1" customWidth="1"/>
    <col min="4877" max="5120" width="9" style="1"/>
    <col min="5121" max="5121" width="10.625" style="1" customWidth="1"/>
    <col min="5122" max="5122" width="9" style="1"/>
    <col min="5123" max="5123" width="20.625" style="1" customWidth="1"/>
    <col min="5124" max="5124" width="9" style="1"/>
    <col min="5125" max="5125" width="10.5" style="1" customWidth="1"/>
    <col min="5126" max="5126" width="9" style="1"/>
    <col min="5127" max="5127" width="12.625" style="1" customWidth="1"/>
    <col min="5128" max="5128" width="4.625" style="1" customWidth="1"/>
    <col min="5129" max="5131" width="9" style="1"/>
    <col min="5132" max="5132" width="18.375" style="1" bestFit="1" customWidth="1"/>
    <col min="5133" max="5376" width="9" style="1"/>
    <col min="5377" max="5377" width="10.625" style="1" customWidth="1"/>
    <col min="5378" max="5378" width="9" style="1"/>
    <col min="5379" max="5379" width="20.625" style="1" customWidth="1"/>
    <col min="5380" max="5380" width="9" style="1"/>
    <col min="5381" max="5381" width="10.5" style="1" customWidth="1"/>
    <col min="5382" max="5382" width="9" style="1"/>
    <col min="5383" max="5383" width="12.625" style="1" customWidth="1"/>
    <col min="5384" max="5384" width="4.625" style="1" customWidth="1"/>
    <col min="5385" max="5387" width="9" style="1"/>
    <col min="5388" max="5388" width="18.375" style="1" bestFit="1" customWidth="1"/>
    <col min="5389" max="5632" width="9" style="1"/>
    <col min="5633" max="5633" width="10.625" style="1" customWidth="1"/>
    <col min="5634" max="5634" width="9" style="1"/>
    <col min="5635" max="5635" width="20.625" style="1" customWidth="1"/>
    <col min="5636" max="5636" width="9" style="1"/>
    <col min="5637" max="5637" width="10.5" style="1" customWidth="1"/>
    <col min="5638" max="5638" width="9" style="1"/>
    <col min="5639" max="5639" width="12.625" style="1" customWidth="1"/>
    <col min="5640" max="5640" width="4.625" style="1" customWidth="1"/>
    <col min="5641" max="5643" width="9" style="1"/>
    <col min="5644" max="5644" width="18.375" style="1" bestFit="1" customWidth="1"/>
    <col min="5645" max="5888" width="9" style="1"/>
    <col min="5889" max="5889" width="10.625" style="1" customWidth="1"/>
    <col min="5890" max="5890" width="9" style="1"/>
    <col min="5891" max="5891" width="20.625" style="1" customWidth="1"/>
    <col min="5892" max="5892" width="9" style="1"/>
    <col min="5893" max="5893" width="10.5" style="1" customWidth="1"/>
    <col min="5894" max="5894" width="9" style="1"/>
    <col min="5895" max="5895" width="12.625" style="1" customWidth="1"/>
    <col min="5896" max="5896" width="4.625" style="1" customWidth="1"/>
    <col min="5897" max="5899" width="9" style="1"/>
    <col min="5900" max="5900" width="18.375" style="1" bestFit="1" customWidth="1"/>
    <col min="5901" max="6144" width="9" style="1"/>
    <col min="6145" max="6145" width="10.625" style="1" customWidth="1"/>
    <col min="6146" max="6146" width="9" style="1"/>
    <col min="6147" max="6147" width="20.625" style="1" customWidth="1"/>
    <col min="6148" max="6148" width="9" style="1"/>
    <col min="6149" max="6149" width="10.5" style="1" customWidth="1"/>
    <col min="6150" max="6150" width="9" style="1"/>
    <col min="6151" max="6151" width="12.625" style="1" customWidth="1"/>
    <col min="6152" max="6152" width="4.625" style="1" customWidth="1"/>
    <col min="6153" max="6155" width="9" style="1"/>
    <col min="6156" max="6156" width="18.375" style="1" bestFit="1" customWidth="1"/>
    <col min="6157" max="6400" width="9" style="1"/>
    <col min="6401" max="6401" width="10.625" style="1" customWidth="1"/>
    <col min="6402" max="6402" width="9" style="1"/>
    <col min="6403" max="6403" width="20.625" style="1" customWidth="1"/>
    <col min="6404" max="6404" width="9" style="1"/>
    <col min="6405" max="6405" width="10.5" style="1" customWidth="1"/>
    <col min="6406" max="6406" width="9" style="1"/>
    <col min="6407" max="6407" width="12.625" style="1" customWidth="1"/>
    <col min="6408" max="6408" width="4.625" style="1" customWidth="1"/>
    <col min="6409" max="6411" width="9" style="1"/>
    <col min="6412" max="6412" width="18.375" style="1" bestFit="1" customWidth="1"/>
    <col min="6413" max="6656" width="9" style="1"/>
    <col min="6657" max="6657" width="10.625" style="1" customWidth="1"/>
    <col min="6658" max="6658" width="9" style="1"/>
    <col min="6659" max="6659" width="20.625" style="1" customWidth="1"/>
    <col min="6660" max="6660" width="9" style="1"/>
    <col min="6661" max="6661" width="10.5" style="1" customWidth="1"/>
    <col min="6662" max="6662" width="9" style="1"/>
    <col min="6663" max="6663" width="12.625" style="1" customWidth="1"/>
    <col min="6664" max="6664" width="4.625" style="1" customWidth="1"/>
    <col min="6665" max="6667" width="9" style="1"/>
    <col min="6668" max="6668" width="18.375" style="1" bestFit="1" customWidth="1"/>
    <col min="6669" max="6912" width="9" style="1"/>
    <col min="6913" max="6913" width="10.625" style="1" customWidth="1"/>
    <col min="6914" max="6914" width="9" style="1"/>
    <col min="6915" max="6915" width="20.625" style="1" customWidth="1"/>
    <col min="6916" max="6916" width="9" style="1"/>
    <col min="6917" max="6917" width="10.5" style="1" customWidth="1"/>
    <col min="6918" max="6918" width="9" style="1"/>
    <col min="6919" max="6919" width="12.625" style="1" customWidth="1"/>
    <col min="6920" max="6920" width="4.625" style="1" customWidth="1"/>
    <col min="6921" max="6923" width="9" style="1"/>
    <col min="6924" max="6924" width="18.375" style="1" bestFit="1" customWidth="1"/>
    <col min="6925" max="7168" width="9" style="1"/>
    <col min="7169" max="7169" width="10.625" style="1" customWidth="1"/>
    <col min="7170" max="7170" width="9" style="1"/>
    <col min="7171" max="7171" width="20.625" style="1" customWidth="1"/>
    <col min="7172" max="7172" width="9" style="1"/>
    <col min="7173" max="7173" width="10.5" style="1" customWidth="1"/>
    <col min="7174" max="7174" width="9" style="1"/>
    <col min="7175" max="7175" width="12.625" style="1" customWidth="1"/>
    <col min="7176" max="7176" width="4.625" style="1" customWidth="1"/>
    <col min="7177" max="7179" width="9" style="1"/>
    <col min="7180" max="7180" width="18.375" style="1" bestFit="1" customWidth="1"/>
    <col min="7181" max="7424" width="9" style="1"/>
    <col min="7425" max="7425" width="10.625" style="1" customWidth="1"/>
    <col min="7426" max="7426" width="9" style="1"/>
    <col min="7427" max="7427" width="20.625" style="1" customWidth="1"/>
    <col min="7428" max="7428" width="9" style="1"/>
    <col min="7429" max="7429" width="10.5" style="1" customWidth="1"/>
    <col min="7430" max="7430" width="9" style="1"/>
    <col min="7431" max="7431" width="12.625" style="1" customWidth="1"/>
    <col min="7432" max="7432" width="4.625" style="1" customWidth="1"/>
    <col min="7433" max="7435" width="9" style="1"/>
    <col min="7436" max="7436" width="18.375" style="1" bestFit="1" customWidth="1"/>
    <col min="7437" max="7680" width="9" style="1"/>
    <col min="7681" max="7681" width="10.625" style="1" customWidth="1"/>
    <col min="7682" max="7682" width="9" style="1"/>
    <col min="7683" max="7683" width="20.625" style="1" customWidth="1"/>
    <col min="7684" max="7684" width="9" style="1"/>
    <col min="7685" max="7685" width="10.5" style="1" customWidth="1"/>
    <col min="7686" max="7686" width="9" style="1"/>
    <col min="7687" max="7687" width="12.625" style="1" customWidth="1"/>
    <col min="7688" max="7688" width="4.625" style="1" customWidth="1"/>
    <col min="7689" max="7691" width="9" style="1"/>
    <col min="7692" max="7692" width="18.375" style="1" bestFit="1" customWidth="1"/>
    <col min="7693" max="7936" width="9" style="1"/>
    <col min="7937" max="7937" width="10.625" style="1" customWidth="1"/>
    <col min="7938" max="7938" width="9" style="1"/>
    <col min="7939" max="7939" width="20.625" style="1" customWidth="1"/>
    <col min="7940" max="7940" width="9" style="1"/>
    <col min="7941" max="7941" width="10.5" style="1" customWidth="1"/>
    <col min="7942" max="7942" width="9" style="1"/>
    <col min="7943" max="7943" width="12.625" style="1" customWidth="1"/>
    <col min="7944" max="7944" width="4.625" style="1" customWidth="1"/>
    <col min="7945" max="7947" width="9" style="1"/>
    <col min="7948" max="7948" width="18.375" style="1" bestFit="1" customWidth="1"/>
    <col min="7949" max="8192" width="9" style="1"/>
    <col min="8193" max="8193" width="10.625" style="1" customWidth="1"/>
    <col min="8194" max="8194" width="9" style="1"/>
    <col min="8195" max="8195" width="20.625" style="1" customWidth="1"/>
    <col min="8196" max="8196" width="9" style="1"/>
    <col min="8197" max="8197" width="10.5" style="1" customWidth="1"/>
    <col min="8198" max="8198" width="9" style="1"/>
    <col min="8199" max="8199" width="12.625" style="1" customWidth="1"/>
    <col min="8200" max="8200" width="4.625" style="1" customWidth="1"/>
    <col min="8201" max="8203" width="9" style="1"/>
    <col min="8204" max="8204" width="18.375" style="1" bestFit="1" customWidth="1"/>
    <col min="8205" max="8448" width="9" style="1"/>
    <col min="8449" max="8449" width="10.625" style="1" customWidth="1"/>
    <col min="8450" max="8450" width="9" style="1"/>
    <col min="8451" max="8451" width="20.625" style="1" customWidth="1"/>
    <col min="8452" max="8452" width="9" style="1"/>
    <col min="8453" max="8453" width="10.5" style="1" customWidth="1"/>
    <col min="8454" max="8454" width="9" style="1"/>
    <col min="8455" max="8455" width="12.625" style="1" customWidth="1"/>
    <col min="8456" max="8456" width="4.625" style="1" customWidth="1"/>
    <col min="8457" max="8459" width="9" style="1"/>
    <col min="8460" max="8460" width="18.375" style="1" bestFit="1" customWidth="1"/>
    <col min="8461" max="8704" width="9" style="1"/>
    <col min="8705" max="8705" width="10.625" style="1" customWidth="1"/>
    <col min="8706" max="8706" width="9" style="1"/>
    <col min="8707" max="8707" width="20.625" style="1" customWidth="1"/>
    <col min="8708" max="8708" width="9" style="1"/>
    <col min="8709" max="8709" width="10.5" style="1" customWidth="1"/>
    <col min="8710" max="8710" width="9" style="1"/>
    <col min="8711" max="8711" width="12.625" style="1" customWidth="1"/>
    <col min="8712" max="8712" width="4.625" style="1" customWidth="1"/>
    <col min="8713" max="8715" width="9" style="1"/>
    <col min="8716" max="8716" width="18.375" style="1" bestFit="1" customWidth="1"/>
    <col min="8717" max="8960" width="9" style="1"/>
    <col min="8961" max="8961" width="10.625" style="1" customWidth="1"/>
    <col min="8962" max="8962" width="9" style="1"/>
    <col min="8963" max="8963" width="20.625" style="1" customWidth="1"/>
    <col min="8964" max="8964" width="9" style="1"/>
    <col min="8965" max="8965" width="10.5" style="1" customWidth="1"/>
    <col min="8966" max="8966" width="9" style="1"/>
    <col min="8967" max="8967" width="12.625" style="1" customWidth="1"/>
    <col min="8968" max="8968" width="4.625" style="1" customWidth="1"/>
    <col min="8969" max="8971" width="9" style="1"/>
    <col min="8972" max="8972" width="18.375" style="1" bestFit="1" customWidth="1"/>
    <col min="8973" max="9216" width="9" style="1"/>
    <col min="9217" max="9217" width="10.625" style="1" customWidth="1"/>
    <col min="9218" max="9218" width="9" style="1"/>
    <col min="9219" max="9219" width="20.625" style="1" customWidth="1"/>
    <col min="9220" max="9220" width="9" style="1"/>
    <col min="9221" max="9221" width="10.5" style="1" customWidth="1"/>
    <col min="9222" max="9222" width="9" style="1"/>
    <col min="9223" max="9223" width="12.625" style="1" customWidth="1"/>
    <col min="9224" max="9224" width="4.625" style="1" customWidth="1"/>
    <col min="9225" max="9227" width="9" style="1"/>
    <col min="9228" max="9228" width="18.375" style="1" bestFit="1" customWidth="1"/>
    <col min="9229" max="9472" width="9" style="1"/>
    <col min="9473" max="9473" width="10.625" style="1" customWidth="1"/>
    <col min="9474" max="9474" width="9" style="1"/>
    <col min="9475" max="9475" width="20.625" style="1" customWidth="1"/>
    <col min="9476" max="9476" width="9" style="1"/>
    <col min="9477" max="9477" width="10.5" style="1" customWidth="1"/>
    <col min="9478" max="9478" width="9" style="1"/>
    <col min="9479" max="9479" width="12.625" style="1" customWidth="1"/>
    <col min="9480" max="9480" width="4.625" style="1" customWidth="1"/>
    <col min="9481" max="9483" width="9" style="1"/>
    <col min="9484" max="9484" width="18.375" style="1" bestFit="1" customWidth="1"/>
    <col min="9485" max="9728" width="9" style="1"/>
    <col min="9729" max="9729" width="10.625" style="1" customWidth="1"/>
    <col min="9730" max="9730" width="9" style="1"/>
    <col min="9731" max="9731" width="20.625" style="1" customWidth="1"/>
    <col min="9732" max="9732" width="9" style="1"/>
    <col min="9733" max="9733" width="10.5" style="1" customWidth="1"/>
    <col min="9734" max="9734" width="9" style="1"/>
    <col min="9735" max="9735" width="12.625" style="1" customWidth="1"/>
    <col min="9736" max="9736" width="4.625" style="1" customWidth="1"/>
    <col min="9737" max="9739" width="9" style="1"/>
    <col min="9740" max="9740" width="18.375" style="1" bestFit="1" customWidth="1"/>
    <col min="9741" max="9984" width="9" style="1"/>
    <col min="9985" max="9985" width="10.625" style="1" customWidth="1"/>
    <col min="9986" max="9986" width="9" style="1"/>
    <col min="9987" max="9987" width="20.625" style="1" customWidth="1"/>
    <col min="9988" max="9988" width="9" style="1"/>
    <col min="9989" max="9989" width="10.5" style="1" customWidth="1"/>
    <col min="9990" max="9990" width="9" style="1"/>
    <col min="9991" max="9991" width="12.625" style="1" customWidth="1"/>
    <col min="9992" max="9992" width="4.625" style="1" customWidth="1"/>
    <col min="9993" max="9995" width="9" style="1"/>
    <col min="9996" max="9996" width="18.375" style="1" bestFit="1" customWidth="1"/>
    <col min="9997" max="10240" width="9" style="1"/>
    <col min="10241" max="10241" width="10.625" style="1" customWidth="1"/>
    <col min="10242" max="10242" width="9" style="1"/>
    <col min="10243" max="10243" width="20.625" style="1" customWidth="1"/>
    <col min="10244" max="10244" width="9" style="1"/>
    <col min="10245" max="10245" width="10.5" style="1" customWidth="1"/>
    <col min="10246" max="10246" width="9" style="1"/>
    <col min="10247" max="10247" width="12.625" style="1" customWidth="1"/>
    <col min="10248" max="10248" width="4.625" style="1" customWidth="1"/>
    <col min="10249" max="10251" width="9" style="1"/>
    <col min="10252" max="10252" width="18.375" style="1" bestFit="1" customWidth="1"/>
    <col min="10253" max="10496" width="9" style="1"/>
    <col min="10497" max="10497" width="10.625" style="1" customWidth="1"/>
    <col min="10498" max="10498" width="9" style="1"/>
    <col min="10499" max="10499" width="20.625" style="1" customWidth="1"/>
    <col min="10500" max="10500" width="9" style="1"/>
    <col min="10501" max="10501" width="10.5" style="1" customWidth="1"/>
    <col min="10502" max="10502" width="9" style="1"/>
    <col min="10503" max="10503" width="12.625" style="1" customWidth="1"/>
    <col min="10504" max="10504" width="4.625" style="1" customWidth="1"/>
    <col min="10505" max="10507" width="9" style="1"/>
    <col min="10508" max="10508" width="18.375" style="1" bestFit="1" customWidth="1"/>
    <col min="10509" max="10752" width="9" style="1"/>
    <col min="10753" max="10753" width="10.625" style="1" customWidth="1"/>
    <col min="10754" max="10754" width="9" style="1"/>
    <col min="10755" max="10755" width="20.625" style="1" customWidth="1"/>
    <col min="10756" max="10756" width="9" style="1"/>
    <col min="10757" max="10757" width="10.5" style="1" customWidth="1"/>
    <col min="10758" max="10758" width="9" style="1"/>
    <col min="10759" max="10759" width="12.625" style="1" customWidth="1"/>
    <col min="10760" max="10760" width="4.625" style="1" customWidth="1"/>
    <col min="10761" max="10763" width="9" style="1"/>
    <col min="10764" max="10764" width="18.375" style="1" bestFit="1" customWidth="1"/>
    <col min="10765" max="11008" width="9" style="1"/>
    <col min="11009" max="11009" width="10.625" style="1" customWidth="1"/>
    <col min="11010" max="11010" width="9" style="1"/>
    <col min="11011" max="11011" width="20.625" style="1" customWidth="1"/>
    <col min="11012" max="11012" width="9" style="1"/>
    <col min="11013" max="11013" width="10.5" style="1" customWidth="1"/>
    <col min="11014" max="11014" width="9" style="1"/>
    <col min="11015" max="11015" width="12.625" style="1" customWidth="1"/>
    <col min="11016" max="11016" width="4.625" style="1" customWidth="1"/>
    <col min="11017" max="11019" width="9" style="1"/>
    <col min="11020" max="11020" width="18.375" style="1" bestFit="1" customWidth="1"/>
    <col min="11021" max="11264" width="9" style="1"/>
    <col min="11265" max="11265" width="10.625" style="1" customWidth="1"/>
    <col min="11266" max="11266" width="9" style="1"/>
    <col min="11267" max="11267" width="20.625" style="1" customWidth="1"/>
    <col min="11268" max="11268" width="9" style="1"/>
    <col min="11269" max="11269" width="10.5" style="1" customWidth="1"/>
    <col min="11270" max="11270" width="9" style="1"/>
    <col min="11271" max="11271" width="12.625" style="1" customWidth="1"/>
    <col min="11272" max="11272" width="4.625" style="1" customWidth="1"/>
    <col min="11273" max="11275" width="9" style="1"/>
    <col min="11276" max="11276" width="18.375" style="1" bestFit="1" customWidth="1"/>
    <col min="11277" max="11520" width="9" style="1"/>
    <col min="11521" max="11521" width="10.625" style="1" customWidth="1"/>
    <col min="11522" max="11522" width="9" style="1"/>
    <col min="11523" max="11523" width="20.625" style="1" customWidth="1"/>
    <col min="11524" max="11524" width="9" style="1"/>
    <col min="11525" max="11525" width="10.5" style="1" customWidth="1"/>
    <col min="11526" max="11526" width="9" style="1"/>
    <col min="11527" max="11527" width="12.625" style="1" customWidth="1"/>
    <col min="11528" max="11528" width="4.625" style="1" customWidth="1"/>
    <col min="11529" max="11531" width="9" style="1"/>
    <col min="11532" max="11532" width="18.375" style="1" bestFit="1" customWidth="1"/>
    <col min="11533" max="11776" width="9" style="1"/>
    <col min="11777" max="11777" width="10.625" style="1" customWidth="1"/>
    <col min="11778" max="11778" width="9" style="1"/>
    <col min="11779" max="11779" width="20.625" style="1" customWidth="1"/>
    <col min="11780" max="11780" width="9" style="1"/>
    <col min="11781" max="11781" width="10.5" style="1" customWidth="1"/>
    <col min="11782" max="11782" width="9" style="1"/>
    <col min="11783" max="11783" width="12.625" style="1" customWidth="1"/>
    <col min="11784" max="11784" width="4.625" style="1" customWidth="1"/>
    <col min="11785" max="11787" width="9" style="1"/>
    <col min="11788" max="11788" width="18.375" style="1" bestFit="1" customWidth="1"/>
    <col min="11789" max="12032" width="9" style="1"/>
    <col min="12033" max="12033" width="10.625" style="1" customWidth="1"/>
    <col min="12034" max="12034" width="9" style="1"/>
    <col min="12035" max="12035" width="20.625" style="1" customWidth="1"/>
    <col min="12036" max="12036" width="9" style="1"/>
    <col min="12037" max="12037" width="10.5" style="1" customWidth="1"/>
    <col min="12038" max="12038" width="9" style="1"/>
    <col min="12039" max="12039" width="12.625" style="1" customWidth="1"/>
    <col min="12040" max="12040" width="4.625" style="1" customWidth="1"/>
    <col min="12041" max="12043" width="9" style="1"/>
    <col min="12044" max="12044" width="18.375" style="1" bestFit="1" customWidth="1"/>
    <col min="12045" max="12288" width="9" style="1"/>
    <col min="12289" max="12289" width="10.625" style="1" customWidth="1"/>
    <col min="12290" max="12290" width="9" style="1"/>
    <col min="12291" max="12291" width="20.625" style="1" customWidth="1"/>
    <col min="12292" max="12292" width="9" style="1"/>
    <col min="12293" max="12293" width="10.5" style="1" customWidth="1"/>
    <col min="12294" max="12294" width="9" style="1"/>
    <col min="12295" max="12295" width="12.625" style="1" customWidth="1"/>
    <col min="12296" max="12296" width="4.625" style="1" customWidth="1"/>
    <col min="12297" max="12299" width="9" style="1"/>
    <col min="12300" max="12300" width="18.375" style="1" bestFit="1" customWidth="1"/>
    <col min="12301" max="12544" width="9" style="1"/>
    <col min="12545" max="12545" width="10.625" style="1" customWidth="1"/>
    <col min="12546" max="12546" width="9" style="1"/>
    <col min="12547" max="12547" width="20.625" style="1" customWidth="1"/>
    <col min="12548" max="12548" width="9" style="1"/>
    <col min="12549" max="12549" width="10.5" style="1" customWidth="1"/>
    <col min="12550" max="12550" width="9" style="1"/>
    <col min="12551" max="12551" width="12.625" style="1" customWidth="1"/>
    <col min="12552" max="12552" width="4.625" style="1" customWidth="1"/>
    <col min="12553" max="12555" width="9" style="1"/>
    <col min="12556" max="12556" width="18.375" style="1" bestFit="1" customWidth="1"/>
    <col min="12557" max="12800" width="9" style="1"/>
    <col min="12801" max="12801" width="10.625" style="1" customWidth="1"/>
    <col min="12802" max="12802" width="9" style="1"/>
    <col min="12803" max="12803" width="20.625" style="1" customWidth="1"/>
    <col min="12804" max="12804" width="9" style="1"/>
    <col min="12805" max="12805" width="10.5" style="1" customWidth="1"/>
    <col min="12806" max="12806" width="9" style="1"/>
    <col min="12807" max="12807" width="12.625" style="1" customWidth="1"/>
    <col min="12808" max="12808" width="4.625" style="1" customWidth="1"/>
    <col min="12809" max="12811" width="9" style="1"/>
    <col min="12812" max="12812" width="18.375" style="1" bestFit="1" customWidth="1"/>
    <col min="12813" max="13056" width="9" style="1"/>
    <col min="13057" max="13057" width="10.625" style="1" customWidth="1"/>
    <col min="13058" max="13058" width="9" style="1"/>
    <col min="13059" max="13059" width="20.625" style="1" customWidth="1"/>
    <col min="13060" max="13060" width="9" style="1"/>
    <col min="13061" max="13061" width="10.5" style="1" customWidth="1"/>
    <col min="13062" max="13062" width="9" style="1"/>
    <col min="13063" max="13063" width="12.625" style="1" customWidth="1"/>
    <col min="13064" max="13064" width="4.625" style="1" customWidth="1"/>
    <col min="13065" max="13067" width="9" style="1"/>
    <col min="13068" max="13068" width="18.375" style="1" bestFit="1" customWidth="1"/>
    <col min="13069" max="13312" width="9" style="1"/>
    <col min="13313" max="13313" width="10.625" style="1" customWidth="1"/>
    <col min="13314" max="13314" width="9" style="1"/>
    <col min="13315" max="13315" width="20.625" style="1" customWidth="1"/>
    <col min="13316" max="13316" width="9" style="1"/>
    <col min="13317" max="13317" width="10.5" style="1" customWidth="1"/>
    <col min="13318" max="13318" width="9" style="1"/>
    <col min="13319" max="13319" width="12.625" style="1" customWidth="1"/>
    <col min="13320" max="13320" width="4.625" style="1" customWidth="1"/>
    <col min="13321" max="13323" width="9" style="1"/>
    <col min="13324" max="13324" width="18.375" style="1" bestFit="1" customWidth="1"/>
    <col min="13325" max="13568" width="9" style="1"/>
    <col min="13569" max="13569" width="10.625" style="1" customWidth="1"/>
    <col min="13570" max="13570" width="9" style="1"/>
    <col min="13571" max="13571" width="20.625" style="1" customWidth="1"/>
    <col min="13572" max="13572" width="9" style="1"/>
    <col min="13573" max="13573" width="10.5" style="1" customWidth="1"/>
    <col min="13574" max="13574" width="9" style="1"/>
    <col min="13575" max="13575" width="12.625" style="1" customWidth="1"/>
    <col min="13576" max="13576" width="4.625" style="1" customWidth="1"/>
    <col min="13577" max="13579" width="9" style="1"/>
    <col min="13580" max="13580" width="18.375" style="1" bestFit="1" customWidth="1"/>
    <col min="13581" max="13824" width="9" style="1"/>
    <col min="13825" max="13825" width="10.625" style="1" customWidth="1"/>
    <col min="13826" max="13826" width="9" style="1"/>
    <col min="13827" max="13827" width="20.625" style="1" customWidth="1"/>
    <col min="13828" max="13828" width="9" style="1"/>
    <col min="13829" max="13829" width="10.5" style="1" customWidth="1"/>
    <col min="13830" max="13830" width="9" style="1"/>
    <col min="13831" max="13831" width="12.625" style="1" customWidth="1"/>
    <col min="13832" max="13832" width="4.625" style="1" customWidth="1"/>
    <col min="13833" max="13835" width="9" style="1"/>
    <col min="13836" max="13836" width="18.375" style="1" bestFit="1" customWidth="1"/>
    <col min="13837" max="14080" width="9" style="1"/>
    <col min="14081" max="14081" width="10.625" style="1" customWidth="1"/>
    <col min="14082" max="14082" width="9" style="1"/>
    <col min="14083" max="14083" width="20.625" style="1" customWidth="1"/>
    <col min="14084" max="14084" width="9" style="1"/>
    <col min="14085" max="14085" width="10.5" style="1" customWidth="1"/>
    <col min="14086" max="14086" width="9" style="1"/>
    <col min="14087" max="14087" width="12.625" style="1" customWidth="1"/>
    <col min="14088" max="14088" width="4.625" style="1" customWidth="1"/>
    <col min="14089" max="14091" width="9" style="1"/>
    <col min="14092" max="14092" width="18.375" style="1" bestFit="1" customWidth="1"/>
    <col min="14093" max="14336" width="9" style="1"/>
    <col min="14337" max="14337" width="10.625" style="1" customWidth="1"/>
    <col min="14338" max="14338" width="9" style="1"/>
    <col min="14339" max="14339" width="20.625" style="1" customWidth="1"/>
    <col min="14340" max="14340" width="9" style="1"/>
    <col min="14341" max="14341" width="10.5" style="1" customWidth="1"/>
    <col min="14342" max="14342" width="9" style="1"/>
    <col min="14343" max="14343" width="12.625" style="1" customWidth="1"/>
    <col min="14344" max="14344" width="4.625" style="1" customWidth="1"/>
    <col min="14345" max="14347" width="9" style="1"/>
    <col min="14348" max="14348" width="18.375" style="1" bestFit="1" customWidth="1"/>
    <col min="14349" max="14592" width="9" style="1"/>
    <col min="14593" max="14593" width="10.625" style="1" customWidth="1"/>
    <col min="14594" max="14594" width="9" style="1"/>
    <col min="14595" max="14595" width="20.625" style="1" customWidth="1"/>
    <col min="14596" max="14596" width="9" style="1"/>
    <col min="14597" max="14597" width="10.5" style="1" customWidth="1"/>
    <col min="14598" max="14598" width="9" style="1"/>
    <col min="14599" max="14599" width="12.625" style="1" customWidth="1"/>
    <col min="14600" max="14600" width="4.625" style="1" customWidth="1"/>
    <col min="14601" max="14603" width="9" style="1"/>
    <col min="14604" max="14604" width="18.375" style="1" bestFit="1" customWidth="1"/>
    <col min="14605" max="14848" width="9" style="1"/>
    <col min="14849" max="14849" width="10.625" style="1" customWidth="1"/>
    <col min="14850" max="14850" width="9" style="1"/>
    <col min="14851" max="14851" width="20.625" style="1" customWidth="1"/>
    <col min="14852" max="14852" width="9" style="1"/>
    <col min="14853" max="14853" width="10.5" style="1" customWidth="1"/>
    <col min="14854" max="14854" width="9" style="1"/>
    <col min="14855" max="14855" width="12.625" style="1" customWidth="1"/>
    <col min="14856" max="14856" width="4.625" style="1" customWidth="1"/>
    <col min="14857" max="14859" width="9" style="1"/>
    <col min="14860" max="14860" width="18.375" style="1" bestFit="1" customWidth="1"/>
    <col min="14861" max="15104" width="9" style="1"/>
    <col min="15105" max="15105" width="10.625" style="1" customWidth="1"/>
    <col min="15106" max="15106" width="9" style="1"/>
    <col min="15107" max="15107" width="20.625" style="1" customWidth="1"/>
    <col min="15108" max="15108" width="9" style="1"/>
    <col min="15109" max="15109" width="10.5" style="1" customWidth="1"/>
    <col min="15110" max="15110" width="9" style="1"/>
    <col min="15111" max="15111" width="12.625" style="1" customWidth="1"/>
    <col min="15112" max="15112" width="4.625" style="1" customWidth="1"/>
    <col min="15113" max="15115" width="9" style="1"/>
    <col min="15116" max="15116" width="18.375" style="1" bestFit="1" customWidth="1"/>
    <col min="15117" max="15360" width="9" style="1"/>
    <col min="15361" max="15361" width="10.625" style="1" customWidth="1"/>
    <col min="15362" max="15362" width="9" style="1"/>
    <col min="15363" max="15363" width="20.625" style="1" customWidth="1"/>
    <col min="15364" max="15364" width="9" style="1"/>
    <col min="15365" max="15365" width="10.5" style="1" customWidth="1"/>
    <col min="15366" max="15366" width="9" style="1"/>
    <col min="15367" max="15367" width="12.625" style="1" customWidth="1"/>
    <col min="15368" max="15368" width="4.625" style="1" customWidth="1"/>
    <col min="15369" max="15371" width="9" style="1"/>
    <col min="15372" max="15372" width="18.375" style="1" bestFit="1" customWidth="1"/>
    <col min="15373" max="15616" width="9" style="1"/>
    <col min="15617" max="15617" width="10.625" style="1" customWidth="1"/>
    <col min="15618" max="15618" width="9" style="1"/>
    <col min="15619" max="15619" width="20.625" style="1" customWidth="1"/>
    <col min="15620" max="15620" width="9" style="1"/>
    <col min="15621" max="15621" width="10.5" style="1" customWidth="1"/>
    <col min="15622" max="15622" width="9" style="1"/>
    <col min="15623" max="15623" width="12.625" style="1" customWidth="1"/>
    <col min="15624" max="15624" width="4.625" style="1" customWidth="1"/>
    <col min="15625" max="15627" width="9" style="1"/>
    <col min="15628" max="15628" width="18.375" style="1" bestFit="1" customWidth="1"/>
    <col min="15629" max="15872" width="9" style="1"/>
    <col min="15873" max="15873" width="10.625" style="1" customWidth="1"/>
    <col min="15874" max="15874" width="9" style="1"/>
    <col min="15875" max="15875" width="20.625" style="1" customWidth="1"/>
    <col min="15876" max="15876" width="9" style="1"/>
    <col min="15877" max="15877" width="10.5" style="1" customWidth="1"/>
    <col min="15878" max="15878" width="9" style="1"/>
    <col min="15879" max="15879" width="12.625" style="1" customWidth="1"/>
    <col min="15880" max="15880" width="4.625" style="1" customWidth="1"/>
    <col min="15881" max="15883" width="9" style="1"/>
    <col min="15884" max="15884" width="18.375" style="1" bestFit="1" customWidth="1"/>
    <col min="15885" max="16128" width="9" style="1"/>
    <col min="16129" max="16129" width="10.625" style="1" customWidth="1"/>
    <col min="16130" max="16130" width="9" style="1"/>
    <col min="16131" max="16131" width="20.625" style="1" customWidth="1"/>
    <col min="16132" max="16132" width="9" style="1"/>
    <col min="16133" max="16133" width="10.5" style="1" customWidth="1"/>
    <col min="16134" max="16134" width="9" style="1"/>
    <col min="16135" max="16135" width="12.625" style="1" customWidth="1"/>
    <col min="16136" max="16136" width="4.625" style="1" customWidth="1"/>
    <col min="16137" max="16139" width="9" style="1"/>
    <col min="16140" max="16140" width="18.375" style="1" bestFit="1" customWidth="1"/>
    <col min="16141" max="16384" width="9" style="1"/>
  </cols>
  <sheetData>
    <row r="1" spans="1:8" ht="30" customHeight="1">
      <c r="A1" s="50" t="s">
        <v>17</v>
      </c>
      <c r="B1" s="51"/>
      <c r="C1" s="51"/>
      <c r="D1" s="51"/>
      <c r="E1" s="51"/>
      <c r="F1" s="51"/>
      <c r="G1" s="51"/>
      <c r="H1" s="52"/>
    </row>
    <row r="2" spans="1:8" ht="19.5" customHeight="1">
      <c r="A2" s="2" t="s">
        <v>0</v>
      </c>
      <c r="B2" s="53"/>
      <c r="C2" s="54"/>
      <c r="D2" s="55"/>
      <c r="E2" s="3" t="s">
        <v>1</v>
      </c>
      <c r="F2" s="56">
        <f ca="1">TODAY()</f>
        <v>44955</v>
      </c>
      <c r="G2" s="57"/>
      <c r="H2" s="58"/>
    </row>
    <row r="3" spans="1:8" ht="19.5" customHeight="1" thickBot="1">
      <c r="A3" s="4" t="s">
        <v>2</v>
      </c>
      <c r="B3" s="59"/>
      <c r="C3" s="60"/>
      <c r="D3" s="61"/>
      <c r="E3" s="5" t="s">
        <v>3</v>
      </c>
      <c r="F3" s="62" t="s">
        <v>4</v>
      </c>
      <c r="G3" s="63"/>
      <c r="H3" s="64"/>
    </row>
    <row r="4" spans="1:8" ht="15" customHeight="1">
      <c r="A4" s="6"/>
      <c r="B4" s="7"/>
      <c r="C4" s="7"/>
      <c r="D4" s="7"/>
      <c r="E4" s="7"/>
      <c r="F4" s="8"/>
      <c r="G4" s="8"/>
      <c r="H4" s="9"/>
    </row>
    <row r="5" spans="1:8" ht="15" customHeight="1">
      <c r="A5" s="6"/>
      <c r="H5" s="10"/>
    </row>
    <row r="6" spans="1:8" ht="15" customHeight="1">
      <c r="A6" s="11"/>
      <c r="H6" s="10"/>
    </row>
    <row r="7" spans="1:8" ht="15" customHeight="1">
      <c r="A7" s="6"/>
      <c r="H7" s="10"/>
    </row>
    <row r="8" spans="1:8" ht="15" customHeight="1">
      <c r="A8" s="6"/>
      <c r="H8" s="10"/>
    </row>
    <row r="9" spans="1:8" ht="15" customHeight="1">
      <c r="A9" s="6"/>
      <c r="H9" s="10"/>
    </row>
    <row r="10" spans="1:8" ht="15" customHeight="1">
      <c r="A10" s="6"/>
      <c r="H10" s="10"/>
    </row>
    <row r="11" spans="1:8" ht="15" customHeight="1">
      <c r="A11" s="6"/>
      <c r="H11" s="10"/>
    </row>
    <row r="12" spans="1:8" ht="15" customHeight="1">
      <c r="A12" s="6"/>
      <c r="H12" s="10"/>
    </row>
    <row r="13" spans="1:8" ht="15" customHeight="1">
      <c r="A13" s="6"/>
      <c r="B13" s="1" t="s">
        <v>6</v>
      </c>
      <c r="C13" s="16">
        <v>50</v>
      </c>
      <c r="D13" s="1" t="s">
        <v>9</v>
      </c>
      <c r="H13" s="10"/>
    </row>
    <row r="14" spans="1:8" ht="15" customHeight="1">
      <c r="A14" s="6"/>
      <c r="B14" s="1" t="s">
        <v>11</v>
      </c>
      <c r="C14" s="16">
        <v>10</v>
      </c>
      <c r="D14" s="1" t="s">
        <v>9</v>
      </c>
      <c r="H14" s="10"/>
    </row>
    <row r="15" spans="1:8" ht="15" customHeight="1">
      <c r="A15" s="6"/>
      <c r="B15" s="1" t="s">
        <v>8</v>
      </c>
      <c r="C15" s="16">
        <f>PI()*C13*C14</f>
        <v>1570.7963267948967</v>
      </c>
      <c r="D15" s="1" t="s">
        <v>10</v>
      </c>
      <c r="H15" s="10"/>
    </row>
    <row r="16" spans="1:8" ht="15" customHeight="1">
      <c r="A16" s="6"/>
      <c r="H16" s="10"/>
    </row>
    <row r="17" spans="1:8" ht="15" customHeight="1">
      <c r="A17" s="6"/>
      <c r="H17" s="10"/>
    </row>
    <row r="18" spans="1:8" ht="15" customHeight="1">
      <c r="A18" s="6"/>
      <c r="H18" s="10"/>
    </row>
    <row r="19" spans="1:8" ht="15" customHeight="1">
      <c r="A19" s="6"/>
      <c r="H19" s="10"/>
    </row>
    <row r="20" spans="1:8" ht="15" customHeight="1">
      <c r="A20" s="6"/>
      <c r="B20" s="12"/>
      <c r="H20" s="10"/>
    </row>
    <row r="21" spans="1:8" ht="15" customHeight="1">
      <c r="A21" s="6"/>
      <c r="H21" s="10"/>
    </row>
    <row r="22" spans="1:8" ht="15" customHeight="1">
      <c r="A22" s="6"/>
      <c r="B22" s="7"/>
      <c r="H22" s="10"/>
    </row>
    <row r="23" spans="1:8" ht="15" customHeight="1">
      <c r="A23" s="6"/>
      <c r="B23" s="7"/>
      <c r="H23" s="10"/>
    </row>
    <row r="24" spans="1:8" ht="15" customHeight="1">
      <c r="A24" s="6"/>
      <c r="B24" s="7"/>
      <c r="H24" s="10"/>
    </row>
    <row r="25" spans="1:8" ht="15" customHeight="1">
      <c r="A25" s="6"/>
      <c r="B25" s="7"/>
      <c r="H25" s="10"/>
    </row>
    <row r="26" spans="1:8" ht="15" customHeight="1">
      <c r="A26" s="6"/>
      <c r="B26" s="7"/>
      <c r="H26" s="10"/>
    </row>
    <row r="27" spans="1:8" ht="15" customHeight="1">
      <c r="A27" s="6"/>
      <c r="B27" s="7"/>
      <c r="H27" s="10"/>
    </row>
    <row r="28" spans="1:8" ht="15" customHeight="1">
      <c r="A28" s="6"/>
      <c r="B28" s="7"/>
      <c r="H28" s="10"/>
    </row>
    <row r="29" spans="1:8" ht="15" customHeight="1">
      <c r="A29" s="6"/>
      <c r="H29" s="10"/>
    </row>
    <row r="30" spans="1:8" ht="15" customHeight="1">
      <c r="A30" s="6"/>
      <c r="H30" s="10"/>
    </row>
    <row r="31" spans="1:8" ht="15" customHeight="1">
      <c r="A31" s="6"/>
      <c r="B31" s="7"/>
      <c r="H31" s="10"/>
    </row>
    <row r="32" spans="1:8" ht="15" customHeight="1">
      <c r="A32" s="6"/>
      <c r="H32" s="10"/>
    </row>
    <row r="33" spans="1:8" ht="15" customHeight="1">
      <c r="A33" s="6"/>
      <c r="H33" s="10"/>
    </row>
    <row r="34" spans="1:8" ht="15" customHeight="1">
      <c r="A34" s="6"/>
      <c r="H34" s="10"/>
    </row>
    <row r="35" spans="1:8" ht="15" customHeight="1">
      <c r="A35" s="6"/>
      <c r="H35" s="10"/>
    </row>
    <row r="36" spans="1:8" ht="15" customHeight="1">
      <c r="A36" s="6"/>
      <c r="H36" s="10"/>
    </row>
    <row r="37" spans="1:8" ht="15" customHeight="1">
      <c r="A37" s="6"/>
      <c r="H37" s="10"/>
    </row>
    <row r="38" spans="1:8" ht="15" customHeight="1">
      <c r="A38" s="6"/>
      <c r="H38" s="10"/>
    </row>
    <row r="39" spans="1:8" ht="15" customHeight="1">
      <c r="A39" s="6"/>
      <c r="H39" s="10"/>
    </row>
    <row r="40" spans="1:8" ht="15" customHeight="1">
      <c r="A40" s="6"/>
      <c r="H40" s="10"/>
    </row>
    <row r="41" spans="1:8" ht="15" customHeight="1">
      <c r="A41" s="6"/>
      <c r="H41" s="10"/>
    </row>
    <row r="42" spans="1:8" ht="15" customHeight="1">
      <c r="A42" s="6"/>
      <c r="H42" s="10"/>
    </row>
    <row r="43" spans="1:8" ht="15" customHeight="1">
      <c r="A43" s="6"/>
      <c r="H43" s="10"/>
    </row>
    <row r="44" spans="1:8" ht="15" customHeight="1">
      <c r="A44" s="6"/>
      <c r="H44" s="10"/>
    </row>
    <row r="45" spans="1:8" ht="15" customHeight="1">
      <c r="A45" s="6"/>
      <c r="H45" s="10"/>
    </row>
    <row r="46" spans="1:8" ht="15" customHeight="1">
      <c r="A46" s="6"/>
      <c r="H46" s="10"/>
    </row>
    <row r="47" spans="1:8" ht="15" customHeight="1">
      <c r="A47" s="6"/>
      <c r="H47" s="10"/>
    </row>
    <row r="48" spans="1:8" ht="15" customHeight="1">
      <c r="A48" s="6"/>
      <c r="H48" s="10"/>
    </row>
    <row r="49" spans="1:8" ht="15" customHeight="1">
      <c r="A49" s="6"/>
      <c r="H49" s="10"/>
    </row>
    <row r="50" spans="1:8" ht="15" customHeight="1">
      <c r="A50" s="6"/>
      <c r="H50" s="10"/>
    </row>
    <row r="51" spans="1:8" ht="15" customHeight="1">
      <c r="A51" s="6"/>
      <c r="H51" s="10"/>
    </row>
    <row r="52" spans="1:8" ht="15" customHeight="1">
      <c r="A52" s="6"/>
      <c r="H52" s="10"/>
    </row>
    <row r="53" spans="1:8" ht="15" customHeight="1">
      <c r="A53" s="6"/>
      <c r="H53" s="10"/>
    </row>
    <row r="54" spans="1:8" ht="15" customHeight="1" thickBot="1">
      <c r="A54" s="13"/>
      <c r="B54" s="14"/>
      <c r="C54" s="14"/>
      <c r="D54" s="14"/>
      <c r="E54" s="14"/>
      <c r="F54" s="14"/>
      <c r="G54" s="14"/>
      <c r="H54" s="15"/>
    </row>
  </sheetData>
  <mergeCells count="5">
    <mergeCell ref="A1:H1"/>
    <mergeCell ref="B2:D2"/>
    <mergeCell ref="F2:H2"/>
    <mergeCell ref="B3:D3"/>
    <mergeCell ref="F3:H3"/>
  </mergeCells>
  <phoneticPr fontId="2" type="noConversion"/>
  <pageMargins left="0.98425196850393704" right="0.59055118110236227" top="0.78740157480314965" bottom="0.39370078740157483" header="0.51181102362204722" footer="0.51181102362204722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54"/>
  <sheetViews>
    <sheetView showGridLines="0" workbookViewId="0">
      <selection activeCell="J17" sqref="J17"/>
    </sheetView>
  </sheetViews>
  <sheetFormatPr defaultRowHeight="13.5"/>
  <cols>
    <col min="1" max="1" width="10.625" style="1" customWidth="1"/>
    <col min="2" max="2" width="9" style="1"/>
    <col min="3" max="3" width="20.625" style="1" customWidth="1"/>
    <col min="4" max="4" width="9" style="1"/>
    <col min="5" max="5" width="10.5" style="1" customWidth="1"/>
    <col min="6" max="6" width="9" style="1"/>
    <col min="7" max="7" width="12.625" style="1" customWidth="1"/>
    <col min="8" max="8" width="4.625" style="1" customWidth="1"/>
    <col min="9" max="11" width="9" style="1"/>
    <col min="12" max="12" width="18.375" style="1" bestFit="1" customWidth="1"/>
    <col min="13" max="256" width="9" style="1"/>
    <col min="257" max="257" width="10.625" style="1" customWidth="1"/>
    <col min="258" max="258" width="9" style="1"/>
    <col min="259" max="259" width="20.625" style="1" customWidth="1"/>
    <col min="260" max="260" width="9" style="1"/>
    <col min="261" max="261" width="10.5" style="1" customWidth="1"/>
    <col min="262" max="262" width="9" style="1"/>
    <col min="263" max="263" width="12.625" style="1" customWidth="1"/>
    <col min="264" max="264" width="4.625" style="1" customWidth="1"/>
    <col min="265" max="267" width="9" style="1"/>
    <col min="268" max="268" width="18.375" style="1" bestFit="1" customWidth="1"/>
    <col min="269" max="512" width="9" style="1"/>
    <col min="513" max="513" width="10.625" style="1" customWidth="1"/>
    <col min="514" max="514" width="9" style="1"/>
    <col min="515" max="515" width="20.625" style="1" customWidth="1"/>
    <col min="516" max="516" width="9" style="1"/>
    <col min="517" max="517" width="10.5" style="1" customWidth="1"/>
    <col min="518" max="518" width="9" style="1"/>
    <col min="519" max="519" width="12.625" style="1" customWidth="1"/>
    <col min="520" max="520" width="4.625" style="1" customWidth="1"/>
    <col min="521" max="523" width="9" style="1"/>
    <col min="524" max="524" width="18.375" style="1" bestFit="1" customWidth="1"/>
    <col min="525" max="768" width="9" style="1"/>
    <col min="769" max="769" width="10.625" style="1" customWidth="1"/>
    <col min="770" max="770" width="9" style="1"/>
    <col min="771" max="771" width="20.625" style="1" customWidth="1"/>
    <col min="772" max="772" width="9" style="1"/>
    <col min="773" max="773" width="10.5" style="1" customWidth="1"/>
    <col min="774" max="774" width="9" style="1"/>
    <col min="775" max="775" width="12.625" style="1" customWidth="1"/>
    <col min="776" max="776" width="4.625" style="1" customWidth="1"/>
    <col min="777" max="779" width="9" style="1"/>
    <col min="780" max="780" width="18.375" style="1" bestFit="1" customWidth="1"/>
    <col min="781" max="1024" width="9" style="1"/>
    <col min="1025" max="1025" width="10.625" style="1" customWidth="1"/>
    <col min="1026" max="1026" width="9" style="1"/>
    <col min="1027" max="1027" width="20.625" style="1" customWidth="1"/>
    <col min="1028" max="1028" width="9" style="1"/>
    <col min="1029" max="1029" width="10.5" style="1" customWidth="1"/>
    <col min="1030" max="1030" width="9" style="1"/>
    <col min="1031" max="1031" width="12.625" style="1" customWidth="1"/>
    <col min="1032" max="1032" width="4.625" style="1" customWidth="1"/>
    <col min="1033" max="1035" width="9" style="1"/>
    <col min="1036" max="1036" width="18.375" style="1" bestFit="1" customWidth="1"/>
    <col min="1037" max="1280" width="9" style="1"/>
    <col min="1281" max="1281" width="10.625" style="1" customWidth="1"/>
    <col min="1282" max="1282" width="9" style="1"/>
    <col min="1283" max="1283" width="20.625" style="1" customWidth="1"/>
    <col min="1284" max="1284" width="9" style="1"/>
    <col min="1285" max="1285" width="10.5" style="1" customWidth="1"/>
    <col min="1286" max="1286" width="9" style="1"/>
    <col min="1287" max="1287" width="12.625" style="1" customWidth="1"/>
    <col min="1288" max="1288" width="4.625" style="1" customWidth="1"/>
    <col min="1289" max="1291" width="9" style="1"/>
    <col min="1292" max="1292" width="18.375" style="1" bestFit="1" customWidth="1"/>
    <col min="1293" max="1536" width="9" style="1"/>
    <col min="1537" max="1537" width="10.625" style="1" customWidth="1"/>
    <col min="1538" max="1538" width="9" style="1"/>
    <col min="1539" max="1539" width="20.625" style="1" customWidth="1"/>
    <col min="1540" max="1540" width="9" style="1"/>
    <col min="1541" max="1541" width="10.5" style="1" customWidth="1"/>
    <col min="1542" max="1542" width="9" style="1"/>
    <col min="1543" max="1543" width="12.625" style="1" customWidth="1"/>
    <col min="1544" max="1544" width="4.625" style="1" customWidth="1"/>
    <col min="1545" max="1547" width="9" style="1"/>
    <col min="1548" max="1548" width="18.375" style="1" bestFit="1" customWidth="1"/>
    <col min="1549" max="1792" width="9" style="1"/>
    <col min="1793" max="1793" width="10.625" style="1" customWidth="1"/>
    <col min="1794" max="1794" width="9" style="1"/>
    <col min="1795" max="1795" width="20.625" style="1" customWidth="1"/>
    <col min="1796" max="1796" width="9" style="1"/>
    <col min="1797" max="1797" width="10.5" style="1" customWidth="1"/>
    <col min="1798" max="1798" width="9" style="1"/>
    <col min="1799" max="1799" width="12.625" style="1" customWidth="1"/>
    <col min="1800" max="1800" width="4.625" style="1" customWidth="1"/>
    <col min="1801" max="1803" width="9" style="1"/>
    <col min="1804" max="1804" width="18.375" style="1" bestFit="1" customWidth="1"/>
    <col min="1805" max="2048" width="9" style="1"/>
    <col min="2049" max="2049" width="10.625" style="1" customWidth="1"/>
    <col min="2050" max="2050" width="9" style="1"/>
    <col min="2051" max="2051" width="20.625" style="1" customWidth="1"/>
    <col min="2052" max="2052" width="9" style="1"/>
    <col min="2053" max="2053" width="10.5" style="1" customWidth="1"/>
    <col min="2054" max="2054" width="9" style="1"/>
    <col min="2055" max="2055" width="12.625" style="1" customWidth="1"/>
    <col min="2056" max="2056" width="4.625" style="1" customWidth="1"/>
    <col min="2057" max="2059" width="9" style="1"/>
    <col min="2060" max="2060" width="18.375" style="1" bestFit="1" customWidth="1"/>
    <col min="2061" max="2304" width="9" style="1"/>
    <col min="2305" max="2305" width="10.625" style="1" customWidth="1"/>
    <col min="2306" max="2306" width="9" style="1"/>
    <col min="2307" max="2307" width="20.625" style="1" customWidth="1"/>
    <col min="2308" max="2308" width="9" style="1"/>
    <col min="2309" max="2309" width="10.5" style="1" customWidth="1"/>
    <col min="2310" max="2310" width="9" style="1"/>
    <col min="2311" max="2311" width="12.625" style="1" customWidth="1"/>
    <col min="2312" max="2312" width="4.625" style="1" customWidth="1"/>
    <col min="2313" max="2315" width="9" style="1"/>
    <col min="2316" max="2316" width="18.375" style="1" bestFit="1" customWidth="1"/>
    <col min="2317" max="2560" width="9" style="1"/>
    <col min="2561" max="2561" width="10.625" style="1" customWidth="1"/>
    <col min="2562" max="2562" width="9" style="1"/>
    <col min="2563" max="2563" width="20.625" style="1" customWidth="1"/>
    <col min="2564" max="2564" width="9" style="1"/>
    <col min="2565" max="2565" width="10.5" style="1" customWidth="1"/>
    <col min="2566" max="2566" width="9" style="1"/>
    <col min="2567" max="2567" width="12.625" style="1" customWidth="1"/>
    <col min="2568" max="2568" width="4.625" style="1" customWidth="1"/>
    <col min="2569" max="2571" width="9" style="1"/>
    <col min="2572" max="2572" width="18.375" style="1" bestFit="1" customWidth="1"/>
    <col min="2573" max="2816" width="9" style="1"/>
    <col min="2817" max="2817" width="10.625" style="1" customWidth="1"/>
    <col min="2818" max="2818" width="9" style="1"/>
    <col min="2819" max="2819" width="20.625" style="1" customWidth="1"/>
    <col min="2820" max="2820" width="9" style="1"/>
    <col min="2821" max="2821" width="10.5" style="1" customWidth="1"/>
    <col min="2822" max="2822" width="9" style="1"/>
    <col min="2823" max="2823" width="12.625" style="1" customWidth="1"/>
    <col min="2824" max="2824" width="4.625" style="1" customWidth="1"/>
    <col min="2825" max="2827" width="9" style="1"/>
    <col min="2828" max="2828" width="18.375" style="1" bestFit="1" customWidth="1"/>
    <col min="2829" max="3072" width="9" style="1"/>
    <col min="3073" max="3073" width="10.625" style="1" customWidth="1"/>
    <col min="3074" max="3074" width="9" style="1"/>
    <col min="3075" max="3075" width="20.625" style="1" customWidth="1"/>
    <col min="3076" max="3076" width="9" style="1"/>
    <col min="3077" max="3077" width="10.5" style="1" customWidth="1"/>
    <col min="3078" max="3078" width="9" style="1"/>
    <col min="3079" max="3079" width="12.625" style="1" customWidth="1"/>
    <col min="3080" max="3080" width="4.625" style="1" customWidth="1"/>
    <col min="3081" max="3083" width="9" style="1"/>
    <col min="3084" max="3084" width="18.375" style="1" bestFit="1" customWidth="1"/>
    <col min="3085" max="3328" width="9" style="1"/>
    <col min="3329" max="3329" width="10.625" style="1" customWidth="1"/>
    <col min="3330" max="3330" width="9" style="1"/>
    <col min="3331" max="3331" width="20.625" style="1" customWidth="1"/>
    <col min="3332" max="3332" width="9" style="1"/>
    <col min="3333" max="3333" width="10.5" style="1" customWidth="1"/>
    <col min="3334" max="3334" width="9" style="1"/>
    <col min="3335" max="3335" width="12.625" style="1" customWidth="1"/>
    <col min="3336" max="3336" width="4.625" style="1" customWidth="1"/>
    <col min="3337" max="3339" width="9" style="1"/>
    <col min="3340" max="3340" width="18.375" style="1" bestFit="1" customWidth="1"/>
    <col min="3341" max="3584" width="9" style="1"/>
    <col min="3585" max="3585" width="10.625" style="1" customWidth="1"/>
    <col min="3586" max="3586" width="9" style="1"/>
    <col min="3587" max="3587" width="20.625" style="1" customWidth="1"/>
    <col min="3588" max="3588" width="9" style="1"/>
    <col min="3589" max="3589" width="10.5" style="1" customWidth="1"/>
    <col min="3590" max="3590" width="9" style="1"/>
    <col min="3591" max="3591" width="12.625" style="1" customWidth="1"/>
    <col min="3592" max="3592" width="4.625" style="1" customWidth="1"/>
    <col min="3593" max="3595" width="9" style="1"/>
    <col min="3596" max="3596" width="18.375" style="1" bestFit="1" customWidth="1"/>
    <col min="3597" max="3840" width="9" style="1"/>
    <col min="3841" max="3841" width="10.625" style="1" customWidth="1"/>
    <col min="3842" max="3842" width="9" style="1"/>
    <col min="3843" max="3843" width="20.625" style="1" customWidth="1"/>
    <col min="3844" max="3844" width="9" style="1"/>
    <col min="3845" max="3845" width="10.5" style="1" customWidth="1"/>
    <col min="3846" max="3846" width="9" style="1"/>
    <col min="3847" max="3847" width="12.625" style="1" customWidth="1"/>
    <col min="3848" max="3848" width="4.625" style="1" customWidth="1"/>
    <col min="3849" max="3851" width="9" style="1"/>
    <col min="3852" max="3852" width="18.375" style="1" bestFit="1" customWidth="1"/>
    <col min="3853" max="4096" width="9" style="1"/>
    <col min="4097" max="4097" width="10.625" style="1" customWidth="1"/>
    <col min="4098" max="4098" width="9" style="1"/>
    <col min="4099" max="4099" width="20.625" style="1" customWidth="1"/>
    <col min="4100" max="4100" width="9" style="1"/>
    <col min="4101" max="4101" width="10.5" style="1" customWidth="1"/>
    <col min="4102" max="4102" width="9" style="1"/>
    <col min="4103" max="4103" width="12.625" style="1" customWidth="1"/>
    <col min="4104" max="4104" width="4.625" style="1" customWidth="1"/>
    <col min="4105" max="4107" width="9" style="1"/>
    <col min="4108" max="4108" width="18.375" style="1" bestFit="1" customWidth="1"/>
    <col min="4109" max="4352" width="9" style="1"/>
    <col min="4353" max="4353" width="10.625" style="1" customWidth="1"/>
    <col min="4354" max="4354" width="9" style="1"/>
    <col min="4355" max="4355" width="20.625" style="1" customWidth="1"/>
    <col min="4356" max="4356" width="9" style="1"/>
    <col min="4357" max="4357" width="10.5" style="1" customWidth="1"/>
    <col min="4358" max="4358" width="9" style="1"/>
    <col min="4359" max="4359" width="12.625" style="1" customWidth="1"/>
    <col min="4360" max="4360" width="4.625" style="1" customWidth="1"/>
    <col min="4361" max="4363" width="9" style="1"/>
    <col min="4364" max="4364" width="18.375" style="1" bestFit="1" customWidth="1"/>
    <col min="4365" max="4608" width="9" style="1"/>
    <col min="4609" max="4609" width="10.625" style="1" customWidth="1"/>
    <col min="4610" max="4610" width="9" style="1"/>
    <col min="4611" max="4611" width="20.625" style="1" customWidth="1"/>
    <col min="4612" max="4612" width="9" style="1"/>
    <col min="4613" max="4613" width="10.5" style="1" customWidth="1"/>
    <col min="4614" max="4614" width="9" style="1"/>
    <col min="4615" max="4615" width="12.625" style="1" customWidth="1"/>
    <col min="4616" max="4616" width="4.625" style="1" customWidth="1"/>
    <col min="4617" max="4619" width="9" style="1"/>
    <col min="4620" max="4620" width="18.375" style="1" bestFit="1" customWidth="1"/>
    <col min="4621" max="4864" width="9" style="1"/>
    <col min="4865" max="4865" width="10.625" style="1" customWidth="1"/>
    <col min="4866" max="4866" width="9" style="1"/>
    <col min="4867" max="4867" width="20.625" style="1" customWidth="1"/>
    <col min="4868" max="4868" width="9" style="1"/>
    <col min="4869" max="4869" width="10.5" style="1" customWidth="1"/>
    <col min="4870" max="4870" width="9" style="1"/>
    <col min="4871" max="4871" width="12.625" style="1" customWidth="1"/>
    <col min="4872" max="4872" width="4.625" style="1" customWidth="1"/>
    <col min="4873" max="4875" width="9" style="1"/>
    <col min="4876" max="4876" width="18.375" style="1" bestFit="1" customWidth="1"/>
    <col min="4877" max="5120" width="9" style="1"/>
    <col min="5121" max="5121" width="10.625" style="1" customWidth="1"/>
    <col min="5122" max="5122" width="9" style="1"/>
    <col min="5123" max="5123" width="20.625" style="1" customWidth="1"/>
    <col min="5124" max="5124" width="9" style="1"/>
    <col min="5125" max="5125" width="10.5" style="1" customWidth="1"/>
    <col min="5126" max="5126" width="9" style="1"/>
    <col min="5127" max="5127" width="12.625" style="1" customWidth="1"/>
    <col min="5128" max="5128" width="4.625" style="1" customWidth="1"/>
    <col min="5129" max="5131" width="9" style="1"/>
    <col min="5132" max="5132" width="18.375" style="1" bestFit="1" customWidth="1"/>
    <col min="5133" max="5376" width="9" style="1"/>
    <col min="5377" max="5377" width="10.625" style="1" customWidth="1"/>
    <col min="5378" max="5378" width="9" style="1"/>
    <col min="5379" max="5379" width="20.625" style="1" customWidth="1"/>
    <col min="5380" max="5380" width="9" style="1"/>
    <col min="5381" max="5381" width="10.5" style="1" customWidth="1"/>
    <col min="5382" max="5382" width="9" style="1"/>
    <col min="5383" max="5383" width="12.625" style="1" customWidth="1"/>
    <col min="5384" max="5384" width="4.625" style="1" customWidth="1"/>
    <col min="5385" max="5387" width="9" style="1"/>
    <col min="5388" max="5388" width="18.375" style="1" bestFit="1" customWidth="1"/>
    <col min="5389" max="5632" width="9" style="1"/>
    <col min="5633" max="5633" width="10.625" style="1" customWidth="1"/>
    <col min="5634" max="5634" width="9" style="1"/>
    <col min="5635" max="5635" width="20.625" style="1" customWidth="1"/>
    <col min="5636" max="5636" width="9" style="1"/>
    <col min="5637" max="5637" width="10.5" style="1" customWidth="1"/>
    <col min="5638" max="5638" width="9" style="1"/>
    <col min="5639" max="5639" width="12.625" style="1" customWidth="1"/>
    <col min="5640" max="5640" width="4.625" style="1" customWidth="1"/>
    <col min="5641" max="5643" width="9" style="1"/>
    <col min="5644" max="5644" width="18.375" style="1" bestFit="1" customWidth="1"/>
    <col min="5645" max="5888" width="9" style="1"/>
    <col min="5889" max="5889" width="10.625" style="1" customWidth="1"/>
    <col min="5890" max="5890" width="9" style="1"/>
    <col min="5891" max="5891" width="20.625" style="1" customWidth="1"/>
    <col min="5892" max="5892" width="9" style="1"/>
    <col min="5893" max="5893" width="10.5" style="1" customWidth="1"/>
    <col min="5894" max="5894" width="9" style="1"/>
    <col min="5895" max="5895" width="12.625" style="1" customWidth="1"/>
    <col min="5896" max="5896" width="4.625" style="1" customWidth="1"/>
    <col min="5897" max="5899" width="9" style="1"/>
    <col min="5900" max="5900" width="18.375" style="1" bestFit="1" customWidth="1"/>
    <col min="5901" max="6144" width="9" style="1"/>
    <col min="6145" max="6145" width="10.625" style="1" customWidth="1"/>
    <col min="6146" max="6146" width="9" style="1"/>
    <col min="6147" max="6147" width="20.625" style="1" customWidth="1"/>
    <col min="6148" max="6148" width="9" style="1"/>
    <col min="6149" max="6149" width="10.5" style="1" customWidth="1"/>
    <col min="6150" max="6150" width="9" style="1"/>
    <col min="6151" max="6151" width="12.625" style="1" customWidth="1"/>
    <col min="6152" max="6152" width="4.625" style="1" customWidth="1"/>
    <col min="6153" max="6155" width="9" style="1"/>
    <col min="6156" max="6156" width="18.375" style="1" bestFit="1" customWidth="1"/>
    <col min="6157" max="6400" width="9" style="1"/>
    <col min="6401" max="6401" width="10.625" style="1" customWidth="1"/>
    <col min="6402" max="6402" width="9" style="1"/>
    <col min="6403" max="6403" width="20.625" style="1" customWidth="1"/>
    <col min="6404" max="6404" width="9" style="1"/>
    <col min="6405" max="6405" width="10.5" style="1" customWidth="1"/>
    <col min="6406" max="6406" width="9" style="1"/>
    <col min="6407" max="6407" width="12.625" style="1" customWidth="1"/>
    <col min="6408" max="6408" width="4.625" style="1" customWidth="1"/>
    <col min="6409" max="6411" width="9" style="1"/>
    <col min="6412" max="6412" width="18.375" style="1" bestFit="1" customWidth="1"/>
    <col min="6413" max="6656" width="9" style="1"/>
    <col min="6657" max="6657" width="10.625" style="1" customWidth="1"/>
    <col min="6658" max="6658" width="9" style="1"/>
    <col min="6659" max="6659" width="20.625" style="1" customWidth="1"/>
    <col min="6660" max="6660" width="9" style="1"/>
    <col min="6661" max="6661" width="10.5" style="1" customWidth="1"/>
    <col min="6662" max="6662" width="9" style="1"/>
    <col min="6663" max="6663" width="12.625" style="1" customWidth="1"/>
    <col min="6664" max="6664" width="4.625" style="1" customWidth="1"/>
    <col min="6665" max="6667" width="9" style="1"/>
    <col min="6668" max="6668" width="18.375" style="1" bestFit="1" customWidth="1"/>
    <col min="6669" max="6912" width="9" style="1"/>
    <col min="6913" max="6913" width="10.625" style="1" customWidth="1"/>
    <col min="6914" max="6914" width="9" style="1"/>
    <col min="6915" max="6915" width="20.625" style="1" customWidth="1"/>
    <col min="6916" max="6916" width="9" style="1"/>
    <col min="6917" max="6917" width="10.5" style="1" customWidth="1"/>
    <col min="6918" max="6918" width="9" style="1"/>
    <col min="6919" max="6919" width="12.625" style="1" customWidth="1"/>
    <col min="6920" max="6920" width="4.625" style="1" customWidth="1"/>
    <col min="6921" max="6923" width="9" style="1"/>
    <col min="6924" max="6924" width="18.375" style="1" bestFit="1" customWidth="1"/>
    <col min="6925" max="7168" width="9" style="1"/>
    <col min="7169" max="7169" width="10.625" style="1" customWidth="1"/>
    <col min="7170" max="7170" width="9" style="1"/>
    <col min="7171" max="7171" width="20.625" style="1" customWidth="1"/>
    <col min="7172" max="7172" width="9" style="1"/>
    <col min="7173" max="7173" width="10.5" style="1" customWidth="1"/>
    <col min="7174" max="7174" width="9" style="1"/>
    <col min="7175" max="7175" width="12.625" style="1" customWidth="1"/>
    <col min="7176" max="7176" width="4.625" style="1" customWidth="1"/>
    <col min="7177" max="7179" width="9" style="1"/>
    <col min="7180" max="7180" width="18.375" style="1" bestFit="1" customWidth="1"/>
    <col min="7181" max="7424" width="9" style="1"/>
    <col min="7425" max="7425" width="10.625" style="1" customWidth="1"/>
    <col min="7426" max="7426" width="9" style="1"/>
    <col min="7427" max="7427" width="20.625" style="1" customWidth="1"/>
    <col min="7428" max="7428" width="9" style="1"/>
    <col min="7429" max="7429" width="10.5" style="1" customWidth="1"/>
    <col min="7430" max="7430" width="9" style="1"/>
    <col min="7431" max="7431" width="12.625" style="1" customWidth="1"/>
    <col min="7432" max="7432" width="4.625" style="1" customWidth="1"/>
    <col min="7433" max="7435" width="9" style="1"/>
    <col min="7436" max="7436" width="18.375" style="1" bestFit="1" customWidth="1"/>
    <col min="7437" max="7680" width="9" style="1"/>
    <col min="7681" max="7681" width="10.625" style="1" customWidth="1"/>
    <col min="7682" max="7682" width="9" style="1"/>
    <col min="7683" max="7683" width="20.625" style="1" customWidth="1"/>
    <col min="7684" max="7684" width="9" style="1"/>
    <col min="7685" max="7685" width="10.5" style="1" customWidth="1"/>
    <col min="7686" max="7686" width="9" style="1"/>
    <col min="7687" max="7687" width="12.625" style="1" customWidth="1"/>
    <col min="7688" max="7688" width="4.625" style="1" customWidth="1"/>
    <col min="7689" max="7691" width="9" style="1"/>
    <col min="7692" max="7692" width="18.375" style="1" bestFit="1" customWidth="1"/>
    <col min="7693" max="7936" width="9" style="1"/>
    <col min="7937" max="7937" width="10.625" style="1" customWidth="1"/>
    <col min="7938" max="7938" width="9" style="1"/>
    <col min="7939" max="7939" width="20.625" style="1" customWidth="1"/>
    <col min="7940" max="7940" width="9" style="1"/>
    <col min="7941" max="7941" width="10.5" style="1" customWidth="1"/>
    <col min="7942" max="7942" width="9" style="1"/>
    <col min="7943" max="7943" width="12.625" style="1" customWidth="1"/>
    <col min="7944" max="7944" width="4.625" style="1" customWidth="1"/>
    <col min="7945" max="7947" width="9" style="1"/>
    <col min="7948" max="7948" width="18.375" style="1" bestFit="1" customWidth="1"/>
    <col min="7949" max="8192" width="9" style="1"/>
    <col min="8193" max="8193" width="10.625" style="1" customWidth="1"/>
    <col min="8194" max="8194" width="9" style="1"/>
    <col min="8195" max="8195" width="20.625" style="1" customWidth="1"/>
    <col min="8196" max="8196" width="9" style="1"/>
    <col min="8197" max="8197" width="10.5" style="1" customWidth="1"/>
    <col min="8198" max="8198" width="9" style="1"/>
    <col min="8199" max="8199" width="12.625" style="1" customWidth="1"/>
    <col min="8200" max="8200" width="4.625" style="1" customWidth="1"/>
    <col min="8201" max="8203" width="9" style="1"/>
    <col min="8204" max="8204" width="18.375" style="1" bestFit="1" customWidth="1"/>
    <col min="8205" max="8448" width="9" style="1"/>
    <col min="8449" max="8449" width="10.625" style="1" customWidth="1"/>
    <col min="8450" max="8450" width="9" style="1"/>
    <col min="8451" max="8451" width="20.625" style="1" customWidth="1"/>
    <col min="8452" max="8452" width="9" style="1"/>
    <col min="8453" max="8453" width="10.5" style="1" customWidth="1"/>
    <col min="8454" max="8454" width="9" style="1"/>
    <col min="8455" max="8455" width="12.625" style="1" customWidth="1"/>
    <col min="8456" max="8456" width="4.625" style="1" customWidth="1"/>
    <col min="8457" max="8459" width="9" style="1"/>
    <col min="8460" max="8460" width="18.375" style="1" bestFit="1" customWidth="1"/>
    <col min="8461" max="8704" width="9" style="1"/>
    <col min="8705" max="8705" width="10.625" style="1" customWidth="1"/>
    <col min="8706" max="8706" width="9" style="1"/>
    <col min="8707" max="8707" width="20.625" style="1" customWidth="1"/>
    <col min="8708" max="8708" width="9" style="1"/>
    <col min="8709" max="8709" width="10.5" style="1" customWidth="1"/>
    <col min="8710" max="8710" width="9" style="1"/>
    <col min="8711" max="8711" width="12.625" style="1" customWidth="1"/>
    <col min="8712" max="8712" width="4.625" style="1" customWidth="1"/>
    <col min="8713" max="8715" width="9" style="1"/>
    <col min="8716" max="8716" width="18.375" style="1" bestFit="1" customWidth="1"/>
    <col min="8717" max="8960" width="9" style="1"/>
    <col min="8961" max="8961" width="10.625" style="1" customWidth="1"/>
    <col min="8962" max="8962" width="9" style="1"/>
    <col min="8963" max="8963" width="20.625" style="1" customWidth="1"/>
    <col min="8964" max="8964" width="9" style="1"/>
    <col min="8965" max="8965" width="10.5" style="1" customWidth="1"/>
    <col min="8966" max="8966" width="9" style="1"/>
    <col min="8967" max="8967" width="12.625" style="1" customWidth="1"/>
    <col min="8968" max="8968" width="4.625" style="1" customWidth="1"/>
    <col min="8969" max="8971" width="9" style="1"/>
    <col min="8972" max="8972" width="18.375" style="1" bestFit="1" customWidth="1"/>
    <col min="8973" max="9216" width="9" style="1"/>
    <col min="9217" max="9217" width="10.625" style="1" customWidth="1"/>
    <col min="9218" max="9218" width="9" style="1"/>
    <col min="9219" max="9219" width="20.625" style="1" customWidth="1"/>
    <col min="9220" max="9220" width="9" style="1"/>
    <col min="9221" max="9221" width="10.5" style="1" customWidth="1"/>
    <col min="9222" max="9222" width="9" style="1"/>
    <col min="9223" max="9223" width="12.625" style="1" customWidth="1"/>
    <col min="9224" max="9224" width="4.625" style="1" customWidth="1"/>
    <col min="9225" max="9227" width="9" style="1"/>
    <col min="9228" max="9228" width="18.375" style="1" bestFit="1" customWidth="1"/>
    <col min="9229" max="9472" width="9" style="1"/>
    <col min="9473" max="9473" width="10.625" style="1" customWidth="1"/>
    <col min="9474" max="9474" width="9" style="1"/>
    <col min="9475" max="9475" width="20.625" style="1" customWidth="1"/>
    <col min="9476" max="9476" width="9" style="1"/>
    <col min="9477" max="9477" width="10.5" style="1" customWidth="1"/>
    <col min="9478" max="9478" width="9" style="1"/>
    <col min="9479" max="9479" width="12.625" style="1" customWidth="1"/>
    <col min="9480" max="9480" width="4.625" style="1" customWidth="1"/>
    <col min="9481" max="9483" width="9" style="1"/>
    <col min="9484" max="9484" width="18.375" style="1" bestFit="1" customWidth="1"/>
    <col min="9485" max="9728" width="9" style="1"/>
    <col min="9729" max="9729" width="10.625" style="1" customWidth="1"/>
    <col min="9730" max="9730" width="9" style="1"/>
    <col min="9731" max="9731" width="20.625" style="1" customWidth="1"/>
    <col min="9732" max="9732" width="9" style="1"/>
    <col min="9733" max="9733" width="10.5" style="1" customWidth="1"/>
    <col min="9734" max="9734" width="9" style="1"/>
    <col min="9735" max="9735" width="12.625" style="1" customWidth="1"/>
    <col min="9736" max="9736" width="4.625" style="1" customWidth="1"/>
    <col min="9737" max="9739" width="9" style="1"/>
    <col min="9740" max="9740" width="18.375" style="1" bestFit="1" customWidth="1"/>
    <col min="9741" max="9984" width="9" style="1"/>
    <col min="9985" max="9985" width="10.625" style="1" customWidth="1"/>
    <col min="9986" max="9986" width="9" style="1"/>
    <col min="9987" max="9987" width="20.625" style="1" customWidth="1"/>
    <col min="9988" max="9988" width="9" style="1"/>
    <col min="9989" max="9989" width="10.5" style="1" customWidth="1"/>
    <col min="9990" max="9990" width="9" style="1"/>
    <col min="9991" max="9991" width="12.625" style="1" customWidth="1"/>
    <col min="9992" max="9992" width="4.625" style="1" customWidth="1"/>
    <col min="9993" max="9995" width="9" style="1"/>
    <col min="9996" max="9996" width="18.375" style="1" bestFit="1" customWidth="1"/>
    <col min="9997" max="10240" width="9" style="1"/>
    <col min="10241" max="10241" width="10.625" style="1" customWidth="1"/>
    <col min="10242" max="10242" width="9" style="1"/>
    <col min="10243" max="10243" width="20.625" style="1" customWidth="1"/>
    <col min="10244" max="10244" width="9" style="1"/>
    <col min="10245" max="10245" width="10.5" style="1" customWidth="1"/>
    <col min="10246" max="10246" width="9" style="1"/>
    <col min="10247" max="10247" width="12.625" style="1" customWidth="1"/>
    <col min="10248" max="10248" width="4.625" style="1" customWidth="1"/>
    <col min="10249" max="10251" width="9" style="1"/>
    <col min="10252" max="10252" width="18.375" style="1" bestFit="1" customWidth="1"/>
    <col min="10253" max="10496" width="9" style="1"/>
    <col min="10497" max="10497" width="10.625" style="1" customWidth="1"/>
    <col min="10498" max="10498" width="9" style="1"/>
    <col min="10499" max="10499" width="20.625" style="1" customWidth="1"/>
    <col min="10500" max="10500" width="9" style="1"/>
    <col min="10501" max="10501" width="10.5" style="1" customWidth="1"/>
    <col min="10502" max="10502" width="9" style="1"/>
    <col min="10503" max="10503" width="12.625" style="1" customWidth="1"/>
    <col min="10504" max="10504" width="4.625" style="1" customWidth="1"/>
    <col min="10505" max="10507" width="9" style="1"/>
    <col min="10508" max="10508" width="18.375" style="1" bestFit="1" customWidth="1"/>
    <col min="10509" max="10752" width="9" style="1"/>
    <col min="10753" max="10753" width="10.625" style="1" customWidth="1"/>
    <col min="10754" max="10754" width="9" style="1"/>
    <col min="10755" max="10755" width="20.625" style="1" customWidth="1"/>
    <col min="10756" max="10756" width="9" style="1"/>
    <col min="10757" max="10757" width="10.5" style="1" customWidth="1"/>
    <col min="10758" max="10758" width="9" style="1"/>
    <col min="10759" max="10759" width="12.625" style="1" customWidth="1"/>
    <col min="10760" max="10760" width="4.625" style="1" customWidth="1"/>
    <col min="10761" max="10763" width="9" style="1"/>
    <col min="10764" max="10764" width="18.375" style="1" bestFit="1" customWidth="1"/>
    <col min="10765" max="11008" width="9" style="1"/>
    <col min="11009" max="11009" width="10.625" style="1" customWidth="1"/>
    <col min="11010" max="11010" width="9" style="1"/>
    <col min="11011" max="11011" width="20.625" style="1" customWidth="1"/>
    <col min="11012" max="11012" width="9" style="1"/>
    <col min="11013" max="11013" width="10.5" style="1" customWidth="1"/>
    <col min="11014" max="11014" width="9" style="1"/>
    <col min="11015" max="11015" width="12.625" style="1" customWidth="1"/>
    <col min="11016" max="11016" width="4.625" style="1" customWidth="1"/>
    <col min="11017" max="11019" width="9" style="1"/>
    <col min="11020" max="11020" width="18.375" style="1" bestFit="1" customWidth="1"/>
    <col min="11021" max="11264" width="9" style="1"/>
    <col min="11265" max="11265" width="10.625" style="1" customWidth="1"/>
    <col min="11266" max="11266" width="9" style="1"/>
    <col min="11267" max="11267" width="20.625" style="1" customWidth="1"/>
    <col min="11268" max="11268" width="9" style="1"/>
    <col min="11269" max="11269" width="10.5" style="1" customWidth="1"/>
    <col min="11270" max="11270" width="9" style="1"/>
    <col min="11271" max="11271" width="12.625" style="1" customWidth="1"/>
    <col min="11272" max="11272" width="4.625" style="1" customWidth="1"/>
    <col min="11273" max="11275" width="9" style="1"/>
    <col min="11276" max="11276" width="18.375" style="1" bestFit="1" customWidth="1"/>
    <col min="11277" max="11520" width="9" style="1"/>
    <col min="11521" max="11521" width="10.625" style="1" customWidth="1"/>
    <col min="11522" max="11522" width="9" style="1"/>
    <col min="11523" max="11523" width="20.625" style="1" customWidth="1"/>
    <col min="11524" max="11524" width="9" style="1"/>
    <col min="11525" max="11525" width="10.5" style="1" customWidth="1"/>
    <col min="11526" max="11526" width="9" style="1"/>
    <col min="11527" max="11527" width="12.625" style="1" customWidth="1"/>
    <col min="11528" max="11528" width="4.625" style="1" customWidth="1"/>
    <col min="11529" max="11531" width="9" style="1"/>
    <col min="11532" max="11532" width="18.375" style="1" bestFit="1" customWidth="1"/>
    <col min="11533" max="11776" width="9" style="1"/>
    <col min="11777" max="11777" width="10.625" style="1" customWidth="1"/>
    <col min="11778" max="11778" width="9" style="1"/>
    <col min="11779" max="11779" width="20.625" style="1" customWidth="1"/>
    <col min="11780" max="11780" width="9" style="1"/>
    <col min="11781" max="11781" width="10.5" style="1" customWidth="1"/>
    <col min="11782" max="11782" width="9" style="1"/>
    <col min="11783" max="11783" width="12.625" style="1" customWidth="1"/>
    <col min="11784" max="11784" width="4.625" style="1" customWidth="1"/>
    <col min="11785" max="11787" width="9" style="1"/>
    <col min="11788" max="11788" width="18.375" style="1" bestFit="1" customWidth="1"/>
    <col min="11789" max="12032" width="9" style="1"/>
    <col min="12033" max="12033" width="10.625" style="1" customWidth="1"/>
    <col min="12034" max="12034" width="9" style="1"/>
    <col min="12035" max="12035" width="20.625" style="1" customWidth="1"/>
    <col min="12036" max="12036" width="9" style="1"/>
    <col min="12037" max="12037" width="10.5" style="1" customWidth="1"/>
    <col min="12038" max="12038" width="9" style="1"/>
    <col min="12039" max="12039" width="12.625" style="1" customWidth="1"/>
    <col min="12040" max="12040" width="4.625" style="1" customWidth="1"/>
    <col min="12041" max="12043" width="9" style="1"/>
    <col min="12044" max="12044" width="18.375" style="1" bestFit="1" customWidth="1"/>
    <col min="12045" max="12288" width="9" style="1"/>
    <col min="12289" max="12289" width="10.625" style="1" customWidth="1"/>
    <col min="12290" max="12290" width="9" style="1"/>
    <col min="12291" max="12291" width="20.625" style="1" customWidth="1"/>
    <col min="12292" max="12292" width="9" style="1"/>
    <col min="12293" max="12293" width="10.5" style="1" customWidth="1"/>
    <col min="12294" max="12294" width="9" style="1"/>
    <col min="12295" max="12295" width="12.625" style="1" customWidth="1"/>
    <col min="12296" max="12296" width="4.625" style="1" customWidth="1"/>
    <col min="12297" max="12299" width="9" style="1"/>
    <col min="12300" max="12300" width="18.375" style="1" bestFit="1" customWidth="1"/>
    <col min="12301" max="12544" width="9" style="1"/>
    <col min="12545" max="12545" width="10.625" style="1" customWidth="1"/>
    <col min="12546" max="12546" width="9" style="1"/>
    <col min="12547" max="12547" width="20.625" style="1" customWidth="1"/>
    <col min="12548" max="12548" width="9" style="1"/>
    <col min="12549" max="12549" width="10.5" style="1" customWidth="1"/>
    <col min="12550" max="12550" width="9" style="1"/>
    <col min="12551" max="12551" width="12.625" style="1" customWidth="1"/>
    <col min="12552" max="12552" width="4.625" style="1" customWidth="1"/>
    <col min="12553" max="12555" width="9" style="1"/>
    <col min="12556" max="12556" width="18.375" style="1" bestFit="1" customWidth="1"/>
    <col min="12557" max="12800" width="9" style="1"/>
    <col min="12801" max="12801" width="10.625" style="1" customWidth="1"/>
    <col min="12802" max="12802" width="9" style="1"/>
    <col min="12803" max="12803" width="20.625" style="1" customWidth="1"/>
    <col min="12804" max="12804" width="9" style="1"/>
    <col min="12805" max="12805" width="10.5" style="1" customWidth="1"/>
    <col min="12806" max="12806" width="9" style="1"/>
    <col min="12807" max="12807" width="12.625" style="1" customWidth="1"/>
    <col min="12808" max="12808" width="4.625" style="1" customWidth="1"/>
    <col min="12809" max="12811" width="9" style="1"/>
    <col min="12812" max="12812" width="18.375" style="1" bestFit="1" customWidth="1"/>
    <col min="12813" max="13056" width="9" style="1"/>
    <col min="13057" max="13057" width="10.625" style="1" customWidth="1"/>
    <col min="13058" max="13058" width="9" style="1"/>
    <col min="13059" max="13059" width="20.625" style="1" customWidth="1"/>
    <col min="13060" max="13060" width="9" style="1"/>
    <col min="13061" max="13061" width="10.5" style="1" customWidth="1"/>
    <col min="13062" max="13062" width="9" style="1"/>
    <col min="13063" max="13063" width="12.625" style="1" customWidth="1"/>
    <col min="13064" max="13064" width="4.625" style="1" customWidth="1"/>
    <col min="13065" max="13067" width="9" style="1"/>
    <col min="13068" max="13068" width="18.375" style="1" bestFit="1" customWidth="1"/>
    <col min="13069" max="13312" width="9" style="1"/>
    <col min="13313" max="13313" width="10.625" style="1" customWidth="1"/>
    <col min="13314" max="13314" width="9" style="1"/>
    <col min="13315" max="13315" width="20.625" style="1" customWidth="1"/>
    <col min="13316" max="13316" width="9" style="1"/>
    <col min="13317" max="13317" width="10.5" style="1" customWidth="1"/>
    <col min="13318" max="13318" width="9" style="1"/>
    <col min="13319" max="13319" width="12.625" style="1" customWidth="1"/>
    <col min="13320" max="13320" width="4.625" style="1" customWidth="1"/>
    <col min="13321" max="13323" width="9" style="1"/>
    <col min="13324" max="13324" width="18.375" style="1" bestFit="1" customWidth="1"/>
    <col min="13325" max="13568" width="9" style="1"/>
    <col min="13569" max="13569" width="10.625" style="1" customWidth="1"/>
    <col min="13570" max="13570" width="9" style="1"/>
    <col min="13571" max="13571" width="20.625" style="1" customWidth="1"/>
    <col min="13572" max="13572" width="9" style="1"/>
    <col min="13573" max="13573" width="10.5" style="1" customWidth="1"/>
    <col min="13574" max="13574" width="9" style="1"/>
    <col min="13575" max="13575" width="12.625" style="1" customWidth="1"/>
    <col min="13576" max="13576" width="4.625" style="1" customWidth="1"/>
    <col min="13577" max="13579" width="9" style="1"/>
    <col min="13580" max="13580" width="18.375" style="1" bestFit="1" customWidth="1"/>
    <col min="13581" max="13824" width="9" style="1"/>
    <col min="13825" max="13825" width="10.625" style="1" customWidth="1"/>
    <col min="13826" max="13826" width="9" style="1"/>
    <col min="13827" max="13827" width="20.625" style="1" customWidth="1"/>
    <col min="13828" max="13828" width="9" style="1"/>
    <col min="13829" max="13829" width="10.5" style="1" customWidth="1"/>
    <col min="13830" max="13830" width="9" style="1"/>
    <col min="13831" max="13831" width="12.625" style="1" customWidth="1"/>
    <col min="13832" max="13832" width="4.625" style="1" customWidth="1"/>
    <col min="13833" max="13835" width="9" style="1"/>
    <col min="13836" max="13836" width="18.375" style="1" bestFit="1" customWidth="1"/>
    <col min="13837" max="14080" width="9" style="1"/>
    <col min="14081" max="14081" width="10.625" style="1" customWidth="1"/>
    <col min="14082" max="14082" width="9" style="1"/>
    <col min="14083" max="14083" width="20.625" style="1" customWidth="1"/>
    <col min="14084" max="14084" width="9" style="1"/>
    <col min="14085" max="14085" width="10.5" style="1" customWidth="1"/>
    <col min="14086" max="14086" width="9" style="1"/>
    <col min="14087" max="14087" width="12.625" style="1" customWidth="1"/>
    <col min="14088" max="14088" width="4.625" style="1" customWidth="1"/>
    <col min="14089" max="14091" width="9" style="1"/>
    <col min="14092" max="14092" width="18.375" style="1" bestFit="1" customWidth="1"/>
    <col min="14093" max="14336" width="9" style="1"/>
    <col min="14337" max="14337" width="10.625" style="1" customWidth="1"/>
    <col min="14338" max="14338" width="9" style="1"/>
    <col min="14339" max="14339" width="20.625" style="1" customWidth="1"/>
    <col min="14340" max="14340" width="9" style="1"/>
    <col min="14341" max="14341" width="10.5" style="1" customWidth="1"/>
    <col min="14342" max="14342" width="9" style="1"/>
    <col min="14343" max="14343" width="12.625" style="1" customWidth="1"/>
    <col min="14344" max="14344" width="4.625" style="1" customWidth="1"/>
    <col min="14345" max="14347" width="9" style="1"/>
    <col min="14348" max="14348" width="18.375" style="1" bestFit="1" customWidth="1"/>
    <col min="14349" max="14592" width="9" style="1"/>
    <col min="14593" max="14593" width="10.625" style="1" customWidth="1"/>
    <col min="14594" max="14594" width="9" style="1"/>
    <col min="14595" max="14595" width="20.625" style="1" customWidth="1"/>
    <col min="14596" max="14596" width="9" style="1"/>
    <col min="14597" max="14597" width="10.5" style="1" customWidth="1"/>
    <col min="14598" max="14598" width="9" style="1"/>
    <col min="14599" max="14599" width="12.625" style="1" customWidth="1"/>
    <col min="14600" max="14600" width="4.625" style="1" customWidth="1"/>
    <col min="14601" max="14603" width="9" style="1"/>
    <col min="14604" max="14604" width="18.375" style="1" bestFit="1" customWidth="1"/>
    <col min="14605" max="14848" width="9" style="1"/>
    <col min="14849" max="14849" width="10.625" style="1" customWidth="1"/>
    <col min="14850" max="14850" width="9" style="1"/>
    <col min="14851" max="14851" width="20.625" style="1" customWidth="1"/>
    <col min="14852" max="14852" width="9" style="1"/>
    <col min="14853" max="14853" width="10.5" style="1" customWidth="1"/>
    <col min="14854" max="14854" width="9" style="1"/>
    <col min="14855" max="14855" width="12.625" style="1" customWidth="1"/>
    <col min="14856" max="14856" width="4.625" style="1" customWidth="1"/>
    <col min="14857" max="14859" width="9" style="1"/>
    <col min="14860" max="14860" width="18.375" style="1" bestFit="1" customWidth="1"/>
    <col min="14861" max="15104" width="9" style="1"/>
    <col min="15105" max="15105" width="10.625" style="1" customWidth="1"/>
    <col min="15106" max="15106" width="9" style="1"/>
    <col min="15107" max="15107" width="20.625" style="1" customWidth="1"/>
    <col min="15108" max="15108" width="9" style="1"/>
    <col min="15109" max="15109" width="10.5" style="1" customWidth="1"/>
    <col min="15110" max="15110" width="9" style="1"/>
    <col min="15111" max="15111" width="12.625" style="1" customWidth="1"/>
    <col min="15112" max="15112" width="4.625" style="1" customWidth="1"/>
    <col min="15113" max="15115" width="9" style="1"/>
    <col min="15116" max="15116" width="18.375" style="1" bestFit="1" customWidth="1"/>
    <col min="15117" max="15360" width="9" style="1"/>
    <col min="15361" max="15361" width="10.625" style="1" customWidth="1"/>
    <col min="15362" max="15362" width="9" style="1"/>
    <col min="15363" max="15363" width="20.625" style="1" customWidth="1"/>
    <col min="15364" max="15364" width="9" style="1"/>
    <col min="15365" max="15365" width="10.5" style="1" customWidth="1"/>
    <col min="15366" max="15366" width="9" style="1"/>
    <col min="15367" max="15367" width="12.625" style="1" customWidth="1"/>
    <col min="15368" max="15368" width="4.625" style="1" customWidth="1"/>
    <col min="15369" max="15371" width="9" style="1"/>
    <col min="15372" max="15372" width="18.375" style="1" bestFit="1" customWidth="1"/>
    <col min="15373" max="15616" width="9" style="1"/>
    <col min="15617" max="15617" width="10.625" style="1" customWidth="1"/>
    <col min="15618" max="15618" width="9" style="1"/>
    <col min="15619" max="15619" width="20.625" style="1" customWidth="1"/>
    <col min="15620" max="15620" width="9" style="1"/>
    <col min="15621" max="15621" width="10.5" style="1" customWidth="1"/>
    <col min="15622" max="15622" width="9" style="1"/>
    <col min="15623" max="15623" width="12.625" style="1" customWidth="1"/>
    <col min="15624" max="15624" width="4.625" style="1" customWidth="1"/>
    <col min="15625" max="15627" width="9" style="1"/>
    <col min="15628" max="15628" width="18.375" style="1" bestFit="1" customWidth="1"/>
    <col min="15629" max="15872" width="9" style="1"/>
    <col min="15873" max="15873" width="10.625" style="1" customWidth="1"/>
    <col min="15874" max="15874" width="9" style="1"/>
    <col min="15875" max="15875" width="20.625" style="1" customWidth="1"/>
    <col min="15876" max="15876" width="9" style="1"/>
    <col min="15877" max="15877" width="10.5" style="1" customWidth="1"/>
    <col min="15878" max="15878" width="9" style="1"/>
    <col min="15879" max="15879" width="12.625" style="1" customWidth="1"/>
    <col min="15880" max="15880" width="4.625" style="1" customWidth="1"/>
    <col min="15881" max="15883" width="9" style="1"/>
    <col min="15884" max="15884" width="18.375" style="1" bestFit="1" customWidth="1"/>
    <col min="15885" max="16128" width="9" style="1"/>
    <col min="16129" max="16129" width="10.625" style="1" customWidth="1"/>
    <col min="16130" max="16130" width="9" style="1"/>
    <col min="16131" max="16131" width="20.625" style="1" customWidth="1"/>
    <col min="16132" max="16132" width="9" style="1"/>
    <col min="16133" max="16133" width="10.5" style="1" customWidth="1"/>
    <col min="16134" max="16134" width="9" style="1"/>
    <col min="16135" max="16135" width="12.625" style="1" customWidth="1"/>
    <col min="16136" max="16136" width="4.625" style="1" customWidth="1"/>
    <col min="16137" max="16139" width="9" style="1"/>
    <col min="16140" max="16140" width="18.375" style="1" bestFit="1" customWidth="1"/>
    <col min="16141" max="16384" width="9" style="1"/>
  </cols>
  <sheetData>
    <row r="1" spans="1:10" ht="30" customHeight="1">
      <c r="A1" s="50" t="s">
        <v>18</v>
      </c>
      <c r="B1" s="51"/>
      <c r="C1" s="51"/>
      <c r="D1" s="51"/>
      <c r="E1" s="51"/>
      <c r="F1" s="51"/>
      <c r="G1" s="51"/>
      <c r="H1" s="52"/>
    </row>
    <row r="2" spans="1:10" ht="19.5" customHeight="1">
      <c r="A2" s="2" t="s">
        <v>0</v>
      </c>
      <c r="B2" s="53"/>
      <c r="C2" s="54"/>
      <c r="D2" s="55"/>
      <c r="E2" s="3" t="s">
        <v>1</v>
      </c>
      <c r="F2" s="56">
        <f ca="1">TODAY()</f>
        <v>44955</v>
      </c>
      <c r="G2" s="57"/>
      <c r="H2" s="58"/>
    </row>
    <row r="3" spans="1:10" ht="19.5" customHeight="1" thickBot="1">
      <c r="A3" s="4" t="s">
        <v>2</v>
      </c>
      <c r="B3" s="59"/>
      <c r="C3" s="60"/>
      <c r="D3" s="61"/>
      <c r="E3" s="5" t="s">
        <v>3</v>
      </c>
      <c r="F3" s="62" t="s">
        <v>4</v>
      </c>
      <c r="G3" s="63"/>
      <c r="H3" s="64"/>
    </row>
    <row r="4" spans="1:10" ht="15" customHeight="1">
      <c r="A4" s="6"/>
      <c r="B4" s="7"/>
      <c r="C4" s="7"/>
      <c r="D4" s="7"/>
      <c r="E4" s="7"/>
      <c r="F4" s="8"/>
      <c r="G4" s="8"/>
      <c r="H4" s="9"/>
    </row>
    <row r="5" spans="1:10" ht="15" customHeight="1">
      <c r="A5" s="6"/>
      <c r="H5" s="10"/>
    </row>
    <row r="6" spans="1:10" ht="15" customHeight="1">
      <c r="A6" s="11"/>
      <c r="H6" s="10"/>
    </row>
    <row r="7" spans="1:10" ht="15" customHeight="1">
      <c r="A7" s="6"/>
      <c r="H7" s="10"/>
    </row>
    <row r="8" spans="1:10" ht="15" customHeight="1">
      <c r="A8" s="6"/>
      <c r="H8" s="10"/>
    </row>
    <row r="9" spans="1:10" ht="15" customHeight="1">
      <c r="A9" s="6"/>
      <c r="H9" s="10"/>
    </row>
    <row r="10" spans="1:10" ht="15" customHeight="1">
      <c r="A10" s="6"/>
      <c r="H10" s="10"/>
    </row>
    <row r="11" spans="1:10" ht="15" customHeight="1">
      <c r="A11" s="6"/>
      <c r="H11" s="10"/>
    </row>
    <row r="12" spans="1:10" ht="15" customHeight="1">
      <c r="A12" s="6"/>
      <c r="H12" s="10"/>
    </row>
    <row r="13" spans="1:10" ht="15" customHeight="1">
      <c r="A13" s="6"/>
      <c r="B13" s="1" t="s">
        <v>12</v>
      </c>
      <c r="C13" s="16">
        <v>49</v>
      </c>
      <c r="D13" s="1" t="s">
        <v>9</v>
      </c>
      <c r="H13" s="10"/>
    </row>
    <row r="14" spans="1:10" ht="15" customHeight="1">
      <c r="A14" s="6"/>
      <c r="B14" s="1" t="s">
        <v>11</v>
      </c>
      <c r="C14" s="16">
        <v>4</v>
      </c>
      <c r="D14" s="1" t="s">
        <v>9</v>
      </c>
      <c r="H14" s="10"/>
    </row>
    <row r="15" spans="1:10" ht="15" customHeight="1">
      <c r="A15" s="6"/>
      <c r="B15" s="1" t="s">
        <v>13</v>
      </c>
      <c r="C15" s="1">
        <f>2*PI()*C13*C14</f>
        <v>1231.5043202071988</v>
      </c>
      <c r="D15" s="1" t="s">
        <v>10</v>
      </c>
      <c r="H15" s="10"/>
    </row>
    <row r="16" spans="1:10" ht="15" customHeight="1">
      <c r="A16" s="6"/>
      <c r="H16" s="10"/>
      <c r="J16" s="1">
        <f>280819.1/2</f>
        <v>140409.54999999999</v>
      </c>
    </row>
    <row r="17" spans="1:10" ht="15" customHeight="1">
      <c r="A17" s="6"/>
      <c r="H17" s="10"/>
      <c r="J17" s="1">
        <f>J16/C15</f>
        <v>114.01466295820731</v>
      </c>
    </row>
    <row r="18" spans="1:10" ht="15" customHeight="1">
      <c r="A18" s="6"/>
      <c r="H18" s="10"/>
    </row>
    <row r="19" spans="1:10" ht="15" customHeight="1">
      <c r="A19" s="6"/>
      <c r="H19" s="10"/>
    </row>
    <row r="20" spans="1:10" ht="15" customHeight="1">
      <c r="A20" s="6"/>
      <c r="B20" s="12"/>
      <c r="H20" s="10"/>
    </row>
    <row r="21" spans="1:10" ht="15" customHeight="1">
      <c r="A21" s="6"/>
      <c r="H21" s="10"/>
    </row>
    <row r="22" spans="1:10" ht="15" customHeight="1">
      <c r="A22" s="6"/>
      <c r="B22" s="7"/>
      <c r="H22" s="10"/>
    </row>
    <row r="23" spans="1:10" ht="15" customHeight="1">
      <c r="A23" s="6"/>
      <c r="B23" s="7"/>
      <c r="H23" s="10"/>
    </row>
    <row r="24" spans="1:10" ht="15" customHeight="1">
      <c r="A24" s="6"/>
      <c r="B24" s="7"/>
      <c r="H24" s="10"/>
    </row>
    <row r="25" spans="1:10" ht="15" customHeight="1">
      <c r="A25" s="6"/>
      <c r="B25" s="7"/>
      <c r="H25" s="10"/>
    </row>
    <row r="26" spans="1:10" ht="15" customHeight="1">
      <c r="A26" s="6"/>
      <c r="B26" s="7"/>
      <c r="H26" s="10"/>
    </row>
    <row r="27" spans="1:10" ht="15" customHeight="1">
      <c r="A27" s="6"/>
      <c r="B27" s="7"/>
      <c r="H27" s="10"/>
    </row>
    <row r="28" spans="1:10" ht="15" customHeight="1">
      <c r="A28" s="6"/>
      <c r="B28" s="7"/>
      <c r="H28" s="10"/>
    </row>
    <row r="29" spans="1:10" ht="15" customHeight="1">
      <c r="A29" s="6"/>
      <c r="H29" s="10"/>
    </row>
    <row r="30" spans="1:10" ht="15" customHeight="1">
      <c r="A30" s="6"/>
      <c r="H30" s="10"/>
    </row>
    <row r="31" spans="1:10" ht="15" customHeight="1">
      <c r="A31" s="6"/>
      <c r="B31" s="7"/>
      <c r="H31" s="10"/>
    </row>
    <row r="32" spans="1:10" ht="15" customHeight="1">
      <c r="A32" s="6"/>
      <c r="H32" s="10"/>
    </row>
    <row r="33" spans="1:8" ht="15" customHeight="1">
      <c r="A33" s="6"/>
      <c r="H33" s="10"/>
    </row>
    <row r="34" spans="1:8" ht="15" customHeight="1">
      <c r="A34" s="6"/>
      <c r="H34" s="10"/>
    </row>
    <row r="35" spans="1:8" ht="15" customHeight="1">
      <c r="A35" s="6"/>
      <c r="H35" s="10"/>
    </row>
    <row r="36" spans="1:8" ht="15" customHeight="1">
      <c r="A36" s="6"/>
      <c r="H36" s="10"/>
    </row>
    <row r="37" spans="1:8" ht="15" customHeight="1">
      <c r="A37" s="6"/>
      <c r="H37" s="10"/>
    </row>
    <row r="38" spans="1:8" ht="15" customHeight="1">
      <c r="A38" s="6"/>
      <c r="H38" s="10"/>
    </row>
    <row r="39" spans="1:8" ht="15" customHeight="1">
      <c r="A39" s="6"/>
      <c r="H39" s="10"/>
    </row>
    <row r="40" spans="1:8" ht="15" customHeight="1">
      <c r="A40" s="6"/>
      <c r="H40" s="10"/>
    </row>
    <row r="41" spans="1:8" ht="15" customHeight="1">
      <c r="A41" s="6"/>
      <c r="H41" s="10"/>
    </row>
    <row r="42" spans="1:8" ht="15" customHeight="1">
      <c r="A42" s="6"/>
      <c r="H42" s="10"/>
    </row>
    <row r="43" spans="1:8" ht="15" customHeight="1">
      <c r="A43" s="6"/>
      <c r="H43" s="10"/>
    </row>
    <row r="44" spans="1:8" ht="15" customHeight="1">
      <c r="A44" s="6"/>
      <c r="H44" s="10"/>
    </row>
    <row r="45" spans="1:8" ht="15" customHeight="1">
      <c r="A45" s="6"/>
      <c r="H45" s="10"/>
    </row>
    <row r="46" spans="1:8" ht="15" customHeight="1">
      <c r="A46" s="6"/>
      <c r="H46" s="10"/>
    </row>
    <row r="47" spans="1:8" ht="15" customHeight="1">
      <c r="A47" s="6"/>
      <c r="H47" s="10"/>
    </row>
    <row r="48" spans="1:8" ht="15" customHeight="1">
      <c r="A48" s="6"/>
      <c r="H48" s="10"/>
    </row>
    <row r="49" spans="1:8" ht="15" customHeight="1">
      <c r="A49" s="6"/>
      <c r="H49" s="10"/>
    </row>
    <row r="50" spans="1:8" ht="15" customHeight="1">
      <c r="A50" s="6"/>
      <c r="H50" s="10"/>
    </row>
    <row r="51" spans="1:8" ht="15" customHeight="1">
      <c r="A51" s="6"/>
      <c r="H51" s="10"/>
    </row>
    <row r="52" spans="1:8" ht="15" customHeight="1">
      <c r="A52" s="6"/>
      <c r="H52" s="10"/>
    </row>
    <row r="53" spans="1:8" ht="15" customHeight="1">
      <c r="A53" s="6"/>
      <c r="H53" s="10"/>
    </row>
    <row r="54" spans="1:8" ht="15" customHeight="1" thickBot="1">
      <c r="A54" s="13"/>
      <c r="B54" s="14"/>
      <c r="C54" s="14"/>
      <c r="D54" s="14"/>
      <c r="E54" s="14"/>
      <c r="F54" s="14"/>
      <c r="G54" s="14"/>
      <c r="H54" s="15"/>
    </row>
  </sheetData>
  <mergeCells count="5">
    <mergeCell ref="A1:H1"/>
    <mergeCell ref="B2:D2"/>
    <mergeCell ref="F2:H2"/>
    <mergeCell ref="B3:D3"/>
    <mergeCell ref="F3:H3"/>
  </mergeCells>
  <phoneticPr fontId="2" type="noConversion"/>
  <pageMargins left="0.98425196850393704" right="0.59055118110236227" top="0.78740157480314965" bottom="0.39370078740157483" header="0.51181102362204722" footer="0.51181102362204722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"/>
  <sheetViews>
    <sheetView showGridLines="0" topLeftCell="A10" workbookViewId="0">
      <selection activeCell="J33" sqref="J33"/>
    </sheetView>
  </sheetViews>
  <sheetFormatPr defaultRowHeight="13.5"/>
  <cols>
    <col min="1" max="1" width="10.625" style="1" customWidth="1"/>
    <col min="2" max="2" width="9" style="1"/>
    <col min="3" max="3" width="20.625" style="1" customWidth="1"/>
    <col min="4" max="4" width="9" style="1"/>
    <col min="5" max="5" width="10.5" style="1" customWidth="1"/>
    <col min="6" max="6" width="9" style="1"/>
    <col min="7" max="7" width="12.625" style="1" customWidth="1"/>
    <col min="8" max="8" width="4.625" style="1" customWidth="1"/>
    <col min="9" max="11" width="9" style="1"/>
    <col min="12" max="12" width="18.375" style="1" bestFit="1" customWidth="1"/>
    <col min="13" max="256" width="9" style="1"/>
    <col min="257" max="257" width="10.625" style="1" customWidth="1"/>
    <col min="258" max="258" width="9" style="1"/>
    <col min="259" max="259" width="20.625" style="1" customWidth="1"/>
    <col min="260" max="260" width="9" style="1"/>
    <col min="261" max="261" width="10.5" style="1" customWidth="1"/>
    <col min="262" max="262" width="9" style="1"/>
    <col min="263" max="263" width="12.625" style="1" customWidth="1"/>
    <col min="264" max="264" width="4.625" style="1" customWidth="1"/>
    <col min="265" max="267" width="9" style="1"/>
    <col min="268" max="268" width="18.375" style="1" bestFit="1" customWidth="1"/>
    <col min="269" max="512" width="9" style="1"/>
    <col min="513" max="513" width="10.625" style="1" customWidth="1"/>
    <col min="514" max="514" width="9" style="1"/>
    <col min="515" max="515" width="20.625" style="1" customWidth="1"/>
    <col min="516" max="516" width="9" style="1"/>
    <col min="517" max="517" width="10.5" style="1" customWidth="1"/>
    <col min="518" max="518" width="9" style="1"/>
    <col min="519" max="519" width="12.625" style="1" customWidth="1"/>
    <col min="520" max="520" width="4.625" style="1" customWidth="1"/>
    <col min="521" max="523" width="9" style="1"/>
    <col min="524" max="524" width="18.375" style="1" bestFit="1" customWidth="1"/>
    <col min="525" max="768" width="9" style="1"/>
    <col min="769" max="769" width="10.625" style="1" customWidth="1"/>
    <col min="770" max="770" width="9" style="1"/>
    <col min="771" max="771" width="20.625" style="1" customWidth="1"/>
    <col min="772" max="772" width="9" style="1"/>
    <col min="773" max="773" width="10.5" style="1" customWidth="1"/>
    <col min="774" max="774" width="9" style="1"/>
    <col min="775" max="775" width="12.625" style="1" customWidth="1"/>
    <col min="776" max="776" width="4.625" style="1" customWidth="1"/>
    <col min="777" max="779" width="9" style="1"/>
    <col min="780" max="780" width="18.375" style="1" bestFit="1" customWidth="1"/>
    <col min="781" max="1024" width="9" style="1"/>
    <col min="1025" max="1025" width="10.625" style="1" customWidth="1"/>
    <col min="1026" max="1026" width="9" style="1"/>
    <col min="1027" max="1027" width="20.625" style="1" customWidth="1"/>
    <col min="1028" max="1028" width="9" style="1"/>
    <col min="1029" max="1029" width="10.5" style="1" customWidth="1"/>
    <col min="1030" max="1030" width="9" style="1"/>
    <col min="1031" max="1031" width="12.625" style="1" customWidth="1"/>
    <col min="1032" max="1032" width="4.625" style="1" customWidth="1"/>
    <col min="1033" max="1035" width="9" style="1"/>
    <col min="1036" max="1036" width="18.375" style="1" bestFit="1" customWidth="1"/>
    <col min="1037" max="1280" width="9" style="1"/>
    <col min="1281" max="1281" width="10.625" style="1" customWidth="1"/>
    <col min="1282" max="1282" width="9" style="1"/>
    <col min="1283" max="1283" width="20.625" style="1" customWidth="1"/>
    <col min="1284" max="1284" width="9" style="1"/>
    <col min="1285" max="1285" width="10.5" style="1" customWidth="1"/>
    <col min="1286" max="1286" width="9" style="1"/>
    <col min="1287" max="1287" width="12.625" style="1" customWidth="1"/>
    <col min="1288" max="1288" width="4.625" style="1" customWidth="1"/>
    <col min="1289" max="1291" width="9" style="1"/>
    <col min="1292" max="1292" width="18.375" style="1" bestFit="1" customWidth="1"/>
    <col min="1293" max="1536" width="9" style="1"/>
    <col min="1537" max="1537" width="10.625" style="1" customWidth="1"/>
    <col min="1538" max="1538" width="9" style="1"/>
    <col min="1539" max="1539" width="20.625" style="1" customWidth="1"/>
    <col min="1540" max="1540" width="9" style="1"/>
    <col min="1541" max="1541" width="10.5" style="1" customWidth="1"/>
    <col min="1542" max="1542" width="9" style="1"/>
    <col min="1543" max="1543" width="12.625" style="1" customWidth="1"/>
    <col min="1544" max="1544" width="4.625" style="1" customWidth="1"/>
    <col min="1545" max="1547" width="9" style="1"/>
    <col min="1548" max="1548" width="18.375" style="1" bestFit="1" customWidth="1"/>
    <col min="1549" max="1792" width="9" style="1"/>
    <col min="1793" max="1793" width="10.625" style="1" customWidth="1"/>
    <col min="1794" max="1794" width="9" style="1"/>
    <col min="1795" max="1795" width="20.625" style="1" customWidth="1"/>
    <col min="1796" max="1796" width="9" style="1"/>
    <col min="1797" max="1797" width="10.5" style="1" customWidth="1"/>
    <col min="1798" max="1798" width="9" style="1"/>
    <col min="1799" max="1799" width="12.625" style="1" customWidth="1"/>
    <col min="1800" max="1800" width="4.625" style="1" customWidth="1"/>
    <col min="1801" max="1803" width="9" style="1"/>
    <col min="1804" max="1804" width="18.375" style="1" bestFit="1" customWidth="1"/>
    <col min="1805" max="2048" width="9" style="1"/>
    <col min="2049" max="2049" width="10.625" style="1" customWidth="1"/>
    <col min="2050" max="2050" width="9" style="1"/>
    <col min="2051" max="2051" width="20.625" style="1" customWidth="1"/>
    <col min="2052" max="2052" width="9" style="1"/>
    <col min="2053" max="2053" width="10.5" style="1" customWidth="1"/>
    <col min="2054" max="2054" width="9" style="1"/>
    <col min="2055" max="2055" width="12.625" style="1" customWidth="1"/>
    <col min="2056" max="2056" width="4.625" style="1" customWidth="1"/>
    <col min="2057" max="2059" width="9" style="1"/>
    <col min="2060" max="2060" width="18.375" style="1" bestFit="1" customWidth="1"/>
    <col min="2061" max="2304" width="9" style="1"/>
    <col min="2305" max="2305" width="10.625" style="1" customWidth="1"/>
    <col min="2306" max="2306" width="9" style="1"/>
    <col min="2307" max="2307" width="20.625" style="1" customWidth="1"/>
    <col min="2308" max="2308" width="9" style="1"/>
    <col min="2309" max="2309" width="10.5" style="1" customWidth="1"/>
    <col min="2310" max="2310" width="9" style="1"/>
    <col min="2311" max="2311" width="12.625" style="1" customWidth="1"/>
    <col min="2312" max="2312" width="4.625" style="1" customWidth="1"/>
    <col min="2313" max="2315" width="9" style="1"/>
    <col min="2316" max="2316" width="18.375" style="1" bestFit="1" customWidth="1"/>
    <col min="2317" max="2560" width="9" style="1"/>
    <col min="2561" max="2561" width="10.625" style="1" customWidth="1"/>
    <col min="2562" max="2562" width="9" style="1"/>
    <col min="2563" max="2563" width="20.625" style="1" customWidth="1"/>
    <col min="2564" max="2564" width="9" style="1"/>
    <col min="2565" max="2565" width="10.5" style="1" customWidth="1"/>
    <col min="2566" max="2566" width="9" style="1"/>
    <col min="2567" max="2567" width="12.625" style="1" customWidth="1"/>
    <col min="2568" max="2568" width="4.625" style="1" customWidth="1"/>
    <col min="2569" max="2571" width="9" style="1"/>
    <col min="2572" max="2572" width="18.375" style="1" bestFit="1" customWidth="1"/>
    <col min="2573" max="2816" width="9" style="1"/>
    <col min="2817" max="2817" width="10.625" style="1" customWidth="1"/>
    <col min="2818" max="2818" width="9" style="1"/>
    <col min="2819" max="2819" width="20.625" style="1" customWidth="1"/>
    <col min="2820" max="2820" width="9" style="1"/>
    <col min="2821" max="2821" width="10.5" style="1" customWidth="1"/>
    <col min="2822" max="2822" width="9" style="1"/>
    <col min="2823" max="2823" width="12.625" style="1" customWidth="1"/>
    <col min="2824" max="2824" width="4.625" style="1" customWidth="1"/>
    <col min="2825" max="2827" width="9" style="1"/>
    <col min="2828" max="2828" width="18.375" style="1" bestFit="1" customWidth="1"/>
    <col min="2829" max="3072" width="9" style="1"/>
    <col min="3073" max="3073" width="10.625" style="1" customWidth="1"/>
    <col min="3074" max="3074" width="9" style="1"/>
    <col min="3075" max="3075" width="20.625" style="1" customWidth="1"/>
    <col min="3076" max="3076" width="9" style="1"/>
    <col min="3077" max="3077" width="10.5" style="1" customWidth="1"/>
    <col min="3078" max="3078" width="9" style="1"/>
    <col min="3079" max="3079" width="12.625" style="1" customWidth="1"/>
    <col min="3080" max="3080" width="4.625" style="1" customWidth="1"/>
    <col min="3081" max="3083" width="9" style="1"/>
    <col min="3084" max="3084" width="18.375" style="1" bestFit="1" customWidth="1"/>
    <col min="3085" max="3328" width="9" style="1"/>
    <col min="3329" max="3329" width="10.625" style="1" customWidth="1"/>
    <col min="3330" max="3330" width="9" style="1"/>
    <col min="3331" max="3331" width="20.625" style="1" customWidth="1"/>
    <col min="3332" max="3332" width="9" style="1"/>
    <col min="3333" max="3333" width="10.5" style="1" customWidth="1"/>
    <col min="3334" max="3334" width="9" style="1"/>
    <col min="3335" max="3335" width="12.625" style="1" customWidth="1"/>
    <col min="3336" max="3336" width="4.625" style="1" customWidth="1"/>
    <col min="3337" max="3339" width="9" style="1"/>
    <col min="3340" max="3340" width="18.375" style="1" bestFit="1" customWidth="1"/>
    <col min="3341" max="3584" width="9" style="1"/>
    <col min="3585" max="3585" width="10.625" style="1" customWidth="1"/>
    <col min="3586" max="3586" width="9" style="1"/>
    <col min="3587" max="3587" width="20.625" style="1" customWidth="1"/>
    <col min="3588" max="3588" width="9" style="1"/>
    <col min="3589" max="3589" width="10.5" style="1" customWidth="1"/>
    <col min="3590" max="3590" width="9" style="1"/>
    <col min="3591" max="3591" width="12.625" style="1" customWidth="1"/>
    <col min="3592" max="3592" width="4.625" style="1" customWidth="1"/>
    <col min="3593" max="3595" width="9" style="1"/>
    <col min="3596" max="3596" width="18.375" style="1" bestFit="1" customWidth="1"/>
    <col min="3597" max="3840" width="9" style="1"/>
    <col min="3841" max="3841" width="10.625" style="1" customWidth="1"/>
    <col min="3842" max="3842" width="9" style="1"/>
    <col min="3843" max="3843" width="20.625" style="1" customWidth="1"/>
    <col min="3844" max="3844" width="9" style="1"/>
    <col min="3845" max="3845" width="10.5" style="1" customWidth="1"/>
    <col min="3846" max="3846" width="9" style="1"/>
    <col min="3847" max="3847" width="12.625" style="1" customWidth="1"/>
    <col min="3848" max="3848" width="4.625" style="1" customWidth="1"/>
    <col min="3849" max="3851" width="9" style="1"/>
    <col min="3852" max="3852" width="18.375" style="1" bestFit="1" customWidth="1"/>
    <col min="3853" max="4096" width="9" style="1"/>
    <col min="4097" max="4097" width="10.625" style="1" customWidth="1"/>
    <col min="4098" max="4098" width="9" style="1"/>
    <col min="4099" max="4099" width="20.625" style="1" customWidth="1"/>
    <col min="4100" max="4100" width="9" style="1"/>
    <col min="4101" max="4101" width="10.5" style="1" customWidth="1"/>
    <col min="4102" max="4102" width="9" style="1"/>
    <col min="4103" max="4103" width="12.625" style="1" customWidth="1"/>
    <col min="4104" max="4104" width="4.625" style="1" customWidth="1"/>
    <col min="4105" max="4107" width="9" style="1"/>
    <col min="4108" max="4108" width="18.375" style="1" bestFit="1" customWidth="1"/>
    <col min="4109" max="4352" width="9" style="1"/>
    <col min="4353" max="4353" width="10.625" style="1" customWidth="1"/>
    <col min="4354" max="4354" width="9" style="1"/>
    <col min="4355" max="4355" width="20.625" style="1" customWidth="1"/>
    <col min="4356" max="4356" width="9" style="1"/>
    <col min="4357" max="4357" width="10.5" style="1" customWidth="1"/>
    <col min="4358" max="4358" width="9" style="1"/>
    <col min="4359" max="4359" width="12.625" style="1" customWidth="1"/>
    <col min="4360" max="4360" width="4.625" style="1" customWidth="1"/>
    <col min="4361" max="4363" width="9" style="1"/>
    <col min="4364" max="4364" width="18.375" style="1" bestFit="1" customWidth="1"/>
    <col min="4365" max="4608" width="9" style="1"/>
    <col min="4609" max="4609" width="10.625" style="1" customWidth="1"/>
    <col min="4610" max="4610" width="9" style="1"/>
    <col min="4611" max="4611" width="20.625" style="1" customWidth="1"/>
    <col min="4612" max="4612" width="9" style="1"/>
    <col min="4613" max="4613" width="10.5" style="1" customWidth="1"/>
    <col min="4614" max="4614" width="9" style="1"/>
    <col min="4615" max="4615" width="12.625" style="1" customWidth="1"/>
    <col min="4616" max="4616" width="4.625" style="1" customWidth="1"/>
    <col min="4617" max="4619" width="9" style="1"/>
    <col min="4620" max="4620" width="18.375" style="1" bestFit="1" customWidth="1"/>
    <col min="4621" max="4864" width="9" style="1"/>
    <col min="4865" max="4865" width="10.625" style="1" customWidth="1"/>
    <col min="4866" max="4866" width="9" style="1"/>
    <col min="4867" max="4867" width="20.625" style="1" customWidth="1"/>
    <col min="4868" max="4868" width="9" style="1"/>
    <col min="4869" max="4869" width="10.5" style="1" customWidth="1"/>
    <col min="4870" max="4870" width="9" style="1"/>
    <col min="4871" max="4871" width="12.625" style="1" customWidth="1"/>
    <col min="4872" max="4872" width="4.625" style="1" customWidth="1"/>
    <col min="4873" max="4875" width="9" style="1"/>
    <col min="4876" max="4876" width="18.375" style="1" bestFit="1" customWidth="1"/>
    <col min="4877" max="5120" width="9" style="1"/>
    <col min="5121" max="5121" width="10.625" style="1" customWidth="1"/>
    <col min="5122" max="5122" width="9" style="1"/>
    <col min="5123" max="5123" width="20.625" style="1" customWidth="1"/>
    <col min="5124" max="5124" width="9" style="1"/>
    <col min="5125" max="5125" width="10.5" style="1" customWidth="1"/>
    <col min="5126" max="5126" width="9" style="1"/>
    <col min="5127" max="5127" width="12.625" style="1" customWidth="1"/>
    <col min="5128" max="5128" width="4.625" style="1" customWidth="1"/>
    <col min="5129" max="5131" width="9" style="1"/>
    <col min="5132" max="5132" width="18.375" style="1" bestFit="1" customWidth="1"/>
    <col min="5133" max="5376" width="9" style="1"/>
    <col min="5377" max="5377" width="10.625" style="1" customWidth="1"/>
    <col min="5378" max="5378" width="9" style="1"/>
    <col min="5379" max="5379" width="20.625" style="1" customWidth="1"/>
    <col min="5380" max="5380" width="9" style="1"/>
    <col min="5381" max="5381" width="10.5" style="1" customWidth="1"/>
    <col min="5382" max="5382" width="9" style="1"/>
    <col min="5383" max="5383" width="12.625" style="1" customWidth="1"/>
    <col min="5384" max="5384" width="4.625" style="1" customWidth="1"/>
    <col min="5385" max="5387" width="9" style="1"/>
    <col min="5388" max="5388" width="18.375" style="1" bestFit="1" customWidth="1"/>
    <col min="5389" max="5632" width="9" style="1"/>
    <col min="5633" max="5633" width="10.625" style="1" customWidth="1"/>
    <col min="5634" max="5634" width="9" style="1"/>
    <col min="5635" max="5635" width="20.625" style="1" customWidth="1"/>
    <col min="5636" max="5636" width="9" style="1"/>
    <col min="5637" max="5637" width="10.5" style="1" customWidth="1"/>
    <col min="5638" max="5638" width="9" style="1"/>
    <col min="5639" max="5639" width="12.625" style="1" customWidth="1"/>
    <col min="5640" max="5640" width="4.625" style="1" customWidth="1"/>
    <col min="5641" max="5643" width="9" style="1"/>
    <col min="5644" max="5644" width="18.375" style="1" bestFit="1" customWidth="1"/>
    <col min="5645" max="5888" width="9" style="1"/>
    <col min="5889" max="5889" width="10.625" style="1" customWidth="1"/>
    <col min="5890" max="5890" width="9" style="1"/>
    <col min="5891" max="5891" width="20.625" style="1" customWidth="1"/>
    <col min="5892" max="5892" width="9" style="1"/>
    <col min="5893" max="5893" width="10.5" style="1" customWidth="1"/>
    <col min="5894" max="5894" width="9" style="1"/>
    <col min="5895" max="5895" width="12.625" style="1" customWidth="1"/>
    <col min="5896" max="5896" width="4.625" style="1" customWidth="1"/>
    <col min="5897" max="5899" width="9" style="1"/>
    <col min="5900" max="5900" width="18.375" style="1" bestFit="1" customWidth="1"/>
    <col min="5901" max="6144" width="9" style="1"/>
    <col min="6145" max="6145" width="10.625" style="1" customWidth="1"/>
    <col min="6146" max="6146" width="9" style="1"/>
    <col min="6147" max="6147" width="20.625" style="1" customWidth="1"/>
    <col min="6148" max="6148" width="9" style="1"/>
    <col min="6149" max="6149" width="10.5" style="1" customWidth="1"/>
    <col min="6150" max="6150" width="9" style="1"/>
    <col min="6151" max="6151" width="12.625" style="1" customWidth="1"/>
    <col min="6152" max="6152" width="4.625" style="1" customWidth="1"/>
    <col min="6153" max="6155" width="9" style="1"/>
    <col min="6156" max="6156" width="18.375" style="1" bestFit="1" customWidth="1"/>
    <col min="6157" max="6400" width="9" style="1"/>
    <col min="6401" max="6401" width="10.625" style="1" customWidth="1"/>
    <col min="6402" max="6402" width="9" style="1"/>
    <col min="6403" max="6403" width="20.625" style="1" customWidth="1"/>
    <col min="6404" max="6404" width="9" style="1"/>
    <col min="6405" max="6405" width="10.5" style="1" customWidth="1"/>
    <col min="6406" max="6406" width="9" style="1"/>
    <col min="6407" max="6407" width="12.625" style="1" customWidth="1"/>
    <col min="6408" max="6408" width="4.625" style="1" customWidth="1"/>
    <col min="6409" max="6411" width="9" style="1"/>
    <col min="6412" max="6412" width="18.375" style="1" bestFit="1" customWidth="1"/>
    <col min="6413" max="6656" width="9" style="1"/>
    <col min="6657" max="6657" width="10.625" style="1" customWidth="1"/>
    <col min="6658" max="6658" width="9" style="1"/>
    <col min="6659" max="6659" width="20.625" style="1" customWidth="1"/>
    <col min="6660" max="6660" width="9" style="1"/>
    <col min="6661" max="6661" width="10.5" style="1" customWidth="1"/>
    <col min="6662" max="6662" width="9" style="1"/>
    <col min="6663" max="6663" width="12.625" style="1" customWidth="1"/>
    <col min="6664" max="6664" width="4.625" style="1" customWidth="1"/>
    <col min="6665" max="6667" width="9" style="1"/>
    <col min="6668" max="6668" width="18.375" style="1" bestFit="1" customWidth="1"/>
    <col min="6669" max="6912" width="9" style="1"/>
    <col min="6913" max="6913" width="10.625" style="1" customWidth="1"/>
    <col min="6914" max="6914" width="9" style="1"/>
    <col min="6915" max="6915" width="20.625" style="1" customWidth="1"/>
    <col min="6916" max="6916" width="9" style="1"/>
    <col min="6917" max="6917" width="10.5" style="1" customWidth="1"/>
    <col min="6918" max="6918" width="9" style="1"/>
    <col min="6919" max="6919" width="12.625" style="1" customWidth="1"/>
    <col min="6920" max="6920" width="4.625" style="1" customWidth="1"/>
    <col min="6921" max="6923" width="9" style="1"/>
    <col min="6924" max="6924" width="18.375" style="1" bestFit="1" customWidth="1"/>
    <col min="6925" max="7168" width="9" style="1"/>
    <col min="7169" max="7169" width="10.625" style="1" customWidth="1"/>
    <col min="7170" max="7170" width="9" style="1"/>
    <col min="7171" max="7171" width="20.625" style="1" customWidth="1"/>
    <col min="7172" max="7172" width="9" style="1"/>
    <col min="7173" max="7173" width="10.5" style="1" customWidth="1"/>
    <col min="7174" max="7174" width="9" style="1"/>
    <col min="7175" max="7175" width="12.625" style="1" customWidth="1"/>
    <col min="7176" max="7176" width="4.625" style="1" customWidth="1"/>
    <col min="7177" max="7179" width="9" style="1"/>
    <col min="7180" max="7180" width="18.375" style="1" bestFit="1" customWidth="1"/>
    <col min="7181" max="7424" width="9" style="1"/>
    <col min="7425" max="7425" width="10.625" style="1" customWidth="1"/>
    <col min="7426" max="7426" width="9" style="1"/>
    <col min="7427" max="7427" width="20.625" style="1" customWidth="1"/>
    <col min="7428" max="7428" width="9" style="1"/>
    <col min="7429" max="7429" width="10.5" style="1" customWidth="1"/>
    <col min="7430" max="7430" width="9" style="1"/>
    <col min="7431" max="7431" width="12.625" style="1" customWidth="1"/>
    <col min="7432" max="7432" width="4.625" style="1" customWidth="1"/>
    <col min="7433" max="7435" width="9" style="1"/>
    <col min="7436" max="7436" width="18.375" style="1" bestFit="1" customWidth="1"/>
    <col min="7437" max="7680" width="9" style="1"/>
    <col min="7681" max="7681" width="10.625" style="1" customWidth="1"/>
    <col min="7682" max="7682" width="9" style="1"/>
    <col min="7683" max="7683" width="20.625" style="1" customWidth="1"/>
    <col min="7684" max="7684" width="9" style="1"/>
    <col min="7685" max="7685" width="10.5" style="1" customWidth="1"/>
    <col min="7686" max="7686" width="9" style="1"/>
    <col min="7687" max="7687" width="12.625" style="1" customWidth="1"/>
    <col min="7688" max="7688" width="4.625" style="1" customWidth="1"/>
    <col min="7689" max="7691" width="9" style="1"/>
    <col min="7692" max="7692" width="18.375" style="1" bestFit="1" customWidth="1"/>
    <col min="7693" max="7936" width="9" style="1"/>
    <col min="7937" max="7937" width="10.625" style="1" customWidth="1"/>
    <col min="7938" max="7938" width="9" style="1"/>
    <col min="7939" max="7939" width="20.625" style="1" customWidth="1"/>
    <col min="7940" max="7940" width="9" style="1"/>
    <col min="7941" max="7941" width="10.5" style="1" customWidth="1"/>
    <col min="7942" max="7942" width="9" style="1"/>
    <col min="7943" max="7943" width="12.625" style="1" customWidth="1"/>
    <col min="7944" max="7944" width="4.625" style="1" customWidth="1"/>
    <col min="7945" max="7947" width="9" style="1"/>
    <col min="7948" max="7948" width="18.375" style="1" bestFit="1" customWidth="1"/>
    <col min="7949" max="8192" width="9" style="1"/>
    <col min="8193" max="8193" width="10.625" style="1" customWidth="1"/>
    <col min="8194" max="8194" width="9" style="1"/>
    <col min="8195" max="8195" width="20.625" style="1" customWidth="1"/>
    <col min="8196" max="8196" width="9" style="1"/>
    <col min="8197" max="8197" width="10.5" style="1" customWidth="1"/>
    <col min="8198" max="8198" width="9" style="1"/>
    <col min="8199" max="8199" width="12.625" style="1" customWidth="1"/>
    <col min="8200" max="8200" width="4.625" style="1" customWidth="1"/>
    <col min="8201" max="8203" width="9" style="1"/>
    <col min="8204" max="8204" width="18.375" style="1" bestFit="1" customWidth="1"/>
    <col min="8205" max="8448" width="9" style="1"/>
    <col min="8449" max="8449" width="10.625" style="1" customWidth="1"/>
    <col min="8450" max="8450" width="9" style="1"/>
    <col min="8451" max="8451" width="20.625" style="1" customWidth="1"/>
    <col min="8452" max="8452" width="9" style="1"/>
    <col min="8453" max="8453" width="10.5" style="1" customWidth="1"/>
    <col min="8454" max="8454" width="9" style="1"/>
    <col min="8455" max="8455" width="12.625" style="1" customWidth="1"/>
    <col min="8456" max="8456" width="4.625" style="1" customWidth="1"/>
    <col min="8457" max="8459" width="9" style="1"/>
    <col min="8460" max="8460" width="18.375" style="1" bestFit="1" customWidth="1"/>
    <col min="8461" max="8704" width="9" style="1"/>
    <col min="8705" max="8705" width="10.625" style="1" customWidth="1"/>
    <col min="8706" max="8706" width="9" style="1"/>
    <col min="8707" max="8707" width="20.625" style="1" customWidth="1"/>
    <col min="8708" max="8708" width="9" style="1"/>
    <col min="8709" max="8709" width="10.5" style="1" customWidth="1"/>
    <col min="8710" max="8710" width="9" style="1"/>
    <col min="8711" max="8711" width="12.625" style="1" customWidth="1"/>
    <col min="8712" max="8712" width="4.625" style="1" customWidth="1"/>
    <col min="8713" max="8715" width="9" style="1"/>
    <col min="8716" max="8716" width="18.375" style="1" bestFit="1" customWidth="1"/>
    <col min="8717" max="8960" width="9" style="1"/>
    <col min="8961" max="8961" width="10.625" style="1" customWidth="1"/>
    <col min="8962" max="8962" width="9" style="1"/>
    <col min="8963" max="8963" width="20.625" style="1" customWidth="1"/>
    <col min="8964" max="8964" width="9" style="1"/>
    <col min="8965" max="8965" width="10.5" style="1" customWidth="1"/>
    <col min="8966" max="8966" width="9" style="1"/>
    <col min="8967" max="8967" width="12.625" style="1" customWidth="1"/>
    <col min="8968" max="8968" width="4.625" style="1" customWidth="1"/>
    <col min="8969" max="8971" width="9" style="1"/>
    <col min="8972" max="8972" width="18.375" style="1" bestFit="1" customWidth="1"/>
    <col min="8973" max="9216" width="9" style="1"/>
    <col min="9217" max="9217" width="10.625" style="1" customWidth="1"/>
    <col min="9218" max="9218" width="9" style="1"/>
    <col min="9219" max="9219" width="20.625" style="1" customWidth="1"/>
    <col min="9220" max="9220" width="9" style="1"/>
    <col min="9221" max="9221" width="10.5" style="1" customWidth="1"/>
    <col min="9222" max="9222" width="9" style="1"/>
    <col min="9223" max="9223" width="12.625" style="1" customWidth="1"/>
    <col min="9224" max="9224" width="4.625" style="1" customWidth="1"/>
    <col min="9225" max="9227" width="9" style="1"/>
    <col min="9228" max="9228" width="18.375" style="1" bestFit="1" customWidth="1"/>
    <col min="9229" max="9472" width="9" style="1"/>
    <col min="9473" max="9473" width="10.625" style="1" customWidth="1"/>
    <col min="9474" max="9474" width="9" style="1"/>
    <col min="9475" max="9475" width="20.625" style="1" customWidth="1"/>
    <col min="9476" max="9476" width="9" style="1"/>
    <col min="9477" max="9477" width="10.5" style="1" customWidth="1"/>
    <col min="9478" max="9478" width="9" style="1"/>
    <col min="9479" max="9479" width="12.625" style="1" customWidth="1"/>
    <col min="9480" max="9480" width="4.625" style="1" customWidth="1"/>
    <col min="9481" max="9483" width="9" style="1"/>
    <col min="9484" max="9484" width="18.375" style="1" bestFit="1" customWidth="1"/>
    <col min="9485" max="9728" width="9" style="1"/>
    <col min="9729" max="9729" width="10.625" style="1" customWidth="1"/>
    <col min="9730" max="9730" width="9" style="1"/>
    <col min="9731" max="9731" width="20.625" style="1" customWidth="1"/>
    <col min="9732" max="9732" width="9" style="1"/>
    <col min="9733" max="9733" width="10.5" style="1" customWidth="1"/>
    <col min="9734" max="9734" width="9" style="1"/>
    <col min="9735" max="9735" width="12.625" style="1" customWidth="1"/>
    <col min="9736" max="9736" width="4.625" style="1" customWidth="1"/>
    <col min="9737" max="9739" width="9" style="1"/>
    <col min="9740" max="9740" width="18.375" style="1" bestFit="1" customWidth="1"/>
    <col min="9741" max="9984" width="9" style="1"/>
    <col min="9985" max="9985" width="10.625" style="1" customWidth="1"/>
    <col min="9986" max="9986" width="9" style="1"/>
    <col min="9987" max="9987" width="20.625" style="1" customWidth="1"/>
    <col min="9988" max="9988" width="9" style="1"/>
    <col min="9989" max="9989" width="10.5" style="1" customWidth="1"/>
    <col min="9990" max="9990" width="9" style="1"/>
    <col min="9991" max="9991" width="12.625" style="1" customWidth="1"/>
    <col min="9992" max="9992" width="4.625" style="1" customWidth="1"/>
    <col min="9993" max="9995" width="9" style="1"/>
    <col min="9996" max="9996" width="18.375" style="1" bestFit="1" customWidth="1"/>
    <col min="9997" max="10240" width="9" style="1"/>
    <col min="10241" max="10241" width="10.625" style="1" customWidth="1"/>
    <col min="10242" max="10242" width="9" style="1"/>
    <col min="10243" max="10243" width="20.625" style="1" customWidth="1"/>
    <col min="10244" max="10244" width="9" style="1"/>
    <col min="10245" max="10245" width="10.5" style="1" customWidth="1"/>
    <col min="10246" max="10246" width="9" style="1"/>
    <col min="10247" max="10247" width="12.625" style="1" customWidth="1"/>
    <col min="10248" max="10248" width="4.625" style="1" customWidth="1"/>
    <col min="10249" max="10251" width="9" style="1"/>
    <col min="10252" max="10252" width="18.375" style="1" bestFit="1" customWidth="1"/>
    <col min="10253" max="10496" width="9" style="1"/>
    <col min="10497" max="10497" width="10.625" style="1" customWidth="1"/>
    <col min="10498" max="10498" width="9" style="1"/>
    <col min="10499" max="10499" width="20.625" style="1" customWidth="1"/>
    <col min="10500" max="10500" width="9" style="1"/>
    <col min="10501" max="10501" width="10.5" style="1" customWidth="1"/>
    <col min="10502" max="10502" width="9" style="1"/>
    <col min="10503" max="10503" width="12.625" style="1" customWidth="1"/>
    <col min="10504" max="10504" width="4.625" style="1" customWidth="1"/>
    <col min="10505" max="10507" width="9" style="1"/>
    <col min="10508" max="10508" width="18.375" style="1" bestFit="1" customWidth="1"/>
    <col min="10509" max="10752" width="9" style="1"/>
    <col min="10753" max="10753" width="10.625" style="1" customWidth="1"/>
    <col min="10754" max="10754" width="9" style="1"/>
    <col min="10755" max="10755" width="20.625" style="1" customWidth="1"/>
    <col min="10756" max="10756" width="9" style="1"/>
    <col min="10757" max="10757" width="10.5" style="1" customWidth="1"/>
    <col min="10758" max="10758" width="9" style="1"/>
    <col min="10759" max="10759" width="12.625" style="1" customWidth="1"/>
    <col min="10760" max="10760" width="4.625" style="1" customWidth="1"/>
    <col min="10761" max="10763" width="9" style="1"/>
    <col min="10764" max="10764" width="18.375" style="1" bestFit="1" customWidth="1"/>
    <col min="10765" max="11008" width="9" style="1"/>
    <col min="11009" max="11009" width="10.625" style="1" customWidth="1"/>
    <col min="11010" max="11010" width="9" style="1"/>
    <col min="11011" max="11011" width="20.625" style="1" customWidth="1"/>
    <col min="11012" max="11012" width="9" style="1"/>
    <col min="11013" max="11013" width="10.5" style="1" customWidth="1"/>
    <col min="11014" max="11014" width="9" style="1"/>
    <col min="11015" max="11015" width="12.625" style="1" customWidth="1"/>
    <col min="11016" max="11016" width="4.625" style="1" customWidth="1"/>
    <col min="11017" max="11019" width="9" style="1"/>
    <col min="11020" max="11020" width="18.375" style="1" bestFit="1" customWidth="1"/>
    <col min="11021" max="11264" width="9" style="1"/>
    <col min="11265" max="11265" width="10.625" style="1" customWidth="1"/>
    <col min="11266" max="11266" width="9" style="1"/>
    <col min="11267" max="11267" width="20.625" style="1" customWidth="1"/>
    <col min="11268" max="11268" width="9" style="1"/>
    <col min="11269" max="11269" width="10.5" style="1" customWidth="1"/>
    <col min="11270" max="11270" width="9" style="1"/>
    <col min="11271" max="11271" width="12.625" style="1" customWidth="1"/>
    <col min="11272" max="11272" width="4.625" style="1" customWidth="1"/>
    <col min="11273" max="11275" width="9" style="1"/>
    <col min="11276" max="11276" width="18.375" style="1" bestFit="1" customWidth="1"/>
    <col min="11277" max="11520" width="9" style="1"/>
    <col min="11521" max="11521" width="10.625" style="1" customWidth="1"/>
    <col min="11522" max="11522" width="9" style="1"/>
    <col min="11523" max="11523" width="20.625" style="1" customWidth="1"/>
    <col min="11524" max="11524" width="9" style="1"/>
    <col min="11525" max="11525" width="10.5" style="1" customWidth="1"/>
    <col min="11526" max="11526" width="9" style="1"/>
    <col min="11527" max="11527" width="12.625" style="1" customWidth="1"/>
    <col min="11528" max="11528" width="4.625" style="1" customWidth="1"/>
    <col min="11529" max="11531" width="9" style="1"/>
    <col min="11532" max="11532" width="18.375" style="1" bestFit="1" customWidth="1"/>
    <col min="11533" max="11776" width="9" style="1"/>
    <col min="11777" max="11777" width="10.625" style="1" customWidth="1"/>
    <col min="11778" max="11778" width="9" style="1"/>
    <col min="11779" max="11779" width="20.625" style="1" customWidth="1"/>
    <col min="11780" max="11780" width="9" style="1"/>
    <col min="11781" max="11781" width="10.5" style="1" customWidth="1"/>
    <col min="11782" max="11782" width="9" style="1"/>
    <col min="11783" max="11783" width="12.625" style="1" customWidth="1"/>
    <col min="11784" max="11784" width="4.625" style="1" customWidth="1"/>
    <col min="11785" max="11787" width="9" style="1"/>
    <col min="11788" max="11788" width="18.375" style="1" bestFit="1" customWidth="1"/>
    <col min="11789" max="12032" width="9" style="1"/>
    <col min="12033" max="12033" width="10.625" style="1" customWidth="1"/>
    <col min="12034" max="12034" width="9" style="1"/>
    <col min="12035" max="12035" width="20.625" style="1" customWidth="1"/>
    <col min="12036" max="12036" width="9" style="1"/>
    <col min="12037" max="12037" width="10.5" style="1" customWidth="1"/>
    <col min="12038" max="12038" width="9" style="1"/>
    <col min="12039" max="12039" width="12.625" style="1" customWidth="1"/>
    <col min="12040" max="12040" width="4.625" style="1" customWidth="1"/>
    <col min="12041" max="12043" width="9" style="1"/>
    <col min="12044" max="12044" width="18.375" style="1" bestFit="1" customWidth="1"/>
    <col min="12045" max="12288" width="9" style="1"/>
    <col min="12289" max="12289" width="10.625" style="1" customWidth="1"/>
    <col min="12290" max="12290" width="9" style="1"/>
    <col min="12291" max="12291" width="20.625" style="1" customWidth="1"/>
    <col min="12292" max="12292" width="9" style="1"/>
    <col min="12293" max="12293" width="10.5" style="1" customWidth="1"/>
    <col min="12294" max="12294" width="9" style="1"/>
    <col min="12295" max="12295" width="12.625" style="1" customWidth="1"/>
    <col min="12296" max="12296" width="4.625" style="1" customWidth="1"/>
    <col min="12297" max="12299" width="9" style="1"/>
    <col min="12300" max="12300" width="18.375" style="1" bestFit="1" customWidth="1"/>
    <col min="12301" max="12544" width="9" style="1"/>
    <col min="12545" max="12545" width="10.625" style="1" customWidth="1"/>
    <col min="12546" max="12546" width="9" style="1"/>
    <col min="12547" max="12547" width="20.625" style="1" customWidth="1"/>
    <col min="12548" max="12548" width="9" style="1"/>
    <col min="12549" max="12549" width="10.5" style="1" customWidth="1"/>
    <col min="12550" max="12550" width="9" style="1"/>
    <col min="12551" max="12551" width="12.625" style="1" customWidth="1"/>
    <col min="12552" max="12552" width="4.625" style="1" customWidth="1"/>
    <col min="12553" max="12555" width="9" style="1"/>
    <col min="12556" max="12556" width="18.375" style="1" bestFit="1" customWidth="1"/>
    <col min="12557" max="12800" width="9" style="1"/>
    <col min="12801" max="12801" width="10.625" style="1" customWidth="1"/>
    <col min="12802" max="12802" width="9" style="1"/>
    <col min="12803" max="12803" width="20.625" style="1" customWidth="1"/>
    <col min="12804" max="12804" width="9" style="1"/>
    <col min="12805" max="12805" width="10.5" style="1" customWidth="1"/>
    <col min="12806" max="12806" width="9" style="1"/>
    <col min="12807" max="12807" width="12.625" style="1" customWidth="1"/>
    <col min="12808" max="12808" width="4.625" style="1" customWidth="1"/>
    <col min="12809" max="12811" width="9" style="1"/>
    <col min="12812" max="12812" width="18.375" style="1" bestFit="1" customWidth="1"/>
    <col min="12813" max="13056" width="9" style="1"/>
    <col min="13057" max="13057" width="10.625" style="1" customWidth="1"/>
    <col min="13058" max="13058" width="9" style="1"/>
    <col min="13059" max="13059" width="20.625" style="1" customWidth="1"/>
    <col min="13060" max="13060" width="9" style="1"/>
    <col min="13061" max="13061" width="10.5" style="1" customWidth="1"/>
    <col min="13062" max="13062" width="9" style="1"/>
    <col min="13063" max="13063" width="12.625" style="1" customWidth="1"/>
    <col min="13064" max="13064" width="4.625" style="1" customWidth="1"/>
    <col min="13065" max="13067" width="9" style="1"/>
    <col min="13068" max="13068" width="18.375" style="1" bestFit="1" customWidth="1"/>
    <col min="13069" max="13312" width="9" style="1"/>
    <col min="13313" max="13313" width="10.625" style="1" customWidth="1"/>
    <col min="13314" max="13314" width="9" style="1"/>
    <col min="13315" max="13315" width="20.625" style="1" customWidth="1"/>
    <col min="13316" max="13316" width="9" style="1"/>
    <col min="13317" max="13317" width="10.5" style="1" customWidth="1"/>
    <col min="13318" max="13318" width="9" style="1"/>
    <col min="13319" max="13319" width="12.625" style="1" customWidth="1"/>
    <col min="13320" max="13320" width="4.625" style="1" customWidth="1"/>
    <col min="13321" max="13323" width="9" style="1"/>
    <col min="13324" max="13324" width="18.375" style="1" bestFit="1" customWidth="1"/>
    <col min="13325" max="13568" width="9" style="1"/>
    <col min="13569" max="13569" width="10.625" style="1" customWidth="1"/>
    <col min="13570" max="13570" width="9" style="1"/>
    <col min="13571" max="13571" width="20.625" style="1" customWidth="1"/>
    <col min="13572" max="13572" width="9" style="1"/>
    <col min="13573" max="13573" width="10.5" style="1" customWidth="1"/>
    <col min="13574" max="13574" width="9" style="1"/>
    <col min="13575" max="13575" width="12.625" style="1" customWidth="1"/>
    <col min="13576" max="13576" width="4.625" style="1" customWidth="1"/>
    <col min="13577" max="13579" width="9" style="1"/>
    <col min="13580" max="13580" width="18.375" style="1" bestFit="1" customWidth="1"/>
    <col min="13581" max="13824" width="9" style="1"/>
    <col min="13825" max="13825" width="10.625" style="1" customWidth="1"/>
    <col min="13826" max="13826" width="9" style="1"/>
    <col min="13827" max="13827" width="20.625" style="1" customWidth="1"/>
    <col min="13828" max="13828" width="9" style="1"/>
    <col min="13829" max="13829" width="10.5" style="1" customWidth="1"/>
    <col min="13830" max="13830" width="9" style="1"/>
    <col min="13831" max="13831" width="12.625" style="1" customWidth="1"/>
    <col min="13832" max="13832" width="4.625" style="1" customWidth="1"/>
    <col min="13833" max="13835" width="9" style="1"/>
    <col min="13836" max="13836" width="18.375" style="1" bestFit="1" customWidth="1"/>
    <col min="13837" max="14080" width="9" style="1"/>
    <col min="14081" max="14081" width="10.625" style="1" customWidth="1"/>
    <col min="14082" max="14082" width="9" style="1"/>
    <col min="14083" max="14083" width="20.625" style="1" customWidth="1"/>
    <col min="14084" max="14084" width="9" style="1"/>
    <col min="14085" max="14085" width="10.5" style="1" customWidth="1"/>
    <col min="14086" max="14086" width="9" style="1"/>
    <col min="14087" max="14087" width="12.625" style="1" customWidth="1"/>
    <col min="14088" max="14088" width="4.625" style="1" customWidth="1"/>
    <col min="14089" max="14091" width="9" style="1"/>
    <col min="14092" max="14092" width="18.375" style="1" bestFit="1" customWidth="1"/>
    <col min="14093" max="14336" width="9" style="1"/>
    <col min="14337" max="14337" width="10.625" style="1" customWidth="1"/>
    <col min="14338" max="14338" width="9" style="1"/>
    <col min="14339" max="14339" width="20.625" style="1" customWidth="1"/>
    <col min="14340" max="14340" width="9" style="1"/>
    <col min="14341" max="14341" width="10.5" style="1" customWidth="1"/>
    <col min="14342" max="14342" width="9" style="1"/>
    <col min="14343" max="14343" width="12.625" style="1" customWidth="1"/>
    <col min="14344" max="14344" width="4.625" style="1" customWidth="1"/>
    <col min="14345" max="14347" width="9" style="1"/>
    <col min="14348" max="14348" width="18.375" style="1" bestFit="1" customWidth="1"/>
    <col min="14349" max="14592" width="9" style="1"/>
    <col min="14593" max="14593" width="10.625" style="1" customWidth="1"/>
    <col min="14594" max="14594" width="9" style="1"/>
    <col min="14595" max="14595" width="20.625" style="1" customWidth="1"/>
    <col min="14596" max="14596" width="9" style="1"/>
    <col min="14597" max="14597" width="10.5" style="1" customWidth="1"/>
    <col min="14598" max="14598" width="9" style="1"/>
    <col min="14599" max="14599" width="12.625" style="1" customWidth="1"/>
    <col min="14600" max="14600" width="4.625" style="1" customWidth="1"/>
    <col min="14601" max="14603" width="9" style="1"/>
    <col min="14604" max="14604" width="18.375" style="1" bestFit="1" customWidth="1"/>
    <col min="14605" max="14848" width="9" style="1"/>
    <col min="14849" max="14849" width="10.625" style="1" customWidth="1"/>
    <col min="14850" max="14850" width="9" style="1"/>
    <col min="14851" max="14851" width="20.625" style="1" customWidth="1"/>
    <col min="14852" max="14852" width="9" style="1"/>
    <col min="14853" max="14853" width="10.5" style="1" customWidth="1"/>
    <col min="14854" max="14854" width="9" style="1"/>
    <col min="14855" max="14855" width="12.625" style="1" customWidth="1"/>
    <col min="14856" max="14856" width="4.625" style="1" customWidth="1"/>
    <col min="14857" max="14859" width="9" style="1"/>
    <col min="14860" max="14860" width="18.375" style="1" bestFit="1" customWidth="1"/>
    <col min="14861" max="15104" width="9" style="1"/>
    <col min="15105" max="15105" width="10.625" style="1" customWidth="1"/>
    <col min="15106" max="15106" width="9" style="1"/>
    <col min="15107" max="15107" width="20.625" style="1" customWidth="1"/>
    <col min="15108" max="15108" width="9" style="1"/>
    <col min="15109" max="15109" width="10.5" style="1" customWidth="1"/>
    <col min="15110" max="15110" width="9" style="1"/>
    <col min="15111" max="15111" width="12.625" style="1" customWidth="1"/>
    <col min="15112" max="15112" width="4.625" style="1" customWidth="1"/>
    <col min="15113" max="15115" width="9" style="1"/>
    <col min="15116" max="15116" width="18.375" style="1" bestFit="1" customWidth="1"/>
    <col min="15117" max="15360" width="9" style="1"/>
    <col min="15361" max="15361" width="10.625" style="1" customWidth="1"/>
    <col min="15362" max="15362" width="9" style="1"/>
    <col min="15363" max="15363" width="20.625" style="1" customWidth="1"/>
    <col min="15364" max="15364" width="9" style="1"/>
    <col min="15365" max="15365" width="10.5" style="1" customWidth="1"/>
    <col min="15366" max="15366" width="9" style="1"/>
    <col min="15367" max="15367" width="12.625" style="1" customWidth="1"/>
    <col min="15368" max="15368" width="4.625" style="1" customWidth="1"/>
    <col min="15369" max="15371" width="9" style="1"/>
    <col min="15372" max="15372" width="18.375" style="1" bestFit="1" customWidth="1"/>
    <col min="15373" max="15616" width="9" style="1"/>
    <col min="15617" max="15617" width="10.625" style="1" customWidth="1"/>
    <col min="15618" max="15618" width="9" style="1"/>
    <col min="15619" max="15619" width="20.625" style="1" customWidth="1"/>
    <col min="15620" max="15620" width="9" style="1"/>
    <col min="15621" max="15621" width="10.5" style="1" customWidth="1"/>
    <col min="15622" max="15622" width="9" style="1"/>
    <col min="15623" max="15623" width="12.625" style="1" customWidth="1"/>
    <col min="15624" max="15624" width="4.625" style="1" customWidth="1"/>
    <col min="15625" max="15627" width="9" style="1"/>
    <col min="15628" max="15628" width="18.375" style="1" bestFit="1" customWidth="1"/>
    <col min="15629" max="15872" width="9" style="1"/>
    <col min="15873" max="15873" width="10.625" style="1" customWidth="1"/>
    <col min="15874" max="15874" width="9" style="1"/>
    <col min="15875" max="15875" width="20.625" style="1" customWidth="1"/>
    <col min="15876" max="15876" width="9" style="1"/>
    <col min="15877" max="15877" width="10.5" style="1" customWidth="1"/>
    <col min="15878" max="15878" width="9" style="1"/>
    <col min="15879" max="15879" width="12.625" style="1" customWidth="1"/>
    <col min="15880" max="15880" width="4.625" style="1" customWidth="1"/>
    <col min="15881" max="15883" width="9" style="1"/>
    <col min="15884" max="15884" width="18.375" style="1" bestFit="1" customWidth="1"/>
    <col min="15885" max="16128" width="9" style="1"/>
    <col min="16129" max="16129" width="10.625" style="1" customWidth="1"/>
    <col min="16130" max="16130" width="9" style="1"/>
    <col min="16131" max="16131" width="20.625" style="1" customWidth="1"/>
    <col min="16132" max="16132" width="9" style="1"/>
    <col min="16133" max="16133" width="10.5" style="1" customWidth="1"/>
    <col min="16134" max="16134" width="9" style="1"/>
    <col min="16135" max="16135" width="12.625" style="1" customWidth="1"/>
    <col min="16136" max="16136" width="4.625" style="1" customWidth="1"/>
    <col min="16137" max="16139" width="9" style="1"/>
    <col min="16140" max="16140" width="18.375" style="1" bestFit="1" customWidth="1"/>
    <col min="16141" max="16384" width="9" style="1"/>
  </cols>
  <sheetData>
    <row r="1" spans="1:10" ht="30" customHeight="1">
      <c r="A1" s="50" t="s">
        <v>46</v>
      </c>
      <c r="B1" s="51"/>
      <c r="C1" s="51"/>
      <c r="D1" s="51"/>
      <c r="E1" s="51"/>
      <c r="F1" s="51"/>
      <c r="G1" s="51"/>
      <c r="H1" s="52"/>
    </row>
    <row r="2" spans="1:10" ht="19.5" customHeight="1">
      <c r="A2" s="2" t="s">
        <v>0</v>
      </c>
      <c r="B2" s="53"/>
      <c r="C2" s="54"/>
      <c r="D2" s="55"/>
      <c r="E2" s="3" t="s">
        <v>1</v>
      </c>
      <c r="F2" s="56">
        <f ca="1">TODAY()</f>
        <v>44955</v>
      </c>
      <c r="G2" s="57"/>
      <c r="H2" s="58"/>
    </row>
    <row r="3" spans="1:10" ht="19.5" customHeight="1" thickBot="1">
      <c r="A3" s="4" t="s">
        <v>2</v>
      </c>
      <c r="B3" s="59"/>
      <c r="C3" s="60"/>
      <c r="D3" s="61"/>
      <c r="E3" s="5" t="s">
        <v>3</v>
      </c>
      <c r="F3" s="62" t="s">
        <v>4</v>
      </c>
      <c r="G3" s="63"/>
      <c r="H3" s="64"/>
    </row>
    <row r="4" spans="1:10" ht="15" customHeight="1">
      <c r="A4" s="6"/>
      <c r="B4" s="7"/>
      <c r="C4" s="7"/>
      <c r="D4" s="7"/>
      <c r="E4" s="7"/>
      <c r="F4" s="8"/>
      <c r="G4" s="8"/>
      <c r="H4" s="9"/>
    </row>
    <row r="5" spans="1:10" ht="15" customHeight="1">
      <c r="A5" s="6"/>
      <c r="H5" s="10"/>
    </row>
    <row r="6" spans="1:10" ht="15" customHeight="1">
      <c r="A6" s="11"/>
      <c r="H6" s="10"/>
    </row>
    <row r="7" spans="1:10" ht="15" customHeight="1">
      <c r="A7" s="6"/>
      <c r="H7" s="10"/>
    </row>
    <row r="8" spans="1:10" ht="15" customHeight="1">
      <c r="A8" s="6"/>
      <c r="H8" s="10"/>
    </row>
    <row r="9" spans="1:10" ht="15" customHeight="1">
      <c r="A9" s="6"/>
      <c r="H9" s="10"/>
    </row>
    <row r="10" spans="1:10" ht="15" customHeight="1">
      <c r="A10" s="6"/>
      <c r="H10" s="10"/>
    </row>
    <row r="11" spans="1:10" ht="15" customHeight="1">
      <c r="A11" s="6"/>
      <c r="H11" s="10"/>
    </row>
    <row r="12" spans="1:10" ht="15" customHeight="1">
      <c r="A12" s="6"/>
      <c r="H12" s="10"/>
    </row>
    <row r="13" spans="1:10" ht="15" customHeight="1">
      <c r="A13" s="6"/>
      <c r="B13" s="1" t="s">
        <v>12</v>
      </c>
      <c r="C13" s="16">
        <v>607</v>
      </c>
      <c r="D13" s="1" t="s">
        <v>9</v>
      </c>
      <c r="H13" s="10"/>
    </row>
    <row r="14" spans="1:10" ht="15" customHeight="1">
      <c r="A14" s="6"/>
      <c r="B14" s="1" t="s">
        <v>40</v>
      </c>
      <c r="C14" s="16">
        <v>421</v>
      </c>
      <c r="D14" s="1" t="s">
        <v>44</v>
      </c>
      <c r="H14" s="10"/>
    </row>
    <row r="15" spans="1:10" ht="15" customHeight="1">
      <c r="A15" s="6"/>
      <c r="B15" s="1" t="s">
        <v>11</v>
      </c>
      <c r="C15" s="16">
        <v>70</v>
      </c>
      <c r="D15" s="1" t="s">
        <v>9</v>
      </c>
      <c r="H15" s="10"/>
    </row>
    <row r="16" spans="1:10" ht="15" customHeight="1">
      <c r="A16" s="6"/>
      <c r="B16" s="1" t="s">
        <v>42</v>
      </c>
      <c r="C16" s="16">
        <f>PI()*C15*(C14^2+C13^2+C14*C13)/3</f>
        <v>58733739.702967584</v>
      </c>
      <c r="D16" s="1" t="s">
        <v>43</v>
      </c>
      <c r="H16" s="10"/>
      <c r="J16" s="1">
        <f>280819.1/2</f>
        <v>140409.54999999999</v>
      </c>
    </row>
    <row r="17" spans="1:10" ht="15" customHeight="1">
      <c r="A17" s="6"/>
      <c r="B17" s="35" t="s">
        <v>41</v>
      </c>
      <c r="C17" s="36">
        <f>C16*10^-6</f>
        <v>58.733739702967583</v>
      </c>
      <c r="D17" s="1" t="s">
        <v>45</v>
      </c>
      <c r="H17" s="10"/>
      <c r="J17" s="1">
        <f>J16/C16</f>
        <v>2.3906114391845142E-3</v>
      </c>
    </row>
    <row r="18" spans="1:10" ht="15" customHeight="1">
      <c r="A18" s="6"/>
      <c r="H18" s="10"/>
    </row>
    <row r="19" spans="1:10" ht="15" customHeight="1">
      <c r="A19" s="6"/>
      <c r="H19" s="10"/>
    </row>
    <row r="20" spans="1:10" ht="15" customHeight="1">
      <c r="A20" s="6"/>
      <c r="B20" s="12"/>
      <c r="H20" s="10"/>
    </row>
    <row r="21" spans="1:10" ht="15" customHeight="1">
      <c r="A21" s="6"/>
      <c r="H21" s="10"/>
    </row>
    <row r="22" spans="1:10" ht="15" customHeight="1">
      <c r="A22" s="6"/>
      <c r="B22" s="7"/>
      <c r="H22" s="10"/>
    </row>
    <row r="23" spans="1:10" ht="15" customHeight="1">
      <c r="A23" s="6"/>
      <c r="B23" s="7"/>
      <c r="H23" s="10"/>
    </row>
    <row r="24" spans="1:10" ht="15" customHeight="1">
      <c r="A24" s="6"/>
      <c r="B24" s="7"/>
      <c r="H24" s="10"/>
    </row>
    <row r="25" spans="1:10" ht="15" customHeight="1">
      <c r="A25" s="6"/>
      <c r="B25" s="7"/>
      <c r="H25" s="10"/>
    </row>
    <row r="26" spans="1:10" ht="15" customHeight="1">
      <c r="A26" s="6"/>
      <c r="B26" s="7"/>
      <c r="H26" s="10"/>
    </row>
    <row r="27" spans="1:10" ht="15" customHeight="1">
      <c r="A27" s="6"/>
      <c r="B27" s="7"/>
      <c r="H27" s="10"/>
    </row>
    <row r="28" spans="1:10" ht="15" customHeight="1">
      <c r="A28" s="6"/>
      <c r="B28" s="7"/>
      <c r="H28" s="10"/>
    </row>
    <row r="29" spans="1:10" ht="15" customHeight="1">
      <c r="A29" s="6"/>
      <c r="H29" s="10"/>
    </row>
    <row r="30" spans="1:10" ht="15" customHeight="1">
      <c r="A30" s="6"/>
      <c r="H30" s="10"/>
    </row>
    <row r="31" spans="1:10" ht="15" customHeight="1">
      <c r="A31" s="6"/>
      <c r="B31" s="7"/>
      <c r="H31" s="10"/>
    </row>
    <row r="32" spans="1:10" ht="15" customHeight="1">
      <c r="A32" s="6"/>
      <c r="H32" s="10"/>
    </row>
    <row r="33" spans="1:8" ht="15" customHeight="1">
      <c r="A33" s="6"/>
      <c r="H33" s="10"/>
    </row>
    <row r="34" spans="1:8" ht="15" customHeight="1">
      <c r="A34" s="6"/>
      <c r="H34" s="10"/>
    </row>
    <row r="35" spans="1:8" ht="15" customHeight="1">
      <c r="A35" s="6"/>
      <c r="H35" s="10"/>
    </row>
    <row r="36" spans="1:8" ht="15" customHeight="1">
      <c r="A36" s="6"/>
      <c r="H36" s="10"/>
    </row>
    <row r="37" spans="1:8" ht="15" customHeight="1">
      <c r="A37" s="6"/>
      <c r="H37" s="10"/>
    </row>
    <row r="38" spans="1:8" ht="15" customHeight="1">
      <c r="A38" s="6"/>
      <c r="H38" s="10"/>
    </row>
    <row r="39" spans="1:8" ht="15" customHeight="1">
      <c r="A39" s="6"/>
      <c r="H39" s="10"/>
    </row>
    <row r="40" spans="1:8" ht="15" customHeight="1">
      <c r="A40" s="6"/>
      <c r="H40" s="10"/>
    </row>
    <row r="41" spans="1:8" ht="15" customHeight="1">
      <c r="A41" s="6"/>
      <c r="H41" s="10"/>
    </row>
    <row r="42" spans="1:8" ht="15" customHeight="1">
      <c r="A42" s="6"/>
      <c r="H42" s="10"/>
    </row>
    <row r="43" spans="1:8" ht="15" customHeight="1">
      <c r="A43" s="6"/>
      <c r="H43" s="10"/>
    </row>
    <row r="44" spans="1:8" ht="15" customHeight="1">
      <c r="A44" s="6"/>
      <c r="H44" s="10"/>
    </row>
    <row r="45" spans="1:8" ht="15" customHeight="1">
      <c r="A45" s="6"/>
      <c r="H45" s="10"/>
    </row>
    <row r="46" spans="1:8" ht="15" customHeight="1">
      <c r="A46" s="6"/>
      <c r="H46" s="10"/>
    </row>
    <row r="47" spans="1:8" ht="15" customHeight="1">
      <c r="A47" s="6"/>
      <c r="H47" s="10"/>
    </row>
    <row r="48" spans="1:8" ht="15" customHeight="1">
      <c r="A48" s="6"/>
      <c r="H48" s="10"/>
    </row>
    <row r="49" spans="1:8" ht="15" customHeight="1">
      <c r="A49" s="6"/>
      <c r="H49" s="10"/>
    </row>
    <row r="50" spans="1:8" ht="15" customHeight="1">
      <c r="A50" s="6"/>
      <c r="H50" s="10"/>
    </row>
    <row r="51" spans="1:8" ht="15" customHeight="1">
      <c r="A51" s="6"/>
      <c r="H51" s="10"/>
    </row>
    <row r="52" spans="1:8" ht="15" customHeight="1">
      <c r="A52" s="6"/>
      <c r="H52" s="10"/>
    </row>
    <row r="53" spans="1:8" ht="15" customHeight="1">
      <c r="A53" s="6"/>
      <c r="H53" s="10"/>
    </row>
    <row r="54" spans="1:8" ht="15" customHeight="1" thickBot="1">
      <c r="A54" s="13"/>
      <c r="B54" s="14"/>
      <c r="C54" s="14"/>
      <c r="D54" s="14"/>
      <c r="E54" s="14"/>
      <c r="F54" s="14"/>
      <c r="G54" s="14"/>
      <c r="H54" s="15"/>
    </row>
  </sheetData>
  <mergeCells count="5">
    <mergeCell ref="A1:H1"/>
    <mergeCell ref="B2:D2"/>
    <mergeCell ref="F2:H2"/>
    <mergeCell ref="B3:D3"/>
    <mergeCell ref="F3:H3"/>
  </mergeCells>
  <phoneticPr fontId="2" type="noConversion"/>
  <pageMargins left="0.98425196850393704" right="0.59055118110236227" top="0.78740157480314965" bottom="0.39370078740157483" header="0.51181102362204722" footer="0.51181102362204722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H54"/>
  <sheetViews>
    <sheetView showGridLines="0" workbookViewId="0">
      <selection activeCell="K22" sqref="K22"/>
    </sheetView>
  </sheetViews>
  <sheetFormatPr defaultRowHeight="13.5"/>
  <cols>
    <col min="1" max="1" width="10.625" style="1" customWidth="1"/>
    <col min="2" max="2" width="9" style="1"/>
    <col min="3" max="3" width="20.625" style="1" customWidth="1"/>
    <col min="4" max="4" width="9" style="1"/>
    <col min="5" max="5" width="10.5" style="1" customWidth="1"/>
    <col min="6" max="6" width="9" style="1"/>
    <col min="7" max="7" width="12.625" style="1" customWidth="1"/>
    <col min="8" max="8" width="4.625" style="1" customWidth="1"/>
    <col min="9" max="11" width="9" style="1"/>
    <col min="12" max="12" width="18.375" style="1" bestFit="1" customWidth="1"/>
    <col min="13" max="256" width="9" style="1"/>
    <col min="257" max="257" width="10.625" style="1" customWidth="1"/>
    <col min="258" max="258" width="9" style="1"/>
    <col min="259" max="259" width="20.625" style="1" customWidth="1"/>
    <col min="260" max="260" width="9" style="1"/>
    <col min="261" max="261" width="10.5" style="1" customWidth="1"/>
    <col min="262" max="262" width="9" style="1"/>
    <col min="263" max="263" width="12.625" style="1" customWidth="1"/>
    <col min="264" max="264" width="4.625" style="1" customWidth="1"/>
    <col min="265" max="267" width="9" style="1"/>
    <col min="268" max="268" width="18.375" style="1" bestFit="1" customWidth="1"/>
    <col min="269" max="512" width="9" style="1"/>
    <col min="513" max="513" width="10.625" style="1" customWidth="1"/>
    <col min="514" max="514" width="9" style="1"/>
    <col min="515" max="515" width="20.625" style="1" customWidth="1"/>
    <col min="516" max="516" width="9" style="1"/>
    <col min="517" max="517" width="10.5" style="1" customWidth="1"/>
    <col min="518" max="518" width="9" style="1"/>
    <col min="519" max="519" width="12.625" style="1" customWidth="1"/>
    <col min="520" max="520" width="4.625" style="1" customWidth="1"/>
    <col min="521" max="523" width="9" style="1"/>
    <col min="524" max="524" width="18.375" style="1" bestFit="1" customWidth="1"/>
    <col min="525" max="768" width="9" style="1"/>
    <col min="769" max="769" width="10.625" style="1" customWidth="1"/>
    <col min="770" max="770" width="9" style="1"/>
    <col min="771" max="771" width="20.625" style="1" customWidth="1"/>
    <col min="772" max="772" width="9" style="1"/>
    <col min="773" max="773" width="10.5" style="1" customWidth="1"/>
    <col min="774" max="774" width="9" style="1"/>
    <col min="775" max="775" width="12.625" style="1" customWidth="1"/>
    <col min="776" max="776" width="4.625" style="1" customWidth="1"/>
    <col min="777" max="779" width="9" style="1"/>
    <col min="780" max="780" width="18.375" style="1" bestFit="1" customWidth="1"/>
    <col min="781" max="1024" width="9" style="1"/>
    <col min="1025" max="1025" width="10.625" style="1" customWidth="1"/>
    <col min="1026" max="1026" width="9" style="1"/>
    <col min="1027" max="1027" width="20.625" style="1" customWidth="1"/>
    <col min="1028" max="1028" width="9" style="1"/>
    <col min="1029" max="1029" width="10.5" style="1" customWidth="1"/>
    <col min="1030" max="1030" width="9" style="1"/>
    <col min="1031" max="1031" width="12.625" style="1" customWidth="1"/>
    <col min="1032" max="1032" width="4.625" style="1" customWidth="1"/>
    <col min="1033" max="1035" width="9" style="1"/>
    <col min="1036" max="1036" width="18.375" style="1" bestFit="1" customWidth="1"/>
    <col min="1037" max="1280" width="9" style="1"/>
    <col min="1281" max="1281" width="10.625" style="1" customWidth="1"/>
    <col min="1282" max="1282" width="9" style="1"/>
    <col min="1283" max="1283" width="20.625" style="1" customWidth="1"/>
    <col min="1284" max="1284" width="9" style="1"/>
    <col min="1285" max="1285" width="10.5" style="1" customWidth="1"/>
    <col min="1286" max="1286" width="9" style="1"/>
    <col min="1287" max="1287" width="12.625" style="1" customWidth="1"/>
    <col min="1288" max="1288" width="4.625" style="1" customWidth="1"/>
    <col min="1289" max="1291" width="9" style="1"/>
    <col min="1292" max="1292" width="18.375" style="1" bestFit="1" customWidth="1"/>
    <col min="1293" max="1536" width="9" style="1"/>
    <col min="1537" max="1537" width="10.625" style="1" customWidth="1"/>
    <col min="1538" max="1538" width="9" style="1"/>
    <col min="1539" max="1539" width="20.625" style="1" customWidth="1"/>
    <col min="1540" max="1540" width="9" style="1"/>
    <col min="1541" max="1541" width="10.5" style="1" customWidth="1"/>
    <col min="1542" max="1542" width="9" style="1"/>
    <col min="1543" max="1543" width="12.625" style="1" customWidth="1"/>
    <col min="1544" max="1544" width="4.625" style="1" customWidth="1"/>
    <col min="1545" max="1547" width="9" style="1"/>
    <col min="1548" max="1548" width="18.375" style="1" bestFit="1" customWidth="1"/>
    <col min="1549" max="1792" width="9" style="1"/>
    <col min="1793" max="1793" width="10.625" style="1" customWidth="1"/>
    <col min="1794" max="1794" width="9" style="1"/>
    <col min="1795" max="1795" width="20.625" style="1" customWidth="1"/>
    <col min="1796" max="1796" width="9" style="1"/>
    <col min="1797" max="1797" width="10.5" style="1" customWidth="1"/>
    <col min="1798" max="1798" width="9" style="1"/>
    <col min="1799" max="1799" width="12.625" style="1" customWidth="1"/>
    <col min="1800" max="1800" width="4.625" style="1" customWidth="1"/>
    <col min="1801" max="1803" width="9" style="1"/>
    <col min="1804" max="1804" width="18.375" style="1" bestFit="1" customWidth="1"/>
    <col min="1805" max="2048" width="9" style="1"/>
    <col min="2049" max="2049" width="10.625" style="1" customWidth="1"/>
    <col min="2050" max="2050" width="9" style="1"/>
    <col min="2051" max="2051" width="20.625" style="1" customWidth="1"/>
    <col min="2052" max="2052" width="9" style="1"/>
    <col min="2053" max="2053" width="10.5" style="1" customWidth="1"/>
    <col min="2054" max="2054" width="9" style="1"/>
    <col min="2055" max="2055" width="12.625" style="1" customWidth="1"/>
    <col min="2056" max="2056" width="4.625" style="1" customWidth="1"/>
    <col min="2057" max="2059" width="9" style="1"/>
    <col min="2060" max="2060" width="18.375" style="1" bestFit="1" customWidth="1"/>
    <col min="2061" max="2304" width="9" style="1"/>
    <col min="2305" max="2305" width="10.625" style="1" customWidth="1"/>
    <col min="2306" max="2306" width="9" style="1"/>
    <col min="2307" max="2307" width="20.625" style="1" customWidth="1"/>
    <col min="2308" max="2308" width="9" style="1"/>
    <col min="2309" max="2309" width="10.5" style="1" customWidth="1"/>
    <col min="2310" max="2310" width="9" style="1"/>
    <col min="2311" max="2311" width="12.625" style="1" customWidth="1"/>
    <col min="2312" max="2312" width="4.625" style="1" customWidth="1"/>
    <col min="2313" max="2315" width="9" style="1"/>
    <col min="2316" max="2316" width="18.375" style="1" bestFit="1" customWidth="1"/>
    <col min="2317" max="2560" width="9" style="1"/>
    <col min="2561" max="2561" width="10.625" style="1" customWidth="1"/>
    <col min="2562" max="2562" width="9" style="1"/>
    <col min="2563" max="2563" width="20.625" style="1" customWidth="1"/>
    <col min="2564" max="2564" width="9" style="1"/>
    <col min="2565" max="2565" width="10.5" style="1" customWidth="1"/>
    <col min="2566" max="2566" width="9" style="1"/>
    <col min="2567" max="2567" width="12.625" style="1" customWidth="1"/>
    <col min="2568" max="2568" width="4.625" style="1" customWidth="1"/>
    <col min="2569" max="2571" width="9" style="1"/>
    <col min="2572" max="2572" width="18.375" style="1" bestFit="1" customWidth="1"/>
    <col min="2573" max="2816" width="9" style="1"/>
    <col min="2817" max="2817" width="10.625" style="1" customWidth="1"/>
    <col min="2818" max="2818" width="9" style="1"/>
    <col min="2819" max="2819" width="20.625" style="1" customWidth="1"/>
    <col min="2820" max="2820" width="9" style="1"/>
    <col min="2821" max="2821" width="10.5" style="1" customWidth="1"/>
    <col min="2822" max="2822" width="9" style="1"/>
    <col min="2823" max="2823" width="12.625" style="1" customWidth="1"/>
    <col min="2824" max="2824" width="4.625" style="1" customWidth="1"/>
    <col min="2825" max="2827" width="9" style="1"/>
    <col min="2828" max="2828" width="18.375" style="1" bestFit="1" customWidth="1"/>
    <col min="2829" max="3072" width="9" style="1"/>
    <col min="3073" max="3073" width="10.625" style="1" customWidth="1"/>
    <col min="3074" max="3074" width="9" style="1"/>
    <col min="3075" max="3075" width="20.625" style="1" customWidth="1"/>
    <col min="3076" max="3076" width="9" style="1"/>
    <col min="3077" max="3077" width="10.5" style="1" customWidth="1"/>
    <col min="3078" max="3078" width="9" style="1"/>
    <col min="3079" max="3079" width="12.625" style="1" customWidth="1"/>
    <col min="3080" max="3080" width="4.625" style="1" customWidth="1"/>
    <col min="3081" max="3083" width="9" style="1"/>
    <col min="3084" max="3084" width="18.375" style="1" bestFit="1" customWidth="1"/>
    <col min="3085" max="3328" width="9" style="1"/>
    <col min="3329" max="3329" width="10.625" style="1" customWidth="1"/>
    <col min="3330" max="3330" width="9" style="1"/>
    <col min="3331" max="3331" width="20.625" style="1" customWidth="1"/>
    <col min="3332" max="3332" width="9" style="1"/>
    <col min="3333" max="3333" width="10.5" style="1" customWidth="1"/>
    <col min="3334" max="3334" width="9" style="1"/>
    <col min="3335" max="3335" width="12.625" style="1" customWidth="1"/>
    <col min="3336" max="3336" width="4.625" style="1" customWidth="1"/>
    <col min="3337" max="3339" width="9" style="1"/>
    <col min="3340" max="3340" width="18.375" style="1" bestFit="1" customWidth="1"/>
    <col min="3341" max="3584" width="9" style="1"/>
    <col min="3585" max="3585" width="10.625" style="1" customWidth="1"/>
    <col min="3586" max="3586" width="9" style="1"/>
    <col min="3587" max="3587" width="20.625" style="1" customWidth="1"/>
    <col min="3588" max="3588" width="9" style="1"/>
    <col min="3589" max="3589" width="10.5" style="1" customWidth="1"/>
    <col min="3590" max="3590" width="9" style="1"/>
    <col min="3591" max="3591" width="12.625" style="1" customWidth="1"/>
    <col min="3592" max="3592" width="4.625" style="1" customWidth="1"/>
    <col min="3593" max="3595" width="9" style="1"/>
    <col min="3596" max="3596" width="18.375" style="1" bestFit="1" customWidth="1"/>
    <col min="3597" max="3840" width="9" style="1"/>
    <col min="3841" max="3841" width="10.625" style="1" customWidth="1"/>
    <col min="3842" max="3842" width="9" style="1"/>
    <col min="3843" max="3843" width="20.625" style="1" customWidth="1"/>
    <col min="3844" max="3844" width="9" style="1"/>
    <col min="3845" max="3845" width="10.5" style="1" customWidth="1"/>
    <col min="3846" max="3846" width="9" style="1"/>
    <col min="3847" max="3847" width="12.625" style="1" customWidth="1"/>
    <col min="3848" max="3848" width="4.625" style="1" customWidth="1"/>
    <col min="3849" max="3851" width="9" style="1"/>
    <col min="3852" max="3852" width="18.375" style="1" bestFit="1" customWidth="1"/>
    <col min="3853" max="4096" width="9" style="1"/>
    <col min="4097" max="4097" width="10.625" style="1" customWidth="1"/>
    <col min="4098" max="4098" width="9" style="1"/>
    <col min="4099" max="4099" width="20.625" style="1" customWidth="1"/>
    <col min="4100" max="4100" width="9" style="1"/>
    <col min="4101" max="4101" width="10.5" style="1" customWidth="1"/>
    <col min="4102" max="4102" width="9" style="1"/>
    <col min="4103" max="4103" width="12.625" style="1" customWidth="1"/>
    <col min="4104" max="4104" width="4.625" style="1" customWidth="1"/>
    <col min="4105" max="4107" width="9" style="1"/>
    <col min="4108" max="4108" width="18.375" style="1" bestFit="1" customWidth="1"/>
    <col min="4109" max="4352" width="9" style="1"/>
    <col min="4353" max="4353" width="10.625" style="1" customWidth="1"/>
    <col min="4354" max="4354" width="9" style="1"/>
    <col min="4355" max="4355" width="20.625" style="1" customWidth="1"/>
    <col min="4356" max="4356" width="9" style="1"/>
    <col min="4357" max="4357" width="10.5" style="1" customWidth="1"/>
    <col min="4358" max="4358" width="9" style="1"/>
    <col min="4359" max="4359" width="12.625" style="1" customWidth="1"/>
    <col min="4360" max="4360" width="4.625" style="1" customWidth="1"/>
    <col min="4361" max="4363" width="9" style="1"/>
    <col min="4364" max="4364" width="18.375" style="1" bestFit="1" customWidth="1"/>
    <col min="4365" max="4608" width="9" style="1"/>
    <col min="4609" max="4609" width="10.625" style="1" customWidth="1"/>
    <col min="4610" max="4610" width="9" style="1"/>
    <col min="4611" max="4611" width="20.625" style="1" customWidth="1"/>
    <col min="4612" max="4612" width="9" style="1"/>
    <col min="4613" max="4613" width="10.5" style="1" customWidth="1"/>
    <col min="4614" max="4614" width="9" style="1"/>
    <col min="4615" max="4615" width="12.625" style="1" customWidth="1"/>
    <col min="4616" max="4616" width="4.625" style="1" customWidth="1"/>
    <col min="4617" max="4619" width="9" style="1"/>
    <col min="4620" max="4620" width="18.375" style="1" bestFit="1" customWidth="1"/>
    <col min="4621" max="4864" width="9" style="1"/>
    <col min="4865" max="4865" width="10.625" style="1" customWidth="1"/>
    <col min="4866" max="4866" width="9" style="1"/>
    <col min="4867" max="4867" width="20.625" style="1" customWidth="1"/>
    <col min="4868" max="4868" width="9" style="1"/>
    <col min="4869" max="4869" width="10.5" style="1" customWidth="1"/>
    <col min="4870" max="4870" width="9" style="1"/>
    <col min="4871" max="4871" width="12.625" style="1" customWidth="1"/>
    <col min="4872" max="4872" width="4.625" style="1" customWidth="1"/>
    <col min="4873" max="4875" width="9" style="1"/>
    <col min="4876" max="4876" width="18.375" style="1" bestFit="1" customWidth="1"/>
    <col min="4877" max="5120" width="9" style="1"/>
    <col min="5121" max="5121" width="10.625" style="1" customWidth="1"/>
    <col min="5122" max="5122" width="9" style="1"/>
    <col min="5123" max="5123" width="20.625" style="1" customWidth="1"/>
    <col min="5124" max="5124" width="9" style="1"/>
    <col min="5125" max="5125" width="10.5" style="1" customWidth="1"/>
    <col min="5126" max="5126" width="9" style="1"/>
    <col min="5127" max="5127" width="12.625" style="1" customWidth="1"/>
    <col min="5128" max="5128" width="4.625" style="1" customWidth="1"/>
    <col min="5129" max="5131" width="9" style="1"/>
    <col min="5132" max="5132" width="18.375" style="1" bestFit="1" customWidth="1"/>
    <col min="5133" max="5376" width="9" style="1"/>
    <col min="5377" max="5377" width="10.625" style="1" customWidth="1"/>
    <col min="5378" max="5378" width="9" style="1"/>
    <col min="5379" max="5379" width="20.625" style="1" customWidth="1"/>
    <col min="5380" max="5380" width="9" style="1"/>
    <col min="5381" max="5381" width="10.5" style="1" customWidth="1"/>
    <col min="5382" max="5382" width="9" style="1"/>
    <col min="5383" max="5383" width="12.625" style="1" customWidth="1"/>
    <col min="5384" max="5384" width="4.625" style="1" customWidth="1"/>
    <col min="5385" max="5387" width="9" style="1"/>
    <col min="5388" max="5388" width="18.375" style="1" bestFit="1" customWidth="1"/>
    <col min="5389" max="5632" width="9" style="1"/>
    <col min="5633" max="5633" width="10.625" style="1" customWidth="1"/>
    <col min="5634" max="5634" width="9" style="1"/>
    <col min="5635" max="5635" width="20.625" style="1" customWidth="1"/>
    <col min="5636" max="5636" width="9" style="1"/>
    <col min="5637" max="5637" width="10.5" style="1" customWidth="1"/>
    <col min="5638" max="5638" width="9" style="1"/>
    <col min="5639" max="5639" width="12.625" style="1" customWidth="1"/>
    <col min="5640" max="5640" width="4.625" style="1" customWidth="1"/>
    <col min="5641" max="5643" width="9" style="1"/>
    <col min="5644" max="5644" width="18.375" style="1" bestFit="1" customWidth="1"/>
    <col min="5645" max="5888" width="9" style="1"/>
    <col min="5889" max="5889" width="10.625" style="1" customWidth="1"/>
    <col min="5890" max="5890" width="9" style="1"/>
    <col min="5891" max="5891" width="20.625" style="1" customWidth="1"/>
    <col min="5892" max="5892" width="9" style="1"/>
    <col min="5893" max="5893" width="10.5" style="1" customWidth="1"/>
    <col min="5894" max="5894" width="9" style="1"/>
    <col min="5895" max="5895" width="12.625" style="1" customWidth="1"/>
    <col min="5896" max="5896" width="4.625" style="1" customWidth="1"/>
    <col min="5897" max="5899" width="9" style="1"/>
    <col min="5900" max="5900" width="18.375" style="1" bestFit="1" customWidth="1"/>
    <col min="5901" max="6144" width="9" style="1"/>
    <col min="6145" max="6145" width="10.625" style="1" customWidth="1"/>
    <col min="6146" max="6146" width="9" style="1"/>
    <col min="6147" max="6147" width="20.625" style="1" customWidth="1"/>
    <col min="6148" max="6148" width="9" style="1"/>
    <col min="6149" max="6149" width="10.5" style="1" customWidth="1"/>
    <col min="6150" max="6150" width="9" style="1"/>
    <col min="6151" max="6151" width="12.625" style="1" customWidth="1"/>
    <col min="6152" max="6152" width="4.625" style="1" customWidth="1"/>
    <col min="6153" max="6155" width="9" style="1"/>
    <col min="6156" max="6156" width="18.375" style="1" bestFit="1" customWidth="1"/>
    <col min="6157" max="6400" width="9" style="1"/>
    <col min="6401" max="6401" width="10.625" style="1" customWidth="1"/>
    <col min="6402" max="6402" width="9" style="1"/>
    <col min="6403" max="6403" width="20.625" style="1" customWidth="1"/>
    <col min="6404" max="6404" width="9" style="1"/>
    <col min="6405" max="6405" width="10.5" style="1" customWidth="1"/>
    <col min="6406" max="6406" width="9" style="1"/>
    <col min="6407" max="6407" width="12.625" style="1" customWidth="1"/>
    <col min="6408" max="6408" width="4.625" style="1" customWidth="1"/>
    <col min="6409" max="6411" width="9" style="1"/>
    <col min="6412" max="6412" width="18.375" style="1" bestFit="1" customWidth="1"/>
    <col min="6413" max="6656" width="9" style="1"/>
    <col min="6657" max="6657" width="10.625" style="1" customWidth="1"/>
    <col min="6658" max="6658" width="9" style="1"/>
    <col min="6659" max="6659" width="20.625" style="1" customWidth="1"/>
    <col min="6660" max="6660" width="9" style="1"/>
    <col min="6661" max="6661" width="10.5" style="1" customWidth="1"/>
    <col min="6662" max="6662" width="9" style="1"/>
    <col min="6663" max="6663" width="12.625" style="1" customWidth="1"/>
    <col min="6664" max="6664" width="4.625" style="1" customWidth="1"/>
    <col min="6665" max="6667" width="9" style="1"/>
    <col min="6668" max="6668" width="18.375" style="1" bestFit="1" customWidth="1"/>
    <col min="6669" max="6912" width="9" style="1"/>
    <col min="6913" max="6913" width="10.625" style="1" customWidth="1"/>
    <col min="6914" max="6914" width="9" style="1"/>
    <col min="6915" max="6915" width="20.625" style="1" customWidth="1"/>
    <col min="6916" max="6916" width="9" style="1"/>
    <col min="6917" max="6917" width="10.5" style="1" customWidth="1"/>
    <col min="6918" max="6918" width="9" style="1"/>
    <col min="6919" max="6919" width="12.625" style="1" customWidth="1"/>
    <col min="6920" max="6920" width="4.625" style="1" customWidth="1"/>
    <col min="6921" max="6923" width="9" style="1"/>
    <col min="6924" max="6924" width="18.375" style="1" bestFit="1" customWidth="1"/>
    <col min="6925" max="7168" width="9" style="1"/>
    <col min="7169" max="7169" width="10.625" style="1" customWidth="1"/>
    <col min="7170" max="7170" width="9" style="1"/>
    <col min="7171" max="7171" width="20.625" style="1" customWidth="1"/>
    <col min="7172" max="7172" width="9" style="1"/>
    <col min="7173" max="7173" width="10.5" style="1" customWidth="1"/>
    <col min="7174" max="7174" width="9" style="1"/>
    <col min="7175" max="7175" width="12.625" style="1" customWidth="1"/>
    <col min="7176" max="7176" width="4.625" style="1" customWidth="1"/>
    <col min="7177" max="7179" width="9" style="1"/>
    <col min="7180" max="7180" width="18.375" style="1" bestFit="1" customWidth="1"/>
    <col min="7181" max="7424" width="9" style="1"/>
    <col min="7425" max="7425" width="10.625" style="1" customWidth="1"/>
    <col min="7426" max="7426" width="9" style="1"/>
    <col min="7427" max="7427" width="20.625" style="1" customWidth="1"/>
    <col min="7428" max="7428" width="9" style="1"/>
    <col min="7429" max="7429" width="10.5" style="1" customWidth="1"/>
    <col min="7430" max="7430" width="9" style="1"/>
    <col min="7431" max="7431" width="12.625" style="1" customWidth="1"/>
    <col min="7432" max="7432" width="4.625" style="1" customWidth="1"/>
    <col min="7433" max="7435" width="9" style="1"/>
    <col min="7436" max="7436" width="18.375" style="1" bestFit="1" customWidth="1"/>
    <col min="7437" max="7680" width="9" style="1"/>
    <col min="7681" max="7681" width="10.625" style="1" customWidth="1"/>
    <col min="7682" max="7682" width="9" style="1"/>
    <col min="7683" max="7683" width="20.625" style="1" customWidth="1"/>
    <col min="7684" max="7684" width="9" style="1"/>
    <col min="7685" max="7685" width="10.5" style="1" customWidth="1"/>
    <col min="7686" max="7686" width="9" style="1"/>
    <col min="7687" max="7687" width="12.625" style="1" customWidth="1"/>
    <col min="7688" max="7688" width="4.625" style="1" customWidth="1"/>
    <col min="7689" max="7691" width="9" style="1"/>
    <col min="7692" max="7692" width="18.375" style="1" bestFit="1" customWidth="1"/>
    <col min="7693" max="7936" width="9" style="1"/>
    <col min="7937" max="7937" width="10.625" style="1" customWidth="1"/>
    <col min="7938" max="7938" width="9" style="1"/>
    <col min="7939" max="7939" width="20.625" style="1" customWidth="1"/>
    <col min="7940" max="7940" width="9" style="1"/>
    <col min="7941" max="7941" width="10.5" style="1" customWidth="1"/>
    <col min="7942" max="7942" width="9" style="1"/>
    <col min="7943" max="7943" width="12.625" style="1" customWidth="1"/>
    <col min="7944" max="7944" width="4.625" style="1" customWidth="1"/>
    <col min="7945" max="7947" width="9" style="1"/>
    <col min="7948" max="7948" width="18.375" style="1" bestFit="1" customWidth="1"/>
    <col min="7949" max="8192" width="9" style="1"/>
    <col min="8193" max="8193" width="10.625" style="1" customWidth="1"/>
    <col min="8194" max="8194" width="9" style="1"/>
    <col min="8195" max="8195" width="20.625" style="1" customWidth="1"/>
    <col min="8196" max="8196" width="9" style="1"/>
    <col min="8197" max="8197" width="10.5" style="1" customWidth="1"/>
    <col min="8198" max="8198" width="9" style="1"/>
    <col min="8199" max="8199" width="12.625" style="1" customWidth="1"/>
    <col min="8200" max="8200" width="4.625" style="1" customWidth="1"/>
    <col min="8201" max="8203" width="9" style="1"/>
    <col min="8204" max="8204" width="18.375" style="1" bestFit="1" customWidth="1"/>
    <col min="8205" max="8448" width="9" style="1"/>
    <col min="8449" max="8449" width="10.625" style="1" customWidth="1"/>
    <col min="8450" max="8450" width="9" style="1"/>
    <col min="8451" max="8451" width="20.625" style="1" customWidth="1"/>
    <col min="8452" max="8452" width="9" style="1"/>
    <col min="8453" max="8453" width="10.5" style="1" customWidth="1"/>
    <col min="8454" max="8454" width="9" style="1"/>
    <col min="8455" max="8455" width="12.625" style="1" customWidth="1"/>
    <col min="8456" max="8456" width="4.625" style="1" customWidth="1"/>
    <col min="8457" max="8459" width="9" style="1"/>
    <col min="8460" max="8460" width="18.375" style="1" bestFit="1" customWidth="1"/>
    <col min="8461" max="8704" width="9" style="1"/>
    <col min="8705" max="8705" width="10.625" style="1" customWidth="1"/>
    <col min="8706" max="8706" width="9" style="1"/>
    <col min="8707" max="8707" width="20.625" style="1" customWidth="1"/>
    <col min="8708" max="8708" width="9" style="1"/>
    <col min="8709" max="8709" width="10.5" style="1" customWidth="1"/>
    <col min="8710" max="8710" width="9" style="1"/>
    <col min="8711" max="8711" width="12.625" style="1" customWidth="1"/>
    <col min="8712" max="8712" width="4.625" style="1" customWidth="1"/>
    <col min="8713" max="8715" width="9" style="1"/>
    <col min="8716" max="8716" width="18.375" style="1" bestFit="1" customWidth="1"/>
    <col min="8717" max="8960" width="9" style="1"/>
    <col min="8961" max="8961" width="10.625" style="1" customWidth="1"/>
    <col min="8962" max="8962" width="9" style="1"/>
    <col min="8963" max="8963" width="20.625" style="1" customWidth="1"/>
    <col min="8964" max="8964" width="9" style="1"/>
    <col min="8965" max="8965" width="10.5" style="1" customWidth="1"/>
    <col min="8966" max="8966" width="9" style="1"/>
    <col min="8967" max="8967" width="12.625" style="1" customWidth="1"/>
    <col min="8968" max="8968" width="4.625" style="1" customWidth="1"/>
    <col min="8969" max="8971" width="9" style="1"/>
    <col min="8972" max="8972" width="18.375" style="1" bestFit="1" customWidth="1"/>
    <col min="8973" max="9216" width="9" style="1"/>
    <col min="9217" max="9217" width="10.625" style="1" customWidth="1"/>
    <col min="9218" max="9218" width="9" style="1"/>
    <col min="9219" max="9219" width="20.625" style="1" customWidth="1"/>
    <col min="9220" max="9220" width="9" style="1"/>
    <col min="9221" max="9221" width="10.5" style="1" customWidth="1"/>
    <col min="9222" max="9222" width="9" style="1"/>
    <col min="9223" max="9223" width="12.625" style="1" customWidth="1"/>
    <col min="9224" max="9224" width="4.625" style="1" customWidth="1"/>
    <col min="9225" max="9227" width="9" style="1"/>
    <col min="9228" max="9228" width="18.375" style="1" bestFit="1" customWidth="1"/>
    <col min="9229" max="9472" width="9" style="1"/>
    <col min="9473" max="9473" width="10.625" style="1" customWidth="1"/>
    <col min="9474" max="9474" width="9" style="1"/>
    <col min="9475" max="9475" width="20.625" style="1" customWidth="1"/>
    <col min="9476" max="9476" width="9" style="1"/>
    <col min="9477" max="9477" width="10.5" style="1" customWidth="1"/>
    <col min="9478" max="9478" width="9" style="1"/>
    <col min="9479" max="9479" width="12.625" style="1" customWidth="1"/>
    <col min="9480" max="9480" width="4.625" style="1" customWidth="1"/>
    <col min="9481" max="9483" width="9" style="1"/>
    <col min="9484" max="9484" width="18.375" style="1" bestFit="1" customWidth="1"/>
    <col min="9485" max="9728" width="9" style="1"/>
    <col min="9729" max="9729" width="10.625" style="1" customWidth="1"/>
    <col min="9730" max="9730" width="9" style="1"/>
    <col min="9731" max="9731" width="20.625" style="1" customWidth="1"/>
    <col min="9732" max="9732" width="9" style="1"/>
    <col min="9733" max="9733" width="10.5" style="1" customWidth="1"/>
    <col min="9734" max="9734" width="9" style="1"/>
    <col min="9735" max="9735" width="12.625" style="1" customWidth="1"/>
    <col min="9736" max="9736" width="4.625" style="1" customWidth="1"/>
    <col min="9737" max="9739" width="9" style="1"/>
    <col min="9740" max="9740" width="18.375" style="1" bestFit="1" customWidth="1"/>
    <col min="9741" max="9984" width="9" style="1"/>
    <col min="9985" max="9985" width="10.625" style="1" customWidth="1"/>
    <col min="9986" max="9986" width="9" style="1"/>
    <col min="9987" max="9987" width="20.625" style="1" customWidth="1"/>
    <col min="9988" max="9988" width="9" style="1"/>
    <col min="9989" max="9989" width="10.5" style="1" customWidth="1"/>
    <col min="9990" max="9990" width="9" style="1"/>
    <col min="9991" max="9991" width="12.625" style="1" customWidth="1"/>
    <col min="9992" max="9992" width="4.625" style="1" customWidth="1"/>
    <col min="9993" max="9995" width="9" style="1"/>
    <col min="9996" max="9996" width="18.375" style="1" bestFit="1" customWidth="1"/>
    <col min="9997" max="10240" width="9" style="1"/>
    <col min="10241" max="10241" width="10.625" style="1" customWidth="1"/>
    <col min="10242" max="10242" width="9" style="1"/>
    <col min="10243" max="10243" width="20.625" style="1" customWidth="1"/>
    <col min="10244" max="10244" width="9" style="1"/>
    <col min="10245" max="10245" width="10.5" style="1" customWidth="1"/>
    <col min="10246" max="10246" width="9" style="1"/>
    <col min="10247" max="10247" width="12.625" style="1" customWidth="1"/>
    <col min="10248" max="10248" width="4.625" style="1" customWidth="1"/>
    <col min="10249" max="10251" width="9" style="1"/>
    <col min="10252" max="10252" width="18.375" style="1" bestFit="1" customWidth="1"/>
    <col min="10253" max="10496" width="9" style="1"/>
    <col min="10497" max="10497" width="10.625" style="1" customWidth="1"/>
    <col min="10498" max="10498" width="9" style="1"/>
    <col min="10499" max="10499" width="20.625" style="1" customWidth="1"/>
    <col min="10500" max="10500" width="9" style="1"/>
    <col min="10501" max="10501" width="10.5" style="1" customWidth="1"/>
    <col min="10502" max="10502" width="9" style="1"/>
    <col min="10503" max="10503" width="12.625" style="1" customWidth="1"/>
    <col min="10504" max="10504" width="4.625" style="1" customWidth="1"/>
    <col min="10505" max="10507" width="9" style="1"/>
    <col min="10508" max="10508" width="18.375" style="1" bestFit="1" customWidth="1"/>
    <col min="10509" max="10752" width="9" style="1"/>
    <col min="10753" max="10753" width="10.625" style="1" customWidth="1"/>
    <col min="10754" max="10754" width="9" style="1"/>
    <col min="10755" max="10755" width="20.625" style="1" customWidth="1"/>
    <col min="10756" max="10756" width="9" style="1"/>
    <col min="10757" max="10757" width="10.5" style="1" customWidth="1"/>
    <col min="10758" max="10758" width="9" style="1"/>
    <col min="10759" max="10759" width="12.625" style="1" customWidth="1"/>
    <col min="10760" max="10760" width="4.625" style="1" customWidth="1"/>
    <col min="10761" max="10763" width="9" style="1"/>
    <col min="10764" max="10764" width="18.375" style="1" bestFit="1" customWidth="1"/>
    <col min="10765" max="11008" width="9" style="1"/>
    <col min="11009" max="11009" width="10.625" style="1" customWidth="1"/>
    <col min="11010" max="11010" width="9" style="1"/>
    <col min="11011" max="11011" width="20.625" style="1" customWidth="1"/>
    <col min="11012" max="11012" width="9" style="1"/>
    <col min="11013" max="11013" width="10.5" style="1" customWidth="1"/>
    <col min="11014" max="11014" width="9" style="1"/>
    <col min="11015" max="11015" width="12.625" style="1" customWidth="1"/>
    <col min="11016" max="11016" width="4.625" style="1" customWidth="1"/>
    <col min="11017" max="11019" width="9" style="1"/>
    <col min="11020" max="11020" width="18.375" style="1" bestFit="1" customWidth="1"/>
    <col min="11021" max="11264" width="9" style="1"/>
    <col min="11265" max="11265" width="10.625" style="1" customWidth="1"/>
    <col min="11266" max="11266" width="9" style="1"/>
    <col min="11267" max="11267" width="20.625" style="1" customWidth="1"/>
    <col min="11268" max="11268" width="9" style="1"/>
    <col min="11269" max="11269" width="10.5" style="1" customWidth="1"/>
    <col min="11270" max="11270" width="9" style="1"/>
    <col min="11271" max="11271" width="12.625" style="1" customWidth="1"/>
    <col min="11272" max="11272" width="4.625" style="1" customWidth="1"/>
    <col min="11273" max="11275" width="9" style="1"/>
    <col min="11276" max="11276" width="18.375" style="1" bestFit="1" customWidth="1"/>
    <col min="11277" max="11520" width="9" style="1"/>
    <col min="11521" max="11521" width="10.625" style="1" customWidth="1"/>
    <col min="11522" max="11522" width="9" style="1"/>
    <col min="11523" max="11523" width="20.625" style="1" customWidth="1"/>
    <col min="11524" max="11524" width="9" style="1"/>
    <col min="11525" max="11525" width="10.5" style="1" customWidth="1"/>
    <col min="11526" max="11526" width="9" style="1"/>
    <col min="11527" max="11527" width="12.625" style="1" customWidth="1"/>
    <col min="11528" max="11528" width="4.625" style="1" customWidth="1"/>
    <col min="11529" max="11531" width="9" style="1"/>
    <col min="11532" max="11532" width="18.375" style="1" bestFit="1" customWidth="1"/>
    <col min="11533" max="11776" width="9" style="1"/>
    <col min="11777" max="11777" width="10.625" style="1" customWidth="1"/>
    <col min="11778" max="11778" width="9" style="1"/>
    <col min="11779" max="11779" width="20.625" style="1" customWidth="1"/>
    <col min="11780" max="11780" width="9" style="1"/>
    <col min="11781" max="11781" width="10.5" style="1" customWidth="1"/>
    <col min="11782" max="11782" width="9" style="1"/>
    <col min="11783" max="11783" width="12.625" style="1" customWidth="1"/>
    <col min="11784" max="11784" width="4.625" style="1" customWidth="1"/>
    <col min="11785" max="11787" width="9" style="1"/>
    <col min="11788" max="11788" width="18.375" style="1" bestFit="1" customWidth="1"/>
    <col min="11789" max="12032" width="9" style="1"/>
    <col min="12033" max="12033" width="10.625" style="1" customWidth="1"/>
    <col min="12034" max="12034" width="9" style="1"/>
    <col min="12035" max="12035" width="20.625" style="1" customWidth="1"/>
    <col min="12036" max="12036" width="9" style="1"/>
    <col min="12037" max="12037" width="10.5" style="1" customWidth="1"/>
    <col min="12038" max="12038" width="9" style="1"/>
    <col min="12039" max="12039" width="12.625" style="1" customWidth="1"/>
    <col min="12040" max="12040" width="4.625" style="1" customWidth="1"/>
    <col min="12041" max="12043" width="9" style="1"/>
    <col min="12044" max="12044" width="18.375" style="1" bestFit="1" customWidth="1"/>
    <col min="12045" max="12288" width="9" style="1"/>
    <col min="12289" max="12289" width="10.625" style="1" customWidth="1"/>
    <col min="12290" max="12290" width="9" style="1"/>
    <col min="12291" max="12291" width="20.625" style="1" customWidth="1"/>
    <col min="12292" max="12292" width="9" style="1"/>
    <col min="12293" max="12293" width="10.5" style="1" customWidth="1"/>
    <col min="12294" max="12294" width="9" style="1"/>
    <col min="12295" max="12295" width="12.625" style="1" customWidth="1"/>
    <col min="12296" max="12296" width="4.625" style="1" customWidth="1"/>
    <col min="12297" max="12299" width="9" style="1"/>
    <col min="12300" max="12300" width="18.375" style="1" bestFit="1" customWidth="1"/>
    <col min="12301" max="12544" width="9" style="1"/>
    <col min="12545" max="12545" width="10.625" style="1" customWidth="1"/>
    <col min="12546" max="12546" width="9" style="1"/>
    <col min="12547" max="12547" width="20.625" style="1" customWidth="1"/>
    <col min="12548" max="12548" width="9" style="1"/>
    <col min="12549" max="12549" width="10.5" style="1" customWidth="1"/>
    <col min="12550" max="12550" width="9" style="1"/>
    <col min="12551" max="12551" width="12.625" style="1" customWidth="1"/>
    <col min="12552" max="12552" width="4.625" style="1" customWidth="1"/>
    <col min="12553" max="12555" width="9" style="1"/>
    <col min="12556" max="12556" width="18.375" style="1" bestFit="1" customWidth="1"/>
    <col min="12557" max="12800" width="9" style="1"/>
    <col min="12801" max="12801" width="10.625" style="1" customWidth="1"/>
    <col min="12802" max="12802" width="9" style="1"/>
    <col min="12803" max="12803" width="20.625" style="1" customWidth="1"/>
    <col min="12804" max="12804" width="9" style="1"/>
    <col min="12805" max="12805" width="10.5" style="1" customWidth="1"/>
    <col min="12806" max="12806" width="9" style="1"/>
    <col min="12807" max="12807" width="12.625" style="1" customWidth="1"/>
    <col min="12808" max="12808" width="4.625" style="1" customWidth="1"/>
    <col min="12809" max="12811" width="9" style="1"/>
    <col min="12812" max="12812" width="18.375" style="1" bestFit="1" customWidth="1"/>
    <col min="12813" max="13056" width="9" style="1"/>
    <col min="13057" max="13057" width="10.625" style="1" customWidth="1"/>
    <col min="13058" max="13058" width="9" style="1"/>
    <col min="13059" max="13059" width="20.625" style="1" customWidth="1"/>
    <col min="13060" max="13060" width="9" style="1"/>
    <col min="13061" max="13061" width="10.5" style="1" customWidth="1"/>
    <col min="13062" max="13062" width="9" style="1"/>
    <col min="13063" max="13063" width="12.625" style="1" customWidth="1"/>
    <col min="13064" max="13064" width="4.625" style="1" customWidth="1"/>
    <col min="13065" max="13067" width="9" style="1"/>
    <col min="13068" max="13068" width="18.375" style="1" bestFit="1" customWidth="1"/>
    <col min="13069" max="13312" width="9" style="1"/>
    <col min="13313" max="13313" width="10.625" style="1" customWidth="1"/>
    <col min="13314" max="13314" width="9" style="1"/>
    <col min="13315" max="13315" width="20.625" style="1" customWidth="1"/>
    <col min="13316" max="13316" width="9" style="1"/>
    <col min="13317" max="13317" width="10.5" style="1" customWidth="1"/>
    <col min="13318" max="13318" width="9" style="1"/>
    <col min="13319" max="13319" width="12.625" style="1" customWidth="1"/>
    <col min="13320" max="13320" width="4.625" style="1" customWidth="1"/>
    <col min="13321" max="13323" width="9" style="1"/>
    <col min="13324" max="13324" width="18.375" style="1" bestFit="1" customWidth="1"/>
    <col min="13325" max="13568" width="9" style="1"/>
    <col min="13569" max="13569" width="10.625" style="1" customWidth="1"/>
    <col min="13570" max="13570" width="9" style="1"/>
    <col min="13571" max="13571" width="20.625" style="1" customWidth="1"/>
    <col min="13572" max="13572" width="9" style="1"/>
    <col min="13573" max="13573" width="10.5" style="1" customWidth="1"/>
    <col min="13574" max="13574" width="9" style="1"/>
    <col min="13575" max="13575" width="12.625" style="1" customWidth="1"/>
    <col min="13576" max="13576" width="4.625" style="1" customWidth="1"/>
    <col min="13577" max="13579" width="9" style="1"/>
    <col min="13580" max="13580" width="18.375" style="1" bestFit="1" customWidth="1"/>
    <col min="13581" max="13824" width="9" style="1"/>
    <col min="13825" max="13825" width="10.625" style="1" customWidth="1"/>
    <col min="13826" max="13826" width="9" style="1"/>
    <col min="13827" max="13827" width="20.625" style="1" customWidth="1"/>
    <col min="13828" max="13828" width="9" style="1"/>
    <col min="13829" max="13829" width="10.5" style="1" customWidth="1"/>
    <col min="13830" max="13830" width="9" style="1"/>
    <col min="13831" max="13831" width="12.625" style="1" customWidth="1"/>
    <col min="13832" max="13832" width="4.625" style="1" customWidth="1"/>
    <col min="13833" max="13835" width="9" style="1"/>
    <col min="13836" max="13836" width="18.375" style="1" bestFit="1" customWidth="1"/>
    <col min="13837" max="14080" width="9" style="1"/>
    <col min="14081" max="14081" width="10.625" style="1" customWidth="1"/>
    <col min="14082" max="14082" width="9" style="1"/>
    <col min="14083" max="14083" width="20.625" style="1" customWidth="1"/>
    <col min="14084" max="14084" width="9" style="1"/>
    <col min="14085" max="14085" width="10.5" style="1" customWidth="1"/>
    <col min="14086" max="14086" width="9" style="1"/>
    <col min="14087" max="14087" width="12.625" style="1" customWidth="1"/>
    <col min="14088" max="14088" width="4.625" style="1" customWidth="1"/>
    <col min="14089" max="14091" width="9" style="1"/>
    <col min="14092" max="14092" width="18.375" style="1" bestFit="1" customWidth="1"/>
    <col min="14093" max="14336" width="9" style="1"/>
    <col min="14337" max="14337" width="10.625" style="1" customWidth="1"/>
    <col min="14338" max="14338" width="9" style="1"/>
    <col min="14339" max="14339" width="20.625" style="1" customWidth="1"/>
    <col min="14340" max="14340" width="9" style="1"/>
    <col min="14341" max="14341" width="10.5" style="1" customWidth="1"/>
    <col min="14342" max="14342" width="9" style="1"/>
    <col min="14343" max="14343" width="12.625" style="1" customWidth="1"/>
    <col min="14344" max="14344" width="4.625" style="1" customWidth="1"/>
    <col min="14345" max="14347" width="9" style="1"/>
    <col min="14348" max="14348" width="18.375" style="1" bestFit="1" customWidth="1"/>
    <col min="14349" max="14592" width="9" style="1"/>
    <col min="14593" max="14593" width="10.625" style="1" customWidth="1"/>
    <col min="14594" max="14594" width="9" style="1"/>
    <col min="14595" max="14595" width="20.625" style="1" customWidth="1"/>
    <col min="14596" max="14596" width="9" style="1"/>
    <col min="14597" max="14597" width="10.5" style="1" customWidth="1"/>
    <col min="14598" max="14598" width="9" style="1"/>
    <col min="14599" max="14599" width="12.625" style="1" customWidth="1"/>
    <col min="14600" max="14600" width="4.625" style="1" customWidth="1"/>
    <col min="14601" max="14603" width="9" style="1"/>
    <col min="14604" max="14604" width="18.375" style="1" bestFit="1" customWidth="1"/>
    <col min="14605" max="14848" width="9" style="1"/>
    <col min="14849" max="14849" width="10.625" style="1" customWidth="1"/>
    <col min="14850" max="14850" width="9" style="1"/>
    <col min="14851" max="14851" width="20.625" style="1" customWidth="1"/>
    <col min="14852" max="14852" width="9" style="1"/>
    <col min="14853" max="14853" width="10.5" style="1" customWidth="1"/>
    <col min="14854" max="14854" width="9" style="1"/>
    <col min="14855" max="14855" width="12.625" style="1" customWidth="1"/>
    <col min="14856" max="14856" width="4.625" style="1" customWidth="1"/>
    <col min="14857" max="14859" width="9" style="1"/>
    <col min="14860" max="14860" width="18.375" style="1" bestFit="1" customWidth="1"/>
    <col min="14861" max="15104" width="9" style="1"/>
    <col min="15105" max="15105" width="10.625" style="1" customWidth="1"/>
    <col min="15106" max="15106" width="9" style="1"/>
    <col min="15107" max="15107" width="20.625" style="1" customWidth="1"/>
    <col min="15108" max="15108" width="9" style="1"/>
    <col min="15109" max="15109" width="10.5" style="1" customWidth="1"/>
    <col min="15110" max="15110" width="9" style="1"/>
    <col min="15111" max="15111" width="12.625" style="1" customWidth="1"/>
    <col min="15112" max="15112" width="4.625" style="1" customWidth="1"/>
    <col min="15113" max="15115" width="9" style="1"/>
    <col min="15116" max="15116" width="18.375" style="1" bestFit="1" customWidth="1"/>
    <col min="15117" max="15360" width="9" style="1"/>
    <col min="15361" max="15361" width="10.625" style="1" customWidth="1"/>
    <col min="15362" max="15362" width="9" style="1"/>
    <col min="15363" max="15363" width="20.625" style="1" customWidth="1"/>
    <col min="15364" max="15364" width="9" style="1"/>
    <col min="15365" max="15365" width="10.5" style="1" customWidth="1"/>
    <col min="15366" max="15366" width="9" style="1"/>
    <col min="15367" max="15367" width="12.625" style="1" customWidth="1"/>
    <col min="15368" max="15368" width="4.625" style="1" customWidth="1"/>
    <col min="15369" max="15371" width="9" style="1"/>
    <col min="15372" max="15372" width="18.375" style="1" bestFit="1" customWidth="1"/>
    <col min="15373" max="15616" width="9" style="1"/>
    <col min="15617" max="15617" width="10.625" style="1" customWidth="1"/>
    <col min="15618" max="15618" width="9" style="1"/>
    <col min="15619" max="15619" width="20.625" style="1" customWidth="1"/>
    <col min="15620" max="15620" width="9" style="1"/>
    <col min="15621" max="15621" width="10.5" style="1" customWidth="1"/>
    <col min="15622" max="15622" width="9" style="1"/>
    <col min="15623" max="15623" width="12.625" style="1" customWidth="1"/>
    <col min="15624" max="15624" width="4.625" style="1" customWidth="1"/>
    <col min="15625" max="15627" width="9" style="1"/>
    <col min="15628" max="15628" width="18.375" style="1" bestFit="1" customWidth="1"/>
    <col min="15629" max="15872" width="9" style="1"/>
    <col min="15873" max="15873" width="10.625" style="1" customWidth="1"/>
    <col min="15874" max="15874" width="9" style="1"/>
    <col min="15875" max="15875" width="20.625" style="1" customWidth="1"/>
    <col min="15876" max="15876" width="9" style="1"/>
    <col min="15877" max="15877" width="10.5" style="1" customWidth="1"/>
    <col min="15878" max="15878" width="9" style="1"/>
    <col min="15879" max="15879" width="12.625" style="1" customWidth="1"/>
    <col min="15880" max="15880" width="4.625" style="1" customWidth="1"/>
    <col min="15881" max="15883" width="9" style="1"/>
    <col min="15884" max="15884" width="18.375" style="1" bestFit="1" customWidth="1"/>
    <col min="15885" max="16128" width="9" style="1"/>
    <col min="16129" max="16129" width="10.625" style="1" customWidth="1"/>
    <col min="16130" max="16130" width="9" style="1"/>
    <col min="16131" max="16131" width="20.625" style="1" customWidth="1"/>
    <col min="16132" max="16132" width="9" style="1"/>
    <col min="16133" max="16133" width="10.5" style="1" customWidth="1"/>
    <col min="16134" max="16134" width="9" style="1"/>
    <col min="16135" max="16135" width="12.625" style="1" customWidth="1"/>
    <col min="16136" max="16136" width="4.625" style="1" customWidth="1"/>
    <col min="16137" max="16139" width="9" style="1"/>
    <col min="16140" max="16140" width="18.375" style="1" bestFit="1" customWidth="1"/>
    <col min="16141" max="16384" width="9" style="1"/>
  </cols>
  <sheetData>
    <row r="1" spans="1:8" ht="30" customHeight="1">
      <c r="A1" s="50" t="s">
        <v>19</v>
      </c>
      <c r="B1" s="51"/>
      <c r="C1" s="51"/>
      <c r="D1" s="51"/>
      <c r="E1" s="51"/>
      <c r="F1" s="51"/>
      <c r="G1" s="51"/>
      <c r="H1" s="52"/>
    </row>
    <row r="2" spans="1:8" ht="19.5" customHeight="1">
      <c r="A2" s="2" t="s">
        <v>0</v>
      </c>
      <c r="B2" s="53"/>
      <c r="C2" s="54"/>
      <c r="D2" s="55"/>
      <c r="E2" s="3" t="s">
        <v>1</v>
      </c>
      <c r="F2" s="56">
        <f ca="1">TODAY()</f>
        <v>44955</v>
      </c>
      <c r="G2" s="57"/>
      <c r="H2" s="58"/>
    </row>
    <row r="3" spans="1:8" ht="19.5" customHeight="1" thickBot="1">
      <c r="A3" s="4" t="s">
        <v>2</v>
      </c>
      <c r="B3" s="59"/>
      <c r="C3" s="60"/>
      <c r="D3" s="61"/>
      <c r="E3" s="5" t="s">
        <v>3</v>
      </c>
      <c r="F3" s="62" t="s">
        <v>4</v>
      </c>
      <c r="G3" s="63"/>
      <c r="H3" s="64"/>
    </row>
    <row r="4" spans="1:8" ht="15" customHeight="1">
      <c r="A4" s="6"/>
      <c r="B4" s="7"/>
      <c r="C4" s="7"/>
      <c r="D4" s="7"/>
      <c r="E4" s="7"/>
      <c r="F4" s="8"/>
      <c r="G4" s="8"/>
      <c r="H4" s="9"/>
    </row>
    <row r="5" spans="1:8" ht="15" customHeight="1">
      <c r="A5" s="6"/>
      <c r="H5" s="10"/>
    </row>
    <row r="6" spans="1:8" ht="15" customHeight="1">
      <c r="A6" s="11"/>
      <c r="H6" s="10"/>
    </row>
    <row r="7" spans="1:8" ht="15" customHeight="1">
      <c r="A7" s="6"/>
      <c r="H7" s="10"/>
    </row>
    <row r="8" spans="1:8" ht="15" customHeight="1">
      <c r="A8" s="6"/>
      <c r="H8" s="10"/>
    </row>
    <row r="9" spans="1:8" ht="15" customHeight="1">
      <c r="A9" s="6"/>
      <c r="H9" s="10"/>
    </row>
    <row r="10" spans="1:8" ht="15" customHeight="1">
      <c r="A10" s="6"/>
      <c r="H10" s="10"/>
    </row>
    <row r="11" spans="1:8" ht="15" customHeight="1">
      <c r="A11" s="6"/>
      <c r="H11" s="10"/>
    </row>
    <row r="12" spans="1:8" ht="15" customHeight="1">
      <c r="A12" s="6"/>
      <c r="H12" s="10"/>
    </row>
    <row r="13" spans="1:8" ht="15" customHeight="1">
      <c r="A13" s="6"/>
      <c r="B13" s="1" t="s">
        <v>14</v>
      </c>
      <c r="C13" s="16">
        <v>24.7</v>
      </c>
      <c r="D13" s="1" t="s">
        <v>9</v>
      </c>
      <c r="H13" s="10"/>
    </row>
    <row r="14" spans="1:8" ht="15" customHeight="1">
      <c r="A14" s="6"/>
      <c r="B14" s="1" t="s">
        <v>15</v>
      </c>
      <c r="C14" s="16">
        <v>13</v>
      </c>
      <c r="D14" s="1" t="s">
        <v>9</v>
      </c>
      <c r="H14" s="10"/>
    </row>
    <row r="15" spans="1:8" ht="15" customHeight="1">
      <c r="A15" s="6"/>
      <c r="B15" s="1" t="s">
        <v>16</v>
      </c>
      <c r="C15" s="16">
        <f>(PI()*C13^2)/4-C13*C14</f>
        <v>158.06356550714918</v>
      </c>
      <c r="D15" s="1" t="s">
        <v>10</v>
      </c>
      <c r="H15" s="10"/>
    </row>
    <row r="16" spans="1:8" ht="15" customHeight="1">
      <c r="A16" s="6"/>
      <c r="H16" s="10"/>
    </row>
    <row r="17" spans="1:8" ht="15" customHeight="1">
      <c r="A17" s="6"/>
      <c r="H17" s="10"/>
    </row>
    <row r="18" spans="1:8" ht="15" customHeight="1">
      <c r="A18" s="6"/>
      <c r="H18" s="10"/>
    </row>
    <row r="19" spans="1:8" ht="15" customHeight="1">
      <c r="A19" s="6"/>
      <c r="H19" s="10"/>
    </row>
    <row r="20" spans="1:8" ht="15" customHeight="1">
      <c r="A20" s="6"/>
      <c r="B20" s="12"/>
      <c r="H20" s="10"/>
    </row>
    <row r="21" spans="1:8" ht="15" customHeight="1">
      <c r="A21" s="6"/>
      <c r="H21" s="10"/>
    </row>
    <row r="22" spans="1:8" ht="15" customHeight="1">
      <c r="A22" s="6"/>
      <c r="B22" s="7"/>
      <c r="H22" s="10"/>
    </row>
    <row r="23" spans="1:8" ht="15" customHeight="1">
      <c r="A23" s="6"/>
      <c r="B23" s="7"/>
      <c r="H23" s="10"/>
    </row>
    <row r="24" spans="1:8" ht="15" customHeight="1">
      <c r="A24" s="6"/>
      <c r="B24" s="7"/>
      <c r="H24" s="10"/>
    </row>
    <row r="25" spans="1:8" ht="15" customHeight="1">
      <c r="A25" s="6"/>
      <c r="B25" s="7"/>
      <c r="H25" s="10"/>
    </row>
    <row r="26" spans="1:8" ht="15" customHeight="1">
      <c r="A26" s="6"/>
      <c r="B26" s="7"/>
      <c r="H26" s="10"/>
    </row>
    <row r="27" spans="1:8" ht="15" customHeight="1">
      <c r="A27" s="6"/>
      <c r="B27" s="7"/>
      <c r="H27" s="10"/>
    </row>
    <row r="28" spans="1:8" ht="15" customHeight="1">
      <c r="A28" s="6"/>
      <c r="B28" s="7"/>
      <c r="H28" s="10"/>
    </row>
    <row r="29" spans="1:8" ht="15" customHeight="1">
      <c r="A29" s="6"/>
      <c r="H29" s="10"/>
    </row>
    <row r="30" spans="1:8" ht="15" customHeight="1">
      <c r="A30" s="6"/>
      <c r="H30" s="10"/>
    </row>
    <row r="31" spans="1:8" ht="15" customHeight="1">
      <c r="A31" s="6"/>
      <c r="B31" s="7"/>
      <c r="H31" s="10"/>
    </row>
    <row r="32" spans="1:8" ht="15" customHeight="1">
      <c r="A32" s="6"/>
      <c r="B32" s="1">
        <v>22280.9</v>
      </c>
      <c r="C32" s="1">
        <f>B32/C15</f>
        <v>140.96164368120773</v>
      </c>
      <c r="H32" s="10"/>
    </row>
    <row r="33" spans="1:8" ht="15" customHeight="1">
      <c r="A33" s="6"/>
      <c r="H33" s="10"/>
    </row>
    <row r="34" spans="1:8" ht="15" customHeight="1">
      <c r="A34" s="6"/>
      <c r="H34" s="10"/>
    </row>
    <row r="35" spans="1:8" ht="15" customHeight="1">
      <c r="A35" s="6"/>
      <c r="H35" s="10"/>
    </row>
    <row r="36" spans="1:8" ht="15" customHeight="1">
      <c r="A36" s="6"/>
      <c r="H36" s="10"/>
    </row>
    <row r="37" spans="1:8" ht="15" customHeight="1">
      <c r="A37" s="6"/>
      <c r="H37" s="10"/>
    </row>
    <row r="38" spans="1:8" ht="15" customHeight="1">
      <c r="A38" s="6"/>
      <c r="H38" s="10"/>
    </row>
    <row r="39" spans="1:8" ht="15" customHeight="1">
      <c r="A39" s="6"/>
      <c r="H39" s="10"/>
    </row>
    <row r="40" spans="1:8" ht="15" customHeight="1">
      <c r="A40" s="6"/>
      <c r="H40" s="10"/>
    </row>
    <row r="41" spans="1:8" ht="15" customHeight="1">
      <c r="A41" s="6"/>
      <c r="H41" s="10"/>
    </row>
    <row r="42" spans="1:8" ht="15" customHeight="1">
      <c r="A42" s="6"/>
      <c r="H42" s="10"/>
    </row>
    <row r="43" spans="1:8" ht="15" customHeight="1">
      <c r="A43" s="6"/>
      <c r="H43" s="10"/>
    </row>
    <row r="44" spans="1:8" ht="15" customHeight="1">
      <c r="A44" s="6"/>
      <c r="H44" s="10"/>
    </row>
    <row r="45" spans="1:8" ht="15" customHeight="1">
      <c r="A45" s="6"/>
      <c r="H45" s="10"/>
    </row>
    <row r="46" spans="1:8" ht="15" customHeight="1">
      <c r="A46" s="6"/>
      <c r="H46" s="10"/>
    </row>
    <row r="47" spans="1:8" ht="15" customHeight="1">
      <c r="A47" s="6"/>
      <c r="H47" s="10"/>
    </row>
    <row r="48" spans="1:8" ht="15" customHeight="1">
      <c r="A48" s="6"/>
      <c r="H48" s="10"/>
    </row>
    <row r="49" spans="1:8" ht="15" customHeight="1">
      <c r="A49" s="6"/>
      <c r="H49" s="10"/>
    </row>
    <row r="50" spans="1:8" ht="15" customHeight="1">
      <c r="A50" s="6"/>
      <c r="H50" s="10"/>
    </row>
    <row r="51" spans="1:8" ht="15" customHeight="1">
      <c r="A51" s="6"/>
      <c r="H51" s="10"/>
    </row>
    <row r="52" spans="1:8" ht="15" customHeight="1">
      <c r="A52" s="6"/>
      <c r="H52" s="10"/>
    </row>
    <row r="53" spans="1:8" ht="15" customHeight="1">
      <c r="A53" s="6"/>
      <c r="H53" s="10"/>
    </row>
    <row r="54" spans="1:8" ht="15" customHeight="1" thickBot="1">
      <c r="A54" s="13"/>
      <c r="B54" s="14"/>
      <c r="C54" s="14"/>
      <c r="D54" s="14"/>
      <c r="E54" s="14"/>
      <c r="F54" s="14"/>
      <c r="G54" s="14"/>
      <c r="H54" s="15"/>
    </row>
  </sheetData>
  <mergeCells count="5">
    <mergeCell ref="A1:H1"/>
    <mergeCell ref="B2:D2"/>
    <mergeCell ref="F2:H2"/>
    <mergeCell ref="B3:D3"/>
    <mergeCell ref="F3:H3"/>
  </mergeCells>
  <phoneticPr fontId="2" type="noConversion"/>
  <pageMargins left="0.98425196850393704" right="0.59055118110236227" top="0.78740157480314965" bottom="0.39370078740157483" header="0.51181102362204722" footer="0.51181102362204722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3"/>
  <sheetViews>
    <sheetView workbookViewId="0">
      <selection activeCell="E24" sqref="E24"/>
    </sheetView>
  </sheetViews>
  <sheetFormatPr defaultRowHeight="13.5"/>
  <cols>
    <col min="2" max="2" width="5.25" bestFit="1" customWidth="1"/>
    <col min="3" max="7" width="12.75" bestFit="1" customWidth="1"/>
  </cols>
  <sheetData>
    <row r="2" spans="2:7">
      <c r="C2" t="s">
        <v>55</v>
      </c>
    </row>
    <row r="5" spans="2:7">
      <c r="D5" t="s">
        <v>47</v>
      </c>
      <c r="E5" t="s">
        <v>48</v>
      </c>
      <c r="G5" t="s">
        <v>49</v>
      </c>
    </row>
    <row r="6" spans="2:7">
      <c r="B6" t="s">
        <v>50</v>
      </c>
      <c r="C6" s="37">
        <v>22.8</v>
      </c>
      <c r="D6">
        <f>C6</f>
        <v>22.8</v>
      </c>
      <c r="E6">
        <f>SQRT(((PI()*E7^2/4)*E8+E9)/E8/PI())*2</f>
        <v>175.05562968624713</v>
      </c>
      <c r="F6">
        <v>18.165902124584953</v>
      </c>
      <c r="G6">
        <f>F6</f>
        <v>18.165902124584953</v>
      </c>
    </row>
    <row r="7" spans="2:7">
      <c r="B7" t="s">
        <v>51</v>
      </c>
      <c r="C7" s="37">
        <v>12.8</v>
      </c>
      <c r="D7">
        <f>SQRT(((PI()*D6^2/4)*D8-D9)/D8/PI())*2</f>
        <v>15.657961054868361</v>
      </c>
      <c r="E7">
        <f>130</f>
        <v>130</v>
      </c>
      <c r="F7">
        <v>15</v>
      </c>
      <c r="G7">
        <f t="shared" ref="G7:G8" si="0">F7</f>
        <v>15</v>
      </c>
    </row>
    <row r="8" spans="2:7">
      <c r="B8" t="s">
        <v>53</v>
      </c>
      <c r="C8" s="37">
        <v>76.25</v>
      </c>
      <c r="D8" s="37">
        <v>77.62</v>
      </c>
      <c r="E8" s="37">
        <v>462</v>
      </c>
      <c r="F8" s="37">
        <v>25</v>
      </c>
      <c r="G8">
        <f t="shared" si="0"/>
        <v>25</v>
      </c>
    </row>
    <row r="9" spans="2:7">
      <c r="B9" t="s">
        <v>52</v>
      </c>
      <c r="C9">
        <f>PI()*(C6^2-C7^2)/4*C8</f>
        <v>21319.633145423733</v>
      </c>
      <c r="D9">
        <f>C12</f>
        <v>16744.492494092749</v>
      </c>
      <c r="E9">
        <f>C13</f>
        <v>4987236.5151215959</v>
      </c>
      <c r="G9">
        <f>PI()*(G6^2-G7^2)/4*G8</f>
        <v>2061.6701789183039</v>
      </c>
    </row>
    <row r="12" spans="2:7">
      <c r="C12">
        <f>PI()*2.5*2.5*852.79</f>
        <v>16744.492494092749</v>
      </c>
    </row>
    <row r="13" spans="2:7">
      <c r="C13">
        <f>PI()*35*35/4*5183.63</f>
        <v>4987236.5151215959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I16"/>
  <sheetViews>
    <sheetView workbookViewId="0">
      <selection activeCell="D19" sqref="D19"/>
    </sheetView>
  </sheetViews>
  <sheetFormatPr defaultRowHeight="13.5"/>
  <sheetData>
    <row r="3" spans="2:9">
      <c r="C3" t="s">
        <v>56</v>
      </c>
      <c r="E3" t="s">
        <v>57</v>
      </c>
    </row>
    <row r="5" spans="2:9">
      <c r="B5" t="s">
        <v>71</v>
      </c>
      <c r="C5">
        <v>0.5</v>
      </c>
      <c r="D5" t="s">
        <v>58</v>
      </c>
      <c r="E5">
        <f>160/1000</f>
        <v>0.16</v>
      </c>
      <c r="F5" t="s">
        <v>58</v>
      </c>
    </row>
    <row r="6" spans="2:9">
      <c r="B6" t="s">
        <v>59</v>
      </c>
      <c r="C6">
        <f>C5/2</f>
        <v>0.25</v>
      </c>
      <c r="D6" t="s">
        <v>58</v>
      </c>
      <c r="E6">
        <f>E5/2</f>
        <v>0.08</v>
      </c>
      <c r="F6" t="s">
        <v>58</v>
      </c>
    </row>
    <row r="7" spans="2:9">
      <c r="B7" t="s">
        <v>60</v>
      </c>
      <c r="C7">
        <f>PI()*C6^2</f>
        <v>0.19634954084936207</v>
      </c>
      <c r="D7" t="s">
        <v>61</v>
      </c>
      <c r="E7">
        <f>PI()*E6^2</f>
        <v>2.0106192982974676E-2</v>
      </c>
      <c r="F7" t="s">
        <v>69</v>
      </c>
    </row>
    <row r="8" spans="2:9">
      <c r="B8" t="s">
        <v>62</v>
      </c>
      <c r="C8">
        <v>3</v>
      </c>
      <c r="D8" t="s">
        <v>63</v>
      </c>
      <c r="E8">
        <v>1.5</v>
      </c>
      <c r="F8" t="s">
        <v>64</v>
      </c>
      <c r="I8" t="s">
        <v>65</v>
      </c>
    </row>
    <row r="9" spans="2:9">
      <c r="B9" t="s">
        <v>66</v>
      </c>
      <c r="C9">
        <f>C7*C8</f>
        <v>0.58904862254808621</v>
      </c>
      <c r="D9" t="s">
        <v>67</v>
      </c>
      <c r="E9">
        <f>E7*E8</f>
        <v>3.0159289474462014E-2</v>
      </c>
      <c r="F9" t="s">
        <v>67</v>
      </c>
    </row>
    <row r="10" spans="2:9">
      <c r="C10">
        <f>C9*60*60</f>
        <v>2120.5750411731105</v>
      </c>
      <c r="D10" t="s">
        <v>68</v>
      </c>
      <c r="E10">
        <f>E9*60*60</f>
        <v>108.57344210806325</v>
      </c>
      <c r="F10" t="s">
        <v>70</v>
      </c>
    </row>
    <row r="13" spans="2:9">
      <c r="B13" t="s">
        <v>72</v>
      </c>
      <c r="C13">
        <v>0.56000000000000005</v>
      </c>
    </row>
    <row r="14" spans="2:9">
      <c r="B14" t="s">
        <v>73</v>
      </c>
      <c r="C14">
        <v>1.2929999999999999</v>
      </c>
    </row>
    <row r="15" spans="2:9">
      <c r="B15" t="s">
        <v>74</v>
      </c>
      <c r="C15">
        <f>C13*C14</f>
        <v>0.72408000000000006</v>
      </c>
    </row>
    <row r="16" spans="2:9">
      <c r="B16" t="s">
        <v>75</v>
      </c>
      <c r="C16">
        <f>C15/C7</f>
        <v>3.6877091582073467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6EB0-A572-4A7B-AFCA-05FBC0BE53CC}">
  <dimension ref="A1:O6"/>
  <sheetViews>
    <sheetView tabSelected="1" zoomScale="130" zoomScaleNormal="130" workbookViewId="0">
      <selection activeCell="L18" sqref="L18"/>
    </sheetView>
  </sheetViews>
  <sheetFormatPr defaultRowHeight="14.25"/>
  <cols>
    <col min="1" max="4" width="9" style="29"/>
    <col min="5" max="5" width="12.75" style="29" bestFit="1" customWidth="1"/>
    <col min="6" max="8" width="9" style="29"/>
    <col min="9" max="9" width="10.5" style="29" customWidth="1"/>
    <col min="10" max="16384" width="9" style="29"/>
  </cols>
  <sheetData>
    <row r="1" spans="1:15">
      <c r="N1" s="29" t="s">
        <v>97</v>
      </c>
      <c r="O1" s="29">
        <v>5.2299999999999999E-2</v>
      </c>
    </row>
    <row r="2" spans="1:15" ht="17.25">
      <c r="B2" s="29" t="s">
        <v>98</v>
      </c>
      <c r="C2" s="29" t="s">
        <v>99</v>
      </c>
      <c r="D2" s="29" t="s">
        <v>100</v>
      </c>
      <c r="E2" s="29" t="s">
        <v>101</v>
      </c>
      <c r="F2" s="29" t="s">
        <v>102</v>
      </c>
      <c r="G2" s="29" t="s">
        <v>103</v>
      </c>
      <c r="I2" s="29" t="s">
        <v>107</v>
      </c>
      <c r="N2" s="29" t="s">
        <v>108</v>
      </c>
      <c r="O2" s="29">
        <v>0.53700000000000003</v>
      </c>
    </row>
    <row r="3" spans="1:15" ht="17.25">
      <c r="A3" s="29" t="s">
        <v>104</v>
      </c>
      <c r="B3" s="29" t="s">
        <v>97</v>
      </c>
      <c r="C3" s="29" t="s">
        <v>108</v>
      </c>
      <c r="D3" s="29" t="s">
        <v>109</v>
      </c>
      <c r="E3" s="29" t="s">
        <v>110</v>
      </c>
      <c r="F3" s="29" t="s">
        <v>111</v>
      </c>
      <c r="G3" s="29" t="s">
        <v>112</v>
      </c>
      <c r="N3" s="29" t="s">
        <v>109</v>
      </c>
      <c r="O3" s="29">
        <v>0.1177</v>
      </c>
    </row>
    <row r="4" spans="1:15" ht="17.25">
      <c r="A4" s="29" t="s">
        <v>106</v>
      </c>
      <c r="B4" s="49">
        <v>28</v>
      </c>
      <c r="C4" s="49">
        <v>18</v>
      </c>
      <c r="D4" s="49">
        <v>2</v>
      </c>
      <c r="E4" s="49">
        <f>12+32</f>
        <v>44</v>
      </c>
      <c r="F4" s="49">
        <v>16</v>
      </c>
      <c r="G4" s="49">
        <v>28</v>
      </c>
      <c r="H4" s="49"/>
      <c r="I4" s="49">
        <f>SUMPRODUCT(B4:G4,B5:G5)</f>
        <v>30.122</v>
      </c>
      <c r="N4" s="29" t="s">
        <v>110</v>
      </c>
      <c r="O4" s="29">
        <v>0.29249999999999998</v>
      </c>
    </row>
    <row r="5" spans="1:15" ht="17.25">
      <c r="A5" s="29" t="s">
        <v>105</v>
      </c>
      <c r="B5" s="49">
        <v>0.253</v>
      </c>
      <c r="C5" s="49">
        <v>0</v>
      </c>
      <c r="D5" s="49">
        <v>1.0999999999999999E-2</v>
      </c>
      <c r="E5" s="49">
        <v>0.158</v>
      </c>
      <c r="F5" s="49">
        <v>3.0000000000000001E-3</v>
      </c>
      <c r="G5" s="49">
        <v>0.57199999999999995</v>
      </c>
      <c r="H5" s="49"/>
      <c r="I5" s="49">
        <f>SUM(B5:G5)</f>
        <v>0.997</v>
      </c>
      <c r="N5" s="29" t="s">
        <v>111</v>
      </c>
      <c r="O5" s="29">
        <f>3.435*10^-6</f>
        <v>3.4349999999999997E-6</v>
      </c>
    </row>
    <row r="6" spans="1:15" ht="17.25">
      <c r="I6" s="49"/>
      <c r="N6" s="29" t="s">
        <v>112</v>
      </c>
      <c r="O6" s="29">
        <f>3.511*10^-4</f>
        <v>3.5110000000000002E-4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数学公式</vt:lpstr>
      <vt:lpstr>气缸容量</vt:lpstr>
      <vt:lpstr>圆环面积</vt:lpstr>
      <vt:lpstr>弓形面积</vt:lpstr>
      <vt:lpstr>圆柱体侧面积</vt:lpstr>
      <vt:lpstr>球台侧面积</vt:lpstr>
      <vt:lpstr>圆台体积</vt:lpstr>
      <vt:lpstr>开孔轴径向截面积</vt:lpstr>
      <vt:lpstr>空心管体积</vt:lpstr>
      <vt:lpstr>已知流速计算流量</vt:lpstr>
      <vt:lpstr>混合气体摩尔数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赵戎</dc:creator>
  <cp:lastModifiedBy>rong zhao</cp:lastModifiedBy>
  <dcterms:created xsi:type="dcterms:W3CDTF">2011-05-12T03:36:35Z</dcterms:created>
  <dcterms:modified xsi:type="dcterms:W3CDTF">2023-01-29T07:08:59Z</dcterms:modified>
</cp:coreProperties>
</file>