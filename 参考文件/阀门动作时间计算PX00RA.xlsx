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工作文档(ST)\设计资料\选型计算\附件选型\"/>
    </mc:Choice>
  </mc:AlternateContent>
  <bookViews>
    <workbookView xWindow="0" yWindow="0" windowWidth="19335" windowHeight="10365" tabRatio="853" activeTab="1"/>
  </bookViews>
  <sheets>
    <sheet name="PA60RAWN" sheetId="13" r:id="rId1"/>
    <sheet name="PC28LAWN" sheetId="12" r:id="rId2"/>
    <sheet name="PC25LAWN" sheetId="11" r:id="rId3"/>
    <sheet name="PC16LAWN" sheetId="10" r:id="rId4"/>
    <sheet name="气缸耗气量SMC300" sheetId="9" r:id="rId5"/>
    <sheet name="气包容量计算" sheetId="5" r:id="rId6"/>
    <sheet name="ON-OFF-A" sheetId="4" r:id="rId7"/>
    <sheet name="control" sheetId="1" r:id="rId8"/>
    <sheet name="1" sheetId="6" r:id="rId9"/>
    <sheet name="2" sheetId="7" r:id="rId10"/>
    <sheet name="3" sheetId="8" r:id="rId11"/>
    <sheet name="Sheet1" sheetId="14" r:id="rId12"/>
    <sheet name="Sheet1 (2)" sheetId="15" r:id="rId13"/>
  </sheets>
  <definedNames>
    <definedName name="_xlnm.Print_Area" localSheetId="5">气包容量计算!$A$1:$AL$65</definedName>
  </definedNames>
  <calcPr calcId="162913"/>
</workbook>
</file>

<file path=xl/calcChain.xml><?xml version="1.0" encoding="utf-8"?>
<calcChain xmlns="http://schemas.openxmlformats.org/spreadsheetml/2006/main">
  <c r="D13" i="14" l="1"/>
  <c r="D12" i="14"/>
  <c r="AO37" i="8"/>
  <c r="AO36" i="8"/>
  <c r="AO35" i="8"/>
  <c r="AO34" i="8"/>
  <c r="AO33" i="8"/>
  <c r="AB19" i="8"/>
  <c r="AB15" i="8"/>
  <c r="AN12" i="8"/>
  <c r="F11" i="8"/>
  <c r="AO37" i="7"/>
  <c r="AO36" i="7"/>
  <c r="AO35" i="7"/>
  <c r="AO34" i="7"/>
  <c r="AO33" i="7"/>
  <c r="AN12" i="7" s="1"/>
  <c r="AB19" i="7" s="1"/>
  <c r="AB15" i="7"/>
  <c r="F11" i="7"/>
  <c r="AO38" i="6"/>
  <c r="AO37" i="6"/>
  <c r="AO36" i="6"/>
  <c r="AO35" i="6"/>
  <c r="AO34" i="6"/>
  <c r="AO33" i="6"/>
  <c r="T31" i="6"/>
  <c r="T30" i="6"/>
  <c r="T29" i="6"/>
  <c r="T28" i="6"/>
  <c r="P16" i="6"/>
  <c r="L16" i="6"/>
  <c r="AB15" i="6"/>
  <c r="L15" i="6"/>
  <c r="AN12" i="6"/>
  <c r="AB19" i="6" s="1"/>
  <c r="AQ5" i="6"/>
  <c r="AS4" i="6"/>
  <c r="AQ4" i="6"/>
  <c r="AS3" i="6"/>
  <c r="AQ3" i="6"/>
  <c r="C25" i="1"/>
  <c r="C24" i="1"/>
  <c r="C23" i="1"/>
  <c r="F21" i="1"/>
  <c r="F11" i="1"/>
  <c r="J9" i="1"/>
  <c r="I9" i="1"/>
  <c r="J8" i="1"/>
  <c r="I7" i="1"/>
  <c r="F3" i="1"/>
  <c r="H3" i="1" s="1"/>
  <c r="F11" i="4"/>
  <c r="F11" i="5"/>
  <c r="I21" i="9"/>
  <c r="I20" i="9"/>
  <c r="I13" i="9" s="1"/>
  <c r="I15" i="9"/>
  <c r="I14" i="9"/>
  <c r="H22" i="10"/>
  <c r="H16" i="10"/>
  <c r="H15" i="10"/>
  <c r="H21" i="10" s="1"/>
  <c r="H14" i="10" s="1"/>
  <c r="H22" i="11"/>
  <c r="H16" i="11"/>
  <c r="H15" i="11"/>
  <c r="H21" i="11" s="1"/>
  <c r="H14" i="11" s="1"/>
  <c r="H21" i="12"/>
  <c r="H15" i="12"/>
  <c r="H20" i="12" s="1"/>
  <c r="H13" i="12" s="1"/>
  <c r="H14" i="12"/>
  <c r="I21" i="13"/>
  <c r="I20" i="13"/>
  <c r="I13" i="13" s="1"/>
  <c r="I15" i="13"/>
  <c r="I14" i="13"/>
  <c r="J12" i="6" l="1"/>
  <c r="J11" i="6" s="1"/>
  <c r="F12" i="6"/>
  <c r="F11" i="6" s="1"/>
</calcChain>
</file>

<file path=xl/sharedStrings.xml><?xml version="1.0" encoding="utf-8"?>
<sst xmlns="http://schemas.openxmlformats.org/spreadsheetml/2006/main" count="792" uniqueCount="252">
  <si>
    <t>PA60RAWN气缸往返一次的耗气量计算式</t>
  </si>
  <si>
    <r>
      <t>Q</t>
    </r>
    <r>
      <rPr>
        <vertAlign val="subscript"/>
        <sz val="11"/>
        <rFont val="宋体"/>
        <charset val="134"/>
      </rPr>
      <t>C</t>
    </r>
  </si>
  <si>
    <t>=</t>
  </si>
  <si>
    <r>
      <t>Q</t>
    </r>
    <r>
      <rPr>
        <vertAlign val="subscript"/>
        <sz val="11"/>
        <rFont val="宋体"/>
        <charset val="134"/>
      </rPr>
      <t xml:space="preserve">CC </t>
    </r>
    <r>
      <rPr>
        <sz val="11"/>
        <rFont val="宋体"/>
        <charset val="134"/>
      </rPr>
      <t>+ Q</t>
    </r>
    <r>
      <rPr>
        <vertAlign val="subscript"/>
        <sz val="11"/>
        <rFont val="宋体"/>
        <charset val="134"/>
      </rPr>
      <t>CP</t>
    </r>
  </si>
  <si>
    <t>（A1+A2）×L×</t>
  </si>
  <si>
    <t>P+0.1013</t>
  </si>
  <si>
    <t>×10^-6+2×a×l×</t>
  </si>
  <si>
    <t>P</t>
  </si>
  <si>
    <t>×10^-6</t>
  </si>
  <si>
    <t xml:space="preserve"> </t>
  </si>
  <si>
    <t>:</t>
  </si>
  <si>
    <t>气缸往返一次的耗气量 (L)</t>
  </si>
  <si>
    <r>
      <t>A</t>
    </r>
    <r>
      <rPr>
        <vertAlign val="subscript"/>
        <sz val="11"/>
        <rFont val="宋体"/>
        <charset val="134"/>
      </rPr>
      <t>1</t>
    </r>
  </si>
  <si>
    <r>
      <t>无杆腔活塞的受压面积  (mm</t>
    </r>
    <r>
      <rPr>
        <vertAlign val="superscript"/>
        <sz val="11"/>
        <rFont val="宋体"/>
        <charset val="134"/>
      </rPr>
      <t>2</t>
    </r>
    <r>
      <rPr>
        <sz val="11"/>
        <rFont val="宋体"/>
        <charset val="134"/>
      </rPr>
      <t xml:space="preserve">) </t>
    </r>
  </si>
  <si>
    <r>
      <t>A</t>
    </r>
    <r>
      <rPr>
        <vertAlign val="subscript"/>
        <sz val="11"/>
        <rFont val="宋体"/>
        <charset val="134"/>
      </rPr>
      <t>2</t>
    </r>
  </si>
  <si>
    <r>
      <t>有杆腔活塞的受压面积  (mm</t>
    </r>
    <r>
      <rPr>
        <vertAlign val="superscript"/>
        <sz val="11"/>
        <rFont val="宋体"/>
        <charset val="134"/>
      </rPr>
      <t>2</t>
    </r>
    <r>
      <rPr>
        <sz val="11"/>
        <rFont val="宋体"/>
        <charset val="134"/>
      </rPr>
      <t>）</t>
    </r>
  </si>
  <si>
    <t>L</t>
  </si>
  <si>
    <t>气缸的行程           (mm)</t>
  </si>
  <si>
    <t xml:space="preserve">供气压力             (MPa) </t>
  </si>
  <si>
    <t>l</t>
  </si>
  <si>
    <t xml:space="preserve">配管长度             (mm) </t>
  </si>
  <si>
    <t>a</t>
  </si>
  <si>
    <r>
      <t>配管的流通面积       (mm</t>
    </r>
    <r>
      <rPr>
        <vertAlign val="superscript"/>
        <sz val="11"/>
        <rFont val="宋体"/>
        <charset val="134"/>
      </rPr>
      <t>2</t>
    </r>
    <r>
      <rPr>
        <sz val="11"/>
        <rFont val="宋体"/>
        <charset val="134"/>
      </rPr>
      <t>)</t>
    </r>
  </si>
  <si>
    <r>
      <t>Q</t>
    </r>
    <r>
      <rPr>
        <vertAlign val="subscript"/>
        <sz val="11"/>
        <rFont val="宋体"/>
        <charset val="134"/>
      </rPr>
      <t>CC</t>
    </r>
  </si>
  <si>
    <t xml:space="preserve">气缸的耗气量         (L) </t>
  </si>
  <si>
    <r>
      <t>Q</t>
    </r>
    <r>
      <rPr>
        <vertAlign val="subscript"/>
        <sz val="11"/>
        <rFont val="宋体"/>
        <charset val="134"/>
      </rPr>
      <t>CP</t>
    </r>
  </si>
  <si>
    <t xml:space="preserve">管子的耗气量         (L) </t>
  </si>
  <si>
    <t xml:space="preserve"> DATE</t>
  </si>
  <si>
    <t>File No.</t>
  </si>
  <si>
    <t xml:space="preserve"> APP</t>
  </si>
  <si>
    <t>YDQ-200</t>
  </si>
  <si>
    <t xml:space="preserve"> CHECK</t>
  </si>
  <si>
    <t>REV</t>
  </si>
  <si>
    <t xml:space="preserve"> MADE</t>
  </si>
  <si>
    <t>A</t>
  </si>
  <si>
    <t>PC28LAWN气缸往返一次的耗气量计算式</t>
  </si>
  <si>
    <t>YDQ-400</t>
  </si>
  <si>
    <t>PC25LAWN气缸往返一次的耗气量计算式</t>
  </si>
  <si>
    <t>YDQ-360</t>
  </si>
  <si>
    <t>PC16LAWN气缸往返一次的耗气量计算式</t>
  </si>
  <si>
    <t>YDQ-260</t>
  </si>
  <si>
    <t>SMC300/300气缸往返一次的耗气量计算式</t>
  </si>
  <si>
    <t>YDQ-300</t>
  </si>
  <si>
    <t>气包容量计算</t>
  </si>
  <si>
    <t>一.气包容量计算式</t>
  </si>
  <si>
    <t>VT</t>
  </si>
  <si>
    <t>Vc</t>
  </si>
  <si>
    <t>×</t>
  </si>
  <si>
    <r>
      <t>Pc</t>
    </r>
    <r>
      <rPr>
        <vertAlign val="superscript"/>
        <sz val="11"/>
        <rFont val="宋体"/>
        <charset val="134"/>
      </rPr>
      <t>1/N</t>
    </r>
  </si>
  <si>
    <r>
      <t>Ps</t>
    </r>
    <r>
      <rPr>
        <vertAlign val="superscript"/>
        <sz val="11"/>
        <rFont val="宋体"/>
        <charset val="134"/>
      </rPr>
      <t>1/N</t>
    </r>
  </si>
  <si>
    <t>-</t>
  </si>
  <si>
    <t xml:space="preserve">气包容量    (L) </t>
  </si>
  <si>
    <t xml:space="preserve">气缸容量    (L) </t>
  </si>
  <si>
    <t>Pc</t>
  </si>
  <si>
    <t xml:space="preserve">最低动作压力 (Kg/cm2 A) </t>
  </si>
  <si>
    <t>Ps</t>
  </si>
  <si>
    <t xml:space="preserve">气包压力     (Kg/cm2 A) </t>
  </si>
  <si>
    <t>N</t>
  </si>
  <si>
    <t>动作次数不清   (一般取2)</t>
  </si>
  <si>
    <t>气包容量=气缸容量*最低动作压力^(1/动作次数)/(气包压力^(1/动作次数)-最低动作压力^(1/动作次数))</t>
  </si>
  <si>
    <t>YDT-1000-0002</t>
  </si>
  <si>
    <t>开关型气动机构动执行作时间计算</t>
  </si>
  <si>
    <t>一.单动作气缸阀动做计算式（DY28LA）</t>
  </si>
  <si>
    <t>T</t>
  </si>
  <si>
    <t>V</t>
  </si>
  <si>
    <t>Cv</t>
  </si>
  <si>
    <t>动作时间    (S)</t>
  </si>
  <si>
    <t xml:space="preserve">  </t>
  </si>
  <si>
    <t>DY28LA气动薄膜容量为1.6L</t>
  </si>
  <si>
    <t>二.单动作气缸阀动做计算式</t>
  </si>
  <si>
    <t>K</t>
  </si>
  <si>
    <t xml:space="preserve">排气侧系数   K=0.75 </t>
  </si>
  <si>
    <t>吸气侧系数   K=1.25</t>
  </si>
  <si>
    <t>Pipe TYPE</t>
  </si>
  <si>
    <t>6×4     cup</t>
  </si>
  <si>
    <t>8×6     cup</t>
  </si>
  <si>
    <t>10×8    cup</t>
  </si>
  <si>
    <t>12×10   cup</t>
  </si>
  <si>
    <t>3/8        SGP</t>
  </si>
  <si>
    <t>1/2        SGP</t>
  </si>
  <si>
    <t>3/4        SGP</t>
  </si>
  <si>
    <t>1           SGP</t>
  </si>
  <si>
    <t>1-1/2     SGP</t>
  </si>
  <si>
    <t>Cv为附件包括配管在内最小Cv值</t>
  </si>
  <si>
    <t>根据计算DN25，DN15选择DY28气动薄膜执行机构开关时间为1.2秒，满足要求</t>
  </si>
  <si>
    <t>YDT-1000-0001</t>
  </si>
  <si>
    <t xml:space="preserve">Time OF Actuator Action </t>
  </si>
  <si>
    <t>IN time</t>
  </si>
  <si>
    <t>Exhaust  time</t>
  </si>
  <si>
    <r>
      <t>T=10</t>
    </r>
    <r>
      <rPr>
        <vertAlign val="superscript"/>
        <sz val="18"/>
        <rFont val="ＭＳ Ｐゴシック"/>
        <family val="2"/>
        <charset val="134"/>
      </rPr>
      <t>(LogA-0.807LogV-1.202)/-1</t>
    </r>
  </si>
  <si>
    <t>(S)</t>
  </si>
  <si>
    <t>(s)</t>
  </si>
  <si>
    <t>V=</t>
  </si>
  <si>
    <t>A=</t>
  </si>
  <si>
    <t>cv</t>
  </si>
  <si>
    <t>:Action time    (S)</t>
  </si>
  <si>
    <t>1CV=18.45 mm2</t>
  </si>
  <si>
    <r>
      <t>effict area of pipe line ( mm</t>
    </r>
    <r>
      <rPr>
        <vertAlign val="superscript"/>
        <sz val="11"/>
        <rFont val="ＭＳ Ｐゴシック"/>
        <family val="2"/>
        <charset val="134"/>
      </rPr>
      <t>2</t>
    </r>
    <r>
      <rPr>
        <sz val="11"/>
        <rFont val="ＭＳ Ｐゴシック"/>
        <family val="2"/>
        <charset val="134"/>
      </rPr>
      <t>)</t>
    </r>
  </si>
  <si>
    <r>
      <t>A=1/((1/A1)</t>
    </r>
    <r>
      <rPr>
        <vertAlign val="superscript"/>
        <sz val="11"/>
        <rFont val="ＭＳ Ｐゴシック"/>
        <family val="2"/>
        <charset val="134"/>
      </rPr>
      <t>2</t>
    </r>
    <r>
      <rPr>
        <sz val="11"/>
        <rFont val="ＭＳ Ｐゴシック"/>
        <family val="2"/>
        <charset val="134"/>
      </rPr>
      <t>+</t>
    </r>
    <r>
      <rPr>
        <sz val="11"/>
        <rFont val="ＭＳ Ｐゴシック"/>
        <family val="2"/>
        <charset val="134"/>
      </rPr>
      <t>(1/A2)</t>
    </r>
    <r>
      <rPr>
        <vertAlign val="superscript"/>
        <sz val="11"/>
        <rFont val="ＭＳ Ｐゴシック"/>
        <family val="2"/>
        <charset val="134"/>
      </rPr>
      <t>2</t>
    </r>
    <r>
      <rPr>
        <sz val="11"/>
        <rFont val="ＭＳ Ｐゴシック"/>
        <family val="2"/>
        <charset val="134"/>
      </rPr>
      <t>+</t>
    </r>
    <r>
      <rPr>
        <sz val="11"/>
        <rFont val="ＭＳ Ｐゴシック"/>
        <family val="2"/>
        <charset val="134"/>
      </rPr>
      <t>…+(1/Ap)</t>
    </r>
    <r>
      <rPr>
        <vertAlign val="superscript"/>
        <sz val="11"/>
        <rFont val="ＭＳ Ｐゴシック"/>
        <family val="2"/>
        <charset val="134"/>
      </rPr>
      <t>2</t>
    </r>
  </si>
  <si>
    <t>Ap</t>
  </si>
  <si>
    <r>
      <t>Ap=3.14156/4*D</t>
    </r>
    <r>
      <rPr>
        <vertAlign val="superscript"/>
        <sz val="11"/>
        <rFont val="ＭＳ Ｐゴシック"/>
        <family val="2"/>
        <charset val="134"/>
      </rPr>
      <t>2</t>
    </r>
    <r>
      <rPr>
        <sz val="11"/>
        <rFont val="ＭＳ Ｐゴシック"/>
        <family val="2"/>
        <charset val="134"/>
      </rPr>
      <t>/</t>
    </r>
    <r>
      <rPr>
        <sz val="11"/>
        <rFont val="ＭＳ Ｐゴシック"/>
        <family val="2"/>
        <charset val="134"/>
      </rPr>
      <t>(1+(R*(L/D)</t>
    </r>
  </si>
  <si>
    <t>A1:Cv of acc*18.45</t>
  </si>
  <si>
    <t>Pipe length</t>
  </si>
  <si>
    <t>D: pipe inter dimensions</t>
  </si>
  <si>
    <t>Volume of act   (l)</t>
  </si>
  <si>
    <r>
      <t>Ap=3.14156/4*D</t>
    </r>
    <r>
      <rPr>
        <vertAlign val="superscript"/>
        <sz val="11"/>
        <rFont val="ＭＳ Ｐゴシック"/>
        <family val="2"/>
        <charset val="134"/>
      </rPr>
      <t>2</t>
    </r>
    <r>
      <rPr>
        <sz val="11"/>
        <rFont val="ＭＳ Ｐゴシック"/>
        <family val="2"/>
        <charset val="134"/>
      </rPr>
      <t>/</t>
    </r>
    <r>
      <rPr>
        <sz val="11"/>
        <rFont val="ＭＳ Ｐゴシック"/>
        <family val="2"/>
        <charset val="134"/>
      </rPr>
      <t>(1+(0.015*(L/D)</t>
    </r>
  </si>
  <si>
    <t>TYPE</t>
  </si>
  <si>
    <t>V  (l)</t>
  </si>
  <si>
    <t>ACC TYPE</t>
  </si>
  <si>
    <t>A(mm2)</t>
  </si>
  <si>
    <t>D</t>
  </si>
  <si>
    <t>R</t>
  </si>
  <si>
    <t>DY22LA</t>
  </si>
  <si>
    <t>EP800</t>
  </si>
  <si>
    <t>6×4     cu p</t>
  </si>
  <si>
    <t>DY28LA</t>
  </si>
  <si>
    <t>IL100-02</t>
  </si>
  <si>
    <t>8×6     cu p</t>
  </si>
  <si>
    <t>DY36LA</t>
  </si>
  <si>
    <t>IL100-03</t>
  </si>
  <si>
    <t>10×8    cu p</t>
  </si>
  <si>
    <t>DY4SLA</t>
  </si>
  <si>
    <t>12×10   cu p</t>
  </si>
  <si>
    <t>DY4LLA</t>
  </si>
  <si>
    <t>3/8        SG P</t>
  </si>
  <si>
    <t>DY6SLA</t>
  </si>
  <si>
    <t>1/2        SG P</t>
  </si>
  <si>
    <t>DY6LLA</t>
  </si>
  <si>
    <t>3/4        SG P</t>
  </si>
  <si>
    <t>PY15LA</t>
  </si>
  <si>
    <t>1           SG P</t>
  </si>
  <si>
    <t>PY20LA</t>
  </si>
  <si>
    <t>1-1/2     SG P</t>
  </si>
  <si>
    <t>PY30LA</t>
  </si>
  <si>
    <t>PY45LA</t>
  </si>
  <si>
    <t>PY60LA</t>
  </si>
  <si>
    <t>DY28</t>
  </si>
  <si>
    <t>PY14</t>
  </si>
  <si>
    <t>DY36</t>
  </si>
  <si>
    <t>PY20</t>
  </si>
  <si>
    <t>DY45</t>
  </si>
  <si>
    <r>
      <t>一</t>
    </r>
    <r>
      <rPr>
        <sz val="11"/>
        <rFont val="Arial"/>
        <family val="2"/>
      </rPr>
      <t>.</t>
    </r>
    <r>
      <rPr>
        <sz val="11"/>
        <rFont val="宋体"/>
        <charset val="134"/>
      </rPr>
      <t>双动作气缸阀动做计算式</t>
    </r>
  </si>
  <si>
    <t>双作用</t>
  </si>
  <si>
    <t>单作用</t>
  </si>
  <si>
    <r>
      <t>动作时间</t>
    </r>
    <r>
      <rPr>
        <sz val="11"/>
        <rFont val="Arial"/>
        <family val="2"/>
      </rPr>
      <t xml:space="preserve">    (S)</t>
    </r>
  </si>
  <si>
    <r>
      <t>气缸容量</t>
    </r>
    <r>
      <rPr>
        <sz val="11"/>
        <rFont val="Arial"/>
        <family val="2"/>
      </rPr>
      <t xml:space="preserve">    (L) </t>
    </r>
  </si>
  <si>
    <t>气缸容量查询</t>
  </si>
  <si>
    <r>
      <t>1.</t>
    </r>
    <r>
      <rPr>
        <sz val="10"/>
        <rFont val="宋体"/>
        <charset val="134"/>
      </rPr>
      <t>角行程气缸</t>
    </r>
    <r>
      <rPr>
        <sz val="10"/>
        <rFont val="Arial"/>
        <family val="2"/>
      </rPr>
      <t>PC00RA</t>
    </r>
  </si>
  <si>
    <r>
      <t>气缸尺寸</t>
    </r>
    <r>
      <rPr>
        <sz val="10"/>
        <rFont val="Arial"/>
        <family val="2"/>
      </rPr>
      <t>:</t>
    </r>
  </si>
  <si>
    <t>PX50RA</t>
  </si>
  <si>
    <t>容量/升</t>
  </si>
  <si>
    <t>黄色的为输入项</t>
  </si>
  <si>
    <r>
      <t>查询结果</t>
    </r>
    <r>
      <rPr>
        <sz val="10"/>
        <rFont val="Arial"/>
        <family val="2"/>
      </rPr>
      <t>:</t>
    </r>
  </si>
  <si>
    <t>升</t>
  </si>
  <si>
    <t>型号</t>
  </si>
  <si>
    <t>尺寸</t>
  </si>
  <si>
    <t>中间容量</t>
  </si>
  <si>
    <t>两端容量</t>
  </si>
  <si>
    <t>PX05RA</t>
  </si>
  <si>
    <t>DA50</t>
  </si>
  <si>
    <r>
      <t>2.</t>
    </r>
    <r>
      <rPr>
        <sz val="10"/>
        <rFont val="宋体"/>
        <charset val="134"/>
      </rPr>
      <t>直行程气缸</t>
    </r>
    <r>
      <rPr>
        <sz val="10"/>
        <rFont val="Arial"/>
        <family val="2"/>
      </rPr>
      <t>PY00LA</t>
    </r>
  </si>
  <si>
    <t>PX10RA</t>
  </si>
  <si>
    <t>DA65</t>
  </si>
  <si>
    <r>
      <t>行程</t>
    </r>
    <r>
      <rPr>
        <sz val="10"/>
        <rFont val="Arial"/>
        <family val="2"/>
      </rPr>
      <t>:</t>
    </r>
  </si>
  <si>
    <t>mm</t>
  </si>
  <si>
    <t>PX20RA</t>
  </si>
  <si>
    <t>DA75</t>
  </si>
  <si>
    <r>
      <t>选择</t>
    </r>
    <r>
      <rPr>
        <b/>
        <sz val="11"/>
        <rFont val="Arial"/>
        <family val="2"/>
      </rPr>
      <t>3/8</t>
    </r>
    <r>
      <rPr>
        <b/>
        <sz val="11"/>
        <rFont val="宋体"/>
        <charset val="134"/>
      </rPr>
      <t>配管即可</t>
    </r>
  </si>
  <si>
    <t>PX25RA</t>
  </si>
  <si>
    <t>DA85</t>
  </si>
  <si>
    <t>PX30RA</t>
  </si>
  <si>
    <t>DA95</t>
  </si>
  <si>
    <t>PX35RA</t>
  </si>
  <si>
    <t>DA110</t>
  </si>
  <si>
    <t>PX40RA</t>
  </si>
  <si>
    <t>DA125</t>
  </si>
  <si>
    <t>PX45RA</t>
  </si>
  <si>
    <t>DA140</t>
  </si>
  <si>
    <t>DA160</t>
  </si>
  <si>
    <t>PX55RA</t>
  </si>
  <si>
    <t>DA190</t>
  </si>
  <si>
    <t>PX60RA</t>
  </si>
  <si>
    <t>DA210</t>
  </si>
  <si>
    <t>PX65RA</t>
  </si>
  <si>
    <t>DA250</t>
  </si>
  <si>
    <t>PX70RA</t>
  </si>
  <si>
    <t>DA280</t>
  </si>
  <si>
    <t>PX75RA</t>
  </si>
  <si>
    <t>DA300</t>
  </si>
  <si>
    <t>PX80RA</t>
  </si>
  <si>
    <t>DA350</t>
  </si>
  <si>
    <t>PX90RA</t>
  </si>
  <si>
    <t>DA400</t>
  </si>
  <si>
    <t>PXA0RA</t>
  </si>
  <si>
    <t>DA450</t>
  </si>
  <si>
    <t>PD45LA</t>
  </si>
  <si>
    <t>PD60LA</t>
  </si>
  <si>
    <r>
      <t>Cv</t>
    </r>
    <r>
      <rPr>
        <sz val="11"/>
        <rFont val="宋体"/>
        <charset val="134"/>
      </rPr>
      <t>为附件包括配管在内最小</t>
    </r>
    <r>
      <rPr>
        <sz val="11"/>
        <rFont val="Arial"/>
        <family val="2"/>
      </rPr>
      <t>Cv</t>
    </r>
    <r>
      <rPr>
        <sz val="11"/>
        <rFont val="宋体"/>
        <charset val="134"/>
      </rPr>
      <t>值</t>
    </r>
  </si>
  <si>
    <t xml:space="preserve">NOTE: </t>
  </si>
  <si>
    <t>YD400G-PY45LAWS</t>
  </si>
  <si>
    <r>
      <t>位号：</t>
    </r>
    <r>
      <rPr>
        <sz val="12"/>
        <rFont val="Arial"/>
        <family val="2"/>
      </rPr>
      <t>782-HV-3103</t>
    </r>
    <r>
      <rPr>
        <sz val="12"/>
        <rFont val="宋体"/>
        <charset val="134"/>
      </rPr>
      <t>，</t>
    </r>
    <r>
      <rPr>
        <sz val="12"/>
        <rFont val="Arial"/>
        <family val="2"/>
      </rPr>
      <t>HV-3104</t>
    </r>
    <r>
      <rPr>
        <sz val="12"/>
        <rFont val="宋体"/>
        <charset val="134"/>
      </rPr>
      <t>，</t>
    </r>
    <r>
      <rPr>
        <sz val="12"/>
        <rFont val="Arial"/>
        <family val="2"/>
      </rPr>
      <t>HV-3106</t>
    </r>
  </si>
  <si>
    <t>一.双动作气缸阀动做计算式</t>
  </si>
  <si>
    <t>PC50RA</t>
  </si>
  <si>
    <t>PC05RA</t>
  </si>
  <si>
    <t>DA52</t>
  </si>
  <si>
    <t>PC10RA</t>
  </si>
  <si>
    <t>DA63</t>
  </si>
  <si>
    <t>PC20RA</t>
  </si>
  <si>
    <t>选择8X6配管即可</t>
  </si>
  <si>
    <t>PC25RA</t>
  </si>
  <si>
    <t>DA83</t>
  </si>
  <si>
    <t>PC30RA</t>
  </si>
  <si>
    <t>DA92</t>
  </si>
  <si>
    <t>PC35RA</t>
  </si>
  <si>
    <t>DA105</t>
  </si>
  <si>
    <t>PC40RA</t>
  </si>
  <si>
    <t>PC45RA</t>
  </si>
  <si>
    <t>PC55RA</t>
  </si>
  <si>
    <t>PC60RA</t>
  </si>
  <si>
    <t>PC65RA</t>
  </si>
  <si>
    <t>DA240</t>
  </si>
  <si>
    <t>PC70RA</t>
  </si>
  <si>
    <t>DA270</t>
  </si>
  <si>
    <t>PC75RA</t>
  </si>
  <si>
    <t>PC80RA</t>
  </si>
  <si>
    <t>PC90RA</t>
  </si>
  <si>
    <t>YD400G-PY30LAWS</t>
  </si>
  <si>
    <t>位号：782-HV-3105</t>
  </si>
  <si>
    <t>位号：782-HV-3107</t>
  </si>
  <si>
    <t>主路气源管规格/Cv</t>
  </si>
  <si>
    <t>定位器</t>
  </si>
  <si>
    <t>电磁阀</t>
  </si>
  <si>
    <r>
      <rPr>
        <sz val="11"/>
        <rFont val="宋体"/>
        <charset val="134"/>
      </rPr>
      <t>型号</t>
    </r>
  </si>
  <si>
    <r>
      <rPr>
        <sz val="11"/>
        <rFont val="宋体"/>
        <charset val="134"/>
      </rPr>
      <t>容量</t>
    </r>
    <r>
      <rPr>
        <sz val="11"/>
        <rFont val="Arial"/>
        <family val="2"/>
      </rPr>
      <t>/</t>
    </r>
    <r>
      <rPr>
        <sz val="11"/>
        <rFont val="宋体"/>
        <charset val="134"/>
      </rPr>
      <t>升</t>
    </r>
  </si>
  <si>
    <r>
      <rPr>
        <sz val="11"/>
        <rFont val="宋体"/>
        <charset val="134"/>
      </rPr>
      <t>ø</t>
    </r>
    <r>
      <rPr>
        <sz val="12.65"/>
        <rFont val="Arial"/>
        <family val="2"/>
      </rPr>
      <t>6/0.4</t>
    </r>
  </si>
  <si>
    <r>
      <rPr>
        <sz val="11"/>
        <rFont val="宋体"/>
        <charset val="134"/>
      </rPr>
      <t>ø</t>
    </r>
    <r>
      <rPr>
        <sz val="12.65"/>
        <rFont val="Arial"/>
        <family val="2"/>
      </rPr>
      <t>8/1.0</t>
    </r>
  </si>
  <si>
    <t>ø10/1.3</t>
  </si>
  <si>
    <t>ø12/1.6</t>
  </si>
  <si>
    <t>3/8"/2.0</t>
  </si>
  <si>
    <t>1/2"/3.5</t>
  </si>
  <si>
    <t>3/4"/7.5</t>
  </si>
  <si>
    <t>1"/12</t>
  </si>
  <si>
    <t>DY4ALA</t>
  </si>
  <si>
    <t>DY4BLA</t>
  </si>
  <si>
    <t>执行机构动作时间/s</t>
  </si>
  <si>
    <t>≤2</t>
  </si>
  <si>
    <t>≤3</t>
  </si>
  <si>
    <t>≤5</t>
  </si>
  <si>
    <t>≤6</t>
  </si>
  <si>
    <t>≤10</t>
  </si>
  <si>
    <t>≤15</t>
  </si>
  <si>
    <t>≤20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</si>
</sst>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0.0"/>
    <numFmt numFmtId="178" formatCode="0.0_ "/>
  </numFmts>
  <fonts count="23"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宋体"/>
      <charset val="134"/>
    </font>
    <font>
      <sz val="12"/>
      <name val="Arial"/>
      <family val="2"/>
    </font>
    <font>
      <sz val="12"/>
      <name val="宋体"/>
      <charset val="134"/>
    </font>
    <font>
      <u/>
      <sz val="20"/>
      <name val="宋体"/>
      <charset val="134"/>
    </font>
    <font>
      <sz val="20"/>
      <name val="宋体"/>
      <charset val="134"/>
    </font>
    <font>
      <sz val="11"/>
      <name val="Times New Roman"/>
      <family val="1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2"/>
      <name val="ＭＳ Ｐゴシック"/>
      <family val="2"/>
      <charset val="134"/>
    </font>
    <font>
      <u/>
      <sz val="20"/>
      <name val="Arial"/>
      <family val="2"/>
    </font>
    <font>
      <sz val="20"/>
      <name val="Arial"/>
      <family val="2"/>
    </font>
    <font>
      <sz val="18"/>
      <name val="ＭＳ Ｐゴシック"/>
      <family val="2"/>
      <charset val="134"/>
    </font>
    <font>
      <sz val="12.65"/>
      <name val="Arial"/>
      <family val="2"/>
    </font>
    <font>
      <b/>
      <sz val="11"/>
      <name val="Arial"/>
      <family val="2"/>
    </font>
    <font>
      <vertAlign val="superscript"/>
      <sz val="18"/>
      <name val="ＭＳ Ｐゴシック"/>
      <family val="2"/>
      <charset val="134"/>
    </font>
    <font>
      <vertAlign val="superscript"/>
      <sz val="11"/>
      <name val="ＭＳ Ｐゴシック"/>
      <family val="2"/>
      <charset val="134"/>
    </font>
    <font>
      <vertAlign val="superscript"/>
      <sz val="11"/>
      <name val="宋体"/>
      <charset val="134"/>
    </font>
    <font>
      <vertAlign val="subscript"/>
      <sz val="11"/>
      <name val="宋体"/>
      <charset val="134"/>
    </font>
    <font>
      <sz val="9"/>
      <name val="ＭＳ Ｐゴシック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229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2" fillId="0" borderId="0" xfId="0" applyFont="1" applyBorder="1"/>
    <xf numFmtId="0" fontId="3" fillId="0" borderId="0" xfId="1" applyFont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left" vertical="center"/>
    </xf>
    <xf numFmtId="0" fontId="0" fillId="0" borderId="7" xfId="0" applyBorder="1"/>
    <xf numFmtId="0" fontId="2" fillId="0" borderId="6" xfId="1" applyFont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  <xf numFmtId="0" fontId="10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23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4" fillId="0" borderId="0" xfId="1" applyFont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0" xfId="1" applyFont="1" applyBorder="1" applyAlignment="1">
      <alignment horizontal="left" vertical="center"/>
    </xf>
    <xf numFmtId="0" fontId="1" fillId="0" borderId="7" xfId="0" applyFont="1" applyBorder="1"/>
    <xf numFmtId="0" fontId="1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right"/>
    </xf>
    <xf numFmtId="177" fontId="15" fillId="4" borderId="0" xfId="0" applyNumberFormat="1" applyFont="1" applyFill="1"/>
    <xf numFmtId="177" fontId="15" fillId="4" borderId="0" xfId="0" applyNumberFormat="1" applyFont="1" applyFill="1" applyAlignment="1">
      <alignment horizontal="left" indent="1"/>
    </xf>
    <xf numFmtId="0" fontId="15" fillId="0" borderId="29" xfId="0" applyFont="1" applyBorder="1"/>
    <xf numFmtId="0" fontId="0" fillId="0" borderId="7" xfId="0" applyBorder="1" applyAlignment="1">
      <alignment horizontal="left"/>
    </xf>
    <xf numFmtId="0" fontId="0" fillId="0" borderId="0" xfId="0" applyBorder="1"/>
    <xf numFmtId="0" fontId="6" fillId="0" borderId="0" xfId="1" applyFont="1" applyBorder="1" applyAlignment="1">
      <alignment vertical="center"/>
    </xf>
    <xf numFmtId="0" fontId="6" fillId="0" borderId="0" xfId="1" applyFont="1" applyBorder="1" applyAlignment="1">
      <alignment horizontal="left" vertical="center"/>
    </xf>
    <xf numFmtId="0" fontId="4" fillId="0" borderId="0" xfId="1" applyAlignment="1">
      <alignment vertical="center"/>
    </xf>
    <xf numFmtId="178" fontId="2" fillId="0" borderId="0" xfId="1" applyNumberFormat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5" borderId="6" xfId="1" applyFill="1" applyBorder="1" applyAlignment="1">
      <alignment horizontal="center" vertical="center"/>
    </xf>
    <xf numFmtId="0" fontId="4" fillId="2" borderId="6" xfId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4" fillId="0" borderId="6" xfId="1" applyBorder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4" fillId="0" borderId="20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16" xfId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0" borderId="13" xfId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26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4" fillId="0" borderId="28" xfId="1" applyBorder="1" applyAlignment="1">
      <alignment horizontal="center" vertical="center"/>
    </xf>
    <xf numFmtId="0" fontId="4" fillId="0" borderId="24" xfId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178" fontId="2" fillId="0" borderId="11" xfId="1" applyNumberFormat="1" applyFont="1" applyBorder="1" applyAlignment="1">
      <alignment horizontal="center" vertical="center"/>
    </xf>
    <xf numFmtId="178" fontId="2" fillId="0" borderId="6" xfId="1" applyNumberFormat="1" applyFont="1" applyBorder="1" applyAlignment="1">
      <alignment horizontal="center" vertical="center"/>
    </xf>
    <xf numFmtId="178" fontId="2" fillId="0" borderId="10" xfId="1" applyNumberFormat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178" fontId="1" fillId="3" borderId="6" xfId="1" applyNumberFormat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8" fontId="10" fillId="0" borderId="16" xfId="0" applyNumberFormat="1" applyFont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8" fontId="10" fillId="0" borderId="10" xfId="0" applyNumberFormat="1" applyFont="1" applyBorder="1" applyAlignment="1">
      <alignment horizontal="center" vertical="center"/>
    </xf>
    <xf numFmtId="178" fontId="1" fillId="0" borderId="11" xfId="1" applyNumberFormat="1" applyFont="1" applyBorder="1" applyAlignment="1">
      <alignment horizontal="center" vertical="center"/>
    </xf>
    <xf numFmtId="178" fontId="1" fillId="0" borderId="6" xfId="1" applyNumberFormat="1" applyFont="1" applyBorder="1" applyAlignment="1">
      <alignment horizontal="center" vertical="center"/>
    </xf>
    <xf numFmtId="178" fontId="1" fillId="0" borderId="10" xfId="1" applyNumberFormat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 shrinkToFit="1"/>
    </xf>
    <xf numFmtId="0" fontId="3" fillId="0" borderId="0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_501T" xfId="1"/>
  </cellStyles>
  <dxfs count="0"/>
  <tableStyles count="0" defaultTableStyle="TableStyleMedium9" defaultPivotStyle="PivotStyleLight16"/>
  <colors>
    <mruColors>
      <color rgb="FFC0C0C0"/>
      <color rgb="FFFFC000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63"/>
  <sheetViews>
    <sheetView view="pageBreakPreview" zoomScaleNormal="100" zoomScaleSheetLayoutView="100" workbookViewId="0">
      <selection activeCell="AP23" sqref="AP23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44"/>
    </row>
    <row r="3" spans="1:38" ht="15" customHeight="1">
      <c r="A3" s="14"/>
      <c r="B3" s="13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44"/>
    </row>
    <row r="4" spans="1:38" ht="25.5">
      <c r="A4" s="14"/>
      <c r="B4" s="13"/>
      <c r="D4" s="14"/>
      <c r="E4" s="76" t="s">
        <v>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88" t="s">
        <v>1</v>
      </c>
      <c r="D6" s="88"/>
      <c r="E6" s="88" t="s">
        <v>2</v>
      </c>
      <c r="F6" s="88" t="s">
        <v>3</v>
      </c>
      <c r="G6" s="88"/>
      <c r="H6" s="88"/>
      <c r="I6" s="88"/>
      <c r="J6" s="8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88"/>
      <c r="D7" s="88"/>
      <c r="E7" s="88"/>
      <c r="F7" s="88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E8" s="88" t="s">
        <v>2</v>
      </c>
      <c r="F8" s="142" t="s">
        <v>4</v>
      </c>
      <c r="G8" s="143"/>
      <c r="H8" s="143"/>
      <c r="I8" s="143"/>
      <c r="J8" s="143"/>
      <c r="K8" s="143"/>
      <c r="L8" s="80" t="s">
        <v>5</v>
      </c>
      <c r="M8" s="80"/>
      <c r="N8" s="80"/>
      <c r="O8" s="80"/>
      <c r="P8" s="88" t="s">
        <v>6</v>
      </c>
      <c r="Q8" s="88"/>
      <c r="R8" s="88"/>
      <c r="S8" s="88"/>
      <c r="T8" s="88"/>
      <c r="U8" s="88"/>
      <c r="V8" s="88"/>
      <c r="W8" s="80" t="s">
        <v>7</v>
      </c>
      <c r="X8" s="80"/>
      <c r="Y8" s="80"/>
      <c r="Z8" s="88" t="s">
        <v>8</v>
      </c>
      <c r="AA8" s="88"/>
      <c r="AB8" s="88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E9" s="88"/>
      <c r="F9" s="143"/>
      <c r="G9" s="143"/>
      <c r="H9" s="143"/>
      <c r="I9" s="143"/>
      <c r="J9" s="143"/>
      <c r="K9" s="143"/>
      <c r="L9" s="81">
        <v>0.1013</v>
      </c>
      <c r="M9" s="81"/>
      <c r="N9" s="81"/>
      <c r="O9" s="81"/>
      <c r="P9" s="88"/>
      <c r="Q9" s="88"/>
      <c r="R9" s="88"/>
      <c r="S9" s="88"/>
      <c r="T9" s="88"/>
      <c r="U9" s="88"/>
      <c r="V9" s="88"/>
      <c r="W9" s="81">
        <v>0.1013</v>
      </c>
      <c r="X9" s="81"/>
      <c r="Y9" s="81"/>
      <c r="Z9" s="88"/>
      <c r="AA9" s="88"/>
      <c r="AB9" s="88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>
      <c r="A10" s="14"/>
      <c r="B10" s="13"/>
      <c r="C10" s="18" t="s">
        <v>9</v>
      </c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>
      <c r="A11" s="14"/>
      <c r="B11" s="13"/>
      <c r="C11" s="16"/>
      <c r="K11" s="50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>
      <c r="A12" s="14"/>
      <c r="B12" s="13"/>
      <c r="C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 ht="16.5">
      <c r="A13" s="14"/>
      <c r="B13" s="13"/>
      <c r="C13" s="15"/>
      <c r="F13" s="77"/>
      <c r="G13" s="16" t="s">
        <v>1</v>
      </c>
      <c r="H13" s="16" t="s">
        <v>10</v>
      </c>
      <c r="I13" s="82">
        <f>I20+I21</f>
        <v>51.816213842493589</v>
      </c>
      <c r="J13" s="82"/>
      <c r="K13" s="82"/>
      <c r="L13" s="82"/>
      <c r="M13" s="16"/>
      <c r="N13" s="16"/>
      <c r="O13" s="16"/>
      <c r="P13" s="16"/>
      <c r="Q13" s="15" t="s">
        <v>11</v>
      </c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6.5">
      <c r="A14" s="14"/>
      <c r="B14" s="13"/>
      <c r="C14" s="16"/>
      <c r="G14" s="16" t="s">
        <v>12</v>
      </c>
      <c r="H14" s="16" t="s">
        <v>10</v>
      </c>
      <c r="I14" s="83">
        <f>PI()*100^2</f>
        <v>31415.926535897932</v>
      </c>
      <c r="J14" s="83"/>
      <c r="K14" s="83"/>
      <c r="L14" s="83"/>
      <c r="M14" s="16"/>
      <c r="N14" s="16"/>
      <c r="O14" s="16"/>
      <c r="P14" s="16"/>
      <c r="Q14" s="15" t="s">
        <v>13</v>
      </c>
      <c r="R14" s="16"/>
      <c r="S14" s="16"/>
      <c r="T14" s="16"/>
      <c r="U14" s="16"/>
      <c r="V14" s="16"/>
      <c r="W14" s="16"/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6.5">
      <c r="A15" s="14"/>
      <c r="B15" s="13"/>
      <c r="C15" s="16"/>
      <c r="G15" s="16" t="s">
        <v>14</v>
      </c>
      <c r="H15" s="16" t="s">
        <v>10</v>
      </c>
      <c r="I15" s="83">
        <f>PI()*(100^2-25^2)</f>
        <v>29452.43112740431</v>
      </c>
      <c r="J15" s="83"/>
      <c r="K15" s="83"/>
      <c r="L15" s="83"/>
      <c r="M15" s="16"/>
      <c r="N15" s="16"/>
      <c r="O15" s="16"/>
      <c r="P15" s="16"/>
      <c r="Q15" s="15" t="s">
        <v>15</v>
      </c>
      <c r="R15" s="16"/>
      <c r="S15" s="16"/>
      <c r="T15" s="16"/>
      <c r="U15" s="16"/>
      <c r="V15" s="16"/>
      <c r="W15" s="16"/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>
      <c r="A16" s="14"/>
      <c r="B16" s="13"/>
      <c r="C16" s="16"/>
      <c r="G16" s="16" t="s">
        <v>16</v>
      </c>
      <c r="H16" s="16" t="s">
        <v>10</v>
      </c>
      <c r="I16" s="84">
        <v>164</v>
      </c>
      <c r="J16" s="84"/>
      <c r="K16" s="84"/>
      <c r="L16" s="84"/>
      <c r="M16" s="16"/>
      <c r="N16" s="16"/>
      <c r="O16" s="16"/>
      <c r="P16" s="16"/>
      <c r="Q16" s="15" t="s">
        <v>17</v>
      </c>
      <c r="R16" s="16"/>
      <c r="S16" s="16"/>
      <c r="T16" s="16"/>
      <c r="U16" s="16"/>
      <c r="V16" s="16"/>
      <c r="W16" s="16"/>
      <c r="X16" s="79"/>
      <c r="Y16" s="79"/>
      <c r="Z16" s="79"/>
      <c r="AA16" s="79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>
      <c r="A17" s="14"/>
      <c r="B17" s="13"/>
      <c r="C17" s="16"/>
      <c r="G17" s="16" t="s">
        <v>7</v>
      </c>
      <c r="H17" s="16" t="s">
        <v>10</v>
      </c>
      <c r="I17" s="84">
        <v>0.4</v>
      </c>
      <c r="J17" s="84"/>
      <c r="K17" s="84"/>
      <c r="L17" s="84"/>
      <c r="M17" s="16"/>
      <c r="N17" s="16"/>
      <c r="O17" s="16"/>
      <c r="P17" s="16"/>
      <c r="Q17" s="15" t="s">
        <v>18</v>
      </c>
      <c r="R17" s="16"/>
      <c r="S17" s="16"/>
      <c r="T17" s="16"/>
      <c r="U17" s="16"/>
      <c r="V17" s="16"/>
      <c r="W17" s="16"/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>
      <c r="A18" s="14"/>
      <c r="B18" s="13"/>
      <c r="C18" s="16"/>
      <c r="G18" s="16" t="s">
        <v>19</v>
      </c>
      <c r="H18" s="16" t="s">
        <v>10</v>
      </c>
      <c r="I18" s="85">
        <v>1500</v>
      </c>
      <c r="J18" s="85"/>
      <c r="K18" s="85"/>
      <c r="L18" s="85"/>
      <c r="M18" s="16"/>
      <c r="N18" s="16"/>
      <c r="O18" s="16"/>
      <c r="P18" s="16"/>
      <c r="Q18" s="15" t="s">
        <v>20</v>
      </c>
      <c r="R18" s="16"/>
      <c r="S18" s="16"/>
      <c r="T18" s="16"/>
      <c r="U18" s="16"/>
      <c r="V18" s="16"/>
      <c r="W18" s="16"/>
      <c r="X18" s="16"/>
      <c r="Y18" s="16"/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6"/>
      <c r="G19" s="16" t="s">
        <v>21</v>
      </c>
      <c r="H19" s="16" t="s">
        <v>10</v>
      </c>
      <c r="I19" s="84">
        <v>204</v>
      </c>
      <c r="J19" s="84"/>
      <c r="K19" s="84"/>
      <c r="L19" s="84"/>
      <c r="M19" s="18"/>
      <c r="N19" s="18"/>
      <c r="O19" s="16"/>
      <c r="P19" s="16"/>
      <c r="Q19" s="15" t="s">
        <v>22</v>
      </c>
      <c r="R19" s="16"/>
      <c r="S19" s="16"/>
      <c r="T19" s="16"/>
      <c r="U19" s="16"/>
      <c r="V19" s="16"/>
      <c r="W19" s="16"/>
      <c r="X19" s="16"/>
      <c r="Y19" s="16"/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G20" s="16" t="s">
        <v>23</v>
      </c>
      <c r="H20" s="16" t="s">
        <v>10</v>
      </c>
      <c r="I20" s="86">
        <f>(I14+I15)*I16*(I17+0.1013)/0.1013*10^-6</f>
        <v>49.399629439729523</v>
      </c>
      <c r="J20" s="86"/>
      <c r="K20" s="86"/>
      <c r="L20" s="86"/>
      <c r="M20" s="16"/>
      <c r="N20" s="16"/>
      <c r="O20" s="16"/>
      <c r="P20" s="16"/>
      <c r="Q20" s="15" t="s">
        <v>24</v>
      </c>
      <c r="R20" s="16"/>
      <c r="S20" s="16"/>
      <c r="T20" s="16"/>
      <c r="U20" s="79"/>
      <c r="V20" s="79"/>
      <c r="W20" s="79"/>
      <c r="X20" s="16"/>
      <c r="Y20" s="16"/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6"/>
      <c r="G21" s="16" t="s">
        <v>25</v>
      </c>
      <c r="H21" s="16" t="s">
        <v>10</v>
      </c>
      <c r="I21" s="86">
        <f>2*I19*I18*I17/0.1013*10^-6</f>
        <v>2.4165844027640668</v>
      </c>
      <c r="J21" s="86"/>
      <c r="K21" s="86"/>
      <c r="L21" s="86"/>
      <c r="M21" s="16"/>
      <c r="N21" s="16"/>
      <c r="O21" s="16"/>
      <c r="P21" s="16"/>
      <c r="Q21" s="15" t="s">
        <v>26</v>
      </c>
      <c r="R21" s="16"/>
      <c r="S21" s="16"/>
      <c r="T21" s="16"/>
      <c r="U21" s="16"/>
      <c r="V21" s="16"/>
      <c r="W21" s="16"/>
      <c r="X21" s="16"/>
      <c r="Y21" s="16"/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6"/>
      <c r="D25" s="16"/>
      <c r="E25" s="74"/>
      <c r="F25" s="74"/>
      <c r="G25" s="74"/>
      <c r="H25" s="16"/>
      <c r="I25" s="16"/>
      <c r="J25" s="87"/>
      <c r="K25" s="87"/>
      <c r="L25" s="87"/>
      <c r="M25" s="87"/>
      <c r="N25" s="87"/>
      <c r="O25" s="16"/>
      <c r="P25" s="16"/>
      <c r="Q25" s="16"/>
      <c r="R25" s="16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74"/>
      <c r="F26" s="74"/>
      <c r="G26" s="74"/>
      <c r="H26" s="16"/>
      <c r="I26" s="16"/>
      <c r="J26" s="87"/>
      <c r="K26" s="87"/>
      <c r="L26" s="87"/>
      <c r="M26" s="87"/>
      <c r="N26" s="87"/>
      <c r="O26" s="16"/>
      <c r="P26" s="16"/>
      <c r="Q26" s="16"/>
      <c r="R26" s="16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87"/>
      <c r="K27" s="87"/>
      <c r="L27" s="87"/>
      <c r="M27" s="87"/>
      <c r="N27" s="87"/>
      <c r="O27" s="16"/>
      <c r="P27" s="16"/>
      <c r="Q27" s="16"/>
      <c r="R27" s="16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87"/>
      <c r="K28" s="87"/>
      <c r="L28" s="87"/>
      <c r="M28" s="87"/>
      <c r="N28" s="87"/>
      <c r="O28" s="16"/>
      <c r="P28" s="16"/>
      <c r="Q28" s="16"/>
      <c r="R28" s="16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87"/>
      <c r="K29" s="87"/>
      <c r="L29" s="87"/>
      <c r="M29" s="87"/>
      <c r="N29" s="87"/>
      <c r="O29" s="16"/>
      <c r="P29" s="16"/>
      <c r="Q29" s="16"/>
      <c r="R29" s="16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87"/>
      <c r="K30" s="87"/>
      <c r="L30" s="87"/>
      <c r="M30" s="87"/>
      <c r="N30" s="87"/>
      <c r="O30" s="16"/>
      <c r="P30" s="16"/>
      <c r="Q30" s="16"/>
      <c r="R30" s="16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87"/>
      <c r="K31" s="87"/>
      <c r="L31" s="87"/>
      <c r="M31" s="87"/>
      <c r="N31" s="87"/>
      <c r="O31" s="16"/>
      <c r="P31" s="16"/>
      <c r="Q31" s="16"/>
      <c r="R31" s="16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87"/>
      <c r="K32" s="87"/>
      <c r="L32" s="87"/>
      <c r="M32" s="87"/>
      <c r="N32" s="87"/>
      <c r="O32" s="16"/>
      <c r="P32" s="16"/>
      <c r="Q32" s="16"/>
      <c r="R32" s="16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87"/>
      <c r="K33" s="87"/>
      <c r="L33" s="87"/>
      <c r="M33" s="87"/>
      <c r="N33" s="8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87"/>
      <c r="K34" s="87"/>
      <c r="L34" s="87"/>
      <c r="M34" s="87"/>
      <c r="N34" s="8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7"/>
      <c r="Z39" s="37"/>
      <c r="AA39" s="37"/>
      <c r="AB39" s="37"/>
      <c r="AC39" s="37"/>
      <c r="AD39" s="16"/>
      <c r="AE39" s="16"/>
      <c r="AF39" s="16"/>
      <c r="AG39" s="16"/>
      <c r="AH39" s="16"/>
      <c r="AI39" s="16"/>
      <c r="AJ39" s="16"/>
      <c r="AK39" s="16"/>
      <c r="AL39" s="44"/>
    </row>
    <row r="40" spans="1:38" ht="15" customHeight="1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7"/>
      <c r="AA40" s="37"/>
      <c r="AB40" s="37"/>
      <c r="AC40" s="37"/>
      <c r="AD40" s="37"/>
      <c r="AE40" s="16"/>
      <c r="AF40" s="16"/>
      <c r="AG40" s="16"/>
      <c r="AH40" s="16"/>
      <c r="AI40" s="16"/>
      <c r="AJ40" s="16"/>
      <c r="AK40" s="16"/>
      <c r="AL40" s="44"/>
    </row>
    <row r="41" spans="1:38" ht="15" customHeight="1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37"/>
      <c r="AB41" s="37"/>
      <c r="AC41" s="37"/>
      <c r="AD41" s="37"/>
      <c r="AE41" s="37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37"/>
      <c r="AB42" s="37"/>
      <c r="AC42" s="37"/>
      <c r="AD42" s="37"/>
      <c r="AE42" s="37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36"/>
      <c r="AB52" s="36"/>
      <c r="AC52" s="36"/>
      <c r="AD52" s="36"/>
      <c r="AE52" s="36"/>
      <c r="AF52" s="14"/>
      <c r="AG52" s="14"/>
      <c r="AH52" s="14"/>
      <c r="AI52" s="14"/>
      <c r="AJ52" s="14"/>
      <c r="AK52" s="14"/>
      <c r="AL52" s="44"/>
    </row>
    <row r="53" spans="2:38" ht="1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4"/>
      <c r="S53" s="14"/>
      <c r="T53" s="14"/>
      <c r="U53" s="14"/>
      <c r="V53" s="14"/>
      <c r="W53" s="14"/>
      <c r="X53" s="14"/>
      <c r="Y53" s="14"/>
      <c r="Z53" s="14"/>
      <c r="AA53" s="36"/>
      <c r="AB53" s="36"/>
      <c r="AC53" s="36"/>
      <c r="AD53" s="36"/>
      <c r="AE53" s="36"/>
      <c r="AF53" s="14"/>
      <c r="AG53" s="14"/>
      <c r="AH53" s="14"/>
      <c r="AI53" s="14"/>
      <c r="AJ53" s="14"/>
      <c r="AK53" s="14"/>
      <c r="AL53" s="44"/>
    </row>
    <row r="54" spans="2:38" ht="9.9499999999999993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4" t="s">
        <v>27</v>
      </c>
      <c r="S54" s="115"/>
      <c r="T54" s="115"/>
      <c r="U54" s="116"/>
      <c r="V54" s="117"/>
      <c r="W54" s="118"/>
      <c r="X54" s="118"/>
      <c r="Y54" s="118"/>
      <c r="Z54" s="118"/>
      <c r="AA54" s="119"/>
      <c r="AB54" s="120" t="s">
        <v>28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2:38" ht="9.9499999999999993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92"/>
      <c r="S55" s="93"/>
      <c r="T55" s="93"/>
      <c r="U55" s="94"/>
      <c r="V55" s="98"/>
      <c r="W55" s="99"/>
      <c r="X55" s="99"/>
      <c r="Y55" s="99"/>
      <c r="Z55" s="99"/>
      <c r="AA55" s="100"/>
      <c r="AB55" s="123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89" t="s">
        <v>29</v>
      </c>
      <c r="S56" s="90"/>
      <c r="T56" s="90"/>
      <c r="U56" s="91"/>
      <c r="V56" s="95"/>
      <c r="W56" s="96"/>
      <c r="X56" s="96"/>
      <c r="Y56" s="96"/>
      <c r="Z56" s="96"/>
      <c r="AA56" s="97"/>
      <c r="AB56" s="126" t="s">
        <v>30</v>
      </c>
      <c r="AC56" s="127"/>
      <c r="AD56" s="127"/>
      <c r="AE56" s="127"/>
      <c r="AF56" s="127"/>
      <c r="AG56" s="127"/>
      <c r="AH56" s="127"/>
      <c r="AI56" s="127"/>
      <c r="AJ56" s="127"/>
      <c r="AK56" s="127"/>
      <c r="AL56" s="128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9"/>
      <c r="AC57" s="130"/>
      <c r="AD57" s="130"/>
      <c r="AE57" s="130"/>
      <c r="AF57" s="130"/>
      <c r="AG57" s="130"/>
      <c r="AH57" s="130"/>
      <c r="AI57" s="130"/>
      <c r="AJ57" s="130"/>
      <c r="AK57" s="130"/>
      <c r="AL57" s="131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31</v>
      </c>
      <c r="S58" s="90"/>
      <c r="T58" s="90"/>
      <c r="U58" s="91"/>
      <c r="V58" s="95"/>
      <c r="W58" s="96"/>
      <c r="X58" s="96"/>
      <c r="Y58" s="96"/>
      <c r="Z58" s="96"/>
      <c r="AA58" s="97"/>
      <c r="AB58" s="13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4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01" t="s">
        <v>32</v>
      </c>
      <c r="AC59" s="102"/>
      <c r="AD59" s="102"/>
      <c r="AE59" s="103"/>
      <c r="AF59" s="95"/>
      <c r="AG59" s="96"/>
      <c r="AH59" s="96"/>
      <c r="AI59" s="96"/>
      <c r="AJ59" s="96"/>
      <c r="AK59" s="96"/>
      <c r="AL59" s="136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33</v>
      </c>
      <c r="S60" s="90"/>
      <c r="T60" s="90"/>
      <c r="U60" s="91"/>
      <c r="V60" s="95"/>
      <c r="W60" s="96"/>
      <c r="X60" s="96"/>
      <c r="Y60" s="96"/>
      <c r="Z60" s="96"/>
      <c r="AA60" s="97"/>
      <c r="AB60" s="123"/>
      <c r="AC60" s="124"/>
      <c r="AD60" s="124"/>
      <c r="AE60" s="135"/>
      <c r="AF60" s="137"/>
      <c r="AG60" s="138"/>
      <c r="AH60" s="138"/>
      <c r="AI60" s="138"/>
      <c r="AJ60" s="138"/>
      <c r="AK60" s="138"/>
      <c r="AL60" s="139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34</v>
      </c>
      <c r="AC61" s="102"/>
      <c r="AD61" s="102"/>
      <c r="AE61" s="103"/>
      <c r="AF61" s="137"/>
      <c r="AG61" s="138"/>
      <c r="AH61" s="138"/>
      <c r="AI61" s="138"/>
      <c r="AJ61" s="138"/>
      <c r="AK61" s="138"/>
      <c r="AL61" s="139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0"/>
      <c r="S62" s="96"/>
      <c r="T62" s="96"/>
      <c r="U62" s="96"/>
      <c r="V62" s="96"/>
      <c r="W62" s="96"/>
      <c r="X62" s="96"/>
      <c r="Y62" s="96"/>
      <c r="Z62" s="96"/>
      <c r="AA62" s="97"/>
      <c r="AB62" s="104"/>
      <c r="AC62" s="105"/>
      <c r="AD62" s="105"/>
      <c r="AE62" s="106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111"/>
      <c r="S63" s="112"/>
      <c r="T63" s="112"/>
      <c r="U63" s="112"/>
      <c r="V63" s="112"/>
      <c r="W63" s="112"/>
      <c r="X63" s="112"/>
      <c r="Y63" s="112"/>
      <c r="Z63" s="112"/>
      <c r="AA63" s="113"/>
      <c r="AB63" s="107"/>
      <c r="AC63" s="108"/>
      <c r="AD63" s="108"/>
      <c r="AE63" s="109"/>
      <c r="AF63" s="140"/>
      <c r="AG63" s="112"/>
      <c r="AH63" s="112"/>
      <c r="AI63" s="112"/>
      <c r="AJ63" s="112"/>
      <c r="AK63" s="112"/>
      <c r="AL63" s="141"/>
    </row>
  </sheetData>
  <mergeCells count="44">
    <mergeCell ref="Z8:AB9"/>
    <mergeCell ref="C6:D7"/>
    <mergeCell ref="F6:J7"/>
    <mergeCell ref="F8:K9"/>
    <mergeCell ref="R60:U61"/>
    <mergeCell ref="V60:AA61"/>
    <mergeCell ref="AB61:AE63"/>
    <mergeCell ref="R62:AA63"/>
    <mergeCell ref="R54:U55"/>
    <mergeCell ref="V54:AA55"/>
    <mergeCell ref="AB54:AL55"/>
    <mergeCell ref="R56:U57"/>
    <mergeCell ref="V56:AA57"/>
    <mergeCell ref="AB56:AL58"/>
    <mergeCell ref="R58:U59"/>
    <mergeCell ref="V58:AA59"/>
    <mergeCell ref="AB59:AE60"/>
    <mergeCell ref="AF59:AL63"/>
    <mergeCell ref="J32:N32"/>
    <mergeCell ref="J33:N33"/>
    <mergeCell ref="J34:N34"/>
    <mergeCell ref="E6:E7"/>
    <mergeCell ref="E8:E9"/>
    <mergeCell ref="J27:N27"/>
    <mergeCell ref="J28:N28"/>
    <mergeCell ref="J29:N29"/>
    <mergeCell ref="J30:N30"/>
    <mergeCell ref="J31:N31"/>
    <mergeCell ref="I19:L19"/>
    <mergeCell ref="I20:L20"/>
    <mergeCell ref="I21:L21"/>
    <mergeCell ref="J25:N25"/>
    <mergeCell ref="J26:N26"/>
    <mergeCell ref="I14:L14"/>
    <mergeCell ref="I15:L15"/>
    <mergeCell ref="I16:L16"/>
    <mergeCell ref="I17:L17"/>
    <mergeCell ref="I18:L18"/>
    <mergeCell ref="L8:O8"/>
    <mergeCell ref="W8:Y8"/>
    <mergeCell ref="L9:O9"/>
    <mergeCell ref="W9:Y9"/>
    <mergeCell ref="I13:L13"/>
    <mergeCell ref="P8:V9"/>
  </mergeCells>
  <phoneticPr fontId="22" type="noConversion"/>
  <pageMargins left="0.70866141732283505" right="0.26" top="0.27559055118110198" bottom="0.31496062992126" header="0.15748031496063" footer="0.15748031496063"/>
  <pageSetup paperSize="9" scale="94" orientation="portrait" horizont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V63"/>
  <sheetViews>
    <sheetView tabSelected="1" view="pageBreakPreview" zoomScaleNormal="100" zoomScaleSheetLayoutView="100" workbookViewId="0">
      <selection activeCell="AQ27" sqref="AQ27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44"/>
    </row>
    <row r="3" spans="1:38" ht="15" customHeight="1">
      <c r="A3" s="14"/>
      <c r="B3" s="13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44"/>
    </row>
    <row r="4" spans="1:38" ht="25.5">
      <c r="A4" s="14"/>
      <c r="B4" s="13"/>
      <c r="D4" s="14"/>
      <c r="E4" s="76" t="s">
        <v>35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88" t="s">
        <v>1</v>
      </c>
      <c r="D6" s="88"/>
      <c r="E6" s="88" t="s">
        <v>2</v>
      </c>
      <c r="F6" s="88" t="s">
        <v>3</v>
      </c>
      <c r="G6" s="88"/>
      <c r="H6" s="88"/>
      <c r="I6" s="88"/>
      <c r="J6" s="8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88"/>
      <c r="D7" s="88"/>
      <c r="E7" s="88"/>
      <c r="F7" s="88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E8" s="88" t="s">
        <v>2</v>
      </c>
      <c r="F8" s="142" t="s">
        <v>4</v>
      </c>
      <c r="G8" s="143"/>
      <c r="H8" s="143"/>
      <c r="I8" s="143"/>
      <c r="J8" s="143"/>
      <c r="K8" s="143"/>
      <c r="L8" s="80" t="s">
        <v>5</v>
      </c>
      <c r="M8" s="80"/>
      <c r="N8" s="80"/>
      <c r="O8" s="80"/>
      <c r="P8" s="88" t="s">
        <v>6</v>
      </c>
      <c r="Q8" s="88"/>
      <c r="R8" s="88"/>
      <c r="S8" s="88"/>
      <c r="T8" s="88"/>
      <c r="U8" s="88"/>
      <c r="V8" s="88"/>
      <c r="W8" s="80" t="s">
        <v>7</v>
      </c>
      <c r="X8" s="80"/>
      <c r="Y8" s="80"/>
      <c r="Z8" s="88" t="s">
        <v>8</v>
      </c>
      <c r="AA8" s="88"/>
      <c r="AB8" s="88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E9" s="88"/>
      <c r="F9" s="143"/>
      <c r="G9" s="143"/>
      <c r="H9" s="143"/>
      <c r="I9" s="143"/>
      <c r="J9" s="143"/>
      <c r="K9" s="143"/>
      <c r="L9" s="81">
        <v>0.1013</v>
      </c>
      <c r="M9" s="81"/>
      <c r="N9" s="81"/>
      <c r="O9" s="81"/>
      <c r="P9" s="88"/>
      <c r="Q9" s="88"/>
      <c r="R9" s="88"/>
      <c r="S9" s="88"/>
      <c r="T9" s="88"/>
      <c r="U9" s="88"/>
      <c r="V9" s="88"/>
      <c r="W9" s="81">
        <v>0.1013</v>
      </c>
      <c r="X9" s="81"/>
      <c r="Y9" s="81"/>
      <c r="Z9" s="88"/>
      <c r="AA9" s="88"/>
      <c r="AB9" s="88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>
      <c r="A10" s="14"/>
      <c r="B10" s="13"/>
      <c r="C10" s="18" t="s">
        <v>9</v>
      </c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>
      <c r="A11" s="14"/>
      <c r="B11" s="13"/>
      <c r="C11" s="16"/>
      <c r="K11" s="50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>
      <c r="A12" s="14"/>
      <c r="B12" s="13"/>
      <c r="C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 ht="16.5">
      <c r="A13" s="14"/>
      <c r="B13" s="13"/>
      <c r="C13" s="15"/>
      <c r="F13" s="16" t="s">
        <v>1</v>
      </c>
      <c r="G13" s="16" t="s">
        <v>10</v>
      </c>
      <c r="H13" s="82">
        <f>H20+H21</f>
        <v>76.201207949878579</v>
      </c>
      <c r="I13" s="82"/>
      <c r="J13" s="82"/>
      <c r="K13" s="82"/>
      <c r="L13" s="16"/>
      <c r="M13" s="16"/>
      <c r="N13" s="16"/>
      <c r="O13" s="16"/>
      <c r="P13" s="15" t="s">
        <v>11</v>
      </c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6.5">
      <c r="A14" s="14"/>
      <c r="B14" s="13"/>
      <c r="C14" s="16"/>
      <c r="F14" s="16" t="s">
        <v>12</v>
      </c>
      <c r="G14" s="16" t="s">
        <v>10</v>
      </c>
      <c r="H14" s="83">
        <f>PI()*200^2</f>
        <v>125663.70614359173</v>
      </c>
      <c r="I14" s="83"/>
      <c r="J14" s="83"/>
      <c r="K14" s="83"/>
      <c r="L14" s="16"/>
      <c r="M14" s="16"/>
      <c r="N14" s="16"/>
      <c r="O14" s="16"/>
      <c r="P14" s="15" t="s">
        <v>13</v>
      </c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6.5">
      <c r="A15" s="14"/>
      <c r="B15" s="13"/>
      <c r="C15" s="16"/>
      <c r="F15" s="16" t="s">
        <v>14</v>
      </c>
      <c r="G15" s="16" t="s">
        <v>10</v>
      </c>
      <c r="H15" s="83">
        <f>PI()*(200^2-30^2)</f>
        <v>122836.27275536091</v>
      </c>
      <c r="I15" s="83"/>
      <c r="J15" s="83"/>
      <c r="K15" s="83"/>
      <c r="L15" s="16"/>
      <c r="M15" s="16"/>
      <c r="N15" s="16"/>
      <c r="O15" s="16"/>
      <c r="P15" s="15" t="s">
        <v>15</v>
      </c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>
      <c r="A16" s="14"/>
      <c r="B16" s="13"/>
      <c r="C16" s="16"/>
      <c r="F16" s="16" t="s">
        <v>16</v>
      </c>
      <c r="G16" s="16" t="s">
        <v>10</v>
      </c>
      <c r="H16" s="84">
        <v>60</v>
      </c>
      <c r="I16" s="84"/>
      <c r="J16" s="84"/>
      <c r="K16" s="84"/>
      <c r="L16" s="16"/>
      <c r="M16" s="16"/>
      <c r="N16" s="16"/>
      <c r="O16" s="16"/>
      <c r="P16" s="15" t="s">
        <v>17</v>
      </c>
      <c r="X16" s="79"/>
      <c r="Y16" s="79"/>
      <c r="Z16" s="79"/>
      <c r="AA16" s="79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>
      <c r="A17" s="14"/>
      <c r="B17" s="13"/>
      <c r="C17" s="16"/>
      <c r="F17" s="16" t="s">
        <v>7</v>
      </c>
      <c r="G17" s="16" t="s">
        <v>10</v>
      </c>
      <c r="H17" s="84">
        <v>0.4</v>
      </c>
      <c r="I17" s="84"/>
      <c r="J17" s="84"/>
      <c r="K17" s="84"/>
      <c r="L17" s="16"/>
      <c r="M17" s="16"/>
      <c r="N17" s="16"/>
      <c r="O17" s="16"/>
      <c r="P17" s="15" t="s">
        <v>18</v>
      </c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>
      <c r="A18" s="14"/>
      <c r="B18" s="13"/>
      <c r="C18" s="16"/>
      <c r="F18" s="16" t="s">
        <v>19</v>
      </c>
      <c r="G18" s="16" t="s">
        <v>10</v>
      </c>
      <c r="H18" s="85">
        <v>1500</v>
      </c>
      <c r="I18" s="85"/>
      <c r="J18" s="85"/>
      <c r="K18" s="85"/>
      <c r="L18" s="16"/>
      <c r="M18" s="16"/>
      <c r="N18" s="16"/>
      <c r="O18" s="16"/>
      <c r="P18" s="15" t="s">
        <v>20</v>
      </c>
      <c r="X18" s="16"/>
      <c r="Y18" s="16"/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6"/>
      <c r="F19" s="16" t="s">
        <v>21</v>
      </c>
      <c r="G19" s="16" t="s">
        <v>10</v>
      </c>
      <c r="H19" s="84">
        <v>204</v>
      </c>
      <c r="I19" s="84"/>
      <c r="J19" s="84"/>
      <c r="K19" s="84"/>
      <c r="L19" s="18"/>
      <c r="M19" s="18"/>
      <c r="N19" s="16"/>
      <c r="O19" s="16"/>
      <c r="P19" s="15" t="s">
        <v>22</v>
      </c>
      <c r="X19" s="16"/>
      <c r="Y19" s="16"/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F20" s="16" t="s">
        <v>23</v>
      </c>
      <c r="G20" s="16" t="s">
        <v>10</v>
      </c>
      <c r="H20" s="86">
        <f>(H14+H15)*H16*(H17+0.1013)/0.1013*10^-6</f>
        <v>73.784623547114506</v>
      </c>
      <c r="I20" s="86"/>
      <c r="J20" s="86"/>
      <c r="K20" s="86"/>
      <c r="L20" s="16"/>
      <c r="M20" s="16"/>
      <c r="N20" s="16"/>
      <c r="O20" s="16"/>
      <c r="P20" s="15" t="s">
        <v>24</v>
      </c>
      <c r="X20" s="16"/>
      <c r="Y20" s="16"/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6"/>
      <c r="F21" s="16" t="s">
        <v>25</v>
      </c>
      <c r="G21" s="16" t="s">
        <v>10</v>
      </c>
      <c r="H21" s="86">
        <f>2*H19*H18*H17/0.1013*10^-6</f>
        <v>2.4165844027640668</v>
      </c>
      <c r="I21" s="86"/>
      <c r="J21" s="86"/>
      <c r="K21" s="86"/>
      <c r="L21" s="16"/>
      <c r="M21" s="16"/>
      <c r="N21" s="16"/>
      <c r="O21" s="16"/>
      <c r="P21" s="15" t="s">
        <v>26</v>
      </c>
      <c r="X21" s="16"/>
      <c r="Y21" s="16"/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X22" s="16"/>
      <c r="Y22" s="16"/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6"/>
      <c r="D25" s="16"/>
      <c r="E25" s="74"/>
      <c r="F25" s="74"/>
      <c r="G25" s="74"/>
      <c r="H25" s="16"/>
      <c r="I25" s="16"/>
      <c r="J25" s="87"/>
      <c r="K25" s="87"/>
      <c r="L25" s="87"/>
      <c r="M25" s="87"/>
      <c r="N25" s="87"/>
      <c r="O25" s="16"/>
      <c r="P25" s="16"/>
      <c r="Q25" s="16"/>
      <c r="R25" s="16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74"/>
      <c r="F26" s="74"/>
      <c r="G26" s="74"/>
      <c r="H26" s="16"/>
      <c r="I26" s="16"/>
      <c r="J26" s="87"/>
      <c r="K26" s="87"/>
      <c r="L26" s="87"/>
      <c r="M26" s="87"/>
      <c r="N26" s="87"/>
      <c r="O26" s="16"/>
      <c r="P26" s="16"/>
      <c r="Q26" s="16"/>
      <c r="R26" s="16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87"/>
      <c r="K27" s="87"/>
      <c r="L27" s="87"/>
      <c r="M27" s="87"/>
      <c r="N27" s="87"/>
      <c r="O27" s="16"/>
      <c r="P27" s="16"/>
      <c r="Q27" s="16"/>
      <c r="R27" s="16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87"/>
      <c r="K28" s="87"/>
      <c r="L28" s="87"/>
      <c r="M28" s="87"/>
      <c r="N28" s="87"/>
      <c r="O28" s="16"/>
      <c r="P28" s="16"/>
      <c r="Q28" s="16"/>
      <c r="R28" s="16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87"/>
      <c r="K29" s="87"/>
      <c r="L29" s="87"/>
      <c r="M29" s="87"/>
      <c r="N29" s="87"/>
      <c r="O29" s="16"/>
      <c r="P29" s="16"/>
      <c r="Q29" s="16"/>
      <c r="R29" s="16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87"/>
      <c r="K30" s="87"/>
      <c r="L30" s="87"/>
      <c r="M30" s="87"/>
      <c r="N30" s="87"/>
      <c r="O30" s="16"/>
      <c r="P30" s="16"/>
      <c r="Q30" s="16"/>
      <c r="R30" s="16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87"/>
      <c r="K31" s="87"/>
      <c r="L31" s="87"/>
      <c r="M31" s="87"/>
      <c r="N31" s="87"/>
      <c r="O31" s="16"/>
      <c r="P31" s="16"/>
      <c r="Q31" s="16"/>
      <c r="R31" s="16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87"/>
      <c r="K32" s="87"/>
      <c r="L32" s="87"/>
      <c r="M32" s="87"/>
      <c r="N32" s="87"/>
      <c r="O32" s="16"/>
      <c r="P32" s="16"/>
      <c r="Q32" s="16"/>
      <c r="R32" s="16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87"/>
      <c r="K33" s="87"/>
      <c r="L33" s="87"/>
      <c r="M33" s="87"/>
      <c r="N33" s="8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87"/>
      <c r="K34" s="87"/>
      <c r="L34" s="87"/>
      <c r="M34" s="87"/>
      <c r="N34" s="8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7"/>
      <c r="Z39" s="37"/>
      <c r="AA39" s="37"/>
      <c r="AB39" s="37"/>
      <c r="AC39" s="37"/>
      <c r="AD39" s="16"/>
      <c r="AE39" s="16"/>
      <c r="AF39" s="16"/>
      <c r="AG39" s="16"/>
      <c r="AH39" s="16"/>
      <c r="AI39" s="16"/>
      <c r="AJ39" s="16"/>
      <c r="AK39" s="16"/>
      <c r="AL39" s="44"/>
    </row>
    <row r="40" spans="1:38" ht="15" customHeight="1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7"/>
      <c r="AA40" s="37"/>
      <c r="AB40" s="37"/>
      <c r="AC40" s="37"/>
      <c r="AD40" s="37"/>
      <c r="AE40" s="16"/>
      <c r="AF40" s="16"/>
      <c r="AG40" s="16"/>
      <c r="AH40" s="16"/>
      <c r="AI40" s="16"/>
      <c r="AJ40" s="16"/>
      <c r="AK40" s="16"/>
      <c r="AL40" s="44"/>
    </row>
    <row r="41" spans="1:38" ht="15" customHeight="1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37"/>
      <c r="AB41" s="37"/>
      <c r="AC41" s="37"/>
      <c r="AD41" s="37"/>
      <c r="AE41" s="37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37"/>
      <c r="AB42" s="37"/>
      <c r="AC42" s="37"/>
      <c r="AD42" s="37"/>
      <c r="AE42" s="37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36"/>
      <c r="AB52" s="36"/>
      <c r="AC52" s="36"/>
      <c r="AD52" s="36"/>
      <c r="AE52" s="36"/>
      <c r="AF52" s="14"/>
      <c r="AG52" s="14"/>
      <c r="AH52" s="14"/>
      <c r="AI52" s="14"/>
      <c r="AJ52" s="14"/>
      <c r="AK52" s="14"/>
      <c r="AL52" s="44"/>
    </row>
    <row r="53" spans="2:38" ht="1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4"/>
      <c r="S53" s="14"/>
      <c r="T53" s="14"/>
      <c r="U53" s="14"/>
      <c r="V53" s="14"/>
      <c r="W53" s="14"/>
      <c r="X53" s="14"/>
      <c r="Y53" s="14"/>
      <c r="Z53" s="14"/>
      <c r="AA53" s="36"/>
      <c r="AB53" s="36"/>
      <c r="AC53" s="36"/>
      <c r="AD53" s="36"/>
      <c r="AE53" s="36"/>
      <c r="AF53" s="14"/>
      <c r="AG53" s="14"/>
      <c r="AH53" s="14"/>
      <c r="AI53" s="14"/>
      <c r="AJ53" s="14"/>
      <c r="AK53" s="14"/>
      <c r="AL53" s="44"/>
    </row>
    <row r="54" spans="2:38" ht="9.9499999999999993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4" t="s">
        <v>27</v>
      </c>
      <c r="S54" s="115"/>
      <c r="T54" s="115"/>
      <c r="U54" s="116"/>
      <c r="V54" s="117"/>
      <c r="W54" s="118"/>
      <c r="X54" s="118"/>
      <c r="Y54" s="118"/>
      <c r="Z54" s="118"/>
      <c r="AA54" s="119"/>
      <c r="AB54" s="120" t="s">
        <v>28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2:38" ht="9.9499999999999993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92"/>
      <c r="S55" s="93"/>
      <c r="T55" s="93"/>
      <c r="U55" s="94"/>
      <c r="V55" s="98"/>
      <c r="W55" s="99"/>
      <c r="X55" s="99"/>
      <c r="Y55" s="99"/>
      <c r="Z55" s="99"/>
      <c r="AA55" s="100"/>
      <c r="AB55" s="123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89" t="s">
        <v>29</v>
      </c>
      <c r="S56" s="90"/>
      <c r="T56" s="90"/>
      <c r="U56" s="91"/>
      <c r="V56" s="95"/>
      <c r="W56" s="96"/>
      <c r="X56" s="96"/>
      <c r="Y56" s="96"/>
      <c r="Z56" s="96"/>
      <c r="AA56" s="97"/>
      <c r="AB56" s="126" t="s">
        <v>36</v>
      </c>
      <c r="AC56" s="127"/>
      <c r="AD56" s="127"/>
      <c r="AE56" s="127"/>
      <c r="AF56" s="127"/>
      <c r="AG56" s="127"/>
      <c r="AH56" s="127"/>
      <c r="AI56" s="127"/>
      <c r="AJ56" s="127"/>
      <c r="AK56" s="127"/>
      <c r="AL56" s="128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9"/>
      <c r="AC57" s="130"/>
      <c r="AD57" s="130"/>
      <c r="AE57" s="130"/>
      <c r="AF57" s="130"/>
      <c r="AG57" s="130"/>
      <c r="AH57" s="130"/>
      <c r="AI57" s="130"/>
      <c r="AJ57" s="130"/>
      <c r="AK57" s="130"/>
      <c r="AL57" s="131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31</v>
      </c>
      <c r="S58" s="90"/>
      <c r="T58" s="90"/>
      <c r="U58" s="91"/>
      <c r="V58" s="95"/>
      <c r="W58" s="96"/>
      <c r="X58" s="96"/>
      <c r="Y58" s="96"/>
      <c r="Z58" s="96"/>
      <c r="AA58" s="97"/>
      <c r="AB58" s="13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4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01" t="s">
        <v>32</v>
      </c>
      <c r="AC59" s="102"/>
      <c r="AD59" s="102"/>
      <c r="AE59" s="103"/>
      <c r="AF59" s="95"/>
      <c r="AG59" s="96"/>
      <c r="AH59" s="96"/>
      <c r="AI59" s="96"/>
      <c r="AJ59" s="96"/>
      <c r="AK59" s="96"/>
      <c r="AL59" s="136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33</v>
      </c>
      <c r="S60" s="90"/>
      <c r="T60" s="90"/>
      <c r="U60" s="91"/>
      <c r="V60" s="95"/>
      <c r="W60" s="96"/>
      <c r="X60" s="96"/>
      <c r="Y60" s="96"/>
      <c r="Z60" s="96"/>
      <c r="AA60" s="97"/>
      <c r="AB60" s="123"/>
      <c r="AC60" s="124"/>
      <c r="AD60" s="124"/>
      <c r="AE60" s="135"/>
      <c r="AF60" s="137"/>
      <c r="AG60" s="138"/>
      <c r="AH60" s="138"/>
      <c r="AI60" s="138"/>
      <c r="AJ60" s="138"/>
      <c r="AK60" s="138"/>
      <c r="AL60" s="139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34</v>
      </c>
      <c r="AC61" s="102"/>
      <c r="AD61" s="102"/>
      <c r="AE61" s="103"/>
      <c r="AF61" s="137"/>
      <c r="AG61" s="138"/>
      <c r="AH61" s="138"/>
      <c r="AI61" s="138"/>
      <c r="AJ61" s="138"/>
      <c r="AK61" s="138"/>
      <c r="AL61" s="139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0"/>
      <c r="S62" s="96"/>
      <c r="T62" s="96"/>
      <c r="U62" s="96"/>
      <c r="V62" s="96"/>
      <c r="W62" s="96"/>
      <c r="X62" s="96"/>
      <c r="Y62" s="96"/>
      <c r="Z62" s="96"/>
      <c r="AA62" s="97"/>
      <c r="AB62" s="104"/>
      <c r="AC62" s="105"/>
      <c r="AD62" s="105"/>
      <c r="AE62" s="106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111"/>
      <c r="S63" s="112"/>
      <c r="T63" s="112"/>
      <c r="U63" s="112"/>
      <c r="V63" s="112"/>
      <c r="W63" s="112"/>
      <c r="X63" s="112"/>
      <c r="Y63" s="112"/>
      <c r="Z63" s="112"/>
      <c r="AA63" s="113"/>
      <c r="AB63" s="107"/>
      <c r="AC63" s="108"/>
      <c r="AD63" s="108"/>
      <c r="AE63" s="109"/>
      <c r="AF63" s="140"/>
      <c r="AG63" s="112"/>
      <c r="AH63" s="112"/>
      <c r="AI63" s="112"/>
      <c r="AJ63" s="112"/>
      <c r="AK63" s="112"/>
      <c r="AL63" s="141"/>
    </row>
  </sheetData>
  <mergeCells count="44">
    <mergeCell ref="Z8:AB9"/>
    <mergeCell ref="C6:D7"/>
    <mergeCell ref="F6:J7"/>
    <mergeCell ref="F8:K9"/>
    <mergeCell ref="R60:U61"/>
    <mergeCell ref="V60:AA61"/>
    <mergeCell ref="AB61:AE63"/>
    <mergeCell ref="R62:AA63"/>
    <mergeCell ref="R54:U55"/>
    <mergeCell ref="V54:AA55"/>
    <mergeCell ref="AB54:AL55"/>
    <mergeCell ref="R56:U57"/>
    <mergeCell ref="V56:AA57"/>
    <mergeCell ref="AB56:AL58"/>
    <mergeCell ref="R58:U59"/>
    <mergeCell ref="V58:AA59"/>
    <mergeCell ref="AB59:AE60"/>
    <mergeCell ref="AF59:AL63"/>
    <mergeCell ref="J32:N32"/>
    <mergeCell ref="J33:N33"/>
    <mergeCell ref="J34:N34"/>
    <mergeCell ref="E6:E7"/>
    <mergeCell ref="E8:E9"/>
    <mergeCell ref="J27:N27"/>
    <mergeCell ref="J28:N28"/>
    <mergeCell ref="J29:N29"/>
    <mergeCell ref="J30:N30"/>
    <mergeCell ref="J31:N31"/>
    <mergeCell ref="H19:K19"/>
    <mergeCell ref="H20:K20"/>
    <mergeCell ref="H21:K21"/>
    <mergeCell ref="J25:N25"/>
    <mergeCell ref="J26:N26"/>
    <mergeCell ref="H14:K14"/>
    <mergeCell ref="H15:K15"/>
    <mergeCell ref="H16:K16"/>
    <mergeCell ref="H17:K17"/>
    <mergeCell ref="H18:K18"/>
    <mergeCell ref="L8:O8"/>
    <mergeCell ref="W8:Y8"/>
    <mergeCell ref="L9:O9"/>
    <mergeCell ref="W9:Y9"/>
    <mergeCell ref="H13:K13"/>
    <mergeCell ref="P8:V9"/>
  </mergeCells>
  <phoneticPr fontId="22" type="noConversion"/>
  <pageMargins left="0.70866141732283505" right="0.26" top="0.27559055118110198" bottom="0.31496062992126" header="0.15748031496063" footer="0.15748031496063"/>
  <pageSetup paperSize="9" scale="94" orientation="portrait" horizont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V63"/>
  <sheetViews>
    <sheetView view="pageBreakPreview" zoomScaleNormal="100" zoomScaleSheetLayoutView="100" workbookViewId="0">
      <selection activeCell="B12" sqref="B12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44"/>
    </row>
    <row r="3" spans="1:38" ht="15" customHeight="1">
      <c r="A3" s="14"/>
      <c r="B3" s="13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44"/>
    </row>
    <row r="4" spans="1:38" ht="25.5">
      <c r="A4" s="14"/>
      <c r="B4" s="13"/>
      <c r="D4" s="14"/>
      <c r="E4" s="76" t="s">
        <v>37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88" t="s">
        <v>1</v>
      </c>
      <c r="D6" s="88"/>
      <c r="E6" s="88" t="s">
        <v>2</v>
      </c>
      <c r="F6" s="88" t="s">
        <v>3</v>
      </c>
      <c r="G6" s="88"/>
      <c r="H6" s="88"/>
      <c r="I6" s="88"/>
      <c r="J6" s="8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88"/>
      <c r="D7" s="88"/>
      <c r="E7" s="88"/>
      <c r="F7" s="88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E8" s="88" t="s">
        <v>2</v>
      </c>
      <c r="F8" s="142" t="s">
        <v>4</v>
      </c>
      <c r="G8" s="143"/>
      <c r="H8" s="143"/>
      <c r="I8" s="143"/>
      <c r="J8" s="143"/>
      <c r="K8" s="143"/>
      <c r="L8" s="80" t="s">
        <v>5</v>
      </c>
      <c r="M8" s="80"/>
      <c r="N8" s="80"/>
      <c r="O8" s="80"/>
      <c r="P8" s="88" t="s">
        <v>6</v>
      </c>
      <c r="Q8" s="88"/>
      <c r="R8" s="88"/>
      <c r="S8" s="88"/>
      <c r="T8" s="88"/>
      <c r="U8" s="88"/>
      <c r="V8" s="88"/>
      <c r="W8" s="80" t="s">
        <v>7</v>
      </c>
      <c r="X8" s="80"/>
      <c r="Y8" s="80"/>
      <c r="Z8" s="88" t="s">
        <v>8</v>
      </c>
      <c r="AA8" s="88"/>
      <c r="AB8" s="88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E9" s="88"/>
      <c r="F9" s="143"/>
      <c r="G9" s="143"/>
      <c r="H9" s="143"/>
      <c r="I9" s="143"/>
      <c r="J9" s="143"/>
      <c r="K9" s="143"/>
      <c r="L9" s="81">
        <v>0.1013</v>
      </c>
      <c r="M9" s="81"/>
      <c r="N9" s="81"/>
      <c r="O9" s="81"/>
      <c r="P9" s="88"/>
      <c r="Q9" s="88"/>
      <c r="R9" s="88"/>
      <c r="S9" s="88"/>
      <c r="T9" s="88"/>
      <c r="U9" s="88"/>
      <c r="V9" s="88"/>
      <c r="W9" s="81">
        <v>0.1013</v>
      </c>
      <c r="X9" s="81"/>
      <c r="Y9" s="81"/>
      <c r="Z9" s="88"/>
      <c r="AA9" s="88"/>
      <c r="AB9" s="88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>
      <c r="A10" s="14"/>
      <c r="B10" s="13"/>
      <c r="C10" s="18" t="s">
        <v>9</v>
      </c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>
      <c r="A11" s="14"/>
      <c r="B11" s="13"/>
      <c r="C11" s="16"/>
      <c r="K11" s="50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>
      <c r="A12" s="14"/>
      <c r="B12" s="13"/>
      <c r="C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>
      <c r="A13" s="14"/>
      <c r="B13" s="13"/>
      <c r="C13" s="15"/>
      <c r="F13" s="77"/>
      <c r="G13" s="77"/>
      <c r="H13" s="77"/>
      <c r="I13" s="77"/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6.5">
      <c r="A14" s="14"/>
      <c r="B14" s="13"/>
      <c r="C14" s="16"/>
      <c r="F14" s="16" t="s">
        <v>1</v>
      </c>
      <c r="G14" s="16" t="s">
        <v>10</v>
      </c>
      <c r="H14" s="82">
        <f>H21+H22</f>
        <v>52.302048121011772</v>
      </c>
      <c r="I14" s="82"/>
      <c r="J14" s="82"/>
      <c r="K14" s="82"/>
      <c r="L14" s="16"/>
      <c r="M14" s="16"/>
      <c r="N14" s="16"/>
      <c r="O14" s="16"/>
      <c r="P14" s="15" t="s">
        <v>11</v>
      </c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6.5">
      <c r="A15" s="14"/>
      <c r="B15" s="13"/>
      <c r="C15" s="16"/>
      <c r="F15" s="16" t="s">
        <v>12</v>
      </c>
      <c r="G15" s="16" t="s">
        <v>10</v>
      </c>
      <c r="H15" s="83">
        <f>PI()*180^2</f>
        <v>101787.60197630929</v>
      </c>
      <c r="I15" s="83"/>
      <c r="J15" s="83"/>
      <c r="K15" s="83"/>
      <c r="L15" s="16"/>
      <c r="M15" s="16"/>
      <c r="N15" s="16"/>
      <c r="O15" s="16"/>
      <c r="P15" s="15" t="s">
        <v>13</v>
      </c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 ht="16.5">
      <c r="A16" s="14"/>
      <c r="B16" s="13"/>
      <c r="C16" s="16"/>
      <c r="F16" s="16" t="s">
        <v>14</v>
      </c>
      <c r="G16" s="16" t="s">
        <v>10</v>
      </c>
      <c r="H16" s="83">
        <f>PI()*(180^2-25^2)</f>
        <v>99824.106567815674</v>
      </c>
      <c r="I16" s="83"/>
      <c r="J16" s="83"/>
      <c r="K16" s="83"/>
      <c r="L16" s="16"/>
      <c r="M16" s="16"/>
      <c r="N16" s="16"/>
      <c r="O16" s="16"/>
      <c r="P16" s="15" t="s">
        <v>15</v>
      </c>
      <c r="AA16" s="79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>
      <c r="A17" s="14"/>
      <c r="B17" s="13"/>
      <c r="C17" s="16"/>
      <c r="F17" s="16" t="s">
        <v>16</v>
      </c>
      <c r="G17" s="16" t="s">
        <v>10</v>
      </c>
      <c r="H17" s="84">
        <v>50</v>
      </c>
      <c r="I17" s="84"/>
      <c r="J17" s="84"/>
      <c r="K17" s="84"/>
      <c r="L17" s="16"/>
      <c r="M17" s="16"/>
      <c r="N17" s="16"/>
      <c r="O17" s="16"/>
      <c r="P17" s="15" t="s">
        <v>17</v>
      </c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>
      <c r="A18" s="14"/>
      <c r="B18" s="13"/>
      <c r="C18" s="16"/>
      <c r="F18" s="16" t="s">
        <v>7</v>
      </c>
      <c r="G18" s="16" t="s">
        <v>10</v>
      </c>
      <c r="H18" s="84">
        <v>0.4</v>
      </c>
      <c r="I18" s="84"/>
      <c r="J18" s="84"/>
      <c r="K18" s="84"/>
      <c r="L18" s="16"/>
      <c r="M18" s="16"/>
      <c r="N18" s="16"/>
      <c r="O18" s="16"/>
      <c r="P18" s="15" t="s">
        <v>18</v>
      </c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6"/>
      <c r="F19" s="16" t="s">
        <v>19</v>
      </c>
      <c r="G19" s="16" t="s">
        <v>10</v>
      </c>
      <c r="H19" s="85">
        <v>1500</v>
      </c>
      <c r="I19" s="85"/>
      <c r="J19" s="85"/>
      <c r="K19" s="85"/>
      <c r="L19" s="16"/>
      <c r="M19" s="16"/>
      <c r="N19" s="16"/>
      <c r="O19" s="16"/>
      <c r="P19" s="15" t="s">
        <v>20</v>
      </c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F20" s="16" t="s">
        <v>21</v>
      </c>
      <c r="G20" s="16" t="s">
        <v>10</v>
      </c>
      <c r="H20" s="84">
        <v>204</v>
      </c>
      <c r="I20" s="84"/>
      <c r="J20" s="84"/>
      <c r="K20" s="84"/>
      <c r="L20" s="18"/>
      <c r="M20" s="18"/>
      <c r="N20" s="16"/>
      <c r="O20" s="16"/>
      <c r="P20" s="15" t="s">
        <v>22</v>
      </c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6"/>
      <c r="F21" s="16" t="s">
        <v>23</v>
      </c>
      <c r="G21" s="16" t="s">
        <v>10</v>
      </c>
      <c r="H21" s="86">
        <f>(H15+H16)*H17*(H18+0.1013)/0.1013*10^-6</f>
        <v>49.885463718247706</v>
      </c>
      <c r="I21" s="86"/>
      <c r="J21" s="86"/>
      <c r="K21" s="86"/>
      <c r="L21" s="16"/>
      <c r="M21" s="16"/>
      <c r="N21" s="16"/>
      <c r="O21" s="16"/>
      <c r="P21" s="15" t="s">
        <v>24</v>
      </c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F22" s="16" t="s">
        <v>25</v>
      </c>
      <c r="G22" s="16" t="s">
        <v>10</v>
      </c>
      <c r="H22" s="86">
        <f>2*H20*H19*H18/0.1013*10^-6</f>
        <v>2.4165844027640668</v>
      </c>
      <c r="I22" s="86"/>
      <c r="J22" s="86"/>
      <c r="K22" s="86"/>
      <c r="L22" s="16"/>
      <c r="M22" s="16"/>
      <c r="N22" s="16"/>
      <c r="O22" s="16"/>
      <c r="P22" s="15" t="s">
        <v>26</v>
      </c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37"/>
      <c r="AB24" s="37"/>
      <c r="AC24" s="37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6"/>
      <c r="D25" s="16"/>
      <c r="E25" s="74"/>
      <c r="F25" s="74"/>
      <c r="G25" s="74"/>
      <c r="H25" s="16"/>
      <c r="I25" s="16"/>
      <c r="J25" s="87"/>
      <c r="K25" s="87"/>
      <c r="L25" s="87"/>
      <c r="M25" s="87"/>
      <c r="N25" s="87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37"/>
      <c r="AB25" s="37"/>
      <c r="AC25" s="37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74"/>
      <c r="F26" s="74"/>
      <c r="G26" s="74"/>
      <c r="H26" s="16"/>
      <c r="I26" s="16"/>
      <c r="J26" s="87"/>
      <c r="K26" s="87"/>
      <c r="L26" s="87"/>
      <c r="M26" s="87"/>
      <c r="N26" s="87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37"/>
      <c r="AB26" s="37"/>
      <c r="AC26" s="37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87"/>
      <c r="K27" s="87"/>
      <c r="L27" s="87"/>
      <c r="M27" s="87"/>
      <c r="N27" s="87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37"/>
      <c r="AB27" s="37"/>
      <c r="AC27" s="37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87"/>
      <c r="K28" s="87"/>
      <c r="L28" s="87"/>
      <c r="M28" s="87"/>
      <c r="N28" s="87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37"/>
      <c r="AB28" s="37"/>
      <c r="AC28" s="37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87"/>
      <c r="K29" s="87"/>
      <c r="L29" s="87"/>
      <c r="M29" s="87"/>
      <c r="N29" s="87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37"/>
      <c r="AB29" s="37"/>
      <c r="AC29" s="37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87"/>
      <c r="K30" s="87"/>
      <c r="L30" s="87"/>
      <c r="M30" s="87"/>
      <c r="N30" s="87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37"/>
      <c r="AB30" s="37"/>
      <c r="AC30" s="37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87"/>
      <c r="K31" s="87"/>
      <c r="L31" s="87"/>
      <c r="M31" s="87"/>
      <c r="N31" s="87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37"/>
      <c r="AB31" s="37"/>
      <c r="AC31" s="37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87"/>
      <c r="K32" s="87"/>
      <c r="L32" s="87"/>
      <c r="M32" s="87"/>
      <c r="N32" s="87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37"/>
      <c r="AB32" s="37"/>
      <c r="AC32" s="37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87"/>
      <c r="K33" s="87"/>
      <c r="L33" s="87"/>
      <c r="M33" s="87"/>
      <c r="N33" s="8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87"/>
      <c r="K34" s="87"/>
      <c r="L34" s="87"/>
      <c r="M34" s="87"/>
      <c r="N34" s="8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7"/>
      <c r="Z39" s="37"/>
      <c r="AA39" s="37"/>
      <c r="AB39" s="37"/>
      <c r="AC39" s="37"/>
      <c r="AD39" s="16"/>
      <c r="AE39" s="16"/>
      <c r="AF39" s="16"/>
      <c r="AG39" s="16"/>
      <c r="AH39" s="16"/>
      <c r="AI39" s="16"/>
      <c r="AJ39" s="16"/>
      <c r="AK39" s="16"/>
      <c r="AL39" s="44"/>
    </row>
    <row r="40" spans="1:38" ht="15" customHeight="1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7"/>
      <c r="AA40" s="37"/>
      <c r="AB40" s="37"/>
      <c r="AC40" s="37"/>
      <c r="AD40" s="37"/>
      <c r="AE40" s="16"/>
      <c r="AF40" s="16"/>
      <c r="AG40" s="16"/>
      <c r="AH40" s="16"/>
      <c r="AI40" s="16"/>
      <c r="AJ40" s="16"/>
      <c r="AK40" s="16"/>
      <c r="AL40" s="44"/>
    </row>
    <row r="41" spans="1:38" ht="15" customHeight="1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37"/>
      <c r="AB41" s="37"/>
      <c r="AC41" s="37"/>
      <c r="AD41" s="37"/>
      <c r="AE41" s="37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37"/>
      <c r="AB42" s="37"/>
      <c r="AC42" s="37"/>
      <c r="AD42" s="37"/>
      <c r="AE42" s="37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36"/>
      <c r="AB52" s="36"/>
      <c r="AC52" s="36"/>
      <c r="AD52" s="36"/>
      <c r="AE52" s="36"/>
      <c r="AF52" s="14"/>
      <c r="AG52" s="14"/>
      <c r="AH52" s="14"/>
      <c r="AI52" s="14"/>
      <c r="AJ52" s="14"/>
      <c r="AK52" s="14"/>
      <c r="AL52" s="44"/>
    </row>
    <row r="53" spans="2:38" ht="1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4"/>
      <c r="S53" s="14"/>
      <c r="T53" s="14"/>
      <c r="U53" s="14"/>
      <c r="V53" s="14"/>
      <c r="W53" s="14"/>
      <c r="X53" s="14"/>
      <c r="Y53" s="14"/>
      <c r="Z53" s="14"/>
      <c r="AA53" s="36"/>
      <c r="AB53" s="36"/>
      <c r="AC53" s="36"/>
      <c r="AD53" s="36"/>
      <c r="AE53" s="36"/>
      <c r="AF53" s="14"/>
      <c r="AG53" s="14"/>
      <c r="AH53" s="14"/>
      <c r="AI53" s="14"/>
      <c r="AJ53" s="14"/>
      <c r="AK53" s="14"/>
      <c r="AL53" s="44"/>
    </row>
    <row r="54" spans="2:38" ht="9.9499999999999993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4" t="s">
        <v>27</v>
      </c>
      <c r="S54" s="115"/>
      <c r="T54" s="115"/>
      <c r="U54" s="116"/>
      <c r="V54" s="117"/>
      <c r="W54" s="118"/>
      <c r="X54" s="118"/>
      <c r="Y54" s="118"/>
      <c r="Z54" s="118"/>
      <c r="AA54" s="119"/>
      <c r="AB54" s="120" t="s">
        <v>28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2:38" ht="9.9499999999999993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92"/>
      <c r="S55" s="93"/>
      <c r="T55" s="93"/>
      <c r="U55" s="94"/>
      <c r="V55" s="98"/>
      <c r="W55" s="99"/>
      <c r="X55" s="99"/>
      <c r="Y55" s="99"/>
      <c r="Z55" s="99"/>
      <c r="AA55" s="100"/>
      <c r="AB55" s="123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89" t="s">
        <v>29</v>
      </c>
      <c r="S56" s="90"/>
      <c r="T56" s="90"/>
      <c r="U56" s="91"/>
      <c r="V56" s="95"/>
      <c r="W56" s="96"/>
      <c r="X56" s="96"/>
      <c r="Y56" s="96"/>
      <c r="Z56" s="96"/>
      <c r="AA56" s="97"/>
      <c r="AB56" s="126" t="s">
        <v>38</v>
      </c>
      <c r="AC56" s="127"/>
      <c r="AD56" s="127"/>
      <c r="AE56" s="127"/>
      <c r="AF56" s="127"/>
      <c r="AG56" s="127"/>
      <c r="AH56" s="127"/>
      <c r="AI56" s="127"/>
      <c r="AJ56" s="127"/>
      <c r="AK56" s="127"/>
      <c r="AL56" s="128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9"/>
      <c r="AC57" s="130"/>
      <c r="AD57" s="130"/>
      <c r="AE57" s="130"/>
      <c r="AF57" s="130"/>
      <c r="AG57" s="130"/>
      <c r="AH57" s="130"/>
      <c r="AI57" s="130"/>
      <c r="AJ57" s="130"/>
      <c r="AK57" s="130"/>
      <c r="AL57" s="131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31</v>
      </c>
      <c r="S58" s="90"/>
      <c r="T58" s="90"/>
      <c r="U58" s="91"/>
      <c r="V58" s="95"/>
      <c r="W58" s="96"/>
      <c r="X58" s="96"/>
      <c r="Y58" s="96"/>
      <c r="Z58" s="96"/>
      <c r="AA58" s="97"/>
      <c r="AB58" s="13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4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01" t="s">
        <v>32</v>
      </c>
      <c r="AC59" s="102"/>
      <c r="AD59" s="102"/>
      <c r="AE59" s="103"/>
      <c r="AF59" s="95"/>
      <c r="AG59" s="96"/>
      <c r="AH59" s="96"/>
      <c r="AI59" s="96"/>
      <c r="AJ59" s="96"/>
      <c r="AK59" s="96"/>
      <c r="AL59" s="136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33</v>
      </c>
      <c r="S60" s="90"/>
      <c r="T60" s="90"/>
      <c r="U60" s="91"/>
      <c r="V60" s="95"/>
      <c r="W60" s="96"/>
      <c r="X60" s="96"/>
      <c r="Y60" s="96"/>
      <c r="Z60" s="96"/>
      <c r="AA60" s="97"/>
      <c r="AB60" s="123"/>
      <c r="AC60" s="124"/>
      <c r="AD60" s="124"/>
      <c r="AE60" s="135"/>
      <c r="AF60" s="137"/>
      <c r="AG60" s="138"/>
      <c r="AH60" s="138"/>
      <c r="AI60" s="138"/>
      <c r="AJ60" s="138"/>
      <c r="AK60" s="138"/>
      <c r="AL60" s="139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34</v>
      </c>
      <c r="AC61" s="102"/>
      <c r="AD61" s="102"/>
      <c r="AE61" s="103"/>
      <c r="AF61" s="137"/>
      <c r="AG61" s="138"/>
      <c r="AH61" s="138"/>
      <c r="AI61" s="138"/>
      <c r="AJ61" s="138"/>
      <c r="AK61" s="138"/>
      <c r="AL61" s="139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0"/>
      <c r="S62" s="96"/>
      <c r="T62" s="96"/>
      <c r="U62" s="96"/>
      <c r="V62" s="96"/>
      <c r="W62" s="96"/>
      <c r="X62" s="96"/>
      <c r="Y62" s="96"/>
      <c r="Z62" s="96"/>
      <c r="AA62" s="97"/>
      <c r="AB62" s="104"/>
      <c r="AC62" s="105"/>
      <c r="AD62" s="105"/>
      <c r="AE62" s="106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111"/>
      <c r="S63" s="112"/>
      <c r="T63" s="112"/>
      <c r="U63" s="112"/>
      <c r="V63" s="112"/>
      <c r="W63" s="112"/>
      <c r="X63" s="112"/>
      <c r="Y63" s="112"/>
      <c r="Z63" s="112"/>
      <c r="AA63" s="113"/>
      <c r="AB63" s="107"/>
      <c r="AC63" s="108"/>
      <c r="AD63" s="108"/>
      <c r="AE63" s="109"/>
      <c r="AF63" s="140"/>
      <c r="AG63" s="112"/>
      <c r="AH63" s="112"/>
      <c r="AI63" s="112"/>
      <c r="AJ63" s="112"/>
      <c r="AK63" s="112"/>
      <c r="AL63" s="141"/>
    </row>
  </sheetData>
  <mergeCells count="44">
    <mergeCell ref="Z8:AB9"/>
    <mergeCell ref="C6:D7"/>
    <mergeCell ref="F6:J7"/>
    <mergeCell ref="F8:K9"/>
    <mergeCell ref="R60:U61"/>
    <mergeCell ref="V60:AA61"/>
    <mergeCell ref="AB61:AE63"/>
    <mergeCell ref="R62:AA63"/>
    <mergeCell ref="R54:U55"/>
    <mergeCell ref="V54:AA55"/>
    <mergeCell ref="AB54:AL55"/>
    <mergeCell ref="R56:U57"/>
    <mergeCell ref="V56:AA57"/>
    <mergeCell ref="AB56:AL58"/>
    <mergeCell ref="R58:U59"/>
    <mergeCell ref="V58:AA59"/>
    <mergeCell ref="AB59:AE60"/>
    <mergeCell ref="AF59:AL63"/>
    <mergeCell ref="J32:N32"/>
    <mergeCell ref="J33:N33"/>
    <mergeCell ref="J34:N34"/>
    <mergeCell ref="E6:E7"/>
    <mergeCell ref="E8:E9"/>
    <mergeCell ref="J27:N27"/>
    <mergeCell ref="J28:N28"/>
    <mergeCell ref="J29:N29"/>
    <mergeCell ref="J30:N30"/>
    <mergeCell ref="J31:N31"/>
    <mergeCell ref="H20:K20"/>
    <mergeCell ref="H21:K21"/>
    <mergeCell ref="H22:K22"/>
    <mergeCell ref="J25:N25"/>
    <mergeCell ref="J26:N26"/>
    <mergeCell ref="H15:K15"/>
    <mergeCell ref="H16:K16"/>
    <mergeCell ref="H17:K17"/>
    <mergeCell ref="H18:K18"/>
    <mergeCell ref="H19:K19"/>
    <mergeCell ref="L8:O8"/>
    <mergeCell ref="W8:Y8"/>
    <mergeCell ref="L9:O9"/>
    <mergeCell ref="W9:Y9"/>
    <mergeCell ref="H14:K14"/>
    <mergeCell ref="P8:V9"/>
  </mergeCells>
  <phoneticPr fontId="22" type="noConversion"/>
  <pageMargins left="0.70866141732283505" right="0.26" top="0.27559055118110198" bottom="0.31496062992126" header="0.15748031496063" footer="0.15748031496063"/>
  <pageSetup paperSize="9" scale="94" orientation="portrait" horizont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V63"/>
  <sheetViews>
    <sheetView view="pageBreakPreview" zoomScaleNormal="100" zoomScaleSheetLayoutView="100" workbookViewId="0">
      <selection activeCell="V25" sqref="V25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44"/>
    </row>
    <row r="3" spans="1:38" ht="15" customHeight="1">
      <c r="A3" s="14"/>
      <c r="B3" s="13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44"/>
    </row>
    <row r="4" spans="1:38" ht="25.5">
      <c r="A4" s="14"/>
      <c r="B4" s="13"/>
      <c r="D4" s="14"/>
      <c r="E4" s="76" t="s">
        <v>39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88" t="s">
        <v>1</v>
      </c>
      <c r="D6" s="88"/>
      <c r="E6" s="88" t="s">
        <v>2</v>
      </c>
      <c r="F6" s="88" t="s">
        <v>3</v>
      </c>
      <c r="G6" s="88"/>
      <c r="H6" s="88"/>
      <c r="I6" s="88"/>
      <c r="J6" s="8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88"/>
      <c r="D7" s="88"/>
      <c r="E7" s="88"/>
      <c r="F7" s="88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E8" s="88" t="s">
        <v>2</v>
      </c>
      <c r="F8" s="142" t="s">
        <v>4</v>
      </c>
      <c r="G8" s="143"/>
      <c r="H8" s="143"/>
      <c r="I8" s="143"/>
      <c r="J8" s="143"/>
      <c r="K8" s="143"/>
      <c r="L8" s="80" t="s">
        <v>5</v>
      </c>
      <c r="M8" s="80"/>
      <c r="N8" s="80"/>
      <c r="O8" s="80"/>
      <c r="P8" s="88" t="s">
        <v>6</v>
      </c>
      <c r="Q8" s="88"/>
      <c r="R8" s="88"/>
      <c r="S8" s="88"/>
      <c r="T8" s="88"/>
      <c r="U8" s="88"/>
      <c r="V8" s="88"/>
      <c r="W8" s="80" t="s">
        <v>7</v>
      </c>
      <c r="X8" s="80"/>
      <c r="Y8" s="80"/>
      <c r="Z8" s="88" t="s">
        <v>8</v>
      </c>
      <c r="AA8" s="88"/>
      <c r="AB8" s="88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E9" s="88"/>
      <c r="F9" s="143"/>
      <c r="G9" s="143"/>
      <c r="H9" s="143"/>
      <c r="I9" s="143"/>
      <c r="J9" s="143"/>
      <c r="K9" s="143"/>
      <c r="L9" s="81">
        <v>0.1013</v>
      </c>
      <c r="M9" s="81"/>
      <c r="N9" s="81"/>
      <c r="O9" s="81"/>
      <c r="P9" s="88"/>
      <c r="Q9" s="88"/>
      <c r="R9" s="88"/>
      <c r="S9" s="88"/>
      <c r="T9" s="88"/>
      <c r="U9" s="88"/>
      <c r="V9" s="88"/>
      <c r="W9" s="81">
        <v>0.1013</v>
      </c>
      <c r="X9" s="81"/>
      <c r="Y9" s="81"/>
      <c r="Z9" s="88"/>
      <c r="AA9" s="88"/>
      <c r="AB9" s="88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>
      <c r="A10" s="14"/>
      <c r="B10" s="13"/>
      <c r="C10" s="18" t="s">
        <v>9</v>
      </c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>
      <c r="A11" s="14"/>
      <c r="B11" s="13"/>
      <c r="C11" s="16"/>
      <c r="K11" s="50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>
      <c r="A12" s="14"/>
      <c r="B12" s="13"/>
      <c r="C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>
      <c r="A13" s="14"/>
      <c r="B13" s="13"/>
      <c r="C13" s="15"/>
      <c r="F13" s="77"/>
      <c r="G13" s="77"/>
      <c r="H13" s="77"/>
      <c r="I13" s="77"/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6.5">
      <c r="A14" s="14"/>
      <c r="B14" s="13"/>
      <c r="C14" s="16"/>
      <c r="F14" s="16" t="s">
        <v>1</v>
      </c>
      <c r="G14" s="16" t="s">
        <v>10</v>
      </c>
      <c r="H14" s="82">
        <f>H21+H22</f>
        <v>27.854296255861172</v>
      </c>
      <c r="I14" s="82"/>
      <c r="J14" s="82"/>
      <c r="K14" s="82"/>
      <c r="L14" s="16"/>
      <c r="M14" s="16"/>
      <c r="N14" s="16"/>
      <c r="O14" s="16"/>
      <c r="P14" s="15" t="s">
        <v>11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6.5">
      <c r="A15" s="14"/>
      <c r="B15" s="13"/>
      <c r="C15" s="16"/>
      <c r="F15" s="16" t="s">
        <v>12</v>
      </c>
      <c r="G15" s="16" t="s">
        <v>10</v>
      </c>
      <c r="H15" s="83">
        <f>PI()*130^2</f>
        <v>53092.915845667507</v>
      </c>
      <c r="I15" s="83"/>
      <c r="J15" s="83"/>
      <c r="K15" s="83"/>
      <c r="L15" s="16"/>
      <c r="M15" s="16"/>
      <c r="N15" s="16"/>
      <c r="O15" s="16"/>
      <c r="P15" s="15" t="s">
        <v>13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 ht="16.5">
      <c r="A16" s="14"/>
      <c r="B16" s="13"/>
      <c r="C16" s="16"/>
      <c r="F16" s="16" t="s">
        <v>14</v>
      </c>
      <c r="G16" s="16" t="s">
        <v>10</v>
      </c>
      <c r="H16" s="83">
        <f>PI()*(130^2-20^2)</f>
        <v>51836.278784231588</v>
      </c>
      <c r="I16" s="83"/>
      <c r="J16" s="83"/>
      <c r="K16" s="83"/>
      <c r="L16" s="16"/>
      <c r="M16" s="16"/>
      <c r="N16" s="16"/>
      <c r="O16" s="16"/>
      <c r="P16" s="15" t="s">
        <v>15</v>
      </c>
      <c r="Q16" s="16"/>
      <c r="R16" s="16"/>
      <c r="S16" s="16"/>
      <c r="T16" s="16"/>
      <c r="U16" s="16"/>
      <c r="V16" s="16"/>
      <c r="W16" s="16"/>
      <c r="X16" s="79"/>
      <c r="Y16" s="79"/>
      <c r="Z16" s="79"/>
      <c r="AA16" s="79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>
      <c r="A17" s="14"/>
      <c r="B17" s="13"/>
      <c r="C17" s="16"/>
      <c r="F17" s="16" t="s">
        <v>16</v>
      </c>
      <c r="G17" s="16" t="s">
        <v>10</v>
      </c>
      <c r="H17" s="84">
        <v>40</v>
      </c>
      <c r="I17" s="84"/>
      <c r="J17" s="84"/>
      <c r="K17" s="84"/>
      <c r="L17" s="16"/>
      <c r="M17" s="16"/>
      <c r="N17" s="16"/>
      <c r="O17" s="16"/>
      <c r="P17" s="15" t="s">
        <v>17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>
      <c r="A18" s="14"/>
      <c r="B18" s="13"/>
      <c r="C18" s="16"/>
      <c r="F18" s="16" t="s">
        <v>7</v>
      </c>
      <c r="G18" s="16" t="s">
        <v>10</v>
      </c>
      <c r="H18" s="84">
        <v>0.4</v>
      </c>
      <c r="I18" s="84"/>
      <c r="J18" s="84"/>
      <c r="K18" s="84"/>
      <c r="L18" s="16"/>
      <c r="M18" s="16"/>
      <c r="N18" s="16"/>
      <c r="O18" s="16"/>
      <c r="P18" s="15" t="s">
        <v>18</v>
      </c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>
      <c r="A19" s="14"/>
      <c r="B19" s="13"/>
      <c r="C19" s="16"/>
      <c r="F19" s="16" t="s">
        <v>19</v>
      </c>
      <c r="G19" s="16" t="s">
        <v>10</v>
      </c>
      <c r="H19" s="85">
        <v>1500</v>
      </c>
      <c r="I19" s="85"/>
      <c r="J19" s="85"/>
      <c r="K19" s="85"/>
      <c r="L19" s="16"/>
      <c r="M19" s="16"/>
      <c r="N19" s="16"/>
      <c r="O19" s="16"/>
      <c r="P19" s="15" t="s">
        <v>20</v>
      </c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.75">
      <c r="A20" s="14"/>
      <c r="B20" s="13"/>
      <c r="C20" s="16"/>
      <c r="F20" s="16" t="s">
        <v>21</v>
      </c>
      <c r="G20" s="16" t="s">
        <v>10</v>
      </c>
      <c r="H20" s="84">
        <v>598</v>
      </c>
      <c r="I20" s="84"/>
      <c r="J20" s="84"/>
      <c r="K20" s="84"/>
      <c r="L20" s="18"/>
      <c r="M20" s="18"/>
      <c r="N20" s="16"/>
      <c r="O20" s="16"/>
      <c r="P20" s="15" t="s">
        <v>22</v>
      </c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6.5">
      <c r="A21" s="14"/>
      <c r="B21" s="13"/>
      <c r="C21" s="16"/>
      <c r="F21" s="16" t="s">
        <v>23</v>
      </c>
      <c r="G21" s="16" t="s">
        <v>10</v>
      </c>
      <c r="H21" s="86">
        <f>(H15+H16)*H17*(H18+0.1013)/0.1013*10^-6</f>
        <v>20.770387075209644</v>
      </c>
      <c r="I21" s="86"/>
      <c r="J21" s="86"/>
      <c r="K21" s="86"/>
      <c r="L21" s="16"/>
      <c r="M21" s="16"/>
      <c r="N21" s="16"/>
      <c r="O21" s="16"/>
      <c r="P21" s="15" t="s">
        <v>24</v>
      </c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6.5">
      <c r="A22" s="14"/>
      <c r="B22" s="13"/>
      <c r="C22" s="16"/>
      <c r="F22" s="16" t="s">
        <v>25</v>
      </c>
      <c r="G22" s="16" t="s">
        <v>10</v>
      </c>
      <c r="H22" s="86">
        <f>2*H20*H19*H18/0.1013*10^-6</f>
        <v>7.0839091806515295</v>
      </c>
      <c r="I22" s="86"/>
      <c r="J22" s="86"/>
      <c r="K22" s="86"/>
      <c r="L22" s="16"/>
      <c r="M22" s="16"/>
      <c r="N22" s="16"/>
      <c r="O22" s="16"/>
      <c r="P22" s="15" t="s">
        <v>26</v>
      </c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Z24" s="16"/>
      <c r="AA24" s="37"/>
      <c r="AB24" s="37"/>
      <c r="AC24" s="37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6"/>
      <c r="D25" s="16"/>
      <c r="E25" s="74"/>
      <c r="F25" s="74"/>
      <c r="G25" s="74"/>
      <c r="H25" s="16"/>
      <c r="I25" s="16"/>
      <c r="J25" s="78"/>
      <c r="K25" s="78"/>
      <c r="L25" s="78"/>
      <c r="M25" s="78"/>
      <c r="N25" s="78"/>
      <c r="Z25" s="16"/>
      <c r="AA25" s="37"/>
      <c r="AB25" s="37"/>
      <c r="AC25" s="37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74"/>
      <c r="F26" s="74"/>
      <c r="G26" s="74"/>
      <c r="H26" s="16"/>
      <c r="I26" s="16"/>
      <c r="J26" s="78"/>
      <c r="K26" s="78"/>
      <c r="L26" s="78"/>
      <c r="M26" s="78"/>
      <c r="N26" s="78"/>
      <c r="Z26" s="16"/>
      <c r="AA26" s="37"/>
      <c r="AB26" s="37"/>
      <c r="AC26" s="37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78"/>
      <c r="K27" s="78"/>
      <c r="L27" s="78"/>
      <c r="M27" s="78"/>
      <c r="N27" s="78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37"/>
      <c r="AB27" s="37"/>
      <c r="AC27" s="37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78"/>
      <c r="K28" s="78"/>
      <c r="L28" s="78"/>
      <c r="M28" s="78"/>
      <c r="N28" s="78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37"/>
      <c r="AB28" s="37"/>
      <c r="AC28" s="37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78"/>
      <c r="K29" s="78"/>
      <c r="L29" s="78"/>
      <c r="M29" s="78"/>
      <c r="N29" s="7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37"/>
      <c r="AB29" s="37"/>
      <c r="AC29" s="37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78"/>
      <c r="K30" s="78"/>
      <c r="L30" s="78"/>
      <c r="M30" s="78"/>
      <c r="N30" s="78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37"/>
      <c r="AB30" s="37"/>
      <c r="AC30" s="37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78"/>
      <c r="K31" s="78"/>
      <c r="L31" s="78"/>
      <c r="M31" s="78"/>
      <c r="N31" s="78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37"/>
      <c r="AB31" s="37"/>
      <c r="AC31" s="37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78"/>
      <c r="K32" s="78"/>
      <c r="L32" s="78"/>
      <c r="M32" s="78"/>
      <c r="N32" s="78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37"/>
      <c r="AB32" s="37"/>
      <c r="AC32" s="37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78"/>
      <c r="K33" s="78"/>
      <c r="L33" s="78"/>
      <c r="M33" s="78"/>
      <c r="N33" s="78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78"/>
      <c r="K34" s="78"/>
      <c r="L34" s="78"/>
      <c r="M34" s="78"/>
      <c r="N34" s="78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7"/>
      <c r="Z39" s="37"/>
      <c r="AA39" s="37"/>
      <c r="AB39" s="37"/>
      <c r="AC39" s="37"/>
      <c r="AD39" s="16"/>
      <c r="AE39" s="16"/>
      <c r="AF39" s="16"/>
      <c r="AG39" s="16"/>
      <c r="AH39" s="16"/>
      <c r="AI39" s="16"/>
      <c r="AJ39" s="16"/>
      <c r="AK39" s="16"/>
      <c r="AL39" s="44"/>
    </row>
    <row r="40" spans="1:38" ht="15" customHeight="1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7"/>
      <c r="AA40" s="37"/>
      <c r="AB40" s="37"/>
      <c r="AC40" s="37"/>
      <c r="AD40" s="37"/>
      <c r="AE40" s="16"/>
      <c r="AF40" s="16"/>
      <c r="AG40" s="16"/>
      <c r="AH40" s="16"/>
      <c r="AI40" s="16"/>
      <c r="AJ40" s="16"/>
      <c r="AK40" s="16"/>
      <c r="AL40" s="44"/>
    </row>
    <row r="41" spans="1:38" ht="15" customHeight="1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37"/>
      <c r="AB41" s="37"/>
      <c r="AC41" s="37"/>
      <c r="AD41" s="37"/>
      <c r="AE41" s="37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37"/>
      <c r="AB42" s="37"/>
      <c r="AC42" s="37"/>
      <c r="AD42" s="37"/>
      <c r="AE42" s="37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36"/>
      <c r="AB52" s="36"/>
      <c r="AC52" s="36"/>
      <c r="AD52" s="36"/>
      <c r="AE52" s="36"/>
      <c r="AF52" s="14"/>
      <c r="AG52" s="14"/>
      <c r="AH52" s="14"/>
      <c r="AI52" s="14"/>
      <c r="AJ52" s="14"/>
      <c r="AK52" s="14"/>
      <c r="AL52" s="44"/>
    </row>
    <row r="53" spans="2:38" ht="1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4"/>
      <c r="S53" s="14"/>
      <c r="T53" s="14"/>
      <c r="U53" s="14"/>
      <c r="V53" s="14"/>
      <c r="W53" s="14"/>
      <c r="X53" s="14"/>
      <c r="Y53" s="14"/>
      <c r="Z53" s="14"/>
      <c r="AA53" s="36"/>
      <c r="AB53" s="36"/>
      <c r="AC53" s="36"/>
      <c r="AD53" s="36"/>
      <c r="AE53" s="36"/>
      <c r="AF53" s="14"/>
      <c r="AG53" s="14"/>
      <c r="AH53" s="14"/>
      <c r="AI53" s="14"/>
      <c r="AJ53" s="14"/>
      <c r="AK53" s="14"/>
      <c r="AL53" s="44"/>
    </row>
    <row r="54" spans="2:38" ht="9.9499999999999993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4" t="s">
        <v>27</v>
      </c>
      <c r="S54" s="115"/>
      <c r="T54" s="115"/>
      <c r="U54" s="116"/>
      <c r="V54" s="117"/>
      <c r="W54" s="118"/>
      <c r="X54" s="118"/>
      <c r="Y54" s="118"/>
      <c r="Z54" s="118"/>
      <c r="AA54" s="119"/>
      <c r="AB54" s="120" t="s">
        <v>28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2:38" ht="9.9499999999999993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92"/>
      <c r="S55" s="93"/>
      <c r="T55" s="93"/>
      <c r="U55" s="94"/>
      <c r="V55" s="98"/>
      <c r="W55" s="99"/>
      <c r="X55" s="99"/>
      <c r="Y55" s="99"/>
      <c r="Z55" s="99"/>
      <c r="AA55" s="100"/>
      <c r="AB55" s="123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89" t="s">
        <v>29</v>
      </c>
      <c r="S56" s="90"/>
      <c r="T56" s="90"/>
      <c r="U56" s="91"/>
      <c r="V56" s="95"/>
      <c r="W56" s="96"/>
      <c r="X56" s="96"/>
      <c r="Y56" s="96"/>
      <c r="Z56" s="96"/>
      <c r="AA56" s="97"/>
      <c r="AB56" s="126" t="s">
        <v>40</v>
      </c>
      <c r="AC56" s="127"/>
      <c r="AD56" s="127"/>
      <c r="AE56" s="127"/>
      <c r="AF56" s="127"/>
      <c r="AG56" s="127"/>
      <c r="AH56" s="127"/>
      <c r="AI56" s="127"/>
      <c r="AJ56" s="127"/>
      <c r="AK56" s="127"/>
      <c r="AL56" s="128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9"/>
      <c r="AC57" s="130"/>
      <c r="AD57" s="130"/>
      <c r="AE57" s="130"/>
      <c r="AF57" s="130"/>
      <c r="AG57" s="130"/>
      <c r="AH57" s="130"/>
      <c r="AI57" s="130"/>
      <c r="AJ57" s="130"/>
      <c r="AK57" s="130"/>
      <c r="AL57" s="131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31</v>
      </c>
      <c r="S58" s="90"/>
      <c r="T58" s="90"/>
      <c r="U58" s="91"/>
      <c r="V58" s="95"/>
      <c r="W58" s="96"/>
      <c r="X58" s="96"/>
      <c r="Y58" s="96"/>
      <c r="Z58" s="96"/>
      <c r="AA58" s="97"/>
      <c r="AB58" s="13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4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01" t="s">
        <v>32</v>
      </c>
      <c r="AC59" s="102"/>
      <c r="AD59" s="102"/>
      <c r="AE59" s="103"/>
      <c r="AF59" s="95"/>
      <c r="AG59" s="96"/>
      <c r="AH59" s="96"/>
      <c r="AI59" s="96"/>
      <c r="AJ59" s="96"/>
      <c r="AK59" s="96"/>
      <c r="AL59" s="136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33</v>
      </c>
      <c r="S60" s="90"/>
      <c r="T60" s="90"/>
      <c r="U60" s="91"/>
      <c r="V60" s="95"/>
      <c r="W60" s="96"/>
      <c r="X60" s="96"/>
      <c r="Y60" s="96"/>
      <c r="Z60" s="96"/>
      <c r="AA60" s="97"/>
      <c r="AB60" s="123"/>
      <c r="AC60" s="124"/>
      <c r="AD60" s="124"/>
      <c r="AE60" s="135"/>
      <c r="AF60" s="137"/>
      <c r="AG60" s="138"/>
      <c r="AH60" s="138"/>
      <c r="AI60" s="138"/>
      <c r="AJ60" s="138"/>
      <c r="AK60" s="138"/>
      <c r="AL60" s="139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34</v>
      </c>
      <c r="AC61" s="102"/>
      <c r="AD61" s="102"/>
      <c r="AE61" s="103"/>
      <c r="AF61" s="137"/>
      <c r="AG61" s="138"/>
      <c r="AH61" s="138"/>
      <c r="AI61" s="138"/>
      <c r="AJ61" s="138"/>
      <c r="AK61" s="138"/>
      <c r="AL61" s="139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0"/>
      <c r="S62" s="96"/>
      <c r="T62" s="96"/>
      <c r="U62" s="96"/>
      <c r="V62" s="96"/>
      <c r="W62" s="96"/>
      <c r="X62" s="96"/>
      <c r="Y62" s="96"/>
      <c r="Z62" s="96"/>
      <c r="AA62" s="97"/>
      <c r="AB62" s="104"/>
      <c r="AC62" s="105"/>
      <c r="AD62" s="105"/>
      <c r="AE62" s="106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111"/>
      <c r="S63" s="112"/>
      <c r="T63" s="112"/>
      <c r="U63" s="112"/>
      <c r="V63" s="112"/>
      <c r="W63" s="112"/>
      <c r="X63" s="112"/>
      <c r="Y63" s="112"/>
      <c r="Z63" s="112"/>
      <c r="AA63" s="113"/>
      <c r="AB63" s="107"/>
      <c r="AC63" s="108"/>
      <c r="AD63" s="108"/>
      <c r="AE63" s="109"/>
      <c r="AF63" s="140"/>
      <c r="AG63" s="112"/>
      <c r="AH63" s="112"/>
      <c r="AI63" s="112"/>
      <c r="AJ63" s="112"/>
      <c r="AK63" s="112"/>
      <c r="AL63" s="141"/>
    </row>
  </sheetData>
  <mergeCells count="34">
    <mergeCell ref="C6:D7"/>
    <mergeCell ref="F6:J7"/>
    <mergeCell ref="F8:K9"/>
    <mergeCell ref="P8:V9"/>
    <mergeCell ref="Z8:AB9"/>
    <mergeCell ref="R54:U55"/>
    <mergeCell ref="V54:AA55"/>
    <mergeCell ref="AB54:AL55"/>
    <mergeCell ref="AB56:AL58"/>
    <mergeCell ref="R58:U59"/>
    <mergeCell ref="V58:AA59"/>
    <mergeCell ref="AB59:AE60"/>
    <mergeCell ref="R56:U57"/>
    <mergeCell ref="V56:AA57"/>
    <mergeCell ref="AF59:AL63"/>
    <mergeCell ref="R60:U61"/>
    <mergeCell ref="V60:AA61"/>
    <mergeCell ref="AB61:AE63"/>
    <mergeCell ref="R62:AA63"/>
    <mergeCell ref="H20:K20"/>
    <mergeCell ref="H21:K21"/>
    <mergeCell ref="H22:K22"/>
    <mergeCell ref="E6:E7"/>
    <mergeCell ref="E8:E9"/>
    <mergeCell ref="H15:K15"/>
    <mergeCell ref="H16:K16"/>
    <mergeCell ref="H17:K17"/>
    <mergeCell ref="H18:K18"/>
    <mergeCell ref="H19:K19"/>
    <mergeCell ref="L8:O8"/>
    <mergeCell ref="W8:Y8"/>
    <mergeCell ref="L9:O9"/>
    <mergeCell ref="W9:Y9"/>
    <mergeCell ref="H14:K14"/>
  </mergeCells>
  <phoneticPr fontId="22" type="noConversion"/>
  <pageMargins left="0.70866141732283505" right="0.26" top="0.27559055118110198" bottom="0.31496062992126" header="0.15748031496063" footer="0.15748031496063"/>
  <pageSetup paperSize="9" scale="94" orientation="portrait" horizont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V63"/>
  <sheetViews>
    <sheetView view="pageBreakPreview" zoomScaleNormal="100" zoomScaleSheetLayoutView="100" workbookViewId="0">
      <selection activeCell="AB19" sqref="AB19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44"/>
    </row>
    <row r="3" spans="1:38" ht="15" customHeight="1">
      <c r="A3" s="14"/>
      <c r="B3" s="13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44"/>
    </row>
    <row r="4" spans="1:38" ht="25.5">
      <c r="A4" s="14"/>
      <c r="B4" s="13"/>
      <c r="D4" s="14"/>
      <c r="E4" s="76" t="s">
        <v>41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88" t="s">
        <v>1</v>
      </c>
      <c r="D6" s="88"/>
      <c r="E6" s="88" t="s">
        <v>2</v>
      </c>
      <c r="F6" s="88" t="s">
        <v>3</v>
      </c>
      <c r="G6" s="88"/>
      <c r="H6" s="88"/>
      <c r="I6" s="88"/>
      <c r="J6" s="88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88"/>
      <c r="D7" s="88"/>
      <c r="E7" s="88"/>
      <c r="F7" s="88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E8" s="88" t="s">
        <v>2</v>
      </c>
      <c r="F8" s="143" t="s">
        <v>4</v>
      </c>
      <c r="G8" s="143"/>
      <c r="H8" s="143"/>
      <c r="I8" s="143"/>
      <c r="J8" s="143"/>
      <c r="K8" s="143"/>
      <c r="L8" s="80" t="s">
        <v>5</v>
      </c>
      <c r="M8" s="80"/>
      <c r="N8" s="80"/>
      <c r="O8" s="80"/>
      <c r="P8" s="88" t="s">
        <v>6</v>
      </c>
      <c r="Q8" s="88"/>
      <c r="R8" s="88"/>
      <c r="S8" s="88"/>
      <c r="T8" s="88"/>
      <c r="U8" s="88"/>
      <c r="V8" s="88"/>
      <c r="W8" s="80" t="s">
        <v>7</v>
      </c>
      <c r="X8" s="80"/>
      <c r="Y8" s="80"/>
      <c r="Z8" s="88" t="s">
        <v>8</v>
      </c>
      <c r="AA8" s="88"/>
      <c r="AB8" s="88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E9" s="88"/>
      <c r="F9" s="143"/>
      <c r="G9" s="143"/>
      <c r="H9" s="143"/>
      <c r="I9" s="143"/>
      <c r="J9" s="143"/>
      <c r="K9" s="143"/>
      <c r="L9" s="81">
        <v>0.1013</v>
      </c>
      <c r="M9" s="81"/>
      <c r="N9" s="81"/>
      <c r="O9" s="81"/>
      <c r="P9" s="88"/>
      <c r="Q9" s="88"/>
      <c r="R9" s="88"/>
      <c r="S9" s="88"/>
      <c r="T9" s="88"/>
      <c r="U9" s="88"/>
      <c r="V9" s="88"/>
      <c r="W9" s="81">
        <v>0.1013</v>
      </c>
      <c r="X9" s="81"/>
      <c r="Y9" s="81"/>
      <c r="Z9" s="88"/>
      <c r="AA9" s="88"/>
      <c r="AB9" s="88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>
      <c r="A10" s="14"/>
      <c r="B10" s="13"/>
      <c r="C10" s="18" t="s">
        <v>9</v>
      </c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>
      <c r="A11" s="14"/>
      <c r="B11" s="13"/>
      <c r="C11" s="16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>
      <c r="A12" s="14"/>
      <c r="B12" s="13"/>
      <c r="C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 ht="16.5">
      <c r="A13" s="14"/>
      <c r="B13" s="13"/>
      <c r="C13" s="15"/>
      <c r="F13" s="77"/>
      <c r="G13" s="16" t="s">
        <v>1</v>
      </c>
      <c r="H13" s="16" t="s">
        <v>10</v>
      </c>
      <c r="I13" s="99">
        <f>I20+I21</f>
        <v>204.18279187378315</v>
      </c>
      <c r="J13" s="99"/>
      <c r="K13" s="99"/>
      <c r="L13" s="99"/>
      <c r="M13" s="16"/>
      <c r="N13" s="16"/>
      <c r="O13" s="16"/>
      <c r="P13" s="16"/>
      <c r="Q13" s="15" t="s">
        <v>11</v>
      </c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6.5">
      <c r="A14" s="14"/>
      <c r="B14" s="13"/>
      <c r="C14" s="16"/>
      <c r="G14" s="16" t="s">
        <v>12</v>
      </c>
      <c r="H14" s="16" t="s">
        <v>10</v>
      </c>
      <c r="I14" s="83">
        <f>PI()*150^2</f>
        <v>70685.83470577035</v>
      </c>
      <c r="J14" s="83"/>
      <c r="K14" s="83"/>
      <c r="L14" s="83"/>
      <c r="M14" s="16"/>
      <c r="N14" s="16"/>
      <c r="O14" s="16"/>
      <c r="P14" s="16"/>
      <c r="Q14" s="15" t="s">
        <v>13</v>
      </c>
      <c r="V14" s="16"/>
      <c r="W14" s="16"/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6.5">
      <c r="A15" s="14"/>
      <c r="B15" s="13"/>
      <c r="C15" s="16"/>
      <c r="G15" s="16" t="s">
        <v>14</v>
      </c>
      <c r="H15" s="16" t="s">
        <v>10</v>
      </c>
      <c r="I15" s="83">
        <f>PI()*(150^2-35^2)</f>
        <v>66837.383705122847</v>
      </c>
      <c r="J15" s="83"/>
      <c r="K15" s="83"/>
      <c r="L15" s="83"/>
      <c r="M15" s="16"/>
      <c r="N15" s="16"/>
      <c r="O15" s="16"/>
      <c r="P15" s="16"/>
      <c r="Q15" s="15" t="s">
        <v>15</v>
      </c>
      <c r="V15" s="16"/>
      <c r="W15" s="16"/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>
      <c r="A16" s="14"/>
      <c r="B16" s="13"/>
      <c r="C16" s="16"/>
      <c r="G16" s="16" t="s">
        <v>16</v>
      </c>
      <c r="H16" s="16" t="s">
        <v>10</v>
      </c>
      <c r="I16" s="84">
        <v>300</v>
      </c>
      <c r="J16" s="84"/>
      <c r="K16" s="84"/>
      <c r="L16" s="84"/>
      <c r="M16" s="16"/>
      <c r="N16" s="16"/>
      <c r="O16" s="16"/>
      <c r="P16" s="16"/>
      <c r="Q16" s="15" t="s">
        <v>17</v>
      </c>
      <c r="V16" s="16"/>
      <c r="W16" s="16"/>
      <c r="X16" s="79"/>
      <c r="Y16" s="79"/>
      <c r="Z16" s="79"/>
      <c r="AA16" s="79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>
      <c r="A17" s="14"/>
      <c r="B17" s="13"/>
      <c r="C17" s="16"/>
      <c r="G17" s="16" t="s">
        <v>7</v>
      </c>
      <c r="H17" s="16" t="s">
        <v>10</v>
      </c>
      <c r="I17" s="84">
        <v>0.4</v>
      </c>
      <c r="J17" s="84"/>
      <c r="K17" s="84"/>
      <c r="L17" s="84"/>
      <c r="M17" s="16"/>
      <c r="N17" s="16"/>
      <c r="O17" s="16"/>
      <c r="P17" s="16"/>
      <c r="Q17" s="15" t="s">
        <v>18</v>
      </c>
      <c r="V17" s="16"/>
      <c r="W17" s="16"/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>
      <c r="A18" s="14"/>
      <c r="B18" s="13"/>
      <c r="C18" s="16"/>
      <c r="G18" s="16" t="s">
        <v>19</v>
      </c>
      <c r="H18" s="16" t="s">
        <v>10</v>
      </c>
      <c r="I18" s="85">
        <v>1000</v>
      </c>
      <c r="J18" s="85"/>
      <c r="K18" s="85"/>
      <c r="L18" s="85"/>
      <c r="M18" s="16"/>
      <c r="N18" s="16"/>
      <c r="O18" s="16"/>
      <c r="P18" s="16"/>
      <c r="Q18" s="15" t="s">
        <v>20</v>
      </c>
      <c r="V18" s="16"/>
      <c r="W18" s="16"/>
      <c r="X18" s="16"/>
      <c r="Y18" s="16"/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6"/>
      <c r="G19" s="16" t="s">
        <v>21</v>
      </c>
      <c r="H19" s="16" t="s">
        <v>10</v>
      </c>
      <c r="I19" s="84">
        <v>2</v>
      </c>
      <c r="J19" s="84"/>
      <c r="K19" s="84"/>
      <c r="L19" s="84"/>
      <c r="M19" s="18"/>
      <c r="N19" s="18"/>
      <c r="O19" s="16"/>
      <c r="P19" s="16"/>
      <c r="Q19" s="15" t="s">
        <v>22</v>
      </c>
      <c r="V19" s="16"/>
      <c r="W19" s="16"/>
      <c r="X19" s="16"/>
      <c r="Y19" s="16"/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G20" s="16" t="s">
        <v>23</v>
      </c>
      <c r="H20" s="16" t="s">
        <v>10</v>
      </c>
      <c r="I20" s="86">
        <f>(I14+I15)*I16*(I17+0.1013)/0.1013*10^-6</f>
        <v>204.16699720448403</v>
      </c>
      <c r="J20" s="86"/>
      <c r="K20" s="86"/>
      <c r="L20" s="86"/>
      <c r="M20" s="16"/>
      <c r="N20" s="16"/>
      <c r="O20" s="16"/>
      <c r="P20" s="16"/>
      <c r="Q20" s="15" t="s">
        <v>24</v>
      </c>
      <c r="V20" s="79"/>
      <c r="W20" s="79"/>
      <c r="X20" s="16"/>
      <c r="Y20" s="16"/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6"/>
      <c r="G21" s="16" t="s">
        <v>25</v>
      </c>
      <c r="H21" s="16" t="s">
        <v>10</v>
      </c>
      <c r="I21" s="86">
        <f>2*I19*I18*I17/0.1013*10^-6</f>
        <v>1.5794669299111549E-2</v>
      </c>
      <c r="J21" s="86"/>
      <c r="K21" s="86"/>
      <c r="L21" s="86"/>
      <c r="M21" s="16"/>
      <c r="N21" s="16"/>
      <c r="O21" s="16"/>
      <c r="P21" s="16"/>
      <c r="Q21" s="15" t="s">
        <v>26</v>
      </c>
      <c r="V21" s="16"/>
      <c r="W21" s="16"/>
      <c r="X21" s="16"/>
      <c r="Y21" s="16"/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V22" s="16"/>
      <c r="W22" s="16"/>
      <c r="X22" s="16"/>
      <c r="Y22" s="16"/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8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W24" s="16"/>
      <c r="X24" s="16"/>
      <c r="Y24" s="16"/>
      <c r="Z24" s="16"/>
      <c r="AA24" s="37"/>
      <c r="AB24" s="37"/>
      <c r="AC24" s="37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6"/>
      <c r="D25" s="16"/>
      <c r="E25" s="74"/>
      <c r="F25" s="74"/>
      <c r="G25" s="74"/>
      <c r="H25" s="16"/>
      <c r="I25" s="16"/>
      <c r="J25" s="78"/>
      <c r="K25" s="78"/>
      <c r="W25" s="16"/>
      <c r="X25" s="16"/>
      <c r="Y25" s="16"/>
      <c r="Z25" s="16"/>
      <c r="AA25" s="37"/>
      <c r="AB25" s="37"/>
      <c r="AC25" s="37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74"/>
      <c r="F26" s="74"/>
      <c r="G26" s="74"/>
      <c r="H26" s="16"/>
      <c r="I26" s="16"/>
      <c r="J26" s="78"/>
      <c r="K26" s="78"/>
      <c r="W26" s="16"/>
      <c r="X26" s="16"/>
      <c r="Y26" s="16"/>
      <c r="Z26" s="16"/>
      <c r="AA26" s="37"/>
      <c r="AB26" s="37"/>
      <c r="AC26" s="37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78"/>
      <c r="K27" s="78"/>
      <c r="W27" s="16"/>
      <c r="X27" s="16"/>
      <c r="Y27" s="16"/>
      <c r="Z27" s="16"/>
      <c r="AA27" s="37"/>
      <c r="AB27" s="37"/>
      <c r="AC27" s="37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78"/>
      <c r="K28" s="78"/>
      <c r="W28" s="16"/>
      <c r="X28" s="16"/>
      <c r="Y28" s="16"/>
      <c r="Z28" s="16"/>
      <c r="AA28" s="37"/>
      <c r="AB28" s="37"/>
      <c r="AC28" s="37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78"/>
      <c r="K29" s="78"/>
      <c r="W29" s="16"/>
      <c r="X29" s="16"/>
      <c r="Y29" s="16"/>
      <c r="Z29" s="16"/>
      <c r="AA29" s="37"/>
      <c r="AB29" s="37"/>
      <c r="AC29" s="37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78"/>
      <c r="K30" s="78"/>
      <c r="W30" s="16"/>
      <c r="X30" s="16"/>
      <c r="Y30" s="16"/>
      <c r="Z30" s="16"/>
      <c r="AA30" s="37"/>
      <c r="AB30" s="37"/>
      <c r="AC30" s="37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78"/>
      <c r="K31" s="78"/>
      <c r="W31" s="16"/>
      <c r="X31" s="16"/>
      <c r="Y31" s="16"/>
      <c r="Z31" s="16"/>
      <c r="AA31" s="37"/>
      <c r="AB31" s="37"/>
      <c r="AC31" s="37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78"/>
      <c r="K32" s="78"/>
      <c r="W32" s="16"/>
      <c r="X32" s="16"/>
      <c r="Y32" s="16"/>
      <c r="Z32" s="16"/>
      <c r="AA32" s="37"/>
      <c r="AB32" s="37"/>
      <c r="AC32" s="37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78"/>
      <c r="K33" s="78"/>
      <c r="L33" s="78"/>
      <c r="M33" s="78"/>
      <c r="N33" s="78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78"/>
      <c r="K34" s="78"/>
      <c r="L34" s="78"/>
      <c r="M34" s="78"/>
      <c r="N34" s="78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7"/>
      <c r="Z39" s="37"/>
      <c r="AA39" s="37"/>
      <c r="AB39" s="37"/>
      <c r="AC39" s="37"/>
      <c r="AD39" s="16"/>
      <c r="AE39" s="16"/>
      <c r="AF39" s="16"/>
      <c r="AG39" s="16"/>
      <c r="AH39" s="16"/>
      <c r="AI39" s="16"/>
      <c r="AJ39" s="16"/>
      <c r="AK39" s="16"/>
      <c r="AL39" s="44"/>
    </row>
    <row r="40" spans="1:38" ht="15" customHeight="1"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7"/>
      <c r="AA40" s="37"/>
      <c r="AB40" s="37"/>
      <c r="AC40" s="37"/>
      <c r="AD40" s="37"/>
      <c r="AE40" s="16"/>
      <c r="AF40" s="16"/>
      <c r="AG40" s="16"/>
      <c r="AH40" s="16"/>
      <c r="AI40" s="16"/>
      <c r="AJ40" s="16"/>
      <c r="AK40" s="16"/>
      <c r="AL40" s="44"/>
    </row>
    <row r="41" spans="1:38" ht="15" customHeight="1"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37"/>
      <c r="AB41" s="37"/>
      <c r="AC41" s="37"/>
      <c r="AD41" s="37"/>
      <c r="AE41" s="37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37"/>
      <c r="AB42" s="37"/>
      <c r="AC42" s="37"/>
      <c r="AD42" s="37"/>
      <c r="AE42" s="37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36"/>
      <c r="AB52" s="36"/>
      <c r="AC52" s="36"/>
      <c r="AD52" s="36"/>
      <c r="AE52" s="36"/>
      <c r="AF52" s="14"/>
      <c r="AG52" s="14"/>
      <c r="AH52" s="14"/>
      <c r="AI52" s="14"/>
      <c r="AJ52" s="14"/>
      <c r="AK52" s="14"/>
      <c r="AL52" s="44"/>
    </row>
    <row r="53" spans="2:38" ht="15" customHeight="1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14"/>
      <c r="S53" s="14"/>
      <c r="T53" s="14"/>
      <c r="U53" s="14"/>
      <c r="V53" s="14"/>
      <c r="W53" s="14"/>
      <c r="X53" s="14"/>
      <c r="Y53" s="14"/>
      <c r="Z53" s="14"/>
      <c r="AA53" s="36"/>
      <c r="AB53" s="36"/>
      <c r="AC53" s="36"/>
      <c r="AD53" s="36"/>
      <c r="AE53" s="36"/>
      <c r="AF53" s="14"/>
      <c r="AG53" s="14"/>
      <c r="AH53" s="14"/>
      <c r="AI53" s="14"/>
      <c r="AJ53" s="14"/>
      <c r="AK53" s="14"/>
      <c r="AL53" s="44"/>
    </row>
    <row r="54" spans="2:38" ht="9.9499999999999993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4" t="s">
        <v>27</v>
      </c>
      <c r="S54" s="115"/>
      <c r="T54" s="115"/>
      <c r="U54" s="116"/>
      <c r="V54" s="117"/>
      <c r="W54" s="118"/>
      <c r="X54" s="118"/>
      <c r="Y54" s="118"/>
      <c r="Z54" s="118"/>
      <c r="AA54" s="119"/>
      <c r="AB54" s="120" t="s">
        <v>28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2"/>
    </row>
    <row r="55" spans="2:38" ht="9.9499999999999993" customHeight="1"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92"/>
      <c r="S55" s="93"/>
      <c r="T55" s="93"/>
      <c r="U55" s="94"/>
      <c r="V55" s="98"/>
      <c r="W55" s="99"/>
      <c r="X55" s="99"/>
      <c r="Y55" s="99"/>
      <c r="Z55" s="99"/>
      <c r="AA55" s="100"/>
      <c r="AB55" s="123"/>
      <c r="AC55" s="124"/>
      <c r="AD55" s="124"/>
      <c r="AE55" s="124"/>
      <c r="AF55" s="124"/>
      <c r="AG55" s="124"/>
      <c r="AH55" s="124"/>
      <c r="AI55" s="124"/>
      <c r="AJ55" s="124"/>
      <c r="AK55" s="124"/>
      <c r="AL55" s="125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89" t="s">
        <v>29</v>
      </c>
      <c r="S56" s="90"/>
      <c r="T56" s="90"/>
      <c r="U56" s="91"/>
      <c r="V56" s="95"/>
      <c r="W56" s="96"/>
      <c r="X56" s="96"/>
      <c r="Y56" s="96"/>
      <c r="Z56" s="96"/>
      <c r="AA56" s="97"/>
      <c r="AB56" s="126" t="s">
        <v>42</v>
      </c>
      <c r="AC56" s="127"/>
      <c r="AD56" s="127"/>
      <c r="AE56" s="127"/>
      <c r="AF56" s="127"/>
      <c r="AG56" s="127"/>
      <c r="AH56" s="127"/>
      <c r="AI56" s="127"/>
      <c r="AJ56" s="127"/>
      <c r="AK56" s="127"/>
      <c r="AL56" s="128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9"/>
      <c r="AC57" s="130"/>
      <c r="AD57" s="130"/>
      <c r="AE57" s="130"/>
      <c r="AF57" s="130"/>
      <c r="AG57" s="130"/>
      <c r="AH57" s="130"/>
      <c r="AI57" s="130"/>
      <c r="AJ57" s="130"/>
      <c r="AK57" s="130"/>
      <c r="AL57" s="131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31</v>
      </c>
      <c r="S58" s="90"/>
      <c r="T58" s="90"/>
      <c r="U58" s="91"/>
      <c r="V58" s="95"/>
      <c r="W58" s="96"/>
      <c r="X58" s="96"/>
      <c r="Y58" s="96"/>
      <c r="Z58" s="96"/>
      <c r="AA58" s="97"/>
      <c r="AB58" s="132"/>
      <c r="AC58" s="133"/>
      <c r="AD58" s="133"/>
      <c r="AE58" s="133"/>
      <c r="AF58" s="133"/>
      <c r="AG58" s="133"/>
      <c r="AH58" s="133"/>
      <c r="AI58" s="133"/>
      <c r="AJ58" s="133"/>
      <c r="AK58" s="133"/>
      <c r="AL58" s="134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01" t="s">
        <v>32</v>
      </c>
      <c r="AC59" s="102"/>
      <c r="AD59" s="102"/>
      <c r="AE59" s="103"/>
      <c r="AF59" s="95"/>
      <c r="AG59" s="96"/>
      <c r="AH59" s="96"/>
      <c r="AI59" s="96"/>
      <c r="AJ59" s="96"/>
      <c r="AK59" s="96"/>
      <c r="AL59" s="136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33</v>
      </c>
      <c r="S60" s="90"/>
      <c r="T60" s="90"/>
      <c r="U60" s="91"/>
      <c r="V60" s="95"/>
      <c r="W60" s="96"/>
      <c r="X60" s="96"/>
      <c r="Y60" s="96"/>
      <c r="Z60" s="96"/>
      <c r="AA60" s="97"/>
      <c r="AB60" s="123"/>
      <c r="AC60" s="124"/>
      <c r="AD60" s="124"/>
      <c r="AE60" s="135"/>
      <c r="AF60" s="137"/>
      <c r="AG60" s="138"/>
      <c r="AH60" s="138"/>
      <c r="AI60" s="138"/>
      <c r="AJ60" s="138"/>
      <c r="AK60" s="138"/>
      <c r="AL60" s="139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34</v>
      </c>
      <c r="AC61" s="102"/>
      <c r="AD61" s="102"/>
      <c r="AE61" s="103"/>
      <c r="AF61" s="137"/>
      <c r="AG61" s="138"/>
      <c r="AH61" s="138"/>
      <c r="AI61" s="138"/>
      <c r="AJ61" s="138"/>
      <c r="AK61" s="138"/>
      <c r="AL61" s="139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0"/>
      <c r="S62" s="96"/>
      <c r="T62" s="96"/>
      <c r="U62" s="96"/>
      <c r="V62" s="96"/>
      <c r="W62" s="96"/>
      <c r="X62" s="96"/>
      <c r="Y62" s="96"/>
      <c r="Z62" s="96"/>
      <c r="AA62" s="97"/>
      <c r="AB62" s="104"/>
      <c r="AC62" s="105"/>
      <c r="AD62" s="105"/>
      <c r="AE62" s="106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111"/>
      <c r="S63" s="112"/>
      <c r="T63" s="112"/>
      <c r="U63" s="112"/>
      <c r="V63" s="112"/>
      <c r="W63" s="112"/>
      <c r="X63" s="112"/>
      <c r="Y63" s="112"/>
      <c r="Z63" s="112"/>
      <c r="AA63" s="113"/>
      <c r="AB63" s="107"/>
      <c r="AC63" s="108"/>
      <c r="AD63" s="108"/>
      <c r="AE63" s="109"/>
      <c r="AF63" s="140"/>
      <c r="AG63" s="112"/>
      <c r="AH63" s="112"/>
      <c r="AI63" s="112"/>
      <c r="AJ63" s="112"/>
      <c r="AK63" s="112"/>
      <c r="AL63" s="141"/>
    </row>
  </sheetData>
  <mergeCells count="34">
    <mergeCell ref="R56:U57"/>
    <mergeCell ref="V56:AA57"/>
    <mergeCell ref="AB56:AL58"/>
    <mergeCell ref="R58:U59"/>
    <mergeCell ref="V58:AA59"/>
    <mergeCell ref="AB59:AE60"/>
    <mergeCell ref="AF59:AL63"/>
    <mergeCell ref="R60:U61"/>
    <mergeCell ref="V60:AA61"/>
    <mergeCell ref="AB61:AE63"/>
    <mergeCell ref="R62:AA63"/>
    <mergeCell ref="C6:D7"/>
    <mergeCell ref="F6:J7"/>
    <mergeCell ref="R54:U55"/>
    <mergeCell ref="V54:AA55"/>
    <mergeCell ref="AB54:AL55"/>
    <mergeCell ref="Z8:AB9"/>
    <mergeCell ref="F8:K9"/>
    <mergeCell ref="P8:V9"/>
    <mergeCell ref="I19:L19"/>
    <mergeCell ref="I20:L20"/>
    <mergeCell ref="I21:L21"/>
    <mergeCell ref="E6:E7"/>
    <mergeCell ref="E8:E9"/>
    <mergeCell ref="I14:L14"/>
    <mergeCell ref="I15:L15"/>
    <mergeCell ref="I16:L16"/>
    <mergeCell ref="I17:L17"/>
    <mergeCell ref="I18:L18"/>
    <mergeCell ref="L8:O8"/>
    <mergeCell ref="W8:Y8"/>
    <mergeCell ref="L9:O9"/>
    <mergeCell ref="W9:Y9"/>
    <mergeCell ref="I13:L13"/>
  </mergeCells>
  <phoneticPr fontId="22" type="noConversion"/>
  <pageMargins left="0.70866141732283505" right="0.26" top="0.27559055118110198" bottom="0.31496062992126" header="0.15748031496063" footer="0.15748031496063"/>
  <pageSetup paperSize="9" scale="94" orientation="portrait" horizont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65"/>
  <sheetViews>
    <sheetView view="pageBreakPreview" zoomScaleNormal="100" zoomScaleSheetLayoutView="100" workbookViewId="0">
      <selection activeCell="C2" sqref="C2:AK3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145" t="s">
        <v>43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44"/>
    </row>
    <row r="3" spans="1:38" ht="15" customHeight="1">
      <c r="A3" s="14"/>
      <c r="B3" s="13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44"/>
    </row>
    <row r="4" spans="1:38" ht="15" customHeight="1">
      <c r="A4" s="14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15" t="s">
        <v>44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C8" s="88" t="s">
        <v>45</v>
      </c>
      <c r="D8" s="88"/>
      <c r="E8" s="88" t="s">
        <v>2</v>
      </c>
      <c r="F8" s="80" t="s">
        <v>46</v>
      </c>
      <c r="G8" s="80"/>
      <c r="H8" s="17" t="s">
        <v>47</v>
      </c>
      <c r="I8" s="80" t="s">
        <v>48</v>
      </c>
      <c r="J8" s="80"/>
      <c r="K8" s="18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37"/>
      <c r="AB8" s="37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C9" s="88"/>
      <c r="D9" s="88"/>
      <c r="E9" s="88"/>
      <c r="F9" s="88" t="s">
        <v>49</v>
      </c>
      <c r="G9" s="88"/>
      <c r="H9" s="16" t="s">
        <v>50</v>
      </c>
      <c r="I9" s="88" t="s">
        <v>48</v>
      </c>
      <c r="J9" s="88"/>
      <c r="K9" s="18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37"/>
      <c r="AB9" s="37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 customHeight="1">
      <c r="A10" s="14"/>
      <c r="B10" s="13"/>
      <c r="C10" s="18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 ht="15" customHeight="1">
      <c r="A11" s="14"/>
      <c r="B11" s="13"/>
      <c r="C11" s="16"/>
      <c r="D11" s="16" t="s">
        <v>45</v>
      </c>
      <c r="E11" s="16" t="s">
        <v>10</v>
      </c>
      <c r="F11" s="144">
        <f>F12*F13^(1/F15)/(F14^(1/F15)-F13^(1/F15))</f>
        <v>36.213203435596419</v>
      </c>
      <c r="G11" s="144"/>
      <c r="H11" s="144"/>
      <c r="I11" s="144"/>
      <c r="J11" s="16"/>
      <c r="K11" s="16"/>
      <c r="L11" s="16"/>
      <c r="M11" s="16"/>
      <c r="N11" s="15" t="s">
        <v>51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 ht="15" customHeight="1">
      <c r="A12" s="14"/>
      <c r="B12" s="13"/>
      <c r="C12" s="16"/>
      <c r="D12" s="16" t="s">
        <v>46</v>
      </c>
      <c r="E12" s="16" t="s">
        <v>10</v>
      </c>
      <c r="F12" s="80">
        <v>15</v>
      </c>
      <c r="G12" s="80"/>
      <c r="H12" s="80"/>
      <c r="I12" s="80"/>
      <c r="J12" s="16"/>
      <c r="K12" s="16"/>
      <c r="L12" s="16"/>
      <c r="M12" s="16"/>
      <c r="N12" s="15" t="s">
        <v>52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 ht="15" customHeight="1">
      <c r="A13" s="14"/>
      <c r="B13" s="13"/>
      <c r="C13" s="16"/>
      <c r="D13" s="16" t="s">
        <v>53</v>
      </c>
      <c r="E13" s="16" t="s">
        <v>10</v>
      </c>
      <c r="F13" s="80">
        <v>4</v>
      </c>
      <c r="G13" s="80"/>
      <c r="H13" s="80"/>
      <c r="I13" s="80"/>
      <c r="J13" s="16"/>
      <c r="K13" s="16"/>
      <c r="L13" s="16"/>
      <c r="M13" s="16"/>
      <c r="N13" s="15" t="s">
        <v>54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5" customHeight="1">
      <c r="A14" s="14"/>
      <c r="B14" s="13"/>
      <c r="C14" s="16"/>
      <c r="D14" s="16" t="s">
        <v>55</v>
      </c>
      <c r="E14" s="16" t="s">
        <v>10</v>
      </c>
      <c r="F14" s="80">
        <v>8</v>
      </c>
      <c r="G14" s="80"/>
      <c r="H14" s="80"/>
      <c r="I14" s="80"/>
      <c r="J14" s="16"/>
      <c r="K14" s="16"/>
      <c r="L14" s="16"/>
      <c r="M14" s="16"/>
      <c r="N14" s="15" t="s">
        <v>56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5" customHeight="1">
      <c r="A15" s="14"/>
      <c r="B15" s="13"/>
      <c r="C15" s="15"/>
      <c r="D15" s="16" t="s">
        <v>57</v>
      </c>
      <c r="E15" s="16" t="s">
        <v>10</v>
      </c>
      <c r="F15" s="80">
        <v>2</v>
      </c>
      <c r="G15" s="80"/>
      <c r="H15" s="80"/>
      <c r="I15" s="80"/>
      <c r="J15" s="16"/>
      <c r="K15" s="16"/>
      <c r="L15" s="16"/>
      <c r="M15" s="16"/>
      <c r="N15" s="15" t="s">
        <v>58</v>
      </c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 ht="15" customHeight="1">
      <c r="A16" s="14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37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 ht="15" customHeight="1">
      <c r="A17" s="14"/>
      <c r="B17" s="13"/>
      <c r="C17" s="16"/>
      <c r="D17" s="16"/>
      <c r="E17" s="16"/>
      <c r="F17" s="16"/>
      <c r="G17" s="16"/>
      <c r="H17" s="16"/>
      <c r="I17" s="16"/>
      <c r="J17" s="18"/>
      <c r="K17" s="1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 ht="15" customHeight="1">
      <c r="A18" s="14"/>
      <c r="B18" s="13"/>
      <c r="C18" s="16"/>
      <c r="D18" s="16"/>
      <c r="E18" s="16"/>
      <c r="G18" s="16"/>
      <c r="H18" s="16"/>
      <c r="I18" s="16"/>
      <c r="J18" s="18"/>
      <c r="K18" s="1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8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D20" s="16"/>
      <c r="E20" s="16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5" t="s">
        <v>59</v>
      </c>
      <c r="D21" s="16"/>
      <c r="E21" s="16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D22" s="16"/>
      <c r="E22" s="16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6"/>
      <c r="D23" s="16"/>
      <c r="E23" s="16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37"/>
      <c r="AB24" s="37"/>
      <c r="AC24" s="37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8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37"/>
      <c r="AB25" s="37"/>
      <c r="AC25" s="37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37"/>
      <c r="AB26" s="37"/>
      <c r="AC26" s="37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74"/>
      <c r="F27" s="74"/>
      <c r="G27" s="74"/>
      <c r="H27" s="16"/>
      <c r="I27" s="16"/>
      <c r="J27" s="87"/>
      <c r="K27" s="87"/>
      <c r="L27" s="87"/>
      <c r="M27" s="87"/>
      <c r="N27" s="87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37"/>
      <c r="AB27" s="37"/>
      <c r="AC27" s="37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74"/>
      <c r="F28" s="74"/>
      <c r="G28" s="74"/>
      <c r="H28" s="16"/>
      <c r="I28" s="16"/>
      <c r="J28" s="87"/>
      <c r="K28" s="87"/>
      <c r="L28" s="87"/>
      <c r="M28" s="87"/>
      <c r="N28" s="87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37"/>
      <c r="AB28" s="37"/>
      <c r="AC28" s="37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74"/>
      <c r="F29" s="74"/>
      <c r="G29" s="74"/>
      <c r="H29" s="16"/>
      <c r="I29" s="16"/>
      <c r="J29" s="87"/>
      <c r="K29" s="87"/>
      <c r="L29" s="87"/>
      <c r="M29" s="87"/>
      <c r="N29" s="87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37"/>
      <c r="AB29" s="37"/>
      <c r="AC29" s="37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74"/>
      <c r="F30" s="74"/>
      <c r="G30" s="74"/>
      <c r="H30" s="16"/>
      <c r="I30" s="16"/>
      <c r="J30" s="87"/>
      <c r="K30" s="87"/>
      <c r="L30" s="87"/>
      <c r="M30" s="87"/>
      <c r="N30" s="87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37"/>
      <c r="AB30" s="37"/>
      <c r="AC30" s="37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74"/>
      <c r="F31" s="74"/>
      <c r="G31" s="74"/>
      <c r="H31" s="16"/>
      <c r="I31" s="16"/>
      <c r="J31" s="87"/>
      <c r="K31" s="87"/>
      <c r="L31" s="87"/>
      <c r="M31" s="87"/>
      <c r="N31" s="87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37"/>
      <c r="AB31" s="37"/>
      <c r="AC31" s="37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74"/>
      <c r="F32" s="74"/>
      <c r="G32" s="74"/>
      <c r="H32" s="16"/>
      <c r="I32" s="16"/>
      <c r="J32" s="87"/>
      <c r="K32" s="87"/>
      <c r="L32" s="87"/>
      <c r="M32" s="87"/>
      <c r="N32" s="87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37"/>
      <c r="AB32" s="37"/>
      <c r="AC32" s="37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74"/>
      <c r="F33" s="74"/>
      <c r="G33" s="74"/>
      <c r="H33" s="16"/>
      <c r="I33" s="16"/>
      <c r="J33" s="87"/>
      <c r="K33" s="87"/>
      <c r="L33" s="87"/>
      <c r="M33" s="87"/>
      <c r="N33" s="87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74"/>
      <c r="F34" s="74"/>
      <c r="G34" s="74"/>
      <c r="H34" s="16"/>
      <c r="I34" s="16"/>
      <c r="J34" s="87"/>
      <c r="K34" s="87"/>
      <c r="L34" s="87"/>
      <c r="M34" s="87"/>
      <c r="N34" s="8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74"/>
      <c r="F35" s="74"/>
      <c r="G35" s="74"/>
      <c r="H35" s="16"/>
      <c r="I35" s="16"/>
      <c r="J35" s="87"/>
      <c r="K35" s="87"/>
      <c r="L35" s="87"/>
      <c r="M35" s="87"/>
      <c r="N35" s="87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74"/>
      <c r="F36" s="74"/>
      <c r="G36" s="74"/>
      <c r="H36" s="16"/>
      <c r="I36" s="16"/>
      <c r="J36" s="87"/>
      <c r="K36" s="87"/>
      <c r="L36" s="87"/>
      <c r="M36" s="87"/>
      <c r="N36" s="87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37"/>
      <c r="AB39" s="37"/>
      <c r="AC39" s="37"/>
      <c r="AD39" s="37"/>
      <c r="AE39" s="37"/>
      <c r="AF39" s="16"/>
      <c r="AG39" s="16"/>
      <c r="AH39" s="16"/>
      <c r="AI39" s="16"/>
      <c r="AJ39" s="16"/>
      <c r="AK39" s="16"/>
      <c r="AL39" s="44"/>
    </row>
    <row r="40" spans="1:38" ht="15" customHeight="1">
      <c r="A40" s="14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37"/>
      <c r="AB40" s="37"/>
      <c r="AC40" s="37"/>
      <c r="AD40" s="37"/>
      <c r="AE40" s="37"/>
      <c r="AF40" s="16"/>
      <c r="AG40" s="16"/>
      <c r="AH40" s="16"/>
      <c r="AI40" s="16"/>
      <c r="AJ40" s="16"/>
      <c r="AK40" s="16"/>
      <c r="AL40" s="44"/>
    </row>
    <row r="41" spans="1:38" ht="15" customHeight="1">
      <c r="A41" s="14"/>
      <c r="B41" s="13"/>
      <c r="C41" s="16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7"/>
      <c r="Z41" s="37"/>
      <c r="AA41" s="37"/>
      <c r="AB41" s="37"/>
      <c r="AC41" s="37"/>
      <c r="AD41" s="16"/>
      <c r="AE41" s="16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7"/>
      <c r="AA42" s="37"/>
      <c r="AB42" s="37"/>
      <c r="AC42" s="37"/>
      <c r="AD42" s="37"/>
      <c r="AE42" s="16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37"/>
      <c r="AB52" s="37"/>
      <c r="AC52" s="37"/>
      <c r="AD52" s="37"/>
      <c r="AE52" s="37"/>
      <c r="AF52" s="16"/>
      <c r="AG52" s="16"/>
      <c r="AH52" s="16"/>
      <c r="AI52" s="16"/>
      <c r="AJ52" s="16"/>
      <c r="AK52" s="16"/>
      <c r="AL52" s="44"/>
    </row>
    <row r="53" spans="2:38" ht="15" customHeight="1"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37"/>
      <c r="AB53" s="37"/>
      <c r="AC53" s="37"/>
      <c r="AD53" s="37"/>
      <c r="AE53" s="37"/>
      <c r="AF53" s="16"/>
      <c r="AG53" s="16"/>
      <c r="AH53" s="16"/>
      <c r="AI53" s="16"/>
      <c r="AJ53" s="16"/>
      <c r="AK53" s="16"/>
      <c r="AL53" s="44"/>
    </row>
    <row r="54" spans="2:38" ht="15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36"/>
      <c r="AB54" s="36"/>
      <c r="AC54" s="36"/>
      <c r="AD54" s="36"/>
      <c r="AE54" s="36"/>
      <c r="AF54" s="14"/>
      <c r="AG54" s="14"/>
      <c r="AH54" s="14"/>
      <c r="AI54" s="14"/>
      <c r="AJ54" s="14"/>
      <c r="AK54" s="14"/>
      <c r="AL54" s="44"/>
    </row>
    <row r="55" spans="2:38" ht="15" customHeight="1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4"/>
      <c r="S55" s="14"/>
      <c r="T55" s="14"/>
      <c r="U55" s="14"/>
      <c r="V55" s="14"/>
      <c r="W55" s="14"/>
      <c r="X55" s="14"/>
      <c r="Y55" s="14"/>
      <c r="Z55" s="14"/>
      <c r="AA55" s="36"/>
      <c r="AB55" s="36"/>
      <c r="AC55" s="36"/>
      <c r="AD55" s="36"/>
      <c r="AE55" s="36"/>
      <c r="AF55" s="14"/>
      <c r="AG55" s="14"/>
      <c r="AH55" s="14"/>
      <c r="AI55" s="14"/>
      <c r="AJ55" s="14"/>
      <c r="AK55" s="14"/>
      <c r="AL55" s="44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14" t="s">
        <v>27</v>
      </c>
      <c r="S56" s="115"/>
      <c r="T56" s="115"/>
      <c r="U56" s="116"/>
      <c r="V56" s="117"/>
      <c r="W56" s="118"/>
      <c r="X56" s="118"/>
      <c r="Y56" s="118"/>
      <c r="Z56" s="118"/>
      <c r="AA56" s="119"/>
      <c r="AB56" s="120" t="s">
        <v>28</v>
      </c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3"/>
      <c r="AC57" s="124"/>
      <c r="AD57" s="124"/>
      <c r="AE57" s="124"/>
      <c r="AF57" s="124"/>
      <c r="AG57" s="124"/>
      <c r="AH57" s="124"/>
      <c r="AI57" s="124"/>
      <c r="AJ57" s="124"/>
      <c r="AK57" s="124"/>
      <c r="AL57" s="125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29</v>
      </c>
      <c r="S58" s="90"/>
      <c r="T58" s="90"/>
      <c r="U58" s="91"/>
      <c r="V58" s="95"/>
      <c r="W58" s="96"/>
      <c r="X58" s="96"/>
      <c r="Y58" s="96"/>
      <c r="Z58" s="96"/>
      <c r="AA58" s="97"/>
      <c r="AB58" s="126" t="s">
        <v>60</v>
      </c>
      <c r="AC58" s="127"/>
      <c r="AD58" s="127"/>
      <c r="AE58" s="127"/>
      <c r="AF58" s="127"/>
      <c r="AG58" s="127"/>
      <c r="AH58" s="127"/>
      <c r="AI58" s="127"/>
      <c r="AJ58" s="127"/>
      <c r="AK58" s="127"/>
      <c r="AL58" s="128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29"/>
      <c r="AC59" s="130"/>
      <c r="AD59" s="130"/>
      <c r="AE59" s="130"/>
      <c r="AF59" s="130"/>
      <c r="AG59" s="130"/>
      <c r="AH59" s="130"/>
      <c r="AI59" s="130"/>
      <c r="AJ59" s="130"/>
      <c r="AK59" s="130"/>
      <c r="AL59" s="131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31</v>
      </c>
      <c r="S60" s="90"/>
      <c r="T60" s="90"/>
      <c r="U60" s="91"/>
      <c r="V60" s="95"/>
      <c r="W60" s="96"/>
      <c r="X60" s="96"/>
      <c r="Y60" s="96"/>
      <c r="Z60" s="96"/>
      <c r="AA60" s="97"/>
      <c r="AB60" s="132"/>
      <c r="AC60" s="133"/>
      <c r="AD60" s="133"/>
      <c r="AE60" s="133"/>
      <c r="AF60" s="133"/>
      <c r="AG60" s="133"/>
      <c r="AH60" s="133"/>
      <c r="AI60" s="133"/>
      <c r="AJ60" s="133"/>
      <c r="AK60" s="133"/>
      <c r="AL60" s="134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32</v>
      </c>
      <c r="AC61" s="102"/>
      <c r="AD61" s="102"/>
      <c r="AE61" s="103"/>
      <c r="AF61" s="95"/>
      <c r="AG61" s="96"/>
      <c r="AH61" s="96"/>
      <c r="AI61" s="96"/>
      <c r="AJ61" s="96"/>
      <c r="AK61" s="96"/>
      <c r="AL61" s="136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89" t="s">
        <v>33</v>
      </c>
      <c r="S62" s="90"/>
      <c r="T62" s="90"/>
      <c r="U62" s="91"/>
      <c r="V62" s="95"/>
      <c r="W62" s="96"/>
      <c r="X62" s="96"/>
      <c r="Y62" s="96"/>
      <c r="Z62" s="96"/>
      <c r="AA62" s="97"/>
      <c r="AB62" s="123"/>
      <c r="AC62" s="124"/>
      <c r="AD62" s="124"/>
      <c r="AE62" s="135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92"/>
      <c r="S63" s="93"/>
      <c r="T63" s="93"/>
      <c r="U63" s="94"/>
      <c r="V63" s="98"/>
      <c r="W63" s="99"/>
      <c r="X63" s="99"/>
      <c r="Y63" s="99"/>
      <c r="Z63" s="99"/>
      <c r="AA63" s="100"/>
      <c r="AB63" s="101" t="s">
        <v>34</v>
      </c>
      <c r="AC63" s="102"/>
      <c r="AD63" s="102"/>
      <c r="AE63" s="103"/>
      <c r="AF63" s="137"/>
      <c r="AG63" s="138"/>
      <c r="AH63" s="138"/>
      <c r="AI63" s="138"/>
      <c r="AJ63" s="138"/>
      <c r="AK63" s="138"/>
      <c r="AL63" s="139"/>
    </row>
    <row r="64" spans="2:38" ht="9.9499999999999993" customHeight="1"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10"/>
      <c r="S64" s="96"/>
      <c r="T64" s="96"/>
      <c r="U64" s="96"/>
      <c r="V64" s="96"/>
      <c r="W64" s="96"/>
      <c r="X64" s="96"/>
      <c r="Y64" s="96"/>
      <c r="Z64" s="96"/>
      <c r="AA64" s="97"/>
      <c r="AB64" s="104"/>
      <c r="AC64" s="105"/>
      <c r="AD64" s="105"/>
      <c r="AE64" s="106"/>
      <c r="AF64" s="137"/>
      <c r="AG64" s="138"/>
      <c r="AH64" s="138"/>
      <c r="AI64" s="138"/>
      <c r="AJ64" s="138"/>
      <c r="AK64" s="138"/>
      <c r="AL64" s="139"/>
    </row>
    <row r="65" spans="2:38" ht="9.9499999999999993" customHeight="1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111"/>
      <c r="S65" s="112"/>
      <c r="T65" s="112"/>
      <c r="U65" s="112"/>
      <c r="V65" s="112"/>
      <c r="W65" s="112"/>
      <c r="X65" s="112"/>
      <c r="Y65" s="112"/>
      <c r="Z65" s="112"/>
      <c r="AA65" s="113"/>
      <c r="AB65" s="107"/>
      <c r="AC65" s="108"/>
      <c r="AD65" s="108"/>
      <c r="AE65" s="109"/>
      <c r="AF65" s="140"/>
      <c r="AG65" s="112"/>
      <c r="AH65" s="112"/>
      <c r="AI65" s="112"/>
      <c r="AJ65" s="112"/>
      <c r="AK65" s="112"/>
      <c r="AL65" s="141"/>
    </row>
  </sheetData>
  <mergeCells count="36">
    <mergeCell ref="C2:AK3"/>
    <mergeCell ref="C8:D9"/>
    <mergeCell ref="R64:AA65"/>
    <mergeCell ref="V56:AA57"/>
    <mergeCell ref="V58:AA59"/>
    <mergeCell ref="V60:AA61"/>
    <mergeCell ref="V62:AA63"/>
    <mergeCell ref="R56:U57"/>
    <mergeCell ref="R58:U59"/>
    <mergeCell ref="R60:U61"/>
    <mergeCell ref="R62:U63"/>
    <mergeCell ref="AB56:AL57"/>
    <mergeCell ref="AB58:AL60"/>
    <mergeCell ref="AF61:AL65"/>
    <mergeCell ref="AB61:AE62"/>
    <mergeCell ref="AB63:AE65"/>
    <mergeCell ref="J33:N33"/>
    <mergeCell ref="J34:N34"/>
    <mergeCell ref="J35:N35"/>
    <mergeCell ref="J36:N36"/>
    <mergeCell ref="E8:E9"/>
    <mergeCell ref="J28:N28"/>
    <mergeCell ref="J29:N29"/>
    <mergeCell ref="J30:N30"/>
    <mergeCell ref="J31:N31"/>
    <mergeCell ref="J32:N32"/>
    <mergeCell ref="F12:I12"/>
    <mergeCell ref="F13:I13"/>
    <mergeCell ref="F14:I14"/>
    <mergeCell ref="F15:I15"/>
    <mergeCell ref="J27:N27"/>
    <mergeCell ref="F8:G8"/>
    <mergeCell ref="I8:J8"/>
    <mergeCell ref="F9:G9"/>
    <mergeCell ref="I9:J9"/>
    <mergeCell ref="F11:I11"/>
  </mergeCells>
  <phoneticPr fontId="22" type="noConversion"/>
  <pageMargins left="0.70866141732283505" right="0.26" top="0.27559055118110198" bottom="0.31496062992126" header="0.15748031496063" footer="0.15748031496063"/>
  <pageSetup paperSize="9" scale="95" orientation="portrait" horizont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V65"/>
  <sheetViews>
    <sheetView topLeftCell="A7" workbookViewId="0">
      <selection activeCell="F22" sqref="F22:K23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256" width="7.375" style="8"/>
  </cols>
  <sheetData>
    <row r="1" spans="1:38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38" ht="15" customHeight="1">
      <c r="A2" s="12"/>
      <c r="B2" s="13"/>
      <c r="C2" s="145" t="s">
        <v>61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44"/>
    </row>
    <row r="3" spans="1:38" ht="15" customHeight="1">
      <c r="A3" s="14"/>
      <c r="B3" s="13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44"/>
    </row>
    <row r="4" spans="1:38" ht="15" customHeight="1">
      <c r="A4" s="14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38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38" ht="15" customHeight="1">
      <c r="A6" s="14"/>
      <c r="B6" s="13"/>
      <c r="C6" s="15" t="s">
        <v>62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38" ht="15" customHeight="1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38" ht="15" customHeight="1">
      <c r="B8" s="13"/>
      <c r="C8" s="16"/>
      <c r="D8" s="88" t="s">
        <v>63</v>
      </c>
      <c r="E8" s="88" t="s">
        <v>2</v>
      </c>
      <c r="F8" s="80" t="s">
        <v>64</v>
      </c>
      <c r="G8" s="80"/>
      <c r="H8" s="80"/>
      <c r="I8" s="88" t="s">
        <v>47</v>
      </c>
      <c r="J8" s="149">
        <v>0.75</v>
      </c>
      <c r="K8" s="149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37"/>
      <c r="AB8" s="37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38" ht="15" customHeight="1">
      <c r="A9" s="14"/>
      <c r="B9" s="13"/>
      <c r="C9" s="16"/>
      <c r="D9" s="88"/>
      <c r="E9" s="88"/>
      <c r="F9" s="88" t="s">
        <v>65</v>
      </c>
      <c r="G9" s="88"/>
      <c r="H9" s="88"/>
      <c r="I9" s="88"/>
      <c r="J9" s="149"/>
      <c r="K9" s="149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37"/>
      <c r="AB9" s="37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38" ht="15" customHeight="1">
      <c r="A10" s="14"/>
      <c r="B10" s="13"/>
      <c r="C10" s="18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38" ht="15" customHeight="1">
      <c r="A11" s="14"/>
      <c r="B11" s="13"/>
      <c r="C11" s="16"/>
      <c r="D11" s="16" t="s">
        <v>63</v>
      </c>
      <c r="E11" s="16" t="s">
        <v>10</v>
      </c>
      <c r="F11" s="80">
        <f>F12/F13*0.75</f>
        <v>1.2000000000000002</v>
      </c>
      <c r="G11" s="80"/>
      <c r="H11" s="80"/>
      <c r="I11" s="80"/>
      <c r="J11" s="16"/>
      <c r="K11" s="16"/>
      <c r="L11" s="16"/>
      <c r="M11" s="16"/>
      <c r="N11" s="15" t="s">
        <v>66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37"/>
      <c r="AB11" s="37"/>
      <c r="AC11" s="37"/>
      <c r="AD11" s="37"/>
      <c r="AE11" s="37"/>
      <c r="AF11" s="16"/>
      <c r="AG11" s="16"/>
      <c r="AH11" s="16"/>
      <c r="AI11" s="16"/>
      <c r="AJ11" s="16"/>
      <c r="AK11" s="16"/>
      <c r="AL11" s="44"/>
    </row>
    <row r="12" spans="1:38" ht="15" customHeight="1">
      <c r="A12" s="14"/>
      <c r="B12" s="13"/>
      <c r="C12" s="16"/>
      <c r="D12" s="16" t="s">
        <v>64</v>
      </c>
      <c r="E12" s="16" t="s">
        <v>10</v>
      </c>
      <c r="F12" s="85">
        <v>1.6</v>
      </c>
      <c r="G12" s="85"/>
      <c r="H12" s="85"/>
      <c r="I12" s="85"/>
      <c r="J12" s="16"/>
      <c r="K12" s="16"/>
      <c r="L12" s="16"/>
      <c r="M12" s="16"/>
      <c r="N12" s="15" t="s">
        <v>52</v>
      </c>
      <c r="O12" s="16"/>
      <c r="P12" s="16"/>
      <c r="Q12" s="16" t="s">
        <v>67</v>
      </c>
      <c r="R12" s="16"/>
      <c r="S12" s="16"/>
      <c r="T12" s="16"/>
      <c r="U12" s="16"/>
      <c r="V12" s="16" t="s">
        <v>68</v>
      </c>
      <c r="W12" s="16"/>
      <c r="X12" s="16"/>
      <c r="Y12" s="16"/>
      <c r="Z12" s="16"/>
      <c r="AA12" s="37"/>
      <c r="AB12" s="37"/>
      <c r="AC12" s="37"/>
      <c r="AD12" s="37"/>
      <c r="AE12" s="37"/>
      <c r="AF12" s="16"/>
      <c r="AG12" s="16"/>
      <c r="AH12" s="16"/>
      <c r="AI12" s="16"/>
      <c r="AJ12" s="16"/>
      <c r="AK12" s="16"/>
      <c r="AL12" s="44"/>
    </row>
    <row r="13" spans="1:38" ht="15" customHeight="1">
      <c r="A13" s="14"/>
      <c r="B13" s="13"/>
      <c r="C13" s="16"/>
      <c r="D13" s="16" t="s">
        <v>65</v>
      </c>
      <c r="E13" s="16" t="s">
        <v>10</v>
      </c>
      <c r="F13" s="85">
        <v>1</v>
      </c>
      <c r="G13" s="85"/>
      <c r="H13" s="85"/>
      <c r="I13" s="8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37"/>
      <c r="AB13" s="37"/>
      <c r="AC13" s="37"/>
      <c r="AD13" s="37"/>
      <c r="AE13" s="37"/>
      <c r="AF13" s="16"/>
      <c r="AG13" s="16"/>
      <c r="AH13" s="16"/>
      <c r="AI13" s="16"/>
      <c r="AJ13" s="16"/>
      <c r="AK13" s="16"/>
      <c r="AL13" s="44"/>
    </row>
    <row r="14" spans="1:38" ht="15" customHeight="1">
      <c r="A14" s="14"/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37"/>
      <c r="AB14" s="37"/>
      <c r="AC14" s="37"/>
      <c r="AD14" s="37"/>
      <c r="AE14" s="37"/>
      <c r="AF14" s="16"/>
      <c r="AG14" s="16"/>
      <c r="AH14" s="16"/>
      <c r="AI14" s="16"/>
      <c r="AJ14" s="16"/>
      <c r="AK14" s="16"/>
      <c r="AL14" s="44"/>
    </row>
    <row r="15" spans="1:38" ht="15" customHeight="1">
      <c r="A15" s="14"/>
      <c r="B15" s="13"/>
      <c r="C15" s="15" t="s">
        <v>69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37"/>
      <c r="AB15" s="37"/>
      <c r="AC15" s="37"/>
      <c r="AD15" s="37"/>
      <c r="AE15" s="37"/>
      <c r="AF15" s="16"/>
      <c r="AG15" s="16"/>
      <c r="AH15" s="16"/>
      <c r="AI15" s="16"/>
      <c r="AJ15" s="16"/>
      <c r="AK15" s="16"/>
      <c r="AL15" s="44"/>
    </row>
    <row r="16" spans="1:38" ht="15" customHeight="1">
      <c r="A16" s="14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37"/>
      <c r="AB16" s="37"/>
      <c r="AC16" s="37"/>
      <c r="AD16" s="37"/>
      <c r="AE16" s="37"/>
      <c r="AF16" s="16"/>
      <c r="AG16" s="16"/>
      <c r="AH16" s="16"/>
      <c r="AI16" s="16"/>
      <c r="AJ16" s="16"/>
      <c r="AK16" s="16"/>
      <c r="AL16" s="44"/>
    </row>
    <row r="17" spans="1:38" ht="15" customHeight="1">
      <c r="A17" s="14"/>
      <c r="B17" s="13"/>
      <c r="C17" s="16"/>
      <c r="D17" s="88" t="s">
        <v>63</v>
      </c>
      <c r="E17" s="88" t="s">
        <v>2</v>
      </c>
      <c r="F17" s="80" t="s">
        <v>64</v>
      </c>
      <c r="G17" s="80"/>
      <c r="H17" s="80"/>
      <c r="I17" s="88" t="s">
        <v>47</v>
      </c>
      <c r="J17" s="149" t="s">
        <v>70</v>
      </c>
      <c r="K17" s="149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37"/>
      <c r="AB17" s="37"/>
      <c r="AC17" s="37"/>
      <c r="AD17" s="37"/>
      <c r="AE17" s="37"/>
      <c r="AF17" s="16"/>
      <c r="AG17" s="16"/>
      <c r="AH17" s="16"/>
      <c r="AI17" s="16"/>
      <c r="AJ17" s="16"/>
      <c r="AK17" s="16"/>
      <c r="AL17" s="44"/>
    </row>
    <row r="18" spans="1:38" ht="15" customHeight="1">
      <c r="A18" s="14"/>
      <c r="B18" s="13"/>
      <c r="C18" s="16"/>
      <c r="D18" s="88"/>
      <c r="E18" s="88"/>
      <c r="F18" s="88" t="s">
        <v>65</v>
      </c>
      <c r="G18" s="88"/>
      <c r="H18" s="88"/>
      <c r="I18" s="88"/>
      <c r="J18" s="149"/>
      <c r="K18" s="149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37"/>
      <c r="AB18" s="37"/>
      <c r="AC18" s="37"/>
      <c r="AD18" s="37"/>
      <c r="AE18" s="37"/>
      <c r="AF18" s="16"/>
      <c r="AG18" s="16"/>
      <c r="AH18" s="16"/>
      <c r="AI18" s="16"/>
      <c r="AJ18" s="16"/>
      <c r="AK18" s="16"/>
      <c r="AL18" s="44"/>
    </row>
    <row r="19" spans="1:38" ht="15" customHeight="1">
      <c r="A19" s="14"/>
      <c r="B19" s="13"/>
      <c r="C19" s="18" t="s">
        <v>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37"/>
      <c r="AB19" s="37"/>
      <c r="AC19" s="37"/>
      <c r="AD19" s="37"/>
      <c r="AE19" s="37"/>
      <c r="AF19" s="16"/>
      <c r="AG19" s="16"/>
      <c r="AH19" s="16"/>
      <c r="AI19" s="16"/>
      <c r="AJ19" s="16"/>
      <c r="AK19" s="16"/>
      <c r="AL19" s="44"/>
    </row>
    <row r="20" spans="1:38" ht="15" customHeight="1">
      <c r="A20" s="14"/>
      <c r="B20" s="13"/>
      <c r="C20" s="16"/>
      <c r="D20" s="16" t="s">
        <v>63</v>
      </c>
      <c r="E20" s="16" t="s">
        <v>10</v>
      </c>
      <c r="F20" s="15" t="s">
        <v>66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37"/>
      <c r="AB20" s="37"/>
      <c r="AC20" s="37"/>
      <c r="AD20" s="37"/>
      <c r="AE20" s="37"/>
      <c r="AF20" s="16"/>
      <c r="AG20" s="16"/>
      <c r="AH20" s="16"/>
      <c r="AI20" s="16"/>
      <c r="AJ20" s="16"/>
      <c r="AK20" s="16"/>
      <c r="AL20" s="44"/>
    </row>
    <row r="21" spans="1:38" ht="15" customHeight="1">
      <c r="A21" s="14"/>
      <c r="B21" s="13"/>
      <c r="C21" s="16"/>
      <c r="D21" s="16" t="s">
        <v>64</v>
      </c>
      <c r="E21" s="16" t="s">
        <v>10</v>
      </c>
      <c r="F21" s="15" t="s">
        <v>52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37"/>
      <c r="AB21" s="37"/>
      <c r="AC21" s="37"/>
      <c r="AD21" s="37"/>
      <c r="AE21" s="37"/>
      <c r="AF21" s="16"/>
      <c r="AG21" s="16"/>
      <c r="AH21" s="16"/>
      <c r="AI21" s="16"/>
      <c r="AJ21" s="16"/>
      <c r="AK21" s="16"/>
      <c r="AL21" s="44"/>
    </row>
    <row r="22" spans="1:38" ht="15" customHeight="1">
      <c r="A22" s="14"/>
      <c r="B22" s="13"/>
      <c r="C22" s="16"/>
      <c r="D22" s="16" t="s">
        <v>70</v>
      </c>
      <c r="E22" s="16" t="s">
        <v>10</v>
      </c>
      <c r="F22" s="15" t="s">
        <v>71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37"/>
      <c r="AB22" s="37"/>
      <c r="AC22" s="37"/>
      <c r="AD22" s="37"/>
      <c r="AE22" s="37"/>
      <c r="AF22" s="16"/>
      <c r="AG22" s="16"/>
      <c r="AH22" s="16"/>
      <c r="AI22" s="16"/>
      <c r="AJ22" s="16"/>
      <c r="AK22" s="16"/>
      <c r="AL22" s="44"/>
    </row>
    <row r="23" spans="1:38" ht="15" customHeight="1">
      <c r="A23" s="14"/>
      <c r="B23" s="13"/>
      <c r="C23" s="16"/>
      <c r="D23" s="16"/>
      <c r="E23" s="16"/>
      <c r="F23" s="15" t="s">
        <v>72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37"/>
      <c r="AB23" s="37"/>
      <c r="AC23" s="37"/>
      <c r="AD23" s="37"/>
      <c r="AE23" s="37"/>
      <c r="AF23" s="16"/>
      <c r="AG23" s="16"/>
      <c r="AH23" s="16"/>
      <c r="AI23" s="16"/>
      <c r="AJ23" s="16"/>
      <c r="AK23" s="16"/>
      <c r="AL23" s="44"/>
    </row>
    <row r="24" spans="1:38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37"/>
      <c r="AB24" s="37"/>
      <c r="AC24" s="37"/>
      <c r="AD24" s="37"/>
      <c r="AE24" s="37"/>
      <c r="AF24" s="16"/>
      <c r="AG24" s="16"/>
      <c r="AH24" s="16"/>
      <c r="AI24" s="16"/>
      <c r="AJ24" s="16"/>
      <c r="AK24" s="16"/>
      <c r="AL24" s="44"/>
    </row>
    <row r="25" spans="1:38" ht="15" customHeight="1">
      <c r="A25" s="14"/>
      <c r="B25" s="13"/>
      <c r="C25" s="18" t="s">
        <v>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37"/>
      <c r="AB25" s="37"/>
      <c r="AC25" s="37"/>
      <c r="AD25" s="37"/>
      <c r="AE25" s="37"/>
      <c r="AF25" s="16"/>
      <c r="AG25" s="16"/>
      <c r="AH25" s="16"/>
      <c r="AI25" s="16"/>
      <c r="AJ25" s="16"/>
      <c r="AK25" s="16"/>
      <c r="AL25" s="44"/>
    </row>
    <row r="26" spans="1:38" ht="15" customHeight="1">
      <c r="A26" s="14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37"/>
      <c r="AB26" s="37"/>
      <c r="AC26" s="37"/>
      <c r="AD26" s="37"/>
      <c r="AE26" s="37"/>
      <c r="AF26" s="16"/>
      <c r="AG26" s="16"/>
      <c r="AH26" s="16"/>
      <c r="AI26" s="16"/>
      <c r="AJ26" s="16"/>
      <c r="AK26" s="16"/>
      <c r="AL26" s="44"/>
    </row>
    <row r="27" spans="1:38" ht="15" customHeight="1">
      <c r="A27" s="14"/>
      <c r="B27" s="13"/>
      <c r="C27" s="16"/>
      <c r="D27" s="16"/>
      <c r="E27" s="20" t="s">
        <v>73</v>
      </c>
      <c r="F27" s="20"/>
      <c r="G27" s="20"/>
      <c r="H27" s="21"/>
      <c r="I27" s="25"/>
      <c r="J27" s="146" t="s">
        <v>65</v>
      </c>
      <c r="K27" s="147"/>
      <c r="L27" s="147"/>
      <c r="M27" s="147"/>
      <c r="N27" s="148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37"/>
      <c r="AB27" s="37"/>
      <c r="AC27" s="37"/>
      <c r="AD27" s="37"/>
      <c r="AE27" s="37"/>
      <c r="AF27" s="16"/>
      <c r="AG27" s="16"/>
      <c r="AH27" s="16"/>
      <c r="AI27" s="16"/>
      <c r="AJ27" s="16"/>
      <c r="AK27" s="16"/>
      <c r="AL27" s="44"/>
    </row>
    <row r="28" spans="1:38" ht="15" customHeight="1">
      <c r="A28" s="14"/>
      <c r="B28" s="13"/>
      <c r="C28" s="16"/>
      <c r="D28" s="16"/>
      <c r="E28" s="20" t="s">
        <v>74</v>
      </c>
      <c r="F28" s="20"/>
      <c r="G28" s="20"/>
      <c r="H28" s="21"/>
      <c r="I28" s="25"/>
      <c r="J28" s="146">
        <v>0.4</v>
      </c>
      <c r="K28" s="147"/>
      <c r="L28" s="147"/>
      <c r="M28" s="147"/>
      <c r="N28" s="148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37"/>
      <c r="AB28" s="37"/>
      <c r="AC28" s="37"/>
      <c r="AD28" s="37"/>
      <c r="AE28" s="37"/>
      <c r="AF28" s="16"/>
      <c r="AG28" s="16"/>
      <c r="AH28" s="16"/>
      <c r="AI28" s="16"/>
      <c r="AJ28" s="16"/>
      <c r="AK28" s="16"/>
      <c r="AL28" s="44"/>
    </row>
    <row r="29" spans="1:38" ht="15" customHeight="1">
      <c r="A29" s="14"/>
      <c r="B29" s="13"/>
      <c r="C29" s="16"/>
      <c r="D29" s="16"/>
      <c r="E29" s="20" t="s">
        <v>75</v>
      </c>
      <c r="F29" s="20"/>
      <c r="G29" s="20"/>
      <c r="H29" s="21"/>
      <c r="I29" s="25"/>
      <c r="J29" s="146">
        <v>1</v>
      </c>
      <c r="K29" s="147"/>
      <c r="L29" s="147"/>
      <c r="M29" s="147"/>
      <c r="N29" s="14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37"/>
      <c r="AB29" s="37"/>
      <c r="AC29" s="37"/>
      <c r="AD29" s="37"/>
      <c r="AE29" s="37"/>
      <c r="AF29" s="16"/>
      <c r="AG29" s="16"/>
      <c r="AH29" s="16"/>
      <c r="AI29" s="16"/>
      <c r="AJ29" s="16"/>
      <c r="AK29" s="16"/>
      <c r="AL29" s="44"/>
    </row>
    <row r="30" spans="1:38" ht="15" customHeight="1">
      <c r="A30" s="14"/>
      <c r="B30" s="13"/>
      <c r="C30" s="16"/>
      <c r="D30" s="16"/>
      <c r="E30" s="20" t="s">
        <v>76</v>
      </c>
      <c r="F30" s="20"/>
      <c r="G30" s="20"/>
      <c r="H30" s="21"/>
      <c r="I30" s="25"/>
      <c r="J30" s="146">
        <v>1.3</v>
      </c>
      <c r="K30" s="147"/>
      <c r="L30" s="147"/>
      <c r="M30" s="147"/>
      <c r="N30" s="148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37"/>
      <c r="AB30" s="37"/>
      <c r="AC30" s="37"/>
      <c r="AD30" s="37"/>
      <c r="AE30" s="37"/>
      <c r="AF30" s="16"/>
      <c r="AG30" s="16"/>
      <c r="AH30" s="16"/>
      <c r="AI30" s="16"/>
      <c r="AJ30" s="16"/>
      <c r="AK30" s="16"/>
      <c r="AL30" s="44"/>
    </row>
    <row r="31" spans="1:38" ht="15" customHeight="1">
      <c r="A31" s="14"/>
      <c r="B31" s="13"/>
      <c r="C31" s="16"/>
      <c r="D31" s="16"/>
      <c r="E31" s="20" t="s">
        <v>77</v>
      </c>
      <c r="F31" s="20"/>
      <c r="G31" s="20"/>
      <c r="H31" s="21"/>
      <c r="I31" s="25"/>
      <c r="J31" s="146">
        <v>1.6</v>
      </c>
      <c r="K31" s="147"/>
      <c r="L31" s="147"/>
      <c r="M31" s="147"/>
      <c r="N31" s="148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37"/>
      <c r="AB31" s="37"/>
      <c r="AC31" s="37"/>
      <c r="AD31" s="37"/>
      <c r="AE31" s="37"/>
      <c r="AF31" s="16"/>
      <c r="AG31" s="16"/>
      <c r="AH31" s="16"/>
      <c r="AI31" s="16"/>
      <c r="AJ31" s="16"/>
      <c r="AK31" s="16"/>
      <c r="AL31" s="44"/>
    </row>
    <row r="32" spans="1:38" ht="15" customHeight="1">
      <c r="A32" s="14"/>
      <c r="B32" s="13"/>
      <c r="C32" s="16"/>
      <c r="D32" s="16"/>
      <c r="E32" s="20" t="s">
        <v>78</v>
      </c>
      <c r="F32" s="20"/>
      <c r="G32" s="20"/>
      <c r="H32" s="21"/>
      <c r="I32" s="25"/>
      <c r="J32" s="146">
        <v>2</v>
      </c>
      <c r="K32" s="147"/>
      <c r="L32" s="147"/>
      <c r="M32" s="147"/>
      <c r="N32" s="148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37"/>
      <c r="AB32" s="37"/>
      <c r="AC32" s="37"/>
      <c r="AD32" s="37"/>
      <c r="AE32" s="37"/>
      <c r="AF32" s="16"/>
      <c r="AG32" s="16"/>
      <c r="AH32" s="16"/>
      <c r="AI32" s="16"/>
      <c r="AJ32" s="16"/>
      <c r="AK32" s="16"/>
      <c r="AL32" s="44"/>
    </row>
    <row r="33" spans="1:38" ht="15" customHeight="1">
      <c r="A33" s="14"/>
      <c r="B33" s="13"/>
      <c r="C33" s="16"/>
      <c r="D33" s="16"/>
      <c r="E33" s="20" t="s">
        <v>79</v>
      </c>
      <c r="F33" s="20"/>
      <c r="G33" s="20"/>
      <c r="H33" s="21"/>
      <c r="I33" s="25"/>
      <c r="J33" s="146">
        <v>3.5</v>
      </c>
      <c r="K33" s="147"/>
      <c r="L33" s="147"/>
      <c r="M33" s="147"/>
      <c r="N33" s="148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37"/>
      <c r="AB33" s="37"/>
      <c r="AC33" s="37"/>
      <c r="AD33" s="37"/>
      <c r="AE33" s="37"/>
      <c r="AF33" s="16"/>
      <c r="AG33" s="16"/>
      <c r="AH33" s="16"/>
      <c r="AI33" s="16"/>
      <c r="AJ33" s="16"/>
      <c r="AK33" s="16"/>
      <c r="AL33" s="44"/>
    </row>
    <row r="34" spans="1:38" ht="15" customHeight="1">
      <c r="A34" s="14"/>
      <c r="B34" s="13"/>
      <c r="C34" s="16"/>
      <c r="D34" s="16"/>
      <c r="E34" s="20" t="s">
        <v>80</v>
      </c>
      <c r="F34" s="20"/>
      <c r="G34" s="20"/>
      <c r="H34" s="21"/>
      <c r="I34" s="25"/>
      <c r="J34" s="146">
        <v>7.5</v>
      </c>
      <c r="K34" s="147"/>
      <c r="L34" s="147"/>
      <c r="M34" s="147"/>
      <c r="N34" s="148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37"/>
      <c r="AB34" s="37"/>
      <c r="AC34" s="37"/>
      <c r="AD34" s="37"/>
      <c r="AE34" s="37"/>
      <c r="AF34" s="16"/>
      <c r="AG34" s="16"/>
      <c r="AH34" s="16"/>
      <c r="AI34" s="16"/>
      <c r="AJ34" s="16"/>
      <c r="AK34" s="16"/>
      <c r="AL34" s="44"/>
    </row>
    <row r="35" spans="1:38" ht="15" customHeight="1">
      <c r="A35" s="14"/>
      <c r="B35" s="13"/>
      <c r="C35" s="16"/>
      <c r="D35" s="16"/>
      <c r="E35" s="20" t="s">
        <v>81</v>
      </c>
      <c r="F35" s="20"/>
      <c r="G35" s="20"/>
      <c r="H35" s="21"/>
      <c r="I35" s="25"/>
      <c r="J35" s="146">
        <v>12</v>
      </c>
      <c r="K35" s="147"/>
      <c r="L35" s="147"/>
      <c r="M35" s="147"/>
      <c r="N35" s="148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37"/>
      <c r="AB35" s="37"/>
      <c r="AC35" s="37"/>
      <c r="AD35" s="37"/>
      <c r="AE35" s="37"/>
      <c r="AF35" s="16"/>
      <c r="AG35" s="16"/>
      <c r="AH35" s="16"/>
      <c r="AI35" s="16"/>
      <c r="AJ35" s="16"/>
      <c r="AK35" s="16"/>
      <c r="AL35" s="44"/>
    </row>
    <row r="36" spans="1:38" ht="15" customHeight="1">
      <c r="A36" s="14"/>
      <c r="B36" s="13"/>
      <c r="C36" s="16"/>
      <c r="D36" s="16"/>
      <c r="E36" s="20" t="s">
        <v>82</v>
      </c>
      <c r="F36" s="20"/>
      <c r="G36" s="20"/>
      <c r="H36" s="21"/>
      <c r="I36" s="25"/>
      <c r="J36" s="146">
        <v>28</v>
      </c>
      <c r="K36" s="147"/>
      <c r="L36" s="147"/>
      <c r="M36" s="147"/>
      <c r="N36" s="148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37"/>
      <c r="AB36" s="37"/>
      <c r="AC36" s="37"/>
      <c r="AD36" s="37"/>
      <c r="AE36" s="37"/>
      <c r="AF36" s="16"/>
      <c r="AG36" s="16"/>
      <c r="AH36" s="16"/>
      <c r="AI36" s="16"/>
      <c r="AJ36" s="16"/>
      <c r="AK36" s="16"/>
      <c r="AL36" s="44"/>
    </row>
    <row r="37" spans="1:38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37"/>
      <c r="AB37" s="37"/>
      <c r="AC37" s="37"/>
      <c r="AD37" s="37"/>
      <c r="AE37" s="37"/>
      <c r="AF37" s="16"/>
      <c r="AG37" s="16"/>
      <c r="AH37" s="16"/>
      <c r="AI37" s="16"/>
      <c r="AJ37" s="16"/>
      <c r="AK37" s="16"/>
      <c r="AL37" s="44"/>
    </row>
    <row r="38" spans="1:38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38" ht="15" customHeight="1">
      <c r="A39" s="14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37"/>
      <c r="AB39" s="37"/>
      <c r="AC39" s="37"/>
      <c r="AD39" s="37"/>
      <c r="AE39" s="37"/>
      <c r="AF39" s="16"/>
      <c r="AG39" s="16"/>
      <c r="AH39" s="16"/>
      <c r="AI39" s="16"/>
      <c r="AJ39" s="16"/>
      <c r="AK39" s="16"/>
      <c r="AL39" s="44"/>
    </row>
    <row r="40" spans="1:38" ht="15" customHeight="1">
      <c r="A40" s="14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37"/>
      <c r="AB40" s="37"/>
      <c r="AC40" s="37"/>
      <c r="AD40" s="37"/>
      <c r="AE40" s="37"/>
      <c r="AF40" s="16"/>
      <c r="AG40" s="16"/>
      <c r="AH40" s="16"/>
      <c r="AI40" s="16"/>
      <c r="AJ40" s="16"/>
      <c r="AK40" s="16"/>
      <c r="AL40" s="44"/>
    </row>
    <row r="41" spans="1:38" ht="15" customHeight="1">
      <c r="A41" s="14"/>
      <c r="B41" s="13"/>
      <c r="C41" s="16"/>
      <c r="D41" s="15" t="s">
        <v>83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7"/>
      <c r="Z41" s="37"/>
      <c r="AA41" s="37"/>
      <c r="AB41" s="37"/>
      <c r="AC41" s="37"/>
      <c r="AD41" s="16"/>
      <c r="AE41" s="16"/>
      <c r="AF41" s="16"/>
      <c r="AG41" s="16"/>
      <c r="AH41" s="16"/>
      <c r="AI41" s="16"/>
      <c r="AJ41" s="16"/>
      <c r="AK41" s="16"/>
      <c r="AL41" s="44"/>
    </row>
    <row r="42" spans="1:38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7"/>
      <c r="AA42" s="37"/>
      <c r="AB42" s="37"/>
      <c r="AC42" s="37"/>
      <c r="AD42" s="37"/>
      <c r="AE42" s="16"/>
      <c r="AF42" s="16"/>
      <c r="AG42" s="16"/>
      <c r="AH42" s="16"/>
      <c r="AI42" s="16"/>
      <c r="AJ42" s="16"/>
      <c r="AK42" s="16"/>
      <c r="AL42" s="44"/>
    </row>
    <row r="43" spans="1:38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38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38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 t="s">
        <v>84</v>
      </c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38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38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38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37"/>
      <c r="AB52" s="37"/>
      <c r="AC52" s="37"/>
      <c r="AD52" s="37"/>
      <c r="AE52" s="37"/>
      <c r="AF52" s="16"/>
      <c r="AG52" s="16"/>
      <c r="AH52" s="16"/>
      <c r="AI52" s="16"/>
      <c r="AJ52" s="16"/>
      <c r="AK52" s="16"/>
      <c r="AL52" s="44"/>
    </row>
    <row r="53" spans="2:38" ht="15" customHeight="1"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37"/>
      <c r="AB53" s="37"/>
      <c r="AC53" s="37"/>
      <c r="AD53" s="37"/>
      <c r="AE53" s="37"/>
      <c r="AF53" s="16"/>
      <c r="AG53" s="16"/>
      <c r="AH53" s="16"/>
      <c r="AI53" s="16"/>
      <c r="AJ53" s="16"/>
      <c r="AK53" s="16"/>
      <c r="AL53" s="44"/>
    </row>
    <row r="54" spans="2:38" ht="15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36"/>
      <c r="AB54" s="36"/>
      <c r="AC54" s="36"/>
      <c r="AD54" s="36"/>
      <c r="AE54" s="36"/>
      <c r="AF54" s="14"/>
      <c r="AG54" s="14"/>
      <c r="AH54" s="14"/>
      <c r="AI54" s="14"/>
      <c r="AJ54" s="14"/>
      <c r="AK54" s="14"/>
      <c r="AL54" s="44"/>
    </row>
    <row r="55" spans="2:38" ht="15" customHeight="1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4"/>
      <c r="S55" s="14"/>
      <c r="T55" s="14"/>
      <c r="U55" s="14"/>
      <c r="V55" s="14"/>
      <c r="W55" s="14"/>
      <c r="X55" s="14"/>
      <c r="Y55" s="14"/>
      <c r="Z55" s="14"/>
      <c r="AA55" s="36"/>
      <c r="AB55" s="36"/>
      <c r="AC55" s="36"/>
      <c r="AD55" s="36"/>
      <c r="AE55" s="36"/>
      <c r="AF55" s="14"/>
      <c r="AG55" s="14"/>
      <c r="AH55" s="14"/>
      <c r="AI55" s="14"/>
      <c r="AJ55" s="14"/>
      <c r="AK55" s="14"/>
      <c r="AL55" s="44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14" t="s">
        <v>27</v>
      </c>
      <c r="S56" s="115"/>
      <c r="T56" s="115"/>
      <c r="U56" s="116"/>
      <c r="V56" s="117"/>
      <c r="W56" s="118"/>
      <c r="X56" s="118"/>
      <c r="Y56" s="118"/>
      <c r="Z56" s="118"/>
      <c r="AA56" s="119"/>
      <c r="AB56" s="120" t="s">
        <v>28</v>
      </c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</row>
    <row r="57" spans="2:38" ht="9.9499999999999993" customHeight="1"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3"/>
      <c r="AC57" s="124"/>
      <c r="AD57" s="124"/>
      <c r="AE57" s="124"/>
      <c r="AF57" s="124"/>
      <c r="AG57" s="124"/>
      <c r="AH57" s="124"/>
      <c r="AI57" s="124"/>
      <c r="AJ57" s="124"/>
      <c r="AK57" s="124"/>
      <c r="AL57" s="125"/>
    </row>
    <row r="58" spans="2:38" ht="9.9499999999999993" customHeight="1"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29</v>
      </c>
      <c r="S58" s="90"/>
      <c r="T58" s="90"/>
      <c r="U58" s="91"/>
      <c r="V58" s="95"/>
      <c r="W58" s="96"/>
      <c r="X58" s="96"/>
      <c r="Y58" s="96"/>
      <c r="Z58" s="96"/>
      <c r="AA58" s="97"/>
      <c r="AB58" s="126" t="s">
        <v>85</v>
      </c>
      <c r="AC58" s="127"/>
      <c r="AD58" s="127"/>
      <c r="AE58" s="127"/>
      <c r="AF58" s="127"/>
      <c r="AG58" s="127"/>
      <c r="AH58" s="127"/>
      <c r="AI58" s="127"/>
      <c r="AJ58" s="127"/>
      <c r="AK58" s="127"/>
      <c r="AL58" s="128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29"/>
      <c r="AC59" s="130"/>
      <c r="AD59" s="130"/>
      <c r="AE59" s="130"/>
      <c r="AF59" s="130"/>
      <c r="AG59" s="130"/>
      <c r="AH59" s="130"/>
      <c r="AI59" s="130"/>
      <c r="AJ59" s="130"/>
      <c r="AK59" s="130"/>
      <c r="AL59" s="131"/>
    </row>
    <row r="60" spans="2:38" ht="9.9499999999999993" customHeight="1"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89" t="s">
        <v>31</v>
      </c>
      <c r="S60" s="90"/>
      <c r="T60" s="90"/>
      <c r="U60" s="91"/>
      <c r="V60" s="95"/>
      <c r="W60" s="96"/>
      <c r="X60" s="96"/>
      <c r="Y60" s="96"/>
      <c r="Z60" s="96"/>
      <c r="AA60" s="97"/>
      <c r="AB60" s="132"/>
      <c r="AC60" s="133"/>
      <c r="AD60" s="133"/>
      <c r="AE60" s="133"/>
      <c r="AF60" s="133"/>
      <c r="AG60" s="133"/>
      <c r="AH60" s="133"/>
      <c r="AI60" s="133"/>
      <c r="AJ60" s="133"/>
      <c r="AK60" s="133"/>
      <c r="AL60" s="134"/>
    </row>
    <row r="61" spans="2:38" ht="9.9499999999999993" customHeight="1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32</v>
      </c>
      <c r="AC61" s="102"/>
      <c r="AD61" s="102"/>
      <c r="AE61" s="103"/>
      <c r="AF61" s="95"/>
      <c r="AG61" s="96"/>
      <c r="AH61" s="96"/>
      <c r="AI61" s="96"/>
      <c r="AJ61" s="96"/>
      <c r="AK61" s="96"/>
      <c r="AL61" s="136"/>
    </row>
    <row r="62" spans="2:38" ht="9.9499999999999993" customHeight="1"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89" t="s">
        <v>33</v>
      </c>
      <c r="S62" s="90"/>
      <c r="T62" s="90"/>
      <c r="U62" s="91"/>
      <c r="V62" s="95"/>
      <c r="W62" s="96"/>
      <c r="X62" s="96"/>
      <c r="Y62" s="96"/>
      <c r="Z62" s="96"/>
      <c r="AA62" s="97"/>
      <c r="AB62" s="123"/>
      <c r="AC62" s="124"/>
      <c r="AD62" s="124"/>
      <c r="AE62" s="135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92"/>
      <c r="S63" s="93"/>
      <c r="T63" s="93"/>
      <c r="U63" s="94"/>
      <c r="V63" s="98"/>
      <c r="W63" s="99"/>
      <c r="X63" s="99"/>
      <c r="Y63" s="99"/>
      <c r="Z63" s="99"/>
      <c r="AA63" s="100"/>
      <c r="AB63" s="101" t="s">
        <v>34</v>
      </c>
      <c r="AC63" s="102"/>
      <c r="AD63" s="102"/>
      <c r="AE63" s="103"/>
      <c r="AF63" s="137"/>
      <c r="AG63" s="138"/>
      <c r="AH63" s="138"/>
      <c r="AI63" s="138"/>
      <c r="AJ63" s="138"/>
      <c r="AK63" s="138"/>
      <c r="AL63" s="139"/>
    </row>
    <row r="64" spans="2:38" ht="9.9499999999999993" customHeight="1"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10"/>
      <c r="S64" s="96"/>
      <c r="T64" s="96"/>
      <c r="U64" s="96"/>
      <c r="V64" s="96"/>
      <c r="W64" s="96"/>
      <c r="X64" s="96"/>
      <c r="Y64" s="96"/>
      <c r="Z64" s="96"/>
      <c r="AA64" s="97"/>
      <c r="AB64" s="104"/>
      <c r="AC64" s="105"/>
      <c r="AD64" s="105"/>
      <c r="AE64" s="106"/>
      <c r="AF64" s="137"/>
      <c r="AG64" s="138"/>
      <c r="AH64" s="138"/>
      <c r="AI64" s="138"/>
      <c r="AJ64" s="138"/>
      <c r="AK64" s="138"/>
      <c r="AL64" s="139"/>
    </row>
    <row r="65" spans="2:38" ht="9.9499999999999993" customHeight="1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111"/>
      <c r="S65" s="112"/>
      <c r="T65" s="112"/>
      <c r="U65" s="112"/>
      <c r="V65" s="112"/>
      <c r="W65" s="112"/>
      <c r="X65" s="112"/>
      <c r="Y65" s="112"/>
      <c r="Z65" s="112"/>
      <c r="AA65" s="113"/>
      <c r="AB65" s="107"/>
      <c r="AC65" s="108"/>
      <c r="AD65" s="108"/>
      <c r="AE65" s="109"/>
      <c r="AF65" s="140"/>
      <c r="AG65" s="112"/>
      <c r="AH65" s="112"/>
      <c r="AI65" s="112"/>
      <c r="AJ65" s="112"/>
      <c r="AK65" s="112"/>
      <c r="AL65" s="141"/>
    </row>
  </sheetData>
  <mergeCells count="40">
    <mergeCell ref="V58:AA59"/>
    <mergeCell ref="R64:AA65"/>
    <mergeCell ref="C2:AK3"/>
    <mergeCell ref="J8:K9"/>
    <mergeCell ref="R56:U57"/>
    <mergeCell ref="R58:U59"/>
    <mergeCell ref="R60:U61"/>
    <mergeCell ref="R62:U63"/>
    <mergeCell ref="J17:K18"/>
    <mergeCell ref="AB56:AL57"/>
    <mergeCell ref="AB58:AL60"/>
    <mergeCell ref="AF61:AL65"/>
    <mergeCell ref="AB61:AE62"/>
    <mergeCell ref="AB63:AE65"/>
    <mergeCell ref="V60:AA61"/>
    <mergeCell ref="V62:AA63"/>
    <mergeCell ref="V56:AA57"/>
    <mergeCell ref="J35:N35"/>
    <mergeCell ref="J36:N36"/>
    <mergeCell ref="D8:D9"/>
    <mergeCell ref="D17:D18"/>
    <mergeCell ref="E8:E9"/>
    <mergeCell ref="E17:E18"/>
    <mergeCell ref="I8:I9"/>
    <mergeCell ref="I17:I18"/>
    <mergeCell ref="J30:N30"/>
    <mergeCell ref="J31:N31"/>
    <mergeCell ref="J32:N32"/>
    <mergeCell ref="J33:N33"/>
    <mergeCell ref="J34:N34"/>
    <mergeCell ref="F17:H17"/>
    <mergeCell ref="F18:H18"/>
    <mergeCell ref="J27:N27"/>
    <mergeCell ref="J28:N28"/>
    <mergeCell ref="J29:N29"/>
    <mergeCell ref="F8:H8"/>
    <mergeCell ref="F9:H9"/>
    <mergeCell ref="F11:I11"/>
    <mergeCell ref="F12:I12"/>
    <mergeCell ref="F13:I13"/>
  </mergeCells>
  <phoneticPr fontId="22" type="noConversion"/>
  <pageMargins left="0.70866141732283505" right="0.26" top="0.27559055118110198" bottom="0.31496062992126" header="0.15748031496063" footer="0.15748031496063"/>
  <pageSetup paperSize="9" scale="95" orientation="portrait" horizontalDpi="36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5"/>
  <sheetViews>
    <sheetView view="pageBreakPreview" zoomScaleNormal="100" zoomScaleSheetLayoutView="100" workbookViewId="0">
      <selection activeCell="B5" sqref="B5"/>
    </sheetView>
  </sheetViews>
  <sheetFormatPr defaultColWidth="9" defaultRowHeight="13.5"/>
  <cols>
    <col min="1" max="1" width="10.375" customWidth="1"/>
    <col min="4" max="4" width="10.875" customWidth="1"/>
    <col min="5" max="5" width="11" customWidth="1"/>
    <col min="6" max="6" width="10.375" customWidth="1"/>
    <col min="8" max="8" width="12.875" customWidth="1"/>
  </cols>
  <sheetData>
    <row r="1" spans="1:10" ht="40.5" customHeight="1">
      <c r="A1" s="68" t="s">
        <v>86</v>
      </c>
    </row>
    <row r="2" spans="1:10" ht="25.5" customHeight="1">
      <c r="F2" t="s">
        <v>87</v>
      </c>
      <c r="H2" t="s">
        <v>88</v>
      </c>
    </row>
    <row r="3" spans="1:10" s="68" customFormat="1" ht="24.75">
      <c r="A3" s="68" t="s">
        <v>89</v>
      </c>
      <c r="E3" s="69" t="s">
        <v>2</v>
      </c>
      <c r="F3" s="70">
        <f>10^((LOG10(D4)-0.807*LOG10(B4)-1.202)/(-1))</f>
        <v>6.9548777268378164</v>
      </c>
      <c r="G3" s="68" t="s">
        <v>90</v>
      </c>
      <c r="H3" s="71">
        <f>F3*1.35</f>
        <v>9.3890849312310518</v>
      </c>
      <c r="I3" s="68" t="s">
        <v>91</v>
      </c>
    </row>
    <row r="4" spans="1:10" s="68" customFormat="1" ht="21">
      <c r="A4" s="69" t="s">
        <v>92</v>
      </c>
      <c r="B4" s="72">
        <v>3.3</v>
      </c>
      <c r="C4" s="69" t="s">
        <v>93</v>
      </c>
      <c r="D4" s="72">
        <v>6</v>
      </c>
      <c r="E4" s="69"/>
    </row>
    <row r="5" spans="1:10">
      <c r="I5" t="s">
        <v>94</v>
      </c>
    </row>
    <row r="6" spans="1:10">
      <c r="A6" t="s">
        <v>63</v>
      </c>
      <c r="B6" t="s">
        <v>95</v>
      </c>
      <c r="E6" t="s">
        <v>96</v>
      </c>
      <c r="I6">
        <v>1</v>
      </c>
      <c r="J6">
        <v>18.45</v>
      </c>
    </row>
    <row r="7" spans="1:10" ht="15.75">
      <c r="A7" t="s">
        <v>34</v>
      </c>
      <c r="B7" t="s">
        <v>97</v>
      </c>
      <c r="E7" t="s">
        <v>98</v>
      </c>
      <c r="I7">
        <f>6/18.45</f>
        <v>0.32520325203252032</v>
      </c>
      <c r="J7">
        <v>6</v>
      </c>
    </row>
    <row r="8" spans="1:10" ht="15.75">
      <c r="A8" t="s">
        <v>99</v>
      </c>
      <c r="B8" t="s">
        <v>100</v>
      </c>
      <c r="F8" t="s">
        <v>101</v>
      </c>
      <c r="I8">
        <v>0.12</v>
      </c>
      <c r="J8">
        <f>J6*I8</f>
        <v>2.214</v>
      </c>
    </row>
    <row r="9" spans="1:10">
      <c r="A9" t="s">
        <v>16</v>
      </c>
      <c r="B9" t="s">
        <v>102</v>
      </c>
      <c r="D9" t="s">
        <v>103</v>
      </c>
      <c r="I9">
        <f>J9/J6</f>
        <v>0.24507317073170728</v>
      </c>
      <c r="J9">
        <f>3.14*1.2*1.2</f>
        <v>4.5215999999999994</v>
      </c>
    </row>
    <row r="10" spans="1:10">
      <c r="A10" t="s">
        <v>64</v>
      </c>
      <c r="B10" t="s">
        <v>104</v>
      </c>
    </row>
    <row r="11" spans="1:10" ht="15.75">
      <c r="A11" t="s">
        <v>99</v>
      </c>
      <c r="B11" t="s">
        <v>105</v>
      </c>
      <c r="F11">
        <f>0.4*18.45</f>
        <v>7.38</v>
      </c>
    </row>
    <row r="13" spans="1:10">
      <c r="A13" s="20" t="s">
        <v>106</v>
      </c>
      <c r="B13" s="20" t="s">
        <v>107</v>
      </c>
      <c r="E13" s="20" t="s">
        <v>108</v>
      </c>
      <c r="F13" s="20" t="s">
        <v>109</v>
      </c>
      <c r="H13" s="20" t="s">
        <v>73</v>
      </c>
      <c r="I13" s="20" t="s">
        <v>110</v>
      </c>
      <c r="J13" s="20" t="s">
        <v>111</v>
      </c>
    </row>
    <row r="14" spans="1:10">
      <c r="A14" s="20" t="s">
        <v>112</v>
      </c>
      <c r="B14" s="20">
        <v>0.7</v>
      </c>
      <c r="E14" s="20" t="s">
        <v>113</v>
      </c>
      <c r="F14" s="20">
        <v>6</v>
      </c>
      <c r="H14" s="20" t="s">
        <v>114</v>
      </c>
      <c r="I14" s="20">
        <v>4</v>
      </c>
      <c r="J14" s="20">
        <v>1.4999999999999999E-2</v>
      </c>
    </row>
    <row r="15" spans="1:10">
      <c r="A15" s="20" t="s">
        <v>115</v>
      </c>
      <c r="B15" s="20">
        <v>1.6</v>
      </c>
      <c r="E15" s="20" t="s">
        <v>116</v>
      </c>
      <c r="F15" s="20">
        <v>14</v>
      </c>
      <c r="H15" s="20" t="s">
        <v>117</v>
      </c>
      <c r="I15" s="20">
        <v>6</v>
      </c>
      <c r="J15" s="20">
        <v>1.4999999999999999E-2</v>
      </c>
    </row>
    <row r="16" spans="1:10">
      <c r="A16" s="20" t="s">
        <v>118</v>
      </c>
      <c r="B16" s="20">
        <v>3.3</v>
      </c>
      <c r="E16" s="20" t="s">
        <v>119</v>
      </c>
      <c r="F16" s="20">
        <v>20</v>
      </c>
      <c r="H16" s="20" t="s">
        <v>120</v>
      </c>
      <c r="I16" s="20">
        <v>8</v>
      </c>
      <c r="J16" s="20">
        <v>1.4999999999999999E-2</v>
      </c>
    </row>
    <row r="17" spans="1:10">
      <c r="A17" s="20" t="s">
        <v>121</v>
      </c>
      <c r="B17" s="20">
        <v>6</v>
      </c>
      <c r="E17" s="73">
        <v>4514</v>
      </c>
      <c r="F17" s="20">
        <v>45</v>
      </c>
      <c r="H17" s="20" t="s">
        <v>122</v>
      </c>
      <c r="I17" s="20">
        <v>10</v>
      </c>
      <c r="J17" s="20">
        <v>1.4999999999999999E-2</v>
      </c>
    </row>
    <row r="18" spans="1:10">
      <c r="A18" s="20" t="s">
        <v>123</v>
      </c>
      <c r="B18" s="20">
        <v>10</v>
      </c>
      <c r="C18">
        <v>10</v>
      </c>
      <c r="D18">
        <v>80</v>
      </c>
      <c r="E18" s="73">
        <v>4516</v>
      </c>
      <c r="F18" s="20">
        <v>50</v>
      </c>
      <c r="H18" s="20" t="s">
        <v>124</v>
      </c>
      <c r="I18" s="20">
        <v>12.7</v>
      </c>
      <c r="J18" s="20">
        <v>0.02</v>
      </c>
    </row>
    <row r="19" spans="1:10">
      <c r="A19" s="20" t="s">
        <v>125</v>
      </c>
      <c r="B19" s="20">
        <v>15</v>
      </c>
      <c r="C19">
        <v>9</v>
      </c>
      <c r="D19">
        <v>70</v>
      </c>
      <c r="H19" s="20" t="s">
        <v>126</v>
      </c>
      <c r="I19" s="20">
        <v>16.100000000000001</v>
      </c>
      <c r="J19" s="20">
        <v>0.02</v>
      </c>
    </row>
    <row r="20" spans="1:10">
      <c r="A20" s="20" t="s">
        <v>127</v>
      </c>
      <c r="B20" s="20">
        <v>46</v>
      </c>
      <c r="C20">
        <v>8</v>
      </c>
      <c r="D20">
        <v>60</v>
      </c>
      <c r="H20" s="20" t="s">
        <v>128</v>
      </c>
      <c r="I20" s="20">
        <v>21.6</v>
      </c>
      <c r="J20" s="20">
        <v>0.02</v>
      </c>
    </row>
    <row r="21" spans="1:10">
      <c r="A21" s="20" t="s">
        <v>129</v>
      </c>
      <c r="B21" s="20">
        <v>4.4000000000000004</v>
      </c>
      <c r="C21">
        <v>7</v>
      </c>
      <c r="D21">
        <v>50</v>
      </c>
      <c r="F21">
        <f>3.14*1.2*1.2/18.45</f>
        <v>0.24507317073170728</v>
      </c>
      <c r="H21" s="20" t="s">
        <v>130</v>
      </c>
      <c r="I21" s="20">
        <v>27.6</v>
      </c>
      <c r="J21" s="20">
        <v>0.02</v>
      </c>
    </row>
    <row r="22" spans="1:10">
      <c r="A22" s="20" t="s">
        <v>131</v>
      </c>
      <c r="B22" s="20">
        <v>8.1</v>
      </c>
      <c r="C22">
        <v>6</v>
      </c>
      <c r="D22">
        <v>40</v>
      </c>
      <c r="H22" s="20" t="s">
        <v>132</v>
      </c>
      <c r="I22" s="20">
        <v>41.6</v>
      </c>
      <c r="J22" s="20">
        <v>0.02</v>
      </c>
    </row>
    <row r="23" spans="1:10">
      <c r="A23" s="20" t="s">
        <v>133</v>
      </c>
      <c r="B23" s="20">
        <v>18</v>
      </c>
      <c r="C23">
        <f>C22/D22*D23</f>
        <v>4.5</v>
      </c>
      <c r="D23">
        <v>30</v>
      </c>
    </row>
    <row r="24" spans="1:10">
      <c r="A24" s="20" t="s">
        <v>134</v>
      </c>
      <c r="B24" s="20">
        <v>75</v>
      </c>
      <c r="C24">
        <f>C22/D22*D24</f>
        <v>3</v>
      </c>
      <c r="D24">
        <v>20</v>
      </c>
    </row>
    <row r="25" spans="1:10">
      <c r="A25" s="20" t="s">
        <v>135</v>
      </c>
      <c r="B25" s="20">
        <v>137</v>
      </c>
      <c r="C25">
        <f>C22/D22*D25</f>
        <v>1.7999999999999998</v>
      </c>
      <c r="D25">
        <v>12</v>
      </c>
    </row>
  </sheetData>
  <phoneticPr fontId="22" type="noConversion"/>
  <pageMargins left="0.74803149606299202" right="0.74803149606299202" top="0.98425196850393704" bottom="0.98425196850393704" header="0.511811023622047" footer="0.511811023622047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V65"/>
  <sheetViews>
    <sheetView view="pageBreakPreview" topLeftCell="A4" zoomScaleNormal="100" zoomScaleSheetLayoutView="100" workbookViewId="0">
      <selection activeCell="J12" sqref="J12:M12"/>
    </sheetView>
  </sheetViews>
  <sheetFormatPr defaultColWidth="7.375" defaultRowHeight="15"/>
  <cols>
    <col min="1" max="19" width="2.625" style="47" customWidth="1"/>
    <col min="20" max="20" width="8.5" style="47"/>
    <col min="21" max="26" width="2.625" style="47" customWidth="1"/>
    <col min="27" max="27" width="4.875" style="53" customWidth="1"/>
    <col min="28" max="31" width="2.625" style="53" customWidth="1"/>
    <col min="32" max="38" width="2.625" style="47" customWidth="1"/>
    <col min="39" max="39" width="2.25" style="47" customWidth="1"/>
    <col min="40" max="40" width="9" style="47" customWidth="1"/>
    <col min="41" max="41" width="7.375" style="47" customWidth="1"/>
    <col min="42" max="43" width="9.5" style="47"/>
    <col min="44" max="256" width="7.375" style="47"/>
  </cols>
  <sheetData>
    <row r="1" spans="1:46" ht="15" customHeight="1">
      <c r="A1" s="54"/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38"/>
      <c r="AB1" s="38"/>
      <c r="AC1" s="38"/>
      <c r="AD1" s="38"/>
      <c r="AE1" s="38"/>
      <c r="AF1" s="56"/>
      <c r="AG1" s="56"/>
      <c r="AH1" s="56"/>
      <c r="AI1" s="56"/>
      <c r="AJ1" s="56"/>
      <c r="AK1" s="56"/>
      <c r="AL1" s="67"/>
    </row>
    <row r="2" spans="1:46" ht="15" customHeight="1">
      <c r="A2" s="57"/>
      <c r="B2" s="58"/>
      <c r="C2" s="145" t="s">
        <v>61</v>
      </c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46"/>
    </row>
    <row r="3" spans="1:46" ht="15" customHeight="1">
      <c r="A3" s="7"/>
      <c r="B3" s="58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46"/>
      <c r="AQ3" s="47">
        <f>3.06*0.4</f>
        <v>1.2240000000000002</v>
      </c>
      <c r="AR3" s="47" t="s">
        <v>136</v>
      </c>
      <c r="AS3" s="47">
        <f>1.54*0.4</f>
        <v>0.6160000000000001</v>
      </c>
      <c r="AT3" s="47" t="s">
        <v>137</v>
      </c>
    </row>
    <row r="4" spans="1:46" ht="15" customHeight="1">
      <c r="A4" s="7"/>
      <c r="B4" s="5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42"/>
      <c r="AB4" s="42"/>
      <c r="AC4" s="42"/>
      <c r="AD4" s="42"/>
      <c r="AE4" s="42"/>
      <c r="AF4" s="7"/>
      <c r="AG4" s="7"/>
      <c r="AH4" s="7"/>
      <c r="AI4" s="7"/>
      <c r="AJ4" s="7"/>
      <c r="AK4" s="7"/>
      <c r="AL4" s="46"/>
      <c r="AQ4" s="47">
        <f>5.74*0.4</f>
        <v>2.2960000000000003</v>
      </c>
      <c r="AR4" s="47" t="s">
        <v>138</v>
      </c>
      <c r="AS4" s="47">
        <f>3.14*0.6</f>
        <v>1.8839999999999999</v>
      </c>
      <c r="AT4" s="47" t="s">
        <v>139</v>
      </c>
    </row>
    <row r="5" spans="1:46" ht="15" customHeight="1">
      <c r="A5" s="7"/>
      <c r="B5" s="5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42"/>
      <c r="AB5" s="42"/>
      <c r="AC5" s="42"/>
      <c r="AD5" s="42"/>
      <c r="AE5" s="42"/>
      <c r="AF5" s="7"/>
      <c r="AG5" s="7"/>
      <c r="AH5" s="7"/>
      <c r="AI5" s="7"/>
      <c r="AJ5" s="7"/>
      <c r="AK5" s="7"/>
      <c r="AL5" s="46"/>
      <c r="AQ5" s="47">
        <f>9.44*0.12</f>
        <v>1.1327999999999998</v>
      </c>
      <c r="AR5" s="47" t="s">
        <v>140</v>
      </c>
    </row>
    <row r="6" spans="1:46" ht="15" customHeight="1">
      <c r="A6" s="7"/>
      <c r="B6" s="58"/>
      <c r="C6" s="15" t="s">
        <v>141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42"/>
      <c r="AB6" s="42"/>
      <c r="AC6" s="42"/>
      <c r="AD6" s="42"/>
      <c r="AE6" s="42"/>
      <c r="AF6" s="5"/>
      <c r="AG6" s="5"/>
      <c r="AH6" s="5"/>
      <c r="AI6" s="5"/>
      <c r="AJ6" s="5"/>
      <c r="AK6" s="5"/>
      <c r="AL6" s="46"/>
    </row>
    <row r="7" spans="1:46" ht="15" customHeight="1">
      <c r="B7" s="58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42"/>
      <c r="AB7" s="42"/>
      <c r="AC7" s="42"/>
      <c r="AD7" s="42"/>
      <c r="AE7" s="42"/>
      <c r="AF7" s="5"/>
      <c r="AG7" s="5"/>
      <c r="AH7" s="5"/>
      <c r="AI7" s="5"/>
      <c r="AJ7" s="5"/>
      <c r="AK7" s="5"/>
      <c r="AL7" s="46"/>
      <c r="AQ7" s="47">
        <v>48000</v>
      </c>
    </row>
    <row r="8" spans="1:46" ht="15" customHeight="1">
      <c r="B8" s="58"/>
      <c r="C8" s="5"/>
      <c r="D8" s="151" t="s">
        <v>63</v>
      </c>
      <c r="E8" s="151" t="s">
        <v>2</v>
      </c>
      <c r="F8" s="150" t="s">
        <v>64</v>
      </c>
      <c r="G8" s="150"/>
      <c r="H8" s="150"/>
      <c r="I8" s="151" t="s">
        <v>47</v>
      </c>
      <c r="J8" s="151">
        <v>0.6</v>
      </c>
      <c r="K8" s="15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42"/>
      <c r="AB8" s="42"/>
      <c r="AC8" s="42"/>
      <c r="AD8" s="42"/>
      <c r="AE8" s="42"/>
      <c r="AF8" s="5"/>
      <c r="AG8" s="5"/>
      <c r="AH8" s="5"/>
      <c r="AI8" s="5"/>
      <c r="AJ8" s="5"/>
      <c r="AK8" s="5"/>
      <c r="AL8" s="46"/>
      <c r="AQ8" s="47">
        <v>18500</v>
      </c>
    </row>
    <row r="9" spans="1:46" ht="15" customHeight="1">
      <c r="A9" s="7"/>
      <c r="B9" s="58"/>
      <c r="C9" s="5"/>
      <c r="D9" s="151"/>
      <c r="E9" s="151"/>
      <c r="F9" s="151" t="s">
        <v>65</v>
      </c>
      <c r="G9" s="151"/>
      <c r="H9" s="151"/>
      <c r="I9" s="151"/>
      <c r="J9" s="151"/>
      <c r="K9" s="15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42"/>
      <c r="AB9" s="42"/>
      <c r="AC9" s="42"/>
      <c r="AD9" s="42"/>
      <c r="AE9" s="42"/>
      <c r="AF9" s="5"/>
      <c r="AG9" s="5"/>
      <c r="AH9" s="5"/>
      <c r="AI9" s="5"/>
      <c r="AJ9" s="5"/>
      <c r="AK9" s="5"/>
      <c r="AL9" s="46"/>
      <c r="AQ9" s="47">
        <v>500</v>
      </c>
    </row>
    <row r="10" spans="1:46" ht="15" customHeight="1">
      <c r="A10" s="7"/>
      <c r="B10" s="58"/>
      <c r="C10" s="5" t="s">
        <v>9</v>
      </c>
      <c r="D10" s="5"/>
      <c r="E10" s="5"/>
      <c r="F10" s="5"/>
      <c r="G10" s="16" t="s">
        <v>142</v>
      </c>
      <c r="H10" s="5"/>
      <c r="I10" s="5"/>
      <c r="J10" s="16"/>
      <c r="K10" s="16" t="s">
        <v>143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42"/>
      <c r="AB10" s="42"/>
      <c r="AC10" s="42"/>
      <c r="AD10" s="42"/>
      <c r="AE10" s="42"/>
      <c r="AF10" s="5"/>
      <c r="AG10" s="5"/>
      <c r="AH10" s="5"/>
      <c r="AI10" s="5"/>
      <c r="AJ10" s="5"/>
      <c r="AK10" s="5"/>
      <c r="AL10" s="46"/>
      <c r="AQ10" s="47">
        <v>3020</v>
      </c>
    </row>
    <row r="11" spans="1:46" ht="15" customHeight="1">
      <c r="A11" s="7"/>
      <c r="B11" s="58"/>
      <c r="C11" s="5"/>
      <c r="D11" s="5" t="s">
        <v>63</v>
      </c>
      <c r="E11" s="5" t="s">
        <v>10</v>
      </c>
      <c r="F11" s="150">
        <f>F12/F13*0.6</f>
        <v>14.313881527918495</v>
      </c>
      <c r="G11" s="150"/>
      <c r="H11" s="150"/>
      <c r="I11" s="150"/>
      <c r="J11" s="150">
        <f>J12/J13*0.75</f>
        <v>17.892351909898117</v>
      </c>
      <c r="K11" s="150"/>
      <c r="L11" s="150"/>
      <c r="M11" s="150"/>
      <c r="N11" s="15" t="s">
        <v>144</v>
      </c>
      <c r="O11" s="5"/>
      <c r="P11" s="5"/>
      <c r="Q11" s="5"/>
      <c r="R11" s="5"/>
      <c r="S11" s="5"/>
      <c r="T11" s="5"/>
      <c r="U11" s="26"/>
      <c r="V11" s="27"/>
      <c r="W11" s="27"/>
      <c r="X11" s="27"/>
      <c r="Y11" s="27"/>
      <c r="Z11" s="27"/>
      <c r="AA11" s="38"/>
      <c r="AB11" s="38"/>
      <c r="AC11" s="38"/>
      <c r="AD11" s="38"/>
      <c r="AE11" s="38"/>
      <c r="AF11" s="27"/>
      <c r="AG11" s="27"/>
      <c r="AH11" s="27"/>
      <c r="AI11" s="45"/>
      <c r="AJ11" s="5"/>
      <c r="AK11" s="5"/>
      <c r="AL11" s="46"/>
      <c r="AQ11" s="47">
        <v>2440</v>
      </c>
    </row>
    <row r="12" spans="1:46" ht="15" customHeight="1">
      <c r="A12" s="7"/>
      <c r="B12" s="58"/>
      <c r="C12" s="5"/>
      <c r="D12" s="5" t="s">
        <v>64</v>
      </c>
      <c r="E12" s="5" t="s">
        <v>10</v>
      </c>
      <c r="F12" s="152">
        <f>AB19</f>
        <v>47.712938426394985</v>
      </c>
      <c r="G12" s="153"/>
      <c r="H12" s="153"/>
      <c r="I12" s="153"/>
      <c r="J12" s="152">
        <f>AB19</f>
        <v>47.712938426394985</v>
      </c>
      <c r="K12" s="153"/>
      <c r="L12" s="153"/>
      <c r="M12" s="153"/>
      <c r="N12" s="15" t="s">
        <v>145</v>
      </c>
      <c r="O12" s="5"/>
      <c r="P12" s="5"/>
      <c r="Q12" s="5"/>
      <c r="R12" s="5"/>
      <c r="S12" s="5"/>
      <c r="T12" s="5"/>
      <c r="U12" s="28"/>
      <c r="V12" s="29" t="s">
        <v>146</v>
      </c>
      <c r="W12" s="30"/>
      <c r="X12" s="30"/>
      <c r="Y12" s="30"/>
      <c r="Z12" s="30"/>
      <c r="AA12" s="39"/>
      <c r="AB12" s="39"/>
      <c r="AC12" s="39"/>
      <c r="AD12" s="39"/>
      <c r="AE12" s="39"/>
      <c r="AF12" s="30"/>
      <c r="AG12" s="30"/>
      <c r="AH12" s="30"/>
      <c r="AI12" s="48"/>
      <c r="AJ12" s="5"/>
      <c r="AK12" s="5"/>
      <c r="AL12" s="46"/>
      <c r="AN12" s="49">
        <f>VLOOKUP(Z18,AN33:AO38,2,0)</f>
        <v>47.712938426394985</v>
      </c>
      <c r="AO12" s="52"/>
      <c r="AP12" s="39"/>
      <c r="AQ12" s="47">
        <v>4350</v>
      </c>
    </row>
    <row r="13" spans="1:46" ht="15" customHeight="1">
      <c r="A13" s="7"/>
      <c r="B13" s="58"/>
      <c r="C13" s="5"/>
      <c r="D13" s="5" t="s">
        <v>65</v>
      </c>
      <c r="E13" s="5" t="s">
        <v>10</v>
      </c>
      <c r="F13" s="153">
        <v>2</v>
      </c>
      <c r="G13" s="153"/>
      <c r="H13" s="153"/>
      <c r="I13" s="153"/>
      <c r="J13" s="153">
        <v>2</v>
      </c>
      <c r="K13" s="153"/>
      <c r="L13" s="153"/>
      <c r="M13" s="153"/>
      <c r="N13" s="5"/>
      <c r="O13" s="5"/>
      <c r="P13" s="5"/>
      <c r="Q13" s="5"/>
      <c r="R13" s="5"/>
      <c r="S13" s="5"/>
      <c r="T13" s="5"/>
      <c r="U13" s="28"/>
      <c r="V13" s="31" t="s">
        <v>147</v>
      </c>
      <c r="W13" s="30"/>
      <c r="X13" s="30"/>
      <c r="Y13" s="30"/>
      <c r="Z13" s="30"/>
      <c r="AA13" s="39"/>
      <c r="AB13" s="39"/>
      <c r="AC13" s="39"/>
      <c r="AD13" s="39"/>
      <c r="AE13" s="39"/>
      <c r="AF13" s="30"/>
      <c r="AG13" s="30"/>
      <c r="AH13" s="30"/>
      <c r="AI13" s="48"/>
      <c r="AJ13" s="5"/>
      <c r="AK13" s="5"/>
      <c r="AL13" s="46"/>
      <c r="AQ13" s="47">
        <v>2200</v>
      </c>
    </row>
    <row r="14" spans="1:46" ht="15" customHeight="1">
      <c r="A14" s="7"/>
      <c r="B14" s="5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8"/>
      <c r="V14" s="32" t="s">
        <v>148</v>
      </c>
      <c r="W14" s="30"/>
      <c r="X14" s="30"/>
      <c r="Y14" s="30"/>
      <c r="Z14" s="154" t="s">
        <v>149</v>
      </c>
      <c r="AA14" s="155"/>
      <c r="AB14" s="156"/>
      <c r="AC14" s="39"/>
      <c r="AD14" s="39"/>
      <c r="AE14" s="39"/>
      <c r="AF14" s="30"/>
      <c r="AG14" s="30"/>
      <c r="AH14" s="30"/>
      <c r="AI14" s="48"/>
      <c r="AJ14" s="5"/>
      <c r="AK14" s="5"/>
      <c r="AL14" s="46"/>
      <c r="AP14" s="50" t="s">
        <v>150</v>
      </c>
    </row>
    <row r="15" spans="1:46" ht="15" customHeight="1">
      <c r="A15" s="7"/>
      <c r="B15" s="58"/>
      <c r="C15" s="59"/>
      <c r="D15" s="15" t="s">
        <v>151</v>
      </c>
      <c r="E15" s="5"/>
      <c r="F15" s="5"/>
      <c r="G15" s="5"/>
      <c r="H15" s="5"/>
      <c r="I15" s="5"/>
      <c r="J15" s="5"/>
      <c r="K15" s="5"/>
      <c r="L15" s="5">
        <f>3.9*1.5</f>
        <v>5.85</v>
      </c>
      <c r="M15" s="5"/>
      <c r="N15" s="5"/>
      <c r="O15" s="5"/>
      <c r="P15" s="5"/>
      <c r="Q15" s="5"/>
      <c r="R15" s="5"/>
      <c r="S15" s="5"/>
      <c r="T15" s="5"/>
      <c r="U15" s="28"/>
      <c r="V15" s="30"/>
      <c r="W15" s="32" t="s">
        <v>152</v>
      </c>
      <c r="X15" s="30"/>
      <c r="Y15" s="30"/>
      <c r="Z15" s="157" t="s">
        <v>92</v>
      </c>
      <c r="AA15" s="157"/>
      <c r="AB15" s="158">
        <f>VLOOKUP(Z14,AN16:AP31,3,0)</f>
        <v>4.92</v>
      </c>
      <c r="AC15" s="159"/>
      <c r="AD15" s="160"/>
      <c r="AE15" s="40" t="s">
        <v>153</v>
      </c>
      <c r="AF15" s="30"/>
      <c r="AG15" s="30"/>
      <c r="AH15" s="30"/>
      <c r="AI15" s="48"/>
      <c r="AJ15" s="5"/>
      <c r="AK15" s="5"/>
      <c r="AL15" s="46"/>
      <c r="AN15" s="50" t="s">
        <v>154</v>
      </c>
      <c r="AO15" s="50" t="s">
        <v>155</v>
      </c>
      <c r="AP15" s="50" t="s">
        <v>156</v>
      </c>
      <c r="AQ15" s="50" t="s">
        <v>157</v>
      </c>
    </row>
    <row r="16" spans="1:46" ht="15" customHeight="1">
      <c r="A16" s="7"/>
      <c r="B16" s="58"/>
      <c r="C16" s="5"/>
      <c r="D16" s="5"/>
      <c r="E16" s="5"/>
      <c r="F16" s="5"/>
      <c r="G16" s="5"/>
      <c r="H16" s="5"/>
      <c r="I16" s="5"/>
      <c r="J16" s="5"/>
      <c r="K16" s="5"/>
      <c r="L16" s="150">
        <f>L17/L18*1.25</f>
        <v>5.9466019417475726</v>
      </c>
      <c r="M16" s="150"/>
      <c r="N16" s="150"/>
      <c r="O16" s="150"/>
      <c r="P16" s="150">
        <f>P17/P18*0.75</f>
        <v>4.2233009708737859</v>
      </c>
      <c r="Q16" s="150"/>
      <c r="R16" s="150"/>
      <c r="S16" s="150"/>
      <c r="T16" s="5"/>
      <c r="U16" s="28"/>
      <c r="V16" s="30"/>
      <c r="W16" s="30"/>
      <c r="X16" s="30"/>
      <c r="Y16" s="30"/>
      <c r="Z16" s="30"/>
      <c r="AA16" s="39"/>
      <c r="AB16" s="39"/>
      <c r="AC16" s="39"/>
      <c r="AD16" s="39"/>
      <c r="AE16" s="39"/>
      <c r="AF16" s="30"/>
      <c r="AG16" s="30"/>
      <c r="AH16" s="30"/>
      <c r="AI16" s="48"/>
      <c r="AJ16" s="5"/>
      <c r="AK16" s="5"/>
      <c r="AL16" s="46"/>
      <c r="AN16" s="47" t="s">
        <v>158</v>
      </c>
      <c r="AO16" s="47" t="s">
        <v>159</v>
      </c>
      <c r="AP16" s="47">
        <v>0.16</v>
      </c>
      <c r="AQ16" s="47">
        <v>0.09</v>
      </c>
    </row>
    <row r="17" spans="1:43" ht="15" customHeight="1">
      <c r="A17" s="7"/>
      <c r="B17" s="58"/>
      <c r="C17" s="5"/>
      <c r="D17" s="151"/>
      <c r="E17" s="151"/>
      <c r="F17" s="151"/>
      <c r="G17" s="151"/>
      <c r="H17" s="151"/>
      <c r="I17" s="151"/>
      <c r="J17" s="151"/>
      <c r="K17" s="151"/>
      <c r="L17" s="153">
        <v>49</v>
      </c>
      <c r="M17" s="153"/>
      <c r="N17" s="153"/>
      <c r="O17" s="153"/>
      <c r="P17" s="153">
        <v>58</v>
      </c>
      <c r="Q17" s="153"/>
      <c r="R17" s="153"/>
      <c r="S17" s="153"/>
      <c r="T17" s="5"/>
      <c r="U17" s="28"/>
      <c r="V17" s="31" t="s">
        <v>160</v>
      </c>
      <c r="W17" s="30"/>
      <c r="X17" s="30"/>
      <c r="Y17" s="30"/>
      <c r="Z17" s="30"/>
      <c r="AA17" s="39"/>
      <c r="AB17" s="39"/>
      <c r="AC17" s="39"/>
      <c r="AD17" s="39"/>
      <c r="AE17" s="39"/>
      <c r="AF17" s="30"/>
      <c r="AG17" s="30"/>
      <c r="AH17" s="30"/>
      <c r="AI17" s="48"/>
      <c r="AJ17" s="5"/>
      <c r="AK17" s="5"/>
      <c r="AL17" s="46"/>
      <c r="AN17" s="47" t="s">
        <v>161</v>
      </c>
      <c r="AO17" s="47" t="s">
        <v>162</v>
      </c>
      <c r="AP17" s="47">
        <v>0.28000000000000003</v>
      </c>
      <c r="AQ17" s="47">
        <v>0.17</v>
      </c>
    </row>
    <row r="18" spans="1:43" ht="15" customHeight="1">
      <c r="A18" s="7"/>
      <c r="B18" s="58"/>
      <c r="C18" s="5"/>
      <c r="D18" s="151"/>
      <c r="E18" s="151"/>
      <c r="F18" s="151"/>
      <c r="G18" s="151"/>
      <c r="H18" s="151"/>
      <c r="I18" s="151"/>
      <c r="J18" s="151"/>
      <c r="K18" s="151"/>
      <c r="L18" s="153">
        <v>10.3</v>
      </c>
      <c r="M18" s="153"/>
      <c r="N18" s="153"/>
      <c r="O18" s="153"/>
      <c r="P18" s="153">
        <v>10.3</v>
      </c>
      <c r="Q18" s="153"/>
      <c r="R18" s="153"/>
      <c r="S18" s="153"/>
      <c r="T18" s="5"/>
      <c r="U18" s="28"/>
      <c r="V18" s="32" t="s">
        <v>148</v>
      </c>
      <c r="W18" s="30"/>
      <c r="X18" s="30"/>
      <c r="Y18" s="30"/>
      <c r="Z18" s="154" t="s">
        <v>134</v>
      </c>
      <c r="AA18" s="155"/>
      <c r="AB18" s="156"/>
      <c r="AC18" s="39"/>
      <c r="AD18" s="40" t="s">
        <v>163</v>
      </c>
      <c r="AE18" s="39"/>
      <c r="AF18" s="154">
        <v>300</v>
      </c>
      <c r="AG18" s="156"/>
      <c r="AH18" s="31" t="s">
        <v>164</v>
      </c>
      <c r="AI18" s="48"/>
      <c r="AJ18" s="5"/>
      <c r="AK18" s="5"/>
      <c r="AL18" s="46"/>
      <c r="AN18" s="47" t="s">
        <v>165</v>
      </c>
      <c r="AO18" s="47" t="s">
        <v>166</v>
      </c>
      <c r="AP18" s="47">
        <v>0.45</v>
      </c>
      <c r="AQ18" s="47">
        <v>0.35</v>
      </c>
    </row>
    <row r="19" spans="1:43" ht="15" customHeight="1">
      <c r="A19" s="7"/>
      <c r="B19" s="58"/>
      <c r="C19" s="5" t="s">
        <v>9</v>
      </c>
      <c r="D19" s="19" t="s">
        <v>167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28"/>
      <c r="V19" s="30"/>
      <c r="W19" s="32" t="s">
        <v>152</v>
      </c>
      <c r="X19" s="30"/>
      <c r="Y19" s="30"/>
      <c r="Z19" s="157" t="s">
        <v>92</v>
      </c>
      <c r="AA19" s="157"/>
      <c r="AB19" s="161">
        <f>AN12</f>
        <v>47.712938426394985</v>
      </c>
      <c r="AC19" s="162"/>
      <c r="AD19" s="163"/>
      <c r="AE19" s="40" t="s">
        <v>153</v>
      </c>
      <c r="AF19" s="66"/>
      <c r="AG19" s="30"/>
      <c r="AH19" s="30"/>
      <c r="AI19" s="48"/>
      <c r="AJ19" s="5"/>
      <c r="AK19" s="5"/>
      <c r="AL19" s="46"/>
      <c r="AN19" s="47" t="s">
        <v>168</v>
      </c>
      <c r="AO19" s="47" t="s">
        <v>169</v>
      </c>
      <c r="AP19" s="47">
        <v>0.76</v>
      </c>
      <c r="AQ19" s="47">
        <v>0.5</v>
      </c>
    </row>
    <row r="20" spans="1:43" ht="15" customHeight="1">
      <c r="A20" s="7"/>
      <c r="B20" s="58"/>
      <c r="C20" s="5"/>
      <c r="D20" s="5"/>
      <c r="E20" s="5"/>
      <c r="F20" s="5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3"/>
      <c r="V20" s="34"/>
      <c r="W20" s="34"/>
      <c r="X20" s="34"/>
      <c r="Y20" s="34"/>
      <c r="Z20" s="34"/>
      <c r="AA20" s="41"/>
      <c r="AB20" s="41"/>
      <c r="AC20" s="41"/>
      <c r="AD20" s="41"/>
      <c r="AE20" s="41"/>
      <c r="AF20" s="34"/>
      <c r="AG20" s="34"/>
      <c r="AH20" s="34"/>
      <c r="AI20" s="51"/>
      <c r="AJ20" s="5"/>
      <c r="AK20" s="5"/>
      <c r="AL20" s="46"/>
      <c r="AN20" s="47" t="s">
        <v>170</v>
      </c>
      <c r="AO20" s="47" t="s">
        <v>171</v>
      </c>
      <c r="AP20" s="47">
        <v>1.2</v>
      </c>
      <c r="AQ20" s="47">
        <v>0.8</v>
      </c>
    </row>
    <row r="21" spans="1:43" ht="15" customHeight="1">
      <c r="A21" s="7"/>
      <c r="B21" s="58"/>
      <c r="C21" s="5"/>
      <c r="D21" s="5"/>
      <c r="E21" s="5"/>
      <c r="F21" s="5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30"/>
      <c r="W21" s="30"/>
      <c r="X21" s="30"/>
      <c r="Y21" s="30"/>
      <c r="Z21" s="30"/>
      <c r="AA21" s="39"/>
      <c r="AB21" s="39"/>
      <c r="AC21" s="39"/>
      <c r="AD21" s="39"/>
      <c r="AE21" s="39"/>
      <c r="AF21" s="30"/>
      <c r="AG21" s="30"/>
      <c r="AH21" s="30"/>
      <c r="AI21" s="5"/>
      <c r="AJ21" s="5"/>
      <c r="AK21" s="5"/>
      <c r="AL21" s="46"/>
      <c r="AN21" s="47" t="s">
        <v>172</v>
      </c>
      <c r="AO21" s="47" t="s">
        <v>173</v>
      </c>
      <c r="AP21" s="47">
        <v>1.5</v>
      </c>
      <c r="AQ21" s="47">
        <v>1.1599999999999999</v>
      </c>
    </row>
    <row r="22" spans="1:43" ht="15" customHeight="1">
      <c r="A22" s="7"/>
      <c r="B22" s="58"/>
      <c r="C22" s="5"/>
      <c r="D22" s="5"/>
      <c r="E22" s="5"/>
      <c r="F22" s="5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30"/>
      <c r="W22" s="30"/>
      <c r="X22" s="30"/>
      <c r="Y22" s="30"/>
      <c r="Z22" s="30"/>
      <c r="AA22" s="39"/>
      <c r="AB22" s="39"/>
      <c r="AC22" s="39"/>
      <c r="AD22" s="39"/>
      <c r="AE22" s="39"/>
      <c r="AF22" s="30"/>
      <c r="AG22" s="30"/>
      <c r="AH22" s="30"/>
      <c r="AI22" s="5"/>
      <c r="AJ22" s="5"/>
      <c r="AK22" s="5"/>
      <c r="AL22" s="46"/>
      <c r="AN22" s="47" t="s">
        <v>174</v>
      </c>
      <c r="AO22" s="47" t="s">
        <v>175</v>
      </c>
      <c r="AP22" s="47">
        <v>2.33</v>
      </c>
      <c r="AQ22" s="47">
        <v>1.54</v>
      </c>
    </row>
    <row r="23" spans="1:43" ht="15" customHeight="1">
      <c r="A23" s="7"/>
      <c r="B23" s="58"/>
      <c r="C23" s="5"/>
      <c r="D23" s="5"/>
      <c r="E23" s="5"/>
      <c r="F23" s="5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30"/>
      <c r="W23" s="30"/>
      <c r="X23" s="30"/>
      <c r="Y23" s="30"/>
      <c r="Z23" s="30"/>
      <c r="AA23" s="39"/>
      <c r="AB23" s="39"/>
      <c r="AC23" s="39"/>
      <c r="AD23" s="39"/>
      <c r="AE23" s="39"/>
      <c r="AF23" s="30"/>
      <c r="AG23" s="30"/>
      <c r="AH23" s="30"/>
      <c r="AI23" s="5"/>
      <c r="AJ23" s="5"/>
      <c r="AK23" s="5"/>
      <c r="AL23" s="46"/>
      <c r="AN23" s="47" t="s">
        <v>176</v>
      </c>
      <c r="AO23" s="47" t="s">
        <v>177</v>
      </c>
      <c r="AP23" s="47">
        <v>3.76</v>
      </c>
      <c r="AQ23" s="47">
        <v>2.39</v>
      </c>
    </row>
    <row r="24" spans="1:43" ht="15" customHeight="1">
      <c r="A24" s="7"/>
      <c r="B24" s="5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30"/>
      <c r="W24" s="30"/>
      <c r="X24" s="30"/>
      <c r="Y24" s="15" t="s">
        <v>71</v>
      </c>
      <c r="Z24" s="16"/>
      <c r="AA24" s="16"/>
      <c r="AB24" s="16"/>
      <c r="AC24" s="16"/>
      <c r="AD24" s="16"/>
      <c r="AE24" s="39"/>
      <c r="AF24" s="30"/>
      <c r="AG24" s="30"/>
      <c r="AH24" s="30"/>
      <c r="AI24" s="5"/>
      <c r="AJ24" s="5"/>
      <c r="AK24" s="5"/>
      <c r="AL24" s="46"/>
      <c r="AN24" s="47" t="s">
        <v>149</v>
      </c>
      <c r="AO24" s="47" t="s">
        <v>178</v>
      </c>
      <c r="AP24" s="47">
        <v>4.92</v>
      </c>
      <c r="AQ24" s="47">
        <v>3.14</v>
      </c>
    </row>
    <row r="25" spans="1:43" ht="15" customHeight="1">
      <c r="A25" s="7"/>
      <c r="B25" s="58"/>
      <c r="C25" s="5" t="s">
        <v>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30"/>
      <c r="W25" s="30"/>
      <c r="X25" s="30"/>
      <c r="Y25" s="15" t="s">
        <v>72</v>
      </c>
      <c r="Z25" s="16"/>
      <c r="AA25" s="16"/>
      <c r="AB25" s="16"/>
      <c r="AC25" s="16"/>
      <c r="AD25" s="16"/>
      <c r="AE25" s="39"/>
      <c r="AF25" s="30"/>
      <c r="AG25" s="30"/>
      <c r="AH25" s="30"/>
      <c r="AI25" s="5"/>
      <c r="AJ25" s="5"/>
      <c r="AK25" s="5"/>
      <c r="AL25" s="46"/>
      <c r="AN25" s="47" t="s">
        <v>179</v>
      </c>
      <c r="AO25" s="47" t="s">
        <v>180</v>
      </c>
      <c r="AP25" s="47">
        <v>6.98</v>
      </c>
      <c r="AQ25" s="47">
        <v>4.33</v>
      </c>
    </row>
    <row r="26" spans="1:43" ht="15" customHeight="1">
      <c r="A26" s="7"/>
      <c r="B26" s="58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30"/>
      <c r="W26" s="30"/>
      <c r="X26" s="30"/>
      <c r="Y26" s="30"/>
      <c r="Z26" s="30"/>
      <c r="AA26" s="39"/>
      <c r="AB26" s="39"/>
      <c r="AC26" s="39"/>
      <c r="AD26" s="39"/>
      <c r="AE26" s="39"/>
      <c r="AF26" s="30"/>
      <c r="AG26" s="30"/>
      <c r="AH26" s="30"/>
      <c r="AI26" s="5"/>
      <c r="AJ26" s="5"/>
      <c r="AK26" s="5"/>
      <c r="AL26" s="46"/>
      <c r="AN26" s="47" t="s">
        <v>181</v>
      </c>
      <c r="AO26" s="47" t="s">
        <v>182</v>
      </c>
      <c r="AP26" s="47">
        <v>9.58</v>
      </c>
      <c r="AQ26" s="47">
        <v>6.12</v>
      </c>
    </row>
    <row r="27" spans="1:43" ht="15" customHeight="1">
      <c r="A27" s="7"/>
      <c r="B27" s="58"/>
      <c r="C27" s="5"/>
      <c r="D27" s="5"/>
      <c r="E27" s="60" t="s">
        <v>73</v>
      </c>
      <c r="F27" s="60"/>
      <c r="G27" s="60"/>
      <c r="H27" s="61"/>
      <c r="I27" s="65"/>
      <c r="J27" s="164" t="s">
        <v>65</v>
      </c>
      <c r="K27" s="165"/>
      <c r="L27" s="165"/>
      <c r="M27" s="165"/>
      <c r="N27" s="166"/>
      <c r="O27" s="5"/>
      <c r="P27" s="5"/>
      <c r="Q27" s="5"/>
      <c r="R27" s="5"/>
      <c r="S27" s="5"/>
      <c r="T27" s="5"/>
      <c r="U27" s="5"/>
      <c r="V27" s="30"/>
      <c r="W27" s="30"/>
      <c r="X27" s="30"/>
      <c r="Y27" s="30"/>
      <c r="Z27" s="30"/>
      <c r="AA27" s="39">
        <v>110</v>
      </c>
      <c r="AB27" s="39">
        <v>41</v>
      </c>
      <c r="AC27" s="39"/>
      <c r="AD27" s="39"/>
      <c r="AE27" s="39"/>
      <c r="AF27" s="30"/>
      <c r="AG27" s="30"/>
      <c r="AH27" s="30"/>
      <c r="AI27" s="5"/>
      <c r="AJ27" s="5"/>
      <c r="AK27" s="5"/>
      <c r="AL27" s="46"/>
      <c r="AN27" s="47" t="s">
        <v>183</v>
      </c>
      <c r="AO27" s="47" t="s">
        <v>184</v>
      </c>
      <c r="AP27" s="47">
        <v>15.4</v>
      </c>
      <c r="AQ27" s="47">
        <v>10.25</v>
      </c>
    </row>
    <row r="28" spans="1:43" ht="15" customHeight="1">
      <c r="A28" s="7"/>
      <c r="B28" s="58"/>
      <c r="C28" s="5"/>
      <c r="D28" s="5"/>
      <c r="E28" s="60" t="s">
        <v>74</v>
      </c>
      <c r="F28" s="60"/>
      <c r="G28" s="60"/>
      <c r="H28" s="61"/>
      <c r="I28" s="65"/>
      <c r="J28" s="164">
        <v>0.4</v>
      </c>
      <c r="K28" s="165"/>
      <c r="L28" s="165"/>
      <c r="M28" s="165"/>
      <c r="N28" s="166"/>
      <c r="O28" s="5"/>
      <c r="P28" s="5"/>
      <c r="Q28" s="5"/>
      <c r="R28" s="5"/>
      <c r="S28" s="5">
        <v>4</v>
      </c>
      <c r="T28" s="5">
        <f>3.1416/4*S28^2/30</f>
        <v>0.41887999999999997</v>
      </c>
      <c r="U28" s="5"/>
      <c r="V28" s="30"/>
      <c r="W28" s="30"/>
      <c r="X28" s="30"/>
      <c r="Y28" s="30"/>
      <c r="Z28" s="30"/>
      <c r="AA28" s="39">
        <v>90</v>
      </c>
      <c r="AB28" s="39"/>
      <c r="AC28" s="39"/>
      <c r="AD28" s="39"/>
      <c r="AE28" s="39"/>
      <c r="AF28" s="30"/>
      <c r="AG28" s="30"/>
      <c r="AH28" s="30"/>
      <c r="AI28" s="5"/>
      <c r="AJ28" s="5"/>
      <c r="AK28" s="5"/>
      <c r="AL28" s="46"/>
      <c r="AN28" s="47" t="s">
        <v>185</v>
      </c>
      <c r="AO28" s="47" t="s">
        <v>186</v>
      </c>
      <c r="AP28" s="47">
        <v>19</v>
      </c>
      <c r="AQ28" s="47">
        <v>14</v>
      </c>
    </row>
    <row r="29" spans="1:43" ht="15" customHeight="1">
      <c r="A29" s="7"/>
      <c r="B29" s="58"/>
      <c r="C29" s="5"/>
      <c r="D29" s="5"/>
      <c r="E29" s="60" t="s">
        <v>75</v>
      </c>
      <c r="F29" s="60"/>
      <c r="G29" s="60"/>
      <c r="H29" s="61"/>
      <c r="I29" s="65"/>
      <c r="J29" s="164">
        <v>1</v>
      </c>
      <c r="K29" s="165"/>
      <c r="L29" s="165"/>
      <c r="M29" s="165"/>
      <c r="N29" s="166"/>
      <c r="O29" s="5"/>
      <c r="P29" s="5"/>
      <c r="Q29" s="5"/>
      <c r="R29" s="5"/>
      <c r="S29" s="5">
        <v>6</v>
      </c>
      <c r="T29" s="5">
        <f>3.1416/4*S29^2/30</f>
        <v>0.94247999999999998</v>
      </c>
      <c r="U29" s="5"/>
      <c r="V29" s="30"/>
      <c r="W29" s="30"/>
      <c r="X29" s="30"/>
      <c r="Y29" s="30"/>
      <c r="Z29" s="30"/>
      <c r="AA29" s="39"/>
      <c r="AB29" s="39"/>
      <c r="AC29" s="39"/>
      <c r="AD29" s="39"/>
      <c r="AE29" s="39"/>
      <c r="AF29" s="30"/>
      <c r="AG29" s="30"/>
      <c r="AH29" s="30"/>
      <c r="AI29" s="5"/>
      <c r="AJ29" s="5"/>
      <c r="AK29" s="5"/>
      <c r="AL29" s="46"/>
      <c r="AN29" s="47" t="s">
        <v>187</v>
      </c>
      <c r="AO29" s="47" t="s">
        <v>188</v>
      </c>
      <c r="AP29" s="47">
        <v>24.35</v>
      </c>
      <c r="AQ29" s="47">
        <v>18</v>
      </c>
    </row>
    <row r="30" spans="1:43" ht="15" customHeight="1">
      <c r="A30" s="7"/>
      <c r="B30" s="58"/>
      <c r="C30" s="5"/>
      <c r="D30" s="5"/>
      <c r="E30" s="60" t="s">
        <v>76</v>
      </c>
      <c r="F30" s="60"/>
      <c r="G30" s="60"/>
      <c r="H30" s="61"/>
      <c r="I30" s="65"/>
      <c r="J30" s="164">
        <v>1.3</v>
      </c>
      <c r="K30" s="165"/>
      <c r="L30" s="165"/>
      <c r="M30" s="165"/>
      <c r="N30" s="166"/>
      <c r="O30" s="5"/>
      <c r="P30" s="5"/>
      <c r="Q30" s="5"/>
      <c r="R30" s="5"/>
      <c r="S30" s="5">
        <v>8</v>
      </c>
      <c r="T30" s="5">
        <f>3.1416/4*S30^2/30</f>
        <v>1.6755199999999999</v>
      </c>
      <c r="U30" s="5"/>
      <c r="V30" s="5"/>
      <c r="W30" s="5"/>
      <c r="X30" s="5"/>
      <c r="Y30" s="5"/>
      <c r="Z30" s="5"/>
      <c r="AA30" s="42"/>
      <c r="AB30" s="42"/>
      <c r="AC30" s="42"/>
      <c r="AD30" s="42"/>
      <c r="AE30" s="42"/>
      <c r="AF30" s="5"/>
      <c r="AG30" s="5"/>
      <c r="AH30" s="5"/>
      <c r="AI30" s="5"/>
      <c r="AJ30" s="5"/>
      <c r="AK30" s="5"/>
      <c r="AL30" s="46"/>
      <c r="AN30" s="47" t="s">
        <v>189</v>
      </c>
      <c r="AO30" s="47" t="s">
        <v>190</v>
      </c>
      <c r="AP30" s="47">
        <v>58</v>
      </c>
      <c r="AQ30" s="47">
        <v>49</v>
      </c>
    </row>
    <row r="31" spans="1:43" ht="15" customHeight="1">
      <c r="A31" s="7"/>
      <c r="B31" s="58"/>
      <c r="C31" s="5"/>
      <c r="D31" s="5"/>
      <c r="E31" s="60" t="s">
        <v>77</v>
      </c>
      <c r="F31" s="60"/>
      <c r="G31" s="60"/>
      <c r="H31" s="61"/>
      <c r="I31" s="65"/>
      <c r="J31" s="164">
        <v>1.6</v>
      </c>
      <c r="K31" s="165"/>
      <c r="L31" s="165"/>
      <c r="M31" s="165"/>
      <c r="N31" s="166"/>
      <c r="O31" s="5"/>
      <c r="P31" s="5"/>
      <c r="Q31" s="5"/>
      <c r="R31" s="5"/>
      <c r="S31" s="5">
        <v>10</v>
      </c>
      <c r="T31" s="5">
        <f>3.1416/4*S31^2/30</f>
        <v>2.6179999999999999</v>
      </c>
      <c r="U31" s="5"/>
      <c r="V31" s="5"/>
      <c r="W31" s="5"/>
      <c r="X31" s="5"/>
      <c r="Y31" s="5"/>
      <c r="Z31" s="5"/>
      <c r="AA31" s="42"/>
      <c r="AB31" s="42"/>
      <c r="AC31" s="42"/>
      <c r="AD31" s="42"/>
      <c r="AE31" s="42"/>
      <c r="AF31" s="5"/>
      <c r="AG31" s="5"/>
      <c r="AH31" s="5"/>
      <c r="AI31" s="5"/>
      <c r="AJ31" s="5"/>
      <c r="AK31" s="5"/>
      <c r="AL31" s="46"/>
      <c r="AN31" s="47" t="s">
        <v>191</v>
      </c>
      <c r="AO31" s="47" t="s">
        <v>192</v>
      </c>
      <c r="AP31" s="47">
        <v>86</v>
      </c>
      <c r="AQ31" s="47">
        <v>78</v>
      </c>
    </row>
    <row r="32" spans="1:43" ht="15" customHeight="1">
      <c r="A32" s="7"/>
      <c r="B32" s="58"/>
      <c r="C32" s="5"/>
      <c r="D32" s="5"/>
      <c r="E32" s="60" t="s">
        <v>78</v>
      </c>
      <c r="F32" s="60"/>
      <c r="G32" s="60"/>
      <c r="H32" s="61"/>
      <c r="I32" s="65"/>
      <c r="J32" s="164">
        <v>2</v>
      </c>
      <c r="K32" s="165"/>
      <c r="L32" s="165"/>
      <c r="M32" s="165"/>
      <c r="N32" s="16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42"/>
      <c r="AB32" s="42"/>
      <c r="AC32" s="42"/>
      <c r="AD32" s="42"/>
      <c r="AE32" s="42"/>
      <c r="AF32" s="5"/>
      <c r="AG32" s="5"/>
      <c r="AH32" s="5"/>
      <c r="AI32" s="5"/>
      <c r="AJ32" s="5"/>
      <c r="AK32" s="5"/>
      <c r="AL32" s="46"/>
      <c r="AN32" s="47" t="s">
        <v>193</v>
      </c>
      <c r="AO32" s="47" t="s">
        <v>194</v>
      </c>
      <c r="AP32" s="47">
        <v>100</v>
      </c>
    </row>
    <row r="33" spans="1:41" ht="15" customHeight="1">
      <c r="A33" s="7"/>
      <c r="B33" s="58"/>
      <c r="C33" s="5"/>
      <c r="D33" s="5"/>
      <c r="E33" s="60" t="s">
        <v>79</v>
      </c>
      <c r="F33" s="60"/>
      <c r="G33" s="60"/>
      <c r="H33" s="61"/>
      <c r="I33" s="65"/>
      <c r="J33" s="164">
        <v>3.5</v>
      </c>
      <c r="K33" s="165"/>
      <c r="L33" s="165"/>
      <c r="M33" s="165"/>
      <c r="N33" s="16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42"/>
      <c r="AB33" s="42"/>
      <c r="AC33" s="42"/>
      <c r="AD33" s="42"/>
      <c r="AE33" s="42"/>
      <c r="AF33" s="5"/>
      <c r="AG33" s="5"/>
      <c r="AH33" s="5"/>
      <c r="AI33" s="5"/>
      <c r="AJ33" s="5"/>
      <c r="AK33" s="5"/>
      <c r="AL33" s="46"/>
      <c r="AN33" s="47" t="s">
        <v>131</v>
      </c>
      <c r="AO33" s="47">
        <f>PI()/4*2^2*AF18/100</f>
        <v>9.4247779607693793</v>
      </c>
    </row>
    <row r="34" spans="1:41" ht="15" customHeight="1">
      <c r="A34" s="7"/>
      <c r="B34" s="58"/>
      <c r="C34" s="5"/>
      <c r="D34" s="5"/>
      <c r="E34" s="60" t="s">
        <v>80</v>
      </c>
      <c r="F34" s="60"/>
      <c r="G34" s="60"/>
      <c r="H34" s="61"/>
      <c r="I34" s="65"/>
      <c r="J34" s="164">
        <v>7.5</v>
      </c>
      <c r="K34" s="165"/>
      <c r="L34" s="165"/>
      <c r="M34" s="165"/>
      <c r="N34" s="166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42"/>
      <c r="AB34" s="42"/>
      <c r="AC34" s="42"/>
      <c r="AD34" s="42"/>
      <c r="AE34" s="42"/>
      <c r="AF34" s="5"/>
      <c r="AG34" s="5"/>
      <c r="AH34" s="5"/>
      <c r="AI34" s="5"/>
      <c r="AJ34" s="5"/>
      <c r="AK34" s="5"/>
      <c r="AL34" s="46"/>
      <c r="AN34" s="47" t="s">
        <v>133</v>
      </c>
      <c r="AO34" s="47">
        <f>PI()/4*3^2*AF18/100</f>
        <v>21.205750411731106</v>
      </c>
    </row>
    <row r="35" spans="1:41" ht="15" customHeight="1">
      <c r="A35" s="7"/>
      <c r="B35" s="58"/>
      <c r="C35" s="5"/>
      <c r="D35" s="5"/>
      <c r="E35" s="60" t="s">
        <v>81</v>
      </c>
      <c r="F35" s="60"/>
      <c r="G35" s="60"/>
      <c r="H35" s="61"/>
      <c r="I35" s="65"/>
      <c r="J35" s="164">
        <v>12</v>
      </c>
      <c r="K35" s="165"/>
      <c r="L35" s="165"/>
      <c r="M35" s="165"/>
      <c r="N35" s="16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42"/>
      <c r="AB35" s="42"/>
      <c r="AC35" s="42"/>
      <c r="AD35" s="42"/>
      <c r="AE35" s="42"/>
      <c r="AF35" s="5"/>
      <c r="AG35" s="5"/>
      <c r="AH35" s="5"/>
      <c r="AI35" s="5"/>
      <c r="AJ35" s="5"/>
      <c r="AK35" s="5"/>
      <c r="AL35" s="46"/>
      <c r="AN35" s="47" t="s">
        <v>134</v>
      </c>
      <c r="AO35" s="47">
        <f>PI()/4*4.5^2*AF18/100</f>
        <v>47.712938426394985</v>
      </c>
    </row>
    <row r="36" spans="1:41" ht="15" customHeight="1">
      <c r="A36" s="7"/>
      <c r="B36" s="58"/>
      <c r="C36" s="5"/>
      <c r="D36" s="5"/>
      <c r="E36" s="60" t="s">
        <v>82</v>
      </c>
      <c r="F36" s="60"/>
      <c r="G36" s="60"/>
      <c r="H36" s="61"/>
      <c r="I36" s="65"/>
      <c r="J36" s="164">
        <v>28</v>
      </c>
      <c r="K36" s="165"/>
      <c r="L36" s="165"/>
      <c r="M36" s="165"/>
      <c r="N36" s="16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42"/>
      <c r="AB36" s="42"/>
      <c r="AC36" s="42"/>
      <c r="AD36" s="42"/>
      <c r="AE36" s="42"/>
      <c r="AF36" s="5"/>
      <c r="AG36" s="5"/>
      <c r="AH36" s="5"/>
      <c r="AI36" s="5"/>
      <c r="AJ36" s="5"/>
      <c r="AK36" s="5"/>
      <c r="AL36" s="46"/>
      <c r="AN36" s="47" t="s">
        <v>135</v>
      </c>
      <c r="AO36" s="47">
        <f>PI()/4*6^2*AF18/100</f>
        <v>84.823001646924425</v>
      </c>
    </row>
    <row r="37" spans="1:41" ht="15" customHeight="1">
      <c r="A37" s="7"/>
      <c r="B37" s="5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42"/>
      <c r="AB37" s="42"/>
      <c r="AC37" s="42"/>
      <c r="AD37" s="42"/>
      <c r="AE37" s="42"/>
      <c r="AF37" s="5"/>
      <c r="AG37" s="5"/>
      <c r="AH37" s="5"/>
      <c r="AI37" s="5"/>
      <c r="AJ37" s="5"/>
      <c r="AK37" s="5"/>
      <c r="AL37" s="46"/>
      <c r="AN37" s="47" t="s">
        <v>195</v>
      </c>
      <c r="AO37" s="47">
        <f>PI()/4*4.5^2*2*AF18/100</f>
        <v>95.425876852789969</v>
      </c>
    </row>
    <row r="38" spans="1:41" ht="15" customHeight="1">
      <c r="A38" s="7"/>
      <c r="B38" s="5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42"/>
      <c r="AB38" s="42"/>
      <c r="AC38" s="42"/>
      <c r="AD38" s="42"/>
      <c r="AE38" s="42"/>
      <c r="AF38" s="5"/>
      <c r="AG38" s="5"/>
      <c r="AH38" s="5"/>
      <c r="AI38" s="5"/>
      <c r="AJ38" s="5"/>
      <c r="AK38" s="5"/>
      <c r="AL38" s="46"/>
      <c r="AN38" s="47" t="s">
        <v>196</v>
      </c>
      <c r="AO38" s="47">
        <f>PI()/4*6^2*2*AF18/100</f>
        <v>169.64600329384885</v>
      </c>
    </row>
    <row r="39" spans="1:41" ht="15" customHeight="1">
      <c r="A39" s="7"/>
      <c r="B39" s="5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42"/>
      <c r="AB39" s="42"/>
      <c r="AC39" s="42"/>
      <c r="AD39" s="42"/>
      <c r="AE39" s="42"/>
      <c r="AF39" s="5"/>
      <c r="AG39" s="5"/>
      <c r="AH39" s="5"/>
      <c r="AI39" s="5"/>
      <c r="AJ39" s="5"/>
      <c r="AK39" s="5"/>
      <c r="AL39" s="46"/>
    </row>
    <row r="40" spans="1:41" ht="15" customHeight="1">
      <c r="A40" s="7"/>
      <c r="B40" s="5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42"/>
      <c r="AB40" s="42"/>
      <c r="AC40" s="42"/>
      <c r="AD40" s="42"/>
      <c r="AE40" s="42"/>
      <c r="AF40" s="5"/>
      <c r="AG40" s="5"/>
      <c r="AH40" s="5"/>
      <c r="AI40" s="5"/>
      <c r="AJ40" s="5"/>
      <c r="AK40" s="5"/>
      <c r="AL40" s="46"/>
    </row>
    <row r="41" spans="1:41" ht="15" customHeight="1">
      <c r="A41" s="7"/>
      <c r="B41" s="58"/>
      <c r="C41" s="5"/>
      <c r="D41" s="59" t="s">
        <v>197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42"/>
      <c r="Z41" s="42"/>
      <c r="AA41" s="42"/>
      <c r="AB41" s="42"/>
      <c r="AC41" s="42"/>
      <c r="AD41" s="5"/>
      <c r="AE41" s="5"/>
      <c r="AF41" s="5"/>
      <c r="AG41" s="5"/>
      <c r="AH41" s="5"/>
      <c r="AI41" s="5"/>
      <c r="AJ41" s="5"/>
      <c r="AK41" s="5"/>
      <c r="AL41" s="46"/>
    </row>
    <row r="42" spans="1:41" ht="15" customHeight="1">
      <c r="B42" s="58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2"/>
      <c r="AA42" s="42"/>
      <c r="AB42" s="42"/>
      <c r="AC42" s="42"/>
      <c r="AD42" s="42"/>
      <c r="AE42" s="5"/>
      <c r="AF42" s="5"/>
      <c r="AG42" s="5"/>
      <c r="AH42" s="5"/>
      <c r="AI42" s="5"/>
      <c r="AJ42" s="5"/>
      <c r="AK42" s="5"/>
      <c r="AL42" s="46"/>
    </row>
    <row r="43" spans="1:41" ht="15" customHeight="1">
      <c r="B43" s="58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42"/>
      <c r="AB43" s="42"/>
      <c r="AC43" s="42"/>
      <c r="AD43" s="42"/>
      <c r="AE43" s="42"/>
      <c r="AF43" s="5"/>
      <c r="AG43" s="5"/>
      <c r="AH43" s="5"/>
      <c r="AI43" s="5"/>
      <c r="AJ43" s="5"/>
      <c r="AK43" s="5"/>
      <c r="AL43" s="46"/>
    </row>
    <row r="44" spans="1:41" ht="15" customHeight="1">
      <c r="B44" s="58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42"/>
      <c r="AB44" s="42"/>
      <c r="AC44" s="42"/>
      <c r="AD44" s="42"/>
      <c r="AE44" s="42"/>
      <c r="AF44" s="5"/>
      <c r="AG44" s="5"/>
      <c r="AH44" s="5"/>
      <c r="AI44" s="5"/>
      <c r="AJ44" s="5"/>
      <c r="AK44" s="5"/>
      <c r="AL44" s="46"/>
    </row>
    <row r="45" spans="1:41" ht="15" customHeight="1">
      <c r="B45" s="58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42"/>
      <c r="AB45" s="42"/>
      <c r="AC45" s="42"/>
      <c r="AD45" s="42"/>
      <c r="AE45" s="42"/>
      <c r="AF45" s="5"/>
      <c r="AG45" s="5"/>
      <c r="AH45" s="5"/>
      <c r="AI45" s="5"/>
      <c r="AJ45" s="5"/>
      <c r="AK45" s="5"/>
      <c r="AL45" s="46"/>
    </row>
    <row r="46" spans="1:41" ht="15" customHeight="1">
      <c r="B46" s="58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42"/>
      <c r="AB46" s="42"/>
      <c r="AC46" s="42"/>
      <c r="AD46" s="42"/>
      <c r="AE46" s="42"/>
      <c r="AF46" s="5"/>
      <c r="AG46" s="5"/>
      <c r="AH46" s="5"/>
      <c r="AI46" s="5"/>
      <c r="AJ46" s="5"/>
      <c r="AK46" s="5"/>
      <c r="AL46" s="46"/>
    </row>
    <row r="47" spans="1:41" ht="15" customHeight="1">
      <c r="B47" s="58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42"/>
      <c r="AB47" s="42"/>
      <c r="AC47" s="42"/>
      <c r="AD47" s="42"/>
      <c r="AE47" s="42"/>
      <c r="AF47" s="5"/>
      <c r="AG47" s="5"/>
      <c r="AH47" s="5"/>
      <c r="AI47" s="5"/>
      <c r="AJ47" s="5"/>
      <c r="AK47" s="5"/>
      <c r="AL47" s="46"/>
    </row>
    <row r="48" spans="1:41" ht="15" customHeight="1">
      <c r="B48" s="58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42"/>
      <c r="AB48" s="42"/>
      <c r="AC48" s="42"/>
      <c r="AD48" s="42"/>
      <c r="AE48" s="42"/>
      <c r="AF48" s="5"/>
      <c r="AG48" s="5"/>
      <c r="AH48" s="5"/>
      <c r="AI48" s="5"/>
      <c r="AJ48" s="5"/>
      <c r="AK48" s="5"/>
      <c r="AL48" s="46"/>
    </row>
    <row r="49" spans="2:38" ht="15" customHeight="1">
      <c r="B49" s="5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42"/>
      <c r="AB49" s="42"/>
      <c r="AC49" s="42"/>
      <c r="AD49" s="42"/>
      <c r="AE49" s="42"/>
      <c r="AF49" s="5"/>
      <c r="AG49" s="5"/>
      <c r="AH49" s="5"/>
      <c r="AI49" s="5"/>
      <c r="AJ49" s="5"/>
      <c r="AK49" s="5"/>
      <c r="AL49" s="46"/>
    </row>
    <row r="50" spans="2:38" ht="15" customHeight="1">
      <c r="B50" s="5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42"/>
      <c r="AB50" s="42"/>
      <c r="AC50" s="42"/>
      <c r="AD50" s="42"/>
      <c r="AE50" s="42"/>
      <c r="AF50" s="5"/>
      <c r="AG50" s="5"/>
      <c r="AH50" s="5"/>
      <c r="AI50" s="5"/>
      <c r="AJ50" s="5"/>
      <c r="AK50" s="5"/>
      <c r="AL50" s="46"/>
    </row>
    <row r="51" spans="2:38" ht="15" customHeight="1">
      <c r="B51" s="58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42"/>
      <c r="AB51" s="42"/>
      <c r="AC51" s="42"/>
      <c r="AD51" s="42"/>
      <c r="AE51" s="42"/>
      <c r="AF51" s="5"/>
      <c r="AG51" s="5"/>
      <c r="AH51" s="5"/>
      <c r="AI51" s="5"/>
      <c r="AJ51" s="5"/>
      <c r="AK51" s="5"/>
      <c r="AL51" s="46"/>
    </row>
    <row r="52" spans="2:38" ht="15" customHeight="1">
      <c r="B52" s="58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42"/>
      <c r="AB52" s="42"/>
      <c r="AC52" s="42"/>
      <c r="AD52" s="42"/>
      <c r="AE52" s="42"/>
      <c r="AF52" s="5"/>
      <c r="AG52" s="5"/>
      <c r="AH52" s="5"/>
      <c r="AI52" s="5"/>
      <c r="AJ52" s="5"/>
      <c r="AK52" s="5"/>
      <c r="AL52" s="46"/>
    </row>
    <row r="53" spans="2:38" ht="15" customHeight="1">
      <c r="B53" s="58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42"/>
      <c r="AB53" s="42"/>
      <c r="AC53" s="42"/>
      <c r="AD53" s="42"/>
      <c r="AE53" s="42"/>
      <c r="AF53" s="5"/>
      <c r="AG53" s="5"/>
      <c r="AH53" s="5"/>
      <c r="AI53" s="5"/>
      <c r="AJ53" s="5"/>
      <c r="AK53" s="5"/>
      <c r="AL53" s="46"/>
    </row>
    <row r="54" spans="2:38" ht="15" customHeight="1">
      <c r="B54" s="5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42"/>
      <c r="AB54" s="42"/>
      <c r="AC54" s="42"/>
      <c r="AD54" s="42"/>
      <c r="AE54" s="42"/>
      <c r="AF54" s="7"/>
      <c r="AG54" s="7"/>
      <c r="AH54" s="7"/>
      <c r="AI54" s="7"/>
      <c r="AJ54" s="7"/>
      <c r="AK54" s="7"/>
      <c r="AL54" s="46"/>
    </row>
    <row r="55" spans="2:38" ht="15" customHeight="1"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7"/>
      <c r="S55" s="7"/>
      <c r="T55" s="7"/>
      <c r="U55" s="7"/>
      <c r="V55" s="7"/>
      <c r="W55" s="7"/>
      <c r="X55" s="7"/>
      <c r="Y55" s="7"/>
      <c r="Z55" s="7"/>
      <c r="AA55" s="42"/>
      <c r="AB55" s="42"/>
      <c r="AC55" s="42"/>
      <c r="AD55" s="42"/>
      <c r="AE55" s="42"/>
      <c r="AF55" s="7"/>
      <c r="AG55" s="7"/>
      <c r="AH55" s="7"/>
      <c r="AI55" s="7"/>
      <c r="AJ55" s="7"/>
      <c r="AK55" s="7"/>
      <c r="AL55" s="46"/>
    </row>
    <row r="56" spans="2:38" ht="9.9499999999999993" customHeight="1">
      <c r="B56" s="5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177" t="s">
        <v>27</v>
      </c>
      <c r="S56" s="178"/>
      <c r="T56" s="178"/>
      <c r="U56" s="179"/>
      <c r="V56" s="220"/>
      <c r="W56" s="221"/>
      <c r="X56" s="221"/>
      <c r="Y56" s="221"/>
      <c r="Z56" s="221"/>
      <c r="AA56" s="222"/>
      <c r="AB56" s="183" t="s">
        <v>28</v>
      </c>
      <c r="AC56" s="184"/>
      <c r="AD56" s="184"/>
      <c r="AE56" s="184"/>
      <c r="AF56" s="184"/>
      <c r="AG56" s="184"/>
      <c r="AH56" s="184"/>
      <c r="AI56" s="184"/>
      <c r="AJ56" s="184"/>
      <c r="AK56" s="184"/>
      <c r="AL56" s="185"/>
    </row>
    <row r="57" spans="2:38" ht="9.9499999999999993" customHeight="1">
      <c r="B57" s="224" t="s">
        <v>198</v>
      </c>
      <c r="C57" s="200"/>
      <c r="D57" s="20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180"/>
      <c r="S57" s="181"/>
      <c r="T57" s="181"/>
      <c r="U57" s="182"/>
      <c r="V57" s="174"/>
      <c r="W57" s="175"/>
      <c r="X57" s="175"/>
      <c r="Y57" s="175"/>
      <c r="Z57" s="175"/>
      <c r="AA57" s="176"/>
      <c r="AB57" s="186"/>
      <c r="AC57" s="187"/>
      <c r="AD57" s="187"/>
      <c r="AE57" s="187"/>
      <c r="AF57" s="187"/>
      <c r="AG57" s="187"/>
      <c r="AH57" s="187"/>
      <c r="AI57" s="187"/>
      <c r="AJ57" s="187"/>
      <c r="AK57" s="187"/>
      <c r="AL57" s="188"/>
    </row>
    <row r="58" spans="2:38" ht="9.9499999999999993" customHeight="1">
      <c r="B58" s="224"/>
      <c r="C58" s="200"/>
      <c r="D58" s="20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214" t="s">
        <v>29</v>
      </c>
      <c r="S58" s="215"/>
      <c r="T58" s="215"/>
      <c r="U58" s="216"/>
      <c r="V58" s="173"/>
      <c r="W58" s="168"/>
      <c r="X58" s="168"/>
      <c r="Y58" s="168"/>
      <c r="Z58" s="168"/>
      <c r="AA58" s="169"/>
      <c r="AB58" s="189" t="s">
        <v>199</v>
      </c>
      <c r="AC58" s="190"/>
      <c r="AD58" s="190"/>
      <c r="AE58" s="190"/>
      <c r="AF58" s="190"/>
      <c r="AG58" s="190"/>
      <c r="AH58" s="190"/>
      <c r="AI58" s="190"/>
      <c r="AJ58" s="190"/>
      <c r="AK58" s="190"/>
      <c r="AL58" s="191"/>
    </row>
    <row r="59" spans="2:38" ht="9.9499999999999993" customHeight="1">
      <c r="B59" s="5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180"/>
      <c r="S59" s="181"/>
      <c r="T59" s="181"/>
      <c r="U59" s="182"/>
      <c r="V59" s="174"/>
      <c r="W59" s="175"/>
      <c r="X59" s="175"/>
      <c r="Y59" s="175"/>
      <c r="Z59" s="175"/>
      <c r="AA59" s="176"/>
      <c r="AB59" s="192"/>
      <c r="AC59" s="193"/>
      <c r="AD59" s="193"/>
      <c r="AE59" s="193"/>
      <c r="AF59" s="193"/>
      <c r="AG59" s="193"/>
      <c r="AH59" s="193"/>
      <c r="AI59" s="193"/>
      <c r="AJ59" s="193"/>
      <c r="AK59" s="193"/>
      <c r="AL59" s="194"/>
    </row>
    <row r="60" spans="2:38" ht="9.9499999999999993" customHeight="1">
      <c r="B60" s="217" t="s">
        <v>200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7"/>
      <c r="Q60" s="7"/>
      <c r="R60" s="214" t="s">
        <v>31</v>
      </c>
      <c r="S60" s="215"/>
      <c r="T60" s="215"/>
      <c r="U60" s="216"/>
      <c r="V60" s="173"/>
      <c r="W60" s="168"/>
      <c r="X60" s="168"/>
      <c r="Y60" s="168"/>
      <c r="Z60" s="168"/>
      <c r="AA60" s="169"/>
      <c r="AB60" s="195"/>
      <c r="AC60" s="196"/>
      <c r="AD60" s="196"/>
      <c r="AE60" s="196"/>
      <c r="AF60" s="196"/>
      <c r="AG60" s="196"/>
      <c r="AH60" s="196"/>
      <c r="AI60" s="196"/>
      <c r="AJ60" s="196"/>
      <c r="AK60" s="196"/>
      <c r="AL60" s="197"/>
    </row>
    <row r="61" spans="2:38" ht="9.9499999999999993" customHeight="1">
      <c r="B61" s="219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7"/>
      <c r="Q61" s="7"/>
      <c r="R61" s="180"/>
      <c r="S61" s="181"/>
      <c r="T61" s="181"/>
      <c r="U61" s="182"/>
      <c r="V61" s="174"/>
      <c r="W61" s="175"/>
      <c r="X61" s="175"/>
      <c r="Y61" s="175"/>
      <c r="Z61" s="175"/>
      <c r="AA61" s="176"/>
      <c r="AB61" s="204" t="s">
        <v>32</v>
      </c>
      <c r="AC61" s="205"/>
      <c r="AD61" s="205"/>
      <c r="AE61" s="206"/>
      <c r="AF61" s="173"/>
      <c r="AG61" s="168"/>
      <c r="AH61" s="168"/>
      <c r="AI61" s="168"/>
      <c r="AJ61" s="168"/>
      <c r="AK61" s="168"/>
      <c r="AL61" s="198"/>
    </row>
    <row r="62" spans="2:38" ht="9.9499999999999993" customHeight="1">
      <c r="B62" s="58"/>
      <c r="C62" s="7"/>
      <c r="D62" s="64"/>
      <c r="E62" s="64"/>
      <c r="F62" s="64"/>
      <c r="G62" s="64"/>
      <c r="H62" s="200"/>
      <c r="I62" s="200"/>
      <c r="J62" s="200"/>
      <c r="K62" s="200"/>
      <c r="L62" s="200"/>
      <c r="M62" s="64"/>
      <c r="N62" s="64"/>
      <c r="O62" s="7"/>
      <c r="P62" s="7"/>
      <c r="Q62" s="7"/>
      <c r="R62" s="214" t="s">
        <v>33</v>
      </c>
      <c r="S62" s="215"/>
      <c r="T62" s="215"/>
      <c r="U62" s="216"/>
      <c r="V62" s="173"/>
      <c r="W62" s="168"/>
      <c r="X62" s="168"/>
      <c r="Y62" s="168"/>
      <c r="Z62" s="168"/>
      <c r="AA62" s="169"/>
      <c r="AB62" s="186"/>
      <c r="AC62" s="187"/>
      <c r="AD62" s="187"/>
      <c r="AE62" s="207"/>
      <c r="AF62" s="199"/>
      <c r="AG62" s="200"/>
      <c r="AH62" s="200"/>
      <c r="AI62" s="200"/>
      <c r="AJ62" s="200"/>
      <c r="AK62" s="200"/>
      <c r="AL62" s="201"/>
    </row>
    <row r="63" spans="2:38" ht="9.9499999999999993" customHeight="1">
      <c r="B63" s="58"/>
      <c r="C63" s="7"/>
      <c r="D63" s="64"/>
      <c r="E63" s="64"/>
      <c r="F63" s="64"/>
      <c r="G63" s="64"/>
      <c r="H63" s="200"/>
      <c r="I63" s="200"/>
      <c r="J63" s="200"/>
      <c r="K63" s="200"/>
      <c r="L63" s="200"/>
      <c r="M63" s="64"/>
      <c r="N63" s="64"/>
      <c r="O63" s="7"/>
      <c r="P63" s="7"/>
      <c r="Q63" s="7"/>
      <c r="R63" s="180"/>
      <c r="S63" s="181"/>
      <c r="T63" s="181"/>
      <c r="U63" s="182"/>
      <c r="V63" s="174"/>
      <c r="W63" s="175"/>
      <c r="X63" s="175"/>
      <c r="Y63" s="175"/>
      <c r="Z63" s="175"/>
      <c r="AA63" s="176"/>
      <c r="AB63" s="204" t="s">
        <v>34</v>
      </c>
      <c r="AC63" s="205"/>
      <c r="AD63" s="205"/>
      <c r="AE63" s="206"/>
      <c r="AF63" s="199"/>
      <c r="AG63" s="200"/>
      <c r="AH63" s="200"/>
      <c r="AI63" s="200"/>
      <c r="AJ63" s="200"/>
      <c r="AK63" s="200"/>
      <c r="AL63" s="201"/>
    </row>
    <row r="64" spans="2:38" ht="9.9499999999999993" customHeight="1">
      <c r="B64" s="5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167"/>
      <c r="S64" s="168"/>
      <c r="T64" s="168"/>
      <c r="U64" s="168"/>
      <c r="V64" s="168"/>
      <c r="W64" s="168"/>
      <c r="X64" s="168"/>
      <c r="Y64" s="168"/>
      <c r="Z64" s="168"/>
      <c r="AA64" s="169"/>
      <c r="AB64" s="208"/>
      <c r="AC64" s="209"/>
      <c r="AD64" s="209"/>
      <c r="AE64" s="210"/>
      <c r="AF64" s="199"/>
      <c r="AG64" s="200"/>
      <c r="AH64" s="200"/>
      <c r="AI64" s="200"/>
      <c r="AJ64" s="200"/>
      <c r="AK64" s="200"/>
      <c r="AL64" s="201"/>
    </row>
    <row r="65" spans="2:38" ht="9.9499999999999993" customHeight="1"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170"/>
      <c r="S65" s="171"/>
      <c r="T65" s="171"/>
      <c r="U65" s="171"/>
      <c r="V65" s="171"/>
      <c r="W65" s="171"/>
      <c r="X65" s="171"/>
      <c r="Y65" s="171"/>
      <c r="Z65" s="171"/>
      <c r="AA65" s="172"/>
      <c r="AB65" s="211"/>
      <c r="AC65" s="212"/>
      <c r="AD65" s="212"/>
      <c r="AE65" s="213"/>
      <c r="AF65" s="202"/>
      <c r="AG65" s="171"/>
      <c r="AH65" s="171"/>
      <c r="AI65" s="171"/>
      <c r="AJ65" s="171"/>
      <c r="AK65" s="171"/>
      <c r="AL65" s="203"/>
    </row>
  </sheetData>
  <mergeCells count="59">
    <mergeCell ref="C2:AK3"/>
    <mergeCell ref="B57:D58"/>
    <mergeCell ref="H62:L63"/>
    <mergeCell ref="B60:O61"/>
    <mergeCell ref="V56:AA57"/>
    <mergeCell ref="V58:AA59"/>
    <mergeCell ref="J17:K18"/>
    <mergeCell ref="R58:U59"/>
    <mergeCell ref="R60:U61"/>
    <mergeCell ref="R64:AA65"/>
    <mergeCell ref="V60:AA61"/>
    <mergeCell ref="V62:AA63"/>
    <mergeCell ref="R56:U57"/>
    <mergeCell ref="AB56:AL57"/>
    <mergeCell ref="AB58:AL60"/>
    <mergeCell ref="AF61:AL65"/>
    <mergeCell ref="AB61:AE62"/>
    <mergeCell ref="AB63:AE65"/>
    <mergeCell ref="R62:U63"/>
    <mergeCell ref="J35:N35"/>
    <mergeCell ref="J36:N36"/>
    <mergeCell ref="D8:D9"/>
    <mergeCell ref="D17:D18"/>
    <mergeCell ref="E8:E9"/>
    <mergeCell ref="E17:E18"/>
    <mergeCell ref="I8:I9"/>
    <mergeCell ref="I17:I18"/>
    <mergeCell ref="J8:K9"/>
    <mergeCell ref="J30:N30"/>
    <mergeCell ref="J31:N31"/>
    <mergeCell ref="J32:N32"/>
    <mergeCell ref="J33:N33"/>
    <mergeCell ref="J34:N34"/>
    <mergeCell ref="Z19:AA19"/>
    <mergeCell ref="AB19:AD19"/>
    <mergeCell ref="J27:N27"/>
    <mergeCell ref="J28:N28"/>
    <mergeCell ref="J29:N29"/>
    <mergeCell ref="F18:H18"/>
    <mergeCell ref="L18:O18"/>
    <mergeCell ref="P18:S18"/>
    <mergeCell ref="Z18:AB18"/>
    <mergeCell ref="AF18:AG18"/>
    <mergeCell ref="L16:O16"/>
    <mergeCell ref="P16:S16"/>
    <mergeCell ref="F17:H17"/>
    <mergeCell ref="L17:O17"/>
    <mergeCell ref="P17:S17"/>
    <mergeCell ref="F13:I13"/>
    <mergeCell ref="J13:M13"/>
    <mergeCell ref="Z14:AB14"/>
    <mergeCell ref="Z15:AA15"/>
    <mergeCell ref="AB15:AD15"/>
    <mergeCell ref="F8:H8"/>
    <mergeCell ref="F9:H9"/>
    <mergeCell ref="F11:I11"/>
    <mergeCell ref="J11:M11"/>
    <mergeCell ref="F12:I12"/>
    <mergeCell ref="J12:M12"/>
  </mergeCells>
  <phoneticPr fontId="22" type="noConversion"/>
  <dataValidations count="2">
    <dataValidation type="list" allowBlank="1" showInputMessage="1" showErrorMessage="1" sqref="Z14:AB14">
      <formula1>$AN$16:$AN$31</formula1>
    </dataValidation>
    <dataValidation type="list" allowBlank="1" showInputMessage="1" showErrorMessage="1" sqref="Z18:AB18">
      <formula1>$AN$33:$AN$38</formula1>
    </dataValidation>
  </dataValidations>
  <pageMargins left="0.70866141732283505" right="0.26" top="0.27559055118110198" bottom="0.31496062992126" header="0.15748031496063" footer="0.15748031496063"/>
  <pageSetup paperSize="9" scale="89" orientation="portrait" horizontalDpi="360" r:id="rId1"/>
  <headerFooter alignWithMargins="0"/>
  <colBreaks count="1" manualBreakCount="1">
    <brk id="3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V65"/>
  <sheetViews>
    <sheetView topLeftCell="A16" workbookViewId="0">
      <selection activeCell="W34" sqref="W34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42" width="7.375" style="8" hidden="1" customWidth="1"/>
    <col min="43" max="256" width="7.375" style="8"/>
  </cols>
  <sheetData>
    <row r="1" spans="1:42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42" ht="15" customHeight="1">
      <c r="A2" s="12"/>
      <c r="B2" s="13"/>
      <c r="C2" s="145" t="s">
        <v>61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44"/>
    </row>
    <row r="3" spans="1:42" ht="15" customHeight="1">
      <c r="A3" s="14"/>
      <c r="B3" s="13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44"/>
    </row>
    <row r="4" spans="1:42" ht="15" customHeight="1">
      <c r="A4" s="14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42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42" ht="15" customHeight="1">
      <c r="A6" s="14"/>
      <c r="B6" s="13"/>
      <c r="C6" s="15" t="s">
        <v>201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42" ht="15" customHeight="1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42" ht="15" customHeight="1">
      <c r="B8" s="13"/>
      <c r="C8" s="16"/>
      <c r="D8" s="88" t="s">
        <v>63</v>
      </c>
      <c r="E8" s="88" t="s">
        <v>2</v>
      </c>
      <c r="F8" s="80" t="s">
        <v>64</v>
      </c>
      <c r="G8" s="80"/>
      <c r="H8" s="80"/>
      <c r="I8" s="88" t="s">
        <v>47</v>
      </c>
      <c r="J8" s="149">
        <v>0.6</v>
      </c>
      <c r="K8" s="149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37"/>
      <c r="AB8" s="37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42" ht="15" customHeight="1">
      <c r="A9" s="14"/>
      <c r="B9" s="13"/>
      <c r="C9" s="16"/>
      <c r="D9" s="88"/>
      <c r="E9" s="88"/>
      <c r="F9" s="88" t="s">
        <v>65</v>
      </c>
      <c r="G9" s="88"/>
      <c r="H9" s="88"/>
      <c r="I9" s="88"/>
      <c r="J9" s="149"/>
      <c r="K9" s="149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37"/>
      <c r="AB9" s="37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42" ht="15" customHeight="1">
      <c r="A10" s="14"/>
      <c r="B10" s="13"/>
      <c r="C10" s="18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42" ht="15" customHeight="1">
      <c r="A11" s="14"/>
      <c r="B11" s="13"/>
      <c r="C11" s="16"/>
      <c r="D11" s="16" t="s">
        <v>63</v>
      </c>
      <c r="E11" s="16" t="s">
        <v>10</v>
      </c>
      <c r="F11" s="80">
        <f>F12/F13*0.75</f>
        <v>3.7725</v>
      </c>
      <c r="G11" s="80"/>
      <c r="H11" s="80"/>
      <c r="I11" s="80"/>
      <c r="J11" s="16"/>
      <c r="K11" s="16"/>
      <c r="L11" s="16"/>
      <c r="M11" s="16"/>
      <c r="N11" s="15" t="s">
        <v>66</v>
      </c>
      <c r="O11" s="16"/>
      <c r="P11" s="16"/>
      <c r="Q11" s="16"/>
      <c r="R11" s="16"/>
      <c r="S11" s="16"/>
      <c r="T11" s="16"/>
      <c r="U11" s="26"/>
      <c r="V11" s="27"/>
      <c r="W11" s="27"/>
      <c r="X11" s="27"/>
      <c r="Y11" s="27"/>
      <c r="Z11" s="27"/>
      <c r="AA11" s="38"/>
      <c r="AB11" s="38"/>
      <c r="AC11" s="38"/>
      <c r="AD11" s="38"/>
      <c r="AE11" s="38"/>
      <c r="AF11" s="27"/>
      <c r="AG11" s="27"/>
      <c r="AH11" s="27"/>
      <c r="AI11" s="45"/>
      <c r="AJ11" s="5"/>
      <c r="AK11" s="5"/>
      <c r="AL11" s="46"/>
      <c r="AM11" s="47"/>
      <c r="AN11" s="47"/>
      <c r="AO11" s="47"/>
      <c r="AP11" s="47"/>
    </row>
    <row r="12" spans="1:42" ht="15" customHeight="1">
      <c r="A12" s="14"/>
      <c r="B12" s="13"/>
      <c r="C12" s="16"/>
      <c r="D12" s="16" t="s">
        <v>64</v>
      </c>
      <c r="E12" s="16" t="s">
        <v>10</v>
      </c>
      <c r="F12" s="85">
        <v>5.03</v>
      </c>
      <c r="G12" s="85"/>
      <c r="H12" s="85"/>
      <c r="I12" s="85"/>
      <c r="J12" s="16"/>
      <c r="K12" s="16"/>
      <c r="L12" s="16"/>
      <c r="M12" s="16"/>
      <c r="N12" s="15" t="s">
        <v>52</v>
      </c>
      <c r="O12" s="16"/>
      <c r="P12" s="16"/>
      <c r="Q12" s="16"/>
      <c r="R12" s="16"/>
      <c r="S12" s="16"/>
      <c r="T12" s="16"/>
      <c r="U12" s="28"/>
      <c r="V12" s="29" t="s">
        <v>146</v>
      </c>
      <c r="W12" s="30"/>
      <c r="X12" s="30"/>
      <c r="Y12" s="30"/>
      <c r="Z12" s="30"/>
      <c r="AA12" s="39"/>
      <c r="AB12" s="39"/>
      <c r="AC12" s="39"/>
      <c r="AD12" s="39"/>
      <c r="AE12" s="39"/>
      <c r="AF12" s="30"/>
      <c r="AG12" s="30"/>
      <c r="AH12" s="30"/>
      <c r="AI12" s="48"/>
      <c r="AJ12" s="5"/>
      <c r="AK12" s="5"/>
      <c r="AL12" s="46"/>
      <c r="AM12" s="47"/>
      <c r="AN12" s="49">
        <f>VLOOKUP(Z18,AN33:AO37,2,0)</f>
        <v>7.0685834705770345</v>
      </c>
      <c r="AO12" s="52"/>
      <c r="AP12" s="39"/>
    </row>
    <row r="13" spans="1:42" ht="15" customHeight="1">
      <c r="A13" s="14"/>
      <c r="B13" s="13"/>
      <c r="C13" s="16"/>
      <c r="D13" s="16" t="s">
        <v>65</v>
      </c>
      <c r="E13" s="16" t="s">
        <v>10</v>
      </c>
      <c r="F13" s="85">
        <v>1</v>
      </c>
      <c r="G13" s="85"/>
      <c r="H13" s="85"/>
      <c r="I13" s="8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8"/>
      <c r="V13" s="31" t="s">
        <v>147</v>
      </c>
      <c r="W13" s="30"/>
      <c r="X13" s="30"/>
      <c r="Y13" s="30"/>
      <c r="Z13" s="30"/>
      <c r="AA13" s="39"/>
      <c r="AB13" s="39"/>
      <c r="AC13" s="39"/>
      <c r="AD13" s="39"/>
      <c r="AE13" s="39"/>
      <c r="AF13" s="30"/>
      <c r="AG13" s="30"/>
      <c r="AH13" s="30"/>
      <c r="AI13" s="48"/>
      <c r="AJ13" s="5"/>
      <c r="AK13" s="5"/>
      <c r="AL13" s="46"/>
      <c r="AM13" s="47"/>
      <c r="AN13" s="47"/>
      <c r="AO13" s="47"/>
      <c r="AP13" s="47"/>
    </row>
    <row r="14" spans="1:42" ht="15" customHeight="1">
      <c r="A14" s="14"/>
      <c r="B14" s="13"/>
      <c r="C14" s="16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8"/>
      <c r="V14" s="32" t="s">
        <v>148</v>
      </c>
      <c r="W14" s="30"/>
      <c r="X14" s="30"/>
      <c r="Y14" s="30"/>
      <c r="Z14" s="154" t="s">
        <v>202</v>
      </c>
      <c r="AA14" s="155"/>
      <c r="AB14" s="156"/>
      <c r="AC14" s="39"/>
      <c r="AD14" s="39"/>
      <c r="AE14" s="39"/>
      <c r="AF14" s="30"/>
      <c r="AG14" s="30"/>
      <c r="AH14" s="30"/>
      <c r="AI14" s="48"/>
      <c r="AJ14" s="5"/>
      <c r="AK14" s="5"/>
      <c r="AL14" s="46"/>
      <c r="AM14" s="47"/>
      <c r="AN14" s="47"/>
      <c r="AO14" s="47"/>
      <c r="AP14" s="47"/>
    </row>
    <row r="15" spans="1:42" ht="15" customHeight="1">
      <c r="A15" s="14"/>
      <c r="B15" s="13"/>
      <c r="C15" s="15"/>
      <c r="D15" s="15" t="s">
        <v>151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8"/>
      <c r="V15" s="30"/>
      <c r="W15" s="32" t="s">
        <v>152</v>
      </c>
      <c r="X15" s="30"/>
      <c r="Y15" s="30"/>
      <c r="Z15" s="157" t="s">
        <v>92</v>
      </c>
      <c r="AA15" s="157"/>
      <c r="AB15" s="158">
        <f>VLOOKUP(Z14,AN16:AP31,3,0)</f>
        <v>5.03</v>
      </c>
      <c r="AC15" s="159"/>
      <c r="AD15" s="160"/>
      <c r="AE15" s="40" t="s">
        <v>153</v>
      </c>
      <c r="AF15" s="30"/>
      <c r="AG15" s="30"/>
      <c r="AH15" s="30"/>
      <c r="AI15" s="48"/>
      <c r="AJ15" s="5"/>
      <c r="AK15" s="5"/>
      <c r="AL15" s="46"/>
      <c r="AM15" s="47"/>
      <c r="AN15" s="50" t="s">
        <v>154</v>
      </c>
      <c r="AO15" s="50" t="s">
        <v>155</v>
      </c>
      <c r="AP15" s="50" t="s">
        <v>153</v>
      </c>
    </row>
    <row r="16" spans="1:42" ht="15" customHeight="1">
      <c r="A16" s="14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28"/>
      <c r="V16" s="30"/>
      <c r="W16" s="30"/>
      <c r="X16" s="30"/>
      <c r="Y16" s="30"/>
      <c r="Z16" s="30"/>
      <c r="AA16" s="39"/>
      <c r="AB16" s="39"/>
      <c r="AC16" s="39"/>
      <c r="AD16" s="39"/>
      <c r="AE16" s="39"/>
      <c r="AF16" s="30"/>
      <c r="AG16" s="30"/>
      <c r="AH16" s="30"/>
      <c r="AI16" s="48"/>
      <c r="AJ16" s="5"/>
      <c r="AK16" s="5"/>
      <c r="AL16" s="46"/>
      <c r="AM16" s="47"/>
      <c r="AN16" s="47" t="s">
        <v>203</v>
      </c>
      <c r="AO16" s="47" t="s">
        <v>204</v>
      </c>
      <c r="AP16" s="47">
        <v>0.14000000000000001</v>
      </c>
    </row>
    <row r="17" spans="1:42" ht="15" customHeight="1">
      <c r="A17" s="14"/>
      <c r="B17" s="13"/>
      <c r="C17" s="16"/>
      <c r="D17" s="88"/>
      <c r="E17" s="88"/>
      <c r="F17" s="88"/>
      <c r="G17" s="88"/>
      <c r="H17" s="88"/>
      <c r="I17" s="88"/>
      <c r="J17" s="149"/>
      <c r="K17" s="149"/>
      <c r="L17" s="16"/>
      <c r="M17" s="16"/>
      <c r="N17" s="16"/>
      <c r="O17" s="16"/>
      <c r="P17" s="16"/>
      <c r="Q17" s="16"/>
      <c r="R17" s="16"/>
      <c r="S17" s="16"/>
      <c r="T17" s="16"/>
      <c r="U17" s="28"/>
      <c r="V17" s="31" t="s">
        <v>160</v>
      </c>
      <c r="W17" s="30"/>
      <c r="X17" s="30"/>
      <c r="Y17" s="30"/>
      <c r="Z17" s="30"/>
      <c r="AA17" s="39"/>
      <c r="AB17" s="39"/>
      <c r="AC17" s="39"/>
      <c r="AD17" s="39"/>
      <c r="AE17" s="39"/>
      <c r="AF17" s="30"/>
      <c r="AG17" s="30"/>
      <c r="AH17" s="30"/>
      <c r="AI17" s="48"/>
      <c r="AJ17" s="5"/>
      <c r="AK17" s="5"/>
      <c r="AL17" s="46"/>
      <c r="AM17" s="47"/>
      <c r="AN17" s="47" t="s">
        <v>205</v>
      </c>
      <c r="AO17" s="47" t="s">
        <v>206</v>
      </c>
      <c r="AP17" s="47">
        <v>0.23</v>
      </c>
    </row>
    <row r="18" spans="1:42" ht="15" customHeight="1">
      <c r="A18" s="14"/>
      <c r="B18" s="13"/>
      <c r="C18" s="16"/>
      <c r="D18" s="88"/>
      <c r="E18" s="88"/>
      <c r="F18" s="88"/>
      <c r="G18" s="88"/>
      <c r="H18" s="88"/>
      <c r="I18" s="88"/>
      <c r="J18" s="149"/>
      <c r="K18" s="149"/>
      <c r="L18" s="16"/>
      <c r="M18" s="16"/>
      <c r="N18" s="16"/>
      <c r="O18" s="16"/>
      <c r="P18" s="16"/>
      <c r="Q18" s="16"/>
      <c r="R18" s="16"/>
      <c r="S18" s="16"/>
      <c r="T18" s="16"/>
      <c r="U18" s="28"/>
      <c r="V18" s="32" t="s">
        <v>148</v>
      </c>
      <c r="W18" s="30"/>
      <c r="X18" s="30"/>
      <c r="Y18" s="30"/>
      <c r="Z18" s="154" t="s">
        <v>133</v>
      </c>
      <c r="AA18" s="155"/>
      <c r="AB18" s="156"/>
      <c r="AC18" s="39"/>
      <c r="AD18" s="40" t="s">
        <v>163</v>
      </c>
      <c r="AE18" s="39"/>
      <c r="AF18" s="154">
        <v>50</v>
      </c>
      <c r="AG18" s="156"/>
      <c r="AH18" s="31" t="s">
        <v>164</v>
      </c>
      <c r="AI18" s="48"/>
      <c r="AJ18" s="5"/>
      <c r="AK18" s="5"/>
      <c r="AL18" s="46"/>
      <c r="AM18" s="47"/>
      <c r="AN18" s="47" t="s">
        <v>207</v>
      </c>
      <c r="AO18" s="47" t="s">
        <v>166</v>
      </c>
      <c r="AP18" s="47">
        <v>0.38</v>
      </c>
    </row>
    <row r="19" spans="1:42" ht="15" customHeight="1">
      <c r="A19" s="14"/>
      <c r="B19" s="13"/>
      <c r="C19" s="18"/>
      <c r="D19" s="19" t="s">
        <v>208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28"/>
      <c r="V19" s="30"/>
      <c r="W19" s="32" t="s">
        <v>152</v>
      </c>
      <c r="X19" s="30"/>
      <c r="Y19" s="30"/>
      <c r="Z19" s="157" t="s">
        <v>92</v>
      </c>
      <c r="AA19" s="157"/>
      <c r="AB19" s="161">
        <f>AN12*AF18/100</f>
        <v>3.5342917352885173</v>
      </c>
      <c r="AC19" s="162"/>
      <c r="AD19" s="163"/>
      <c r="AE19" s="40" t="s">
        <v>153</v>
      </c>
      <c r="AF19" s="30"/>
      <c r="AG19" s="30"/>
      <c r="AH19" s="30"/>
      <c r="AI19" s="48"/>
      <c r="AJ19" s="5"/>
      <c r="AK19" s="5"/>
      <c r="AL19" s="46"/>
      <c r="AM19" s="47"/>
      <c r="AN19" s="47" t="s">
        <v>209</v>
      </c>
      <c r="AO19" s="47" t="s">
        <v>210</v>
      </c>
      <c r="AP19" s="47">
        <v>0.55000000000000004</v>
      </c>
    </row>
    <row r="20" spans="1:42" ht="15" customHeight="1">
      <c r="A20" s="14"/>
      <c r="B20" s="13"/>
      <c r="C20" s="16"/>
      <c r="D20" s="16"/>
      <c r="E20" s="16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33"/>
      <c r="V20" s="34"/>
      <c r="W20" s="34"/>
      <c r="X20" s="34"/>
      <c r="Y20" s="34"/>
      <c r="Z20" s="34"/>
      <c r="AA20" s="41"/>
      <c r="AB20" s="41"/>
      <c r="AC20" s="41"/>
      <c r="AD20" s="41"/>
      <c r="AE20" s="41"/>
      <c r="AF20" s="34"/>
      <c r="AG20" s="34"/>
      <c r="AH20" s="34"/>
      <c r="AI20" s="51"/>
      <c r="AJ20" s="5"/>
      <c r="AK20" s="5"/>
      <c r="AL20" s="46"/>
      <c r="AM20" s="47"/>
      <c r="AN20" s="47" t="s">
        <v>211</v>
      </c>
      <c r="AO20" s="47" t="s">
        <v>212</v>
      </c>
      <c r="AP20" s="47">
        <v>0.91</v>
      </c>
    </row>
    <row r="21" spans="1:42" ht="15" customHeight="1">
      <c r="A21" s="14"/>
      <c r="B21" s="13"/>
      <c r="C21" s="16"/>
      <c r="D21" s="16"/>
      <c r="E21" s="16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5"/>
      <c r="V21" s="30"/>
      <c r="W21" s="30"/>
      <c r="X21" s="30"/>
      <c r="Y21" s="30"/>
      <c r="Z21" s="30"/>
      <c r="AA21" s="39"/>
      <c r="AB21" s="39"/>
      <c r="AC21" s="39"/>
      <c r="AD21" s="39"/>
      <c r="AE21" s="39"/>
      <c r="AF21" s="30"/>
      <c r="AG21" s="30"/>
      <c r="AH21" s="30"/>
      <c r="AI21" s="5"/>
      <c r="AJ21" s="5"/>
      <c r="AK21" s="5"/>
      <c r="AL21" s="46"/>
      <c r="AM21" s="47"/>
      <c r="AN21" s="47" t="s">
        <v>213</v>
      </c>
      <c r="AO21" s="47" t="s">
        <v>214</v>
      </c>
      <c r="AP21" s="47">
        <v>1.18</v>
      </c>
    </row>
    <row r="22" spans="1:42" ht="15" customHeight="1">
      <c r="A22" s="14"/>
      <c r="B22" s="13"/>
      <c r="C22" s="16"/>
      <c r="D22" s="16"/>
      <c r="E22" s="16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5"/>
      <c r="V22" s="30"/>
      <c r="W22" s="30"/>
      <c r="X22" s="30"/>
      <c r="Y22" s="30"/>
      <c r="Z22" s="30"/>
      <c r="AA22" s="39"/>
      <c r="AB22" s="39"/>
      <c r="AC22" s="39"/>
      <c r="AD22" s="39"/>
      <c r="AE22" s="39"/>
      <c r="AF22" s="30"/>
      <c r="AG22" s="30"/>
      <c r="AH22" s="30"/>
      <c r="AI22" s="5"/>
      <c r="AJ22" s="5"/>
      <c r="AK22" s="5"/>
      <c r="AL22" s="46"/>
      <c r="AM22" s="47"/>
      <c r="AN22" s="47" t="s">
        <v>215</v>
      </c>
      <c r="AO22" s="47" t="s">
        <v>175</v>
      </c>
      <c r="AP22" s="47">
        <v>1.85</v>
      </c>
    </row>
    <row r="23" spans="1:42" ht="15" customHeight="1">
      <c r="A23" s="14"/>
      <c r="B23" s="13"/>
      <c r="C23" s="16"/>
      <c r="D23" s="16"/>
      <c r="E23" s="16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5"/>
      <c r="V23" s="30"/>
      <c r="W23" s="30"/>
      <c r="X23" s="30"/>
      <c r="Y23" s="30"/>
      <c r="Z23" s="30"/>
      <c r="AA23" s="39"/>
      <c r="AB23" s="39"/>
      <c r="AC23" s="39"/>
      <c r="AD23" s="39"/>
      <c r="AE23" s="39"/>
      <c r="AF23" s="30"/>
      <c r="AG23" s="30"/>
      <c r="AH23" s="30"/>
      <c r="AI23" s="5"/>
      <c r="AJ23" s="5"/>
      <c r="AK23" s="5"/>
      <c r="AL23" s="46"/>
      <c r="AM23" s="47"/>
      <c r="AN23" s="47" t="s">
        <v>216</v>
      </c>
      <c r="AO23" s="47" t="s">
        <v>177</v>
      </c>
      <c r="AP23" s="47">
        <v>3.2</v>
      </c>
    </row>
    <row r="24" spans="1:42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5"/>
      <c r="V24" s="30"/>
      <c r="W24" s="30"/>
      <c r="X24" s="30"/>
      <c r="Y24" s="30"/>
      <c r="Z24" s="30"/>
      <c r="AA24" s="39"/>
      <c r="AB24" s="39"/>
      <c r="AC24" s="39"/>
      <c r="AD24" s="39"/>
      <c r="AE24" s="39"/>
      <c r="AF24" s="30"/>
      <c r="AG24" s="30"/>
      <c r="AH24" s="30"/>
      <c r="AI24" s="5"/>
      <c r="AJ24" s="5"/>
      <c r="AK24" s="5"/>
      <c r="AL24" s="46"/>
      <c r="AM24" s="47"/>
      <c r="AN24" s="47" t="s">
        <v>202</v>
      </c>
      <c r="AO24" s="47" t="s">
        <v>178</v>
      </c>
      <c r="AP24" s="47">
        <v>5.03</v>
      </c>
    </row>
    <row r="25" spans="1:42" ht="15" customHeight="1">
      <c r="A25" s="14"/>
      <c r="B25" s="13"/>
      <c r="C25" s="18" t="s">
        <v>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5"/>
      <c r="V25" s="30"/>
      <c r="W25" s="30"/>
      <c r="X25" s="30"/>
      <c r="Y25" s="30"/>
      <c r="Z25" s="30"/>
      <c r="AA25" s="39"/>
      <c r="AB25" s="39"/>
      <c r="AC25" s="39"/>
      <c r="AD25" s="39"/>
      <c r="AE25" s="39"/>
      <c r="AF25" s="30"/>
      <c r="AG25" s="30"/>
      <c r="AH25" s="30"/>
      <c r="AI25" s="5"/>
      <c r="AJ25" s="5"/>
      <c r="AK25" s="5"/>
      <c r="AL25" s="46"/>
      <c r="AM25" s="47"/>
      <c r="AN25" s="47" t="s">
        <v>217</v>
      </c>
      <c r="AO25" s="47" t="s">
        <v>180</v>
      </c>
      <c r="AP25" s="47">
        <v>7.9</v>
      </c>
    </row>
    <row r="26" spans="1:42" ht="15" customHeight="1">
      <c r="A26" s="14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5"/>
      <c r="V26" s="30"/>
      <c r="W26" s="30"/>
      <c r="X26" s="30"/>
      <c r="Y26" s="30"/>
      <c r="Z26" s="30"/>
      <c r="AA26" s="39"/>
      <c r="AB26" s="39"/>
      <c r="AC26" s="39"/>
      <c r="AD26" s="39"/>
      <c r="AE26" s="39"/>
      <c r="AF26" s="30"/>
      <c r="AG26" s="30"/>
      <c r="AH26" s="30"/>
      <c r="AI26" s="5"/>
      <c r="AJ26" s="5"/>
      <c r="AK26" s="5"/>
      <c r="AL26" s="46"/>
      <c r="AM26" s="47"/>
      <c r="AN26" s="47" t="s">
        <v>218</v>
      </c>
      <c r="AO26" s="47" t="s">
        <v>182</v>
      </c>
      <c r="AP26" s="47">
        <v>9.6999999999999993</v>
      </c>
    </row>
    <row r="27" spans="1:42" ht="15" customHeight="1">
      <c r="A27" s="14"/>
      <c r="B27" s="13"/>
      <c r="C27" s="16"/>
      <c r="D27" s="16"/>
      <c r="E27" s="20" t="s">
        <v>73</v>
      </c>
      <c r="F27" s="20"/>
      <c r="G27" s="20"/>
      <c r="H27" s="21"/>
      <c r="I27" s="25"/>
      <c r="J27" s="146" t="s">
        <v>65</v>
      </c>
      <c r="K27" s="147"/>
      <c r="L27" s="147"/>
      <c r="M27" s="147"/>
      <c r="N27" s="148"/>
      <c r="O27" s="16"/>
      <c r="P27" s="16"/>
      <c r="Q27" s="16"/>
      <c r="R27" s="16"/>
      <c r="S27" s="16"/>
      <c r="T27" s="16"/>
      <c r="U27" s="5"/>
      <c r="V27" s="30"/>
      <c r="W27" s="30"/>
      <c r="X27" s="30"/>
      <c r="Y27" s="30"/>
      <c r="Z27" s="30"/>
      <c r="AA27" s="39"/>
      <c r="AB27" s="39"/>
      <c r="AC27" s="39"/>
      <c r="AD27" s="39"/>
      <c r="AE27" s="39"/>
      <c r="AF27" s="30"/>
      <c r="AG27" s="30"/>
      <c r="AH27" s="30"/>
      <c r="AI27" s="5"/>
      <c r="AJ27" s="5"/>
      <c r="AK27" s="5"/>
      <c r="AL27" s="46"/>
      <c r="AM27" s="47"/>
      <c r="AN27" s="47" t="s">
        <v>219</v>
      </c>
      <c r="AO27" s="47" t="s">
        <v>220</v>
      </c>
      <c r="AP27" s="47">
        <v>14.3</v>
      </c>
    </row>
    <row r="28" spans="1:42" ht="15" customHeight="1">
      <c r="A28" s="14"/>
      <c r="B28" s="13"/>
      <c r="C28" s="16"/>
      <c r="D28" s="16"/>
      <c r="E28" s="20" t="s">
        <v>74</v>
      </c>
      <c r="F28" s="20"/>
      <c r="G28" s="20"/>
      <c r="H28" s="21"/>
      <c r="I28" s="25"/>
      <c r="J28" s="146">
        <v>0.4</v>
      </c>
      <c r="K28" s="147"/>
      <c r="L28" s="147"/>
      <c r="M28" s="147"/>
      <c r="N28" s="148"/>
      <c r="O28" s="16"/>
      <c r="P28" s="16"/>
      <c r="Q28" s="16"/>
      <c r="R28" s="16"/>
      <c r="S28" s="16"/>
      <c r="T28" s="16"/>
      <c r="U28" s="5"/>
      <c r="V28" s="30"/>
      <c r="W28" s="30"/>
      <c r="X28" s="30"/>
      <c r="Y28" s="30"/>
      <c r="Z28" s="30"/>
      <c r="AA28" s="39"/>
      <c r="AB28" s="39"/>
      <c r="AC28" s="39"/>
      <c r="AD28" s="39"/>
      <c r="AE28" s="39"/>
      <c r="AF28" s="30"/>
      <c r="AG28" s="30"/>
      <c r="AH28" s="30"/>
      <c r="AI28" s="5"/>
      <c r="AJ28" s="5"/>
      <c r="AK28" s="5"/>
      <c r="AL28" s="46"/>
      <c r="AM28" s="47"/>
      <c r="AN28" s="47" t="s">
        <v>221</v>
      </c>
      <c r="AO28" s="47" t="s">
        <v>222</v>
      </c>
      <c r="AP28" s="47">
        <v>22.5</v>
      </c>
    </row>
    <row r="29" spans="1:42" ht="15" customHeight="1">
      <c r="A29" s="14"/>
      <c r="B29" s="13"/>
      <c r="C29" s="16"/>
      <c r="D29" s="16"/>
      <c r="E29" s="20" t="s">
        <v>75</v>
      </c>
      <c r="F29" s="20"/>
      <c r="G29" s="20"/>
      <c r="H29" s="21"/>
      <c r="I29" s="25"/>
      <c r="J29" s="146">
        <v>1</v>
      </c>
      <c r="K29" s="147"/>
      <c r="L29" s="147"/>
      <c r="M29" s="147"/>
      <c r="N29" s="148"/>
      <c r="O29" s="16"/>
      <c r="P29" s="16"/>
      <c r="Q29" s="16"/>
      <c r="R29" s="16"/>
      <c r="S29" s="16"/>
      <c r="T29" s="16"/>
      <c r="U29" s="5"/>
      <c r="V29" s="30"/>
      <c r="W29" s="30"/>
      <c r="X29" s="30"/>
      <c r="Y29" s="30"/>
      <c r="Z29" s="30"/>
      <c r="AA29" s="39"/>
      <c r="AB29" s="39"/>
      <c r="AC29" s="39"/>
      <c r="AD29" s="39"/>
      <c r="AE29" s="39"/>
      <c r="AF29" s="30"/>
      <c r="AG29" s="30"/>
      <c r="AH29" s="30"/>
      <c r="AI29" s="5"/>
      <c r="AJ29" s="5"/>
      <c r="AK29" s="5"/>
      <c r="AL29" s="46"/>
      <c r="AM29" s="47"/>
      <c r="AN29" s="47" t="s">
        <v>223</v>
      </c>
      <c r="AO29" s="47" t="s">
        <v>188</v>
      </c>
      <c r="AP29" s="47">
        <v>29.7</v>
      </c>
    </row>
    <row r="30" spans="1:42" ht="15" customHeight="1">
      <c r="A30" s="14"/>
      <c r="B30" s="13"/>
      <c r="C30" s="16"/>
      <c r="D30" s="16"/>
      <c r="E30" s="20" t="s">
        <v>76</v>
      </c>
      <c r="F30" s="20"/>
      <c r="G30" s="20"/>
      <c r="H30" s="21"/>
      <c r="I30" s="25"/>
      <c r="J30" s="146">
        <v>1.3</v>
      </c>
      <c r="K30" s="147"/>
      <c r="L30" s="147"/>
      <c r="M30" s="147"/>
      <c r="N30" s="148"/>
      <c r="O30" s="16"/>
      <c r="P30" s="16"/>
      <c r="Q30" s="16"/>
      <c r="R30" s="16"/>
      <c r="S30" s="16"/>
      <c r="T30" s="16"/>
      <c r="U30" s="5"/>
      <c r="V30" s="5"/>
      <c r="W30" s="5"/>
      <c r="X30" s="5"/>
      <c r="Y30" s="5"/>
      <c r="Z30" s="5"/>
      <c r="AA30" s="42"/>
      <c r="AB30" s="42"/>
      <c r="AC30" s="42"/>
      <c r="AD30" s="42"/>
      <c r="AE30" s="42"/>
      <c r="AF30" s="5"/>
      <c r="AG30" s="5"/>
      <c r="AH30" s="5"/>
      <c r="AI30" s="5"/>
      <c r="AJ30" s="5"/>
      <c r="AK30" s="5"/>
      <c r="AL30" s="46"/>
      <c r="AM30" s="47"/>
      <c r="AN30" s="47" t="s">
        <v>224</v>
      </c>
      <c r="AO30" s="47" t="s">
        <v>190</v>
      </c>
      <c r="AP30" s="47">
        <v>46.3</v>
      </c>
    </row>
    <row r="31" spans="1:42" ht="15" customHeight="1">
      <c r="A31" s="14"/>
      <c r="B31" s="13"/>
      <c r="C31" s="16"/>
      <c r="D31" s="16"/>
      <c r="E31" s="20" t="s">
        <v>77</v>
      </c>
      <c r="F31" s="20"/>
      <c r="G31" s="20"/>
      <c r="H31" s="21"/>
      <c r="I31" s="25"/>
      <c r="J31" s="146">
        <v>1.6</v>
      </c>
      <c r="K31" s="147"/>
      <c r="L31" s="147"/>
      <c r="M31" s="147"/>
      <c r="N31" s="148"/>
      <c r="O31" s="16"/>
      <c r="P31" s="16"/>
      <c r="Q31" s="16"/>
      <c r="R31" s="16"/>
      <c r="S31" s="16"/>
      <c r="T31" s="16"/>
      <c r="U31" s="5"/>
      <c r="V31" s="5"/>
      <c r="W31" s="5"/>
      <c r="X31" s="5"/>
      <c r="Y31" s="5"/>
      <c r="Z31" s="5"/>
      <c r="AA31" s="42"/>
      <c r="AB31" s="42"/>
      <c r="AC31" s="42"/>
      <c r="AD31" s="42"/>
      <c r="AE31" s="42"/>
      <c r="AF31" s="5"/>
      <c r="AG31" s="5"/>
      <c r="AH31" s="5"/>
      <c r="AI31" s="5"/>
      <c r="AJ31" s="5"/>
      <c r="AK31" s="5"/>
      <c r="AL31" s="46"/>
      <c r="AM31" s="47"/>
      <c r="AN31" s="47" t="s">
        <v>225</v>
      </c>
      <c r="AO31" s="47" t="s">
        <v>192</v>
      </c>
      <c r="AP31" s="47">
        <v>36</v>
      </c>
    </row>
    <row r="32" spans="1:42" ht="15" customHeight="1">
      <c r="A32" s="14"/>
      <c r="B32" s="13"/>
      <c r="C32" s="16"/>
      <c r="D32" s="16"/>
      <c r="E32" s="20" t="s">
        <v>78</v>
      </c>
      <c r="F32" s="20"/>
      <c r="G32" s="20"/>
      <c r="H32" s="21"/>
      <c r="I32" s="25"/>
      <c r="J32" s="146">
        <v>2</v>
      </c>
      <c r="K32" s="147"/>
      <c r="L32" s="147"/>
      <c r="M32" s="147"/>
      <c r="N32" s="148"/>
      <c r="O32" s="16"/>
      <c r="P32" s="16"/>
      <c r="Q32" s="16"/>
      <c r="R32" s="16"/>
      <c r="S32" s="16"/>
      <c r="T32" s="16"/>
      <c r="U32" s="5"/>
      <c r="V32" s="5"/>
      <c r="W32" s="5"/>
      <c r="X32" s="5"/>
      <c r="Y32" s="5"/>
      <c r="Z32" s="5"/>
      <c r="AA32" s="42"/>
      <c r="AB32" s="42"/>
      <c r="AC32" s="42"/>
      <c r="AD32" s="42"/>
      <c r="AE32" s="42"/>
      <c r="AF32" s="5"/>
      <c r="AG32" s="5"/>
      <c r="AH32" s="5"/>
      <c r="AI32" s="5"/>
      <c r="AJ32" s="5"/>
      <c r="AK32" s="5"/>
      <c r="AL32" s="46"/>
      <c r="AM32" s="47"/>
      <c r="AN32" s="47"/>
      <c r="AO32" s="47"/>
      <c r="AP32" s="47"/>
    </row>
    <row r="33" spans="1:42" ht="15" customHeight="1">
      <c r="A33" s="14"/>
      <c r="B33" s="13"/>
      <c r="C33" s="16"/>
      <c r="D33" s="16"/>
      <c r="E33" s="20" t="s">
        <v>79</v>
      </c>
      <c r="F33" s="20"/>
      <c r="G33" s="20"/>
      <c r="H33" s="21"/>
      <c r="I33" s="25"/>
      <c r="J33" s="146">
        <v>3.5</v>
      </c>
      <c r="K33" s="147"/>
      <c r="L33" s="147"/>
      <c r="M33" s="147"/>
      <c r="N33" s="148"/>
      <c r="O33" s="16"/>
      <c r="P33" s="16"/>
      <c r="Q33" s="16"/>
      <c r="R33" s="16"/>
      <c r="S33" s="16"/>
      <c r="T33" s="16"/>
      <c r="U33" s="5"/>
      <c r="V33" s="5"/>
      <c r="W33" s="5"/>
      <c r="X33" s="5"/>
      <c r="Y33" s="5"/>
      <c r="Z33" s="5"/>
      <c r="AA33" s="42"/>
      <c r="AB33" s="42"/>
      <c r="AC33" s="42"/>
      <c r="AD33" s="42"/>
      <c r="AE33" s="42"/>
      <c r="AF33" s="5"/>
      <c r="AG33" s="5"/>
      <c r="AH33" s="5"/>
      <c r="AI33" s="5"/>
      <c r="AJ33" s="5"/>
      <c r="AK33" s="5"/>
      <c r="AL33" s="46"/>
      <c r="AM33" s="47"/>
      <c r="AN33" s="47" t="s">
        <v>133</v>
      </c>
      <c r="AO33" s="47">
        <f>PI()/4*3^2</f>
        <v>7.0685834705770345</v>
      </c>
      <c r="AP33" s="47">
        <v>50</v>
      </c>
    </row>
    <row r="34" spans="1:42" ht="15" customHeight="1">
      <c r="A34" s="14"/>
      <c r="B34" s="13"/>
      <c r="C34" s="16"/>
      <c r="D34" s="16"/>
      <c r="E34" s="20" t="s">
        <v>80</v>
      </c>
      <c r="F34" s="20"/>
      <c r="G34" s="20"/>
      <c r="H34" s="21"/>
      <c r="I34" s="25"/>
      <c r="J34" s="146">
        <v>7.5</v>
      </c>
      <c r="K34" s="147"/>
      <c r="L34" s="147"/>
      <c r="M34" s="147"/>
      <c r="N34" s="148"/>
      <c r="O34" s="16"/>
      <c r="P34" s="16"/>
      <c r="Q34" s="16"/>
      <c r="R34" s="16"/>
      <c r="S34" s="16"/>
      <c r="T34" s="16"/>
      <c r="U34" s="5"/>
      <c r="V34" s="5"/>
      <c r="W34" s="5"/>
      <c r="X34" s="5"/>
      <c r="Y34" s="5"/>
      <c r="Z34" s="5"/>
      <c r="AA34" s="42"/>
      <c r="AB34" s="42"/>
      <c r="AC34" s="42"/>
      <c r="AD34" s="42"/>
      <c r="AE34" s="42"/>
      <c r="AF34" s="5"/>
      <c r="AG34" s="5"/>
      <c r="AH34" s="5"/>
      <c r="AI34" s="5"/>
      <c r="AJ34" s="5"/>
      <c r="AK34" s="5"/>
      <c r="AL34" s="46"/>
      <c r="AM34" s="47"/>
      <c r="AN34" s="47" t="s">
        <v>134</v>
      </c>
      <c r="AO34" s="47">
        <f>PI()/4*4.5^2</f>
        <v>15.904312808798327</v>
      </c>
      <c r="AP34" s="47">
        <v>60</v>
      </c>
    </row>
    <row r="35" spans="1:42" ht="15" customHeight="1">
      <c r="A35" s="14"/>
      <c r="B35" s="13"/>
      <c r="C35" s="16"/>
      <c r="D35" s="16"/>
      <c r="E35" s="20" t="s">
        <v>81</v>
      </c>
      <c r="F35" s="20"/>
      <c r="G35" s="20"/>
      <c r="H35" s="21"/>
      <c r="I35" s="25"/>
      <c r="J35" s="146">
        <v>12</v>
      </c>
      <c r="K35" s="147"/>
      <c r="L35" s="147"/>
      <c r="M35" s="147"/>
      <c r="N35" s="148"/>
      <c r="O35" s="16"/>
      <c r="P35" s="16"/>
      <c r="Q35" s="16"/>
      <c r="R35" s="16"/>
      <c r="S35" s="16"/>
      <c r="T35" s="16"/>
      <c r="U35" s="5"/>
      <c r="V35" s="5"/>
      <c r="W35" s="5"/>
      <c r="X35" s="5"/>
      <c r="Y35" s="5"/>
      <c r="Z35" s="5"/>
      <c r="AA35" s="42"/>
      <c r="AB35" s="42"/>
      <c r="AC35" s="42"/>
      <c r="AD35" s="42"/>
      <c r="AE35" s="42"/>
      <c r="AF35" s="5"/>
      <c r="AG35" s="5"/>
      <c r="AH35" s="5"/>
      <c r="AI35" s="5"/>
      <c r="AJ35" s="5"/>
      <c r="AK35" s="5"/>
      <c r="AL35" s="46"/>
      <c r="AM35" s="47"/>
      <c r="AN35" s="47" t="s">
        <v>135</v>
      </c>
      <c r="AO35" s="47">
        <f>PI()/4*6^2</f>
        <v>28.274333882308138</v>
      </c>
      <c r="AP35" s="47">
        <v>80</v>
      </c>
    </row>
    <row r="36" spans="1:42" ht="15" customHeight="1">
      <c r="A36" s="14"/>
      <c r="B36" s="13"/>
      <c r="C36" s="16"/>
      <c r="D36" s="16"/>
      <c r="E36" s="20" t="s">
        <v>82</v>
      </c>
      <c r="F36" s="20"/>
      <c r="G36" s="20"/>
      <c r="H36" s="21"/>
      <c r="I36" s="25"/>
      <c r="J36" s="146">
        <v>28</v>
      </c>
      <c r="K36" s="147"/>
      <c r="L36" s="147"/>
      <c r="M36" s="147"/>
      <c r="N36" s="148"/>
      <c r="O36" s="16"/>
      <c r="P36" s="16"/>
      <c r="Q36" s="16"/>
      <c r="R36" s="16"/>
      <c r="S36" s="16"/>
      <c r="T36" s="16"/>
      <c r="U36" s="5"/>
      <c r="V36" s="5"/>
      <c r="W36" s="5"/>
      <c r="X36" s="5"/>
      <c r="Y36" s="5"/>
      <c r="Z36" s="5"/>
      <c r="AA36" s="42"/>
      <c r="AB36" s="42"/>
      <c r="AC36" s="42"/>
      <c r="AD36" s="42"/>
      <c r="AE36" s="42"/>
      <c r="AF36" s="5"/>
      <c r="AG36" s="5"/>
      <c r="AH36" s="5"/>
      <c r="AI36" s="5"/>
      <c r="AJ36" s="5"/>
      <c r="AK36" s="5"/>
      <c r="AL36" s="46"/>
      <c r="AM36" s="47"/>
      <c r="AN36" s="47" t="s">
        <v>195</v>
      </c>
      <c r="AO36" s="47">
        <f>PI()/4*4.5^2*2</f>
        <v>31.808625617596654</v>
      </c>
      <c r="AP36" s="47"/>
    </row>
    <row r="37" spans="1:42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5"/>
      <c r="V37" s="5"/>
      <c r="W37" s="5"/>
      <c r="X37" s="5"/>
      <c r="Y37" s="5"/>
      <c r="Z37" s="5"/>
      <c r="AA37" s="42"/>
      <c r="AB37" s="42"/>
      <c r="AC37" s="42"/>
      <c r="AD37" s="42"/>
      <c r="AE37" s="42"/>
      <c r="AF37" s="5"/>
      <c r="AG37" s="5"/>
      <c r="AH37" s="5"/>
      <c r="AI37" s="5"/>
      <c r="AJ37" s="5"/>
      <c r="AK37" s="5"/>
      <c r="AL37" s="46"/>
      <c r="AM37" s="47"/>
      <c r="AN37" s="47" t="s">
        <v>196</v>
      </c>
      <c r="AO37" s="47">
        <f>PI()/4*6^2*2</f>
        <v>56.548667764616276</v>
      </c>
      <c r="AP37" s="47"/>
    </row>
    <row r="38" spans="1:42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42" ht="15" customHeight="1">
      <c r="A39" s="14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37"/>
      <c r="AB39" s="37"/>
      <c r="AC39" s="37"/>
      <c r="AD39" s="37"/>
      <c r="AE39" s="37"/>
      <c r="AF39" s="16"/>
      <c r="AG39" s="16"/>
      <c r="AH39" s="16"/>
      <c r="AI39" s="16"/>
      <c r="AJ39" s="16"/>
      <c r="AK39" s="16"/>
      <c r="AL39" s="44"/>
    </row>
    <row r="40" spans="1:42" ht="15" customHeight="1">
      <c r="A40" s="14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37"/>
      <c r="AB40" s="37"/>
      <c r="AC40" s="37"/>
      <c r="AD40" s="37"/>
      <c r="AE40" s="37"/>
      <c r="AF40" s="16"/>
      <c r="AG40" s="16"/>
      <c r="AH40" s="16"/>
      <c r="AI40" s="16"/>
      <c r="AJ40" s="16"/>
      <c r="AK40" s="16"/>
      <c r="AL40" s="44"/>
    </row>
    <row r="41" spans="1:42" ht="15" customHeight="1">
      <c r="A41" s="14"/>
      <c r="B41" s="13"/>
      <c r="C41" s="16"/>
      <c r="D41" s="15" t="s">
        <v>83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7"/>
      <c r="Z41" s="37"/>
      <c r="AA41" s="37"/>
      <c r="AB41" s="37"/>
      <c r="AC41" s="37"/>
      <c r="AD41" s="16"/>
      <c r="AE41" s="16"/>
      <c r="AF41" s="16"/>
      <c r="AG41" s="16"/>
      <c r="AH41" s="16"/>
      <c r="AI41" s="16"/>
      <c r="AJ41" s="16"/>
      <c r="AK41" s="16"/>
      <c r="AL41" s="44"/>
    </row>
    <row r="42" spans="1:42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7"/>
      <c r="AA42" s="37"/>
      <c r="AB42" s="37"/>
      <c r="AC42" s="37"/>
      <c r="AD42" s="37"/>
      <c r="AE42" s="16"/>
      <c r="AF42" s="16"/>
      <c r="AG42" s="16"/>
      <c r="AH42" s="16"/>
      <c r="AI42" s="16"/>
      <c r="AJ42" s="16"/>
      <c r="AK42" s="16"/>
      <c r="AL42" s="44"/>
    </row>
    <row r="43" spans="1:42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42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42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42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42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42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37"/>
      <c r="AB52" s="37"/>
      <c r="AC52" s="37"/>
      <c r="AD52" s="37"/>
      <c r="AE52" s="37"/>
      <c r="AF52" s="16"/>
      <c r="AG52" s="16"/>
      <c r="AH52" s="16"/>
      <c r="AI52" s="16"/>
      <c r="AJ52" s="16"/>
      <c r="AK52" s="16"/>
      <c r="AL52" s="44"/>
    </row>
    <row r="53" spans="2:38" ht="15" customHeight="1"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37"/>
      <c r="AB53" s="37"/>
      <c r="AC53" s="37"/>
      <c r="AD53" s="37"/>
      <c r="AE53" s="37"/>
      <c r="AF53" s="16"/>
      <c r="AG53" s="16"/>
      <c r="AH53" s="16"/>
      <c r="AI53" s="16"/>
      <c r="AJ53" s="16"/>
      <c r="AK53" s="16"/>
      <c r="AL53" s="44"/>
    </row>
    <row r="54" spans="2:38" ht="15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36"/>
      <c r="AB54" s="36"/>
      <c r="AC54" s="36"/>
      <c r="AD54" s="36"/>
      <c r="AE54" s="36"/>
      <c r="AF54" s="14"/>
      <c r="AG54" s="14"/>
      <c r="AH54" s="14"/>
      <c r="AI54" s="14"/>
      <c r="AJ54" s="14"/>
      <c r="AK54" s="14"/>
      <c r="AL54" s="44"/>
    </row>
    <row r="55" spans="2:38" ht="15" customHeight="1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4"/>
      <c r="S55" s="14"/>
      <c r="T55" s="14"/>
      <c r="U55" s="14"/>
      <c r="V55" s="14"/>
      <c r="W55" s="14"/>
      <c r="X55" s="14"/>
      <c r="Y55" s="14"/>
      <c r="Z55" s="14"/>
      <c r="AA55" s="36"/>
      <c r="AB55" s="36"/>
      <c r="AC55" s="36"/>
      <c r="AD55" s="36"/>
      <c r="AE55" s="36"/>
      <c r="AF55" s="14"/>
      <c r="AG55" s="14"/>
      <c r="AH55" s="14"/>
      <c r="AI55" s="14"/>
      <c r="AJ55" s="14"/>
      <c r="AK55" s="14"/>
      <c r="AL55" s="44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14" t="s">
        <v>27</v>
      </c>
      <c r="S56" s="115"/>
      <c r="T56" s="115"/>
      <c r="U56" s="116"/>
      <c r="V56" s="117"/>
      <c r="W56" s="118"/>
      <c r="X56" s="118"/>
      <c r="Y56" s="118"/>
      <c r="Z56" s="118"/>
      <c r="AA56" s="119"/>
      <c r="AB56" s="120" t="s">
        <v>28</v>
      </c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</row>
    <row r="57" spans="2:38" ht="9.9499999999999993" customHeight="1">
      <c r="B57" s="225" t="s">
        <v>198</v>
      </c>
      <c r="C57" s="226"/>
      <c r="D57" s="22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3"/>
      <c r="AC57" s="124"/>
      <c r="AD57" s="124"/>
      <c r="AE57" s="124"/>
      <c r="AF57" s="124"/>
      <c r="AG57" s="124"/>
      <c r="AH57" s="124"/>
      <c r="AI57" s="124"/>
      <c r="AJ57" s="124"/>
      <c r="AK57" s="124"/>
      <c r="AL57" s="125"/>
    </row>
    <row r="58" spans="2:38" ht="9.9499999999999993" customHeight="1">
      <c r="B58" s="225"/>
      <c r="C58" s="226"/>
      <c r="D58" s="22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29</v>
      </c>
      <c r="S58" s="90"/>
      <c r="T58" s="90"/>
      <c r="U58" s="91"/>
      <c r="V58" s="95"/>
      <c r="W58" s="96"/>
      <c r="X58" s="96"/>
      <c r="Y58" s="96"/>
      <c r="Z58" s="96"/>
      <c r="AA58" s="97"/>
      <c r="AB58" s="126" t="s">
        <v>226</v>
      </c>
      <c r="AC58" s="127"/>
      <c r="AD58" s="127"/>
      <c r="AE58" s="127"/>
      <c r="AF58" s="127"/>
      <c r="AG58" s="127"/>
      <c r="AH58" s="127"/>
      <c r="AI58" s="127"/>
      <c r="AJ58" s="127"/>
      <c r="AK58" s="127"/>
      <c r="AL58" s="128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29"/>
      <c r="AC59" s="130"/>
      <c r="AD59" s="130"/>
      <c r="AE59" s="130"/>
      <c r="AF59" s="130"/>
      <c r="AG59" s="130"/>
      <c r="AH59" s="130"/>
      <c r="AI59" s="130"/>
      <c r="AJ59" s="130"/>
      <c r="AK59" s="130"/>
      <c r="AL59" s="131"/>
    </row>
    <row r="60" spans="2:38" ht="9.9499999999999993" customHeight="1">
      <c r="B60" s="225" t="s">
        <v>227</v>
      </c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14"/>
      <c r="Q60" s="14"/>
      <c r="R60" s="89" t="s">
        <v>31</v>
      </c>
      <c r="S60" s="90"/>
      <c r="T60" s="90"/>
      <c r="U60" s="91"/>
      <c r="V60" s="95"/>
      <c r="W60" s="96"/>
      <c r="X60" s="96"/>
      <c r="Y60" s="96"/>
      <c r="Z60" s="96"/>
      <c r="AA60" s="97"/>
      <c r="AB60" s="132"/>
      <c r="AC60" s="133"/>
      <c r="AD60" s="133"/>
      <c r="AE60" s="133"/>
      <c r="AF60" s="133"/>
      <c r="AG60" s="133"/>
      <c r="AH60" s="133"/>
      <c r="AI60" s="133"/>
      <c r="AJ60" s="133"/>
      <c r="AK60" s="133"/>
      <c r="AL60" s="134"/>
    </row>
    <row r="61" spans="2:38" ht="9.9499999999999993" customHeight="1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32</v>
      </c>
      <c r="AC61" s="102"/>
      <c r="AD61" s="102"/>
      <c r="AE61" s="103"/>
      <c r="AF61" s="95"/>
      <c r="AG61" s="96"/>
      <c r="AH61" s="96"/>
      <c r="AI61" s="96"/>
      <c r="AJ61" s="96"/>
      <c r="AK61" s="96"/>
      <c r="AL61" s="136"/>
    </row>
    <row r="62" spans="2:38" ht="9.9499999999999993" customHeight="1">
      <c r="B62" s="13"/>
      <c r="C62" s="14"/>
      <c r="D62" s="24"/>
      <c r="E62" s="24"/>
      <c r="F62" s="24"/>
      <c r="G62" s="24"/>
      <c r="H62" s="226"/>
      <c r="I62" s="226"/>
      <c r="J62" s="226"/>
      <c r="K62" s="226"/>
      <c r="L62" s="226"/>
      <c r="M62" s="24"/>
      <c r="N62" s="24"/>
      <c r="O62" s="14"/>
      <c r="P62" s="14"/>
      <c r="Q62" s="14"/>
      <c r="R62" s="89" t="s">
        <v>33</v>
      </c>
      <c r="S62" s="90"/>
      <c r="T62" s="90"/>
      <c r="U62" s="91"/>
      <c r="V62" s="95"/>
      <c r="W62" s="96"/>
      <c r="X62" s="96"/>
      <c r="Y62" s="96"/>
      <c r="Z62" s="96"/>
      <c r="AA62" s="97"/>
      <c r="AB62" s="123"/>
      <c r="AC62" s="124"/>
      <c r="AD62" s="124"/>
      <c r="AE62" s="135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13"/>
      <c r="C63" s="14"/>
      <c r="D63" s="24"/>
      <c r="E63" s="24"/>
      <c r="F63" s="24"/>
      <c r="G63" s="24"/>
      <c r="H63" s="226"/>
      <c r="I63" s="226"/>
      <c r="J63" s="226"/>
      <c r="K63" s="226"/>
      <c r="L63" s="226"/>
      <c r="M63" s="24"/>
      <c r="N63" s="24"/>
      <c r="O63" s="14"/>
      <c r="P63" s="14"/>
      <c r="Q63" s="14"/>
      <c r="R63" s="92"/>
      <c r="S63" s="93"/>
      <c r="T63" s="93"/>
      <c r="U63" s="94"/>
      <c r="V63" s="98"/>
      <c r="W63" s="99"/>
      <c r="X63" s="99"/>
      <c r="Y63" s="99"/>
      <c r="Z63" s="99"/>
      <c r="AA63" s="100"/>
      <c r="AB63" s="101" t="s">
        <v>34</v>
      </c>
      <c r="AC63" s="102"/>
      <c r="AD63" s="102"/>
      <c r="AE63" s="103"/>
      <c r="AF63" s="137"/>
      <c r="AG63" s="138"/>
      <c r="AH63" s="138"/>
      <c r="AI63" s="138"/>
      <c r="AJ63" s="138"/>
      <c r="AK63" s="138"/>
      <c r="AL63" s="139"/>
    </row>
    <row r="64" spans="2:38" ht="9.9499999999999993" customHeight="1"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10"/>
      <c r="S64" s="96"/>
      <c r="T64" s="96"/>
      <c r="U64" s="96"/>
      <c r="V64" s="96"/>
      <c r="W64" s="96"/>
      <c r="X64" s="96"/>
      <c r="Y64" s="96"/>
      <c r="Z64" s="96"/>
      <c r="AA64" s="97"/>
      <c r="AB64" s="104"/>
      <c r="AC64" s="105"/>
      <c r="AD64" s="105"/>
      <c r="AE64" s="106"/>
      <c r="AF64" s="137"/>
      <c r="AG64" s="138"/>
      <c r="AH64" s="138"/>
      <c r="AI64" s="138"/>
      <c r="AJ64" s="138"/>
      <c r="AK64" s="138"/>
      <c r="AL64" s="139"/>
    </row>
    <row r="65" spans="2:38" ht="9.9499999999999993" customHeight="1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111"/>
      <c r="S65" s="112"/>
      <c r="T65" s="112"/>
      <c r="U65" s="112"/>
      <c r="V65" s="112"/>
      <c r="W65" s="112"/>
      <c r="X65" s="112"/>
      <c r="Y65" s="112"/>
      <c r="Z65" s="112"/>
      <c r="AA65" s="113"/>
      <c r="AB65" s="107"/>
      <c r="AC65" s="108"/>
      <c r="AD65" s="108"/>
      <c r="AE65" s="109"/>
      <c r="AF65" s="140"/>
      <c r="AG65" s="112"/>
      <c r="AH65" s="112"/>
      <c r="AI65" s="112"/>
      <c r="AJ65" s="112"/>
      <c r="AK65" s="112"/>
      <c r="AL65" s="141"/>
    </row>
  </sheetData>
  <mergeCells count="50">
    <mergeCell ref="R64:AA65"/>
    <mergeCell ref="V60:AA61"/>
    <mergeCell ref="V58:AA59"/>
    <mergeCell ref="AB56:AL57"/>
    <mergeCell ref="V62:AA63"/>
    <mergeCell ref="R56:U57"/>
    <mergeCell ref="V56:AA57"/>
    <mergeCell ref="C2:AK3"/>
    <mergeCell ref="J8:K9"/>
    <mergeCell ref="B57:D58"/>
    <mergeCell ref="H62:L63"/>
    <mergeCell ref="B60:O61"/>
    <mergeCell ref="J17:K18"/>
    <mergeCell ref="AB58:AL60"/>
    <mergeCell ref="AF61:AL65"/>
    <mergeCell ref="AB61:AE62"/>
    <mergeCell ref="AB63:AE65"/>
    <mergeCell ref="R60:U61"/>
    <mergeCell ref="R62:U63"/>
    <mergeCell ref="R58:U59"/>
    <mergeCell ref="J34:N34"/>
    <mergeCell ref="J35:N35"/>
    <mergeCell ref="J36:N36"/>
    <mergeCell ref="D8:D9"/>
    <mergeCell ref="D17:D18"/>
    <mergeCell ref="E8:E9"/>
    <mergeCell ref="E17:E18"/>
    <mergeCell ref="I8:I9"/>
    <mergeCell ref="I17:I18"/>
    <mergeCell ref="J29:N29"/>
    <mergeCell ref="J30:N30"/>
    <mergeCell ref="J31:N31"/>
    <mergeCell ref="J32:N32"/>
    <mergeCell ref="J33:N33"/>
    <mergeCell ref="AF18:AG18"/>
    <mergeCell ref="Z19:AA19"/>
    <mergeCell ref="AB19:AD19"/>
    <mergeCell ref="J27:N27"/>
    <mergeCell ref="J28:N28"/>
    <mergeCell ref="Z14:AB14"/>
    <mergeCell ref="Z15:AA15"/>
    <mergeCell ref="AB15:AD15"/>
    <mergeCell ref="F17:H17"/>
    <mergeCell ref="F18:H18"/>
    <mergeCell ref="Z18:AB18"/>
    <mergeCell ref="F8:H8"/>
    <mergeCell ref="F9:H9"/>
    <mergeCell ref="F11:I11"/>
    <mergeCell ref="F12:I12"/>
    <mergeCell ref="F13:I13"/>
  </mergeCells>
  <phoneticPr fontId="22" type="noConversion"/>
  <dataValidations count="2">
    <dataValidation type="list" allowBlank="1" showInputMessage="1" showErrorMessage="1" sqref="Z18:AB18">
      <formula1>$AN$33:$AN$37</formula1>
    </dataValidation>
    <dataValidation type="list" allowBlank="1" showInputMessage="1" showErrorMessage="1" sqref="Z14:AB14">
      <formula1>$AN$16:$AN$31</formula1>
    </dataValidation>
  </dataValidations>
  <pageMargins left="0.70866141732283505" right="0.26" top="0.27559055118110198" bottom="0.31496062992126" header="0.15748031496063" footer="0.15748031496063"/>
  <pageSetup paperSize="9" scale="95" orientation="portrait" horizontalDpi="36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V65"/>
  <sheetViews>
    <sheetView topLeftCell="A4" workbookViewId="0">
      <selection activeCell="Q18" sqref="Q18"/>
    </sheetView>
  </sheetViews>
  <sheetFormatPr defaultColWidth="7.375" defaultRowHeight="14.25"/>
  <cols>
    <col min="1" max="26" width="2.625" style="8" customWidth="1"/>
    <col min="27" max="31" width="2.625" style="3" customWidth="1"/>
    <col min="32" max="38" width="2.625" style="8" customWidth="1"/>
    <col min="39" max="39" width="2.25" style="8" customWidth="1"/>
    <col min="40" max="42" width="7.375" style="8" hidden="1" customWidth="1"/>
    <col min="43" max="256" width="7.375" style="8"/>
  </cols>
  <sheetData>
    <row r="1" spans="1:42" ht="15" customHeight="1">
      <c r="A1" s="9"/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35"/>
      <c r="AB1" s="35"/>
      <c r="AC1" s="35"/>
      <c r="AD1" s="35"/>
      <c r="AE1" s="35"/>
      <c r="AF1" s="11"/>
      <c r="AG1" s="11"/>
      <c r="AH1" s="11"/>
      <c r="AI1" s="11"/>
      <c r="AJ1" s="11"/>
      <c r="AK1" s="11"/>
      <c r="AL1" s="43"/>
    </row>
    <row r="2" spans="1:42" ht="15" customHeight="1">
      <c r="A2" s="12"/>
      <c r="B2" s="13"/>
      <c r="C2" s="145" t="s">
        <v>61</v>
      </c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44"/>
    </row>
    <row r="3" spans="1:42" ht="15" customHeight="1">
      <c r="A3" s="14"/>
      <c r="B3" s="13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44"/>
    </row>
    <row r="4" spans="1:42" ht="15" customHeight="1">
      <c r="A4" s="14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36"/>
      <c r="AB4" s="36"/>
      <c r="AC4" s="36"/>
      <c r="AD4" s="36"/>
      <c r="AE4" s="36"/>
      <c r="AF4" s="14"/>
      <c r="AG4" s="14"/>
      <c r="AH4" s="14"/>
      <c r="AI4" s="14"/>
      <c r="AJ4" s="14"/>
      <c r="AK4" s="14"/>
      <c r="AL4" s="44"/>
    </row>
    <row r="5" spans="1:42" ht="15" customHeight="1">
      <c r="A5" s="14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36"/>
      <c r="AB5" s="36"/>
      <c r="AC5" s="36"/>
      <c r="AD5" s="36"/>
      <c r="AE5" s="36"/>
      <c r="AF5" s="14"/>
      <c r="AG5" s="14"/>
      <c r="AH5" s="14"/>
      <c r="AI5" s="14"/>
      <c r="AJ5" s="14"/>
      <c r="AK5" s="14"/>
      <c r="AL5" s="44"/>
    </row>
    <row r="6" spans="1:42" ht="15" customHeight="1">
      <c r="A6" s="14"/>
      <c r="B6" s="13"/>
      <c r="C6" s="15" t="s">
        <v>201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37"/>
      <c r="AB6" s="37"/>
      <c r="AC6" s="37"/>
      <c r="AD6" s="37"/>
      <c r="AE6" s="37"/>
      <c r="AF6" s="16"/>
      <c r="AG6" s="16"/>
      <c r="AH6" s="16"/>
      <c r="AI6" s="16"/>
      <c r="AJ6" s="16"/>
      <c r="AK6" s="16"/>
      <c r="AL6" s="44"/>
    </row>
    <row r="7" spans="1:42" ht="15" customHeight="1"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37"/>
      <c r="AB7" s="37"/>
      <c r="AC7" s="37"/>
      <c r="AD7" s="37"/>
      <c r="AE7" s="37"/>
      <c r="AF7" s="16"/>
      <c r="AG7" s="16"/>
      <c r="AH7" s="16"/>
      <c r="AI7" s="16"/>
      <c r="AJ7" s="16"/>
      <c r="AK7" s="16"/>
      <c r="AL7" s="44"/>
    </row>
    <row r="8" spans="1:42" ht="15" customHeight="1">
      <c r="B8" s="13"/>
      <c r="C8" s="16"/>
      <c r="D8" s="88" t="s">
        <v>63</v>
      </c>
      <c r="E8" s="88" t="s">
        <v>2</v>
      </c>
      <c r="F8" s="80" t="s">
        <v>64</v>
      </c>
      <c r="G8" s="80"/>
      <c r="H8" s="80"/>
      <c r="I8" s="88" t="s">
        <v>47</v>
      </c>
      <c r="J8" s="149">
        <v>0.6</v>
      </c>
      <c r="K8" s="149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37"/>
      <c r="AB8" s="37"/>
      <c r="AC8" s="37"/>
      <c r="AD8" s="37"/>
      <c r="AE8" s="37"/>
      <c r="AF8" s="16"/>
      <c r="AG8" s="16"/>
      <c r="AH8" s="16"/>
      <c r="AI8" s="16"/>
      <c r="AJ8" s="16"/>
      <c r="AK8" s="16"/>
      <c r="AL8" s="44"/>
    </row>
    <row r="9" spans="1:42" ht="15" customHeight="1">
      <c r="A9" s="14"/>
      <c r="B9" s="13"/>
      <c r="C9" s="16"/>
      <c r="D9" s="88"/>
      <c r="E9" s="88"/>
      <c r="F9" s="88" t="s">
        <v>65</v>
      </c>
      <c r="G9" s="88"/>
      <c r="H9" s="88"/>
      <c r="I9" s="88"/>
      <c r="J9" s="149"/>
      <c r="K9" s="149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37"/>
      <c r="AB9" s="37"/>
      <c r="AC9" s="37"/>
      <c r="AD9" s="37"/>
      <c r="AE9" s="37"/>
      <c r="AF9" s="16"/>
      <c r="AG9" s="16"/>
      <c r="AH9" s="16"/>
      <c r="AI9" s="16"/>
      <c r="AJ9" s="16"/>
      <c r="AK9" s="16"/>
      <c r="AL9" s="44"/>
    </row>
    <row r="10" spans="1:42" ht="15" customHeight="1">
      <c r="A10" s="14"/>
      <c r="B10" s="13"/>
      <c r="C10" s="18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37"/>
      <c r="AB10" s="37"/>
      <c r="AC10" s="37"/>
      <c r="AD10" s="37"/>
      <c r="AE10" s="37"/>
      <c r="AF10" s="16"/>
      <c r="AG10" s="16"/>
      <c r="AH10" s="16"/>
      <c r="AI10" s="16"/>
      <c r="AJ10" s="16"/>
      <c r="AK10" s="16"/>
      <c r="AL10" s="44"/>
    </row>
    <row r="11" spans="1:42" ht="15" customHeight="1">
      <c r="A11" s="14"/>
      <c r="B11" s="13"/>
      <c r="C11" s="16"/>
      <c r="D11" s="16" t="s">
        <v>63</v>
      </c>
      <c r="E11" s="16" t="s">
        <v>10</v>
      </c>
      <c r="F11" s="80">
        <f>F12/F13*0.6</f>
        <v>3.42</v>
      </c>
      <c r="G11" s="80"/>
      <c r="H11" s="80"/>
      <c r="I11" s="80"/>
      <c r="J11" s="16"/>
      <c r="K11" s="16"/>
      <c r="L11" s="16"/>
      <c r="M11" s="16"/>
      <c r="N11" s="15" t="s">
        <v>66</v>
      </c>
      <c r="O11" s="16"/>
      <c r="P11" s="16"/>
      <c r="Q11" s="16"/>
      <c r="R11" s="16"/>
      <c r="S11" s="16"/>
      <c r="T11" s="16"/>
      <c r="U11" s="26"/>
      <c r="V11" s="27"/>
      <c r="W11" s="27"/>
      <c r="X11" s="27"/>
      <c r="Y11" s="27"/>
      <c r="Z11" s="27"/>
      <c r="AA11" s="38"/>
      <c r="AB11" s="38"/>
      <c r="AC11" s="38"/>
      <c r="AD11" s="38"/>
      <c r="AE11" s="38"/>
      <c r="AF11" s="27"/>
      <c r="AG11" s="27"/>
      <c r="AH11" s="27"/>
      <c r="AI11" s="45"/>
      <c r="AJ11" s="5"/>
      <c r="AK11" s="5"/>
      <c r="AL11" s="46"/>
      <c r="AM11" s="47"/>
      <c r="AN11" s="47"/>
      <c r="AO11" s="47"/>
      <c r="AP11" s="47"/>
    </row>
    <row r="12" spans="1:42" ht="15" customHeight="1">
      <c r="A12" s="14"/>
      <c r="B12" s="13"/>
      <c r="C12" s="16"/>
      <c r="D12" s="16" t="s">
        <v>64</v>
      </c>
      <c r="E12" s="16" t="s">
        <v>10</v>
      </c>
      <c r="F12" s="85">
        <v>5.7</v>
      </c>
      <c r="G12" s="85"/>
      <c r="H12" s="85"/>
      <c r="I12" s="85"/>
      <c r="J12" s="16"/>
      <c r="K12" s="16"/>
      <c r="L12" s="16"/>
      <c r="M12" s="16"/>
      <c r="N12" s="15" t="s">
        <v>52</v>
      </c>
      <c r="O12" s="16"/>
      <c r="P12" s="16"/>
      <c r="Q12" s="16"/>
      <c r="R12" s="16"/>
      <c r="S12" s="16"/>
      <c r="T12" s="16"/>
      <c r="U12" s="28"/>
      <c r="V12" s="29" t="s">
        <v>146</v>
      </c>
      <c r="W12" s="30"/>
      <c r="X12" s="30"/>
      <c r="Y12" s="30"/>
      <c r="Z12" s="30"/>
      <c r="AA12" s="39"/>
      <c r="AB12" s="39"/>
      <c r="AC12" s="39"/>
      <c r="AD12" s="39"/>
      <c r="AE12" s="39"/>
      <c r="AF12" s="30"/>
      <c r="AG12" s="30"/>
      <c r="AH12" s="30"/>
      <c r="AI12" s="48"/>
      <c r="AJ12" s="5"/>
      <c r="AK12" s="5"/>
      <c r="AL12" s="46"/>
      <c r="AM12" s="47"/>
      <c r="AN12" s="49">
        <f>VLOOKUP(Z18,AN33:AO37,2,0)</f>
        <v>7.0685834705770345</v>
      </c>
      <c r="AO12" s="52"/>
      <c r="AP12" s="39"/>
    </row>
    <row r="13" spans="1:42" ht="15" customHeight="1">
      <c r="A13" s="14"/>
      <c r="B13" s="13"/>
      <c r="C13" s="16"/>
      <c r="D13" s="16" t="s">
        <v>65</v>
      </c>
      <c r="E13" s="16" t="s">
        <v>10</v>
      </c>
      <c r="F13" s="85">
        <v>1</v>
      </c>
      <c r="G13" s="85"/>
      <c r="H13" s="85"/>
      <c r="I13" s="8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8"/>
      <c r="V13" s="31" t="s">
        <v>147</v>
      </c>
      <c r="W13" s="30"/>
      <c r="X13" s="30"/>
      <c r="Y13" s="30"/>
      <c r="Z13" s="30"/>
      <c r="AA13" s="39"/>
      <c r="AB13" s="39"/>
      <c r="AC13" s="39"/>
      <c r="AD13" s="39"/>
      <c r="AE13" s="39"/>
      <c r="AF13" s="30"/>
      <c r="AG13" s="30"/>
      <c r="AH13" s="30"/>
      <c r="AI13" s="48"/>
      <c r="AJ13" s="5"/>
      <c r="AK13" s="5"/>
      <c r="AL13" s="46"/>
      <c r="AM13" s="47"/>
      <c r="AN13" s="47"/>
      <c r="AO13" s="47"/>
      <c r="AP13" s="47"/>
    </row>
    <row r="14" spans="1:42" ht="15" customHeight="1">
      <c r="A14" s="14"/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8"/>
      <c r="V14" s="32" t="s">
        <v>148</v>
      </c>
      <c r="W14" s="30"/>
      <c r="X14" s="30"/>
      <c r="Y14" s="30"/>
      <c r="Z14" s="154" t="s">
        <v>216</v>
      </c>
      <c r="AA14" s="155"/>
      <c r="AB14" s="156"/>
      <c r="AC14" s="39"/>
      <c r="AD14" s="39"/>
      <c r="AE14" s="39"/>
      <c r="AF14" s="30"/>
      <c r="AG14" s="30"/>
      <c r="AH14" s="30"/>
      <c r="AI14" s="48"/>
      <c r="AJ14" s="5"/>
      <c r="AK14" s="5"/>
      <c r="AL14" s="46"/>
      <c r="AM14" s="47"/>
      <c r="AN14" s="47"/>
      <c r="AO14" s="47"/>
      <c r="AP14" s="47"/>
    </row>
    <row r="15" spans="1:42" ht="15" customHeight="1">
      <c r="A15" s="14"/>
      <c r="B15" s="13"/>
      <c r="C15" s="15"/>
      <c r="D15" s="15" t="s">
        <v>151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8"/>
      <c r="V15" s="30"/>
      <c r="W15" s="32" t="s">
        <v>152</v>
      </c>
      <c r="X15" s="30"/>
      <c r="Y15" s="30"/>
      <c r="Z15" s="157" t="s">
        <v>92</v>
      </c>
      <c r="AA15" s="157"/>
      <c r="AB15" s="158">
        <f>VLOOKUP(Z14,AN16:AP31,3,0)</f>
        <v>3.2</v>
      </c>
      <c r="AC15" s="159"/>
      <c r="AD15" s="160"/>
      <c r="AE15" s="40" t="s">
        <v>153</v>
      </c>
      <c r="AF15" s="30"/>
      <c r="AG15" s="30"/>
      <c r="AH15" s="30"/>
      <c r="AI15" s="48"/>
      <c r="AJ15" s="5"/>
      <c r="AK15" s="5"/>
      <c r="AL15" s="46"/>
      <c r="AM15" s="47"/>
      <c r="AN15" s="50" t="s">
        <v>154</v>
      </c>
      <c r="AO15" s="50" t="s">
        <v>155</v>
      </c>
      <c r="AP15" s="50" t="s">
        <v>153</v>
      </c>
    </row>
    <row r="16" spans="1:42" ht="15" customHeight="1">
      <c r="A16" s="14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28"/>
      <c r="V16" s="30"/>
      <c r="W16" s="30"/>
      <c r="X16" s="30"/>
      <c r="Y16" s="30"/>
      <c r="Z16" s="30"/>
      <c r="AA16" s="39"/>
      <c r="AB16" s="39"/>
      <c r="AC16" s="39"/>
      <c r="AD16" s="39"/>
      <c r="AE16" s="39"/>
      <c r="AF16" s="30"/>
      <c r="AG16" s="30"/>
      <c r="AH16" s="30"/>
      <c r="AI16" s="48"/>
      <c r="AJ16" s="5"/>
      <c r="AK16" s="5"/>
      <c r="AL16" s="46"/>
      <c r="AM16" s="47"/>
      <c r="AN16" s="47" t="s">
        <v>203</v>
      </c>
      <c r="AO16" s="47" t="s">
        <v>204</v>
      </c>
      <c r="AP16" s="47">
        <v>0.14000000000000001</v>
      </c>
    </row>
    <row r="17" spans="1:42" ht="15" customHeight="1">
      <c r="A17" s="14"/>
      <c r="B17" s="13"/>
      <c r="C17" s="16"/>
      <c r="D17" s="88"/>
      <c r="E17" s="88"/>
      <c r="F17" s="88"/>
      <c r="G17" s="88"/>
      <c r="H17" s="88"/>
      <c r="I17" s="88"/>
      <c r="J17" s="149"/>
      <c r="K17" s="149"/>
      <c r="L17" s="16"/>
      <c r="M17" s="16"/>
      <c r="N17" s="16"/>
      <c r="O17" s="16"/>
      <c r="P17" s="16"/>
      <c r="Q17" s="16"/>
      <c r="R17" s="16"/>
      <c r="S17" s="16"/>
      <c r="T17" s="16"/>
      <c r="U17" s="28"/>
      <c r="V17" s="31" t="s">
        <v>160</v>
      </c>
      <c r="W17" s="30"/>
      <c r="X17" s="30"/>
      <c r="Y17" s="30"/>
      <c r="Z17" s="30"/>
      <c r="AA17" s="39"/>
      <c r="AB17" s="39"/>
      <c r="AC17" s="39"/>
      <c r="AD17" s="39"/>
      <c r="AE17" s="39"/>
      <c r="AF17" s="30"/>
      <c r="AG17" s="30"/>
      <c r="AH17" s="30"/>
      <c r="AI17" s="48"/>
      <c r="AJ17" s="5"/>
      <c r="AK17" s="5"/>
      <c r="AL17" s="46"/>
      <c r="AM17" s="47"/>
      <c r="AN17" s="47" t="s">
        <v>205</v>
      </c>
      <c r="AO17" s="47" t="s">
        <v>206</v>
      </c>
      <c r="AP17" s="47">
        <v>0.23</v>
      </c>
    </row>
    <row r="18" spans="1:42" ht="15" customHeight="1">
      <c r="A18" s="14"/>
      <c r="B18" s="13"/>
      <c r="C18" s="16"/>
      <c r="D18" s="88"/>
      <c r="E18" s="88"/>
      <c r="F18" s="88"/>
      <c r="G18" s="88"/>
      <c r="H18" s="88"/>
      <c r="I18" s="88"/>
      <c r="J18" s="149"/>
      <c r="K18" s="149"/>
      <c r="L18" s="16"/>
      <c r="M18" s="16"/>
      <c r="N18" s="16"/>
      <c r="O18" s="16"/>
      <c r="P18" s="16"/>
      <c r="Q18" s="16"/>
      <c r="R18" s="16"/>
      <c r="S18" s="16"/>
      <c r="T18" s="16"/>
      <c r="U18" s="28"/>
      <c r="V18" s="32" t="s">
        <v>148</v>
      </c>
      <c r="W18" s="30"/>
      <c r="X18" s="30"/>
      <c r="Y18" s="30"/>
      <c r="Z18" s="154" t="s">
        <v>133</v>
      </c>
      <c r="AA18" s="155"/>
      <c r="AB18" s="156"/>
      <c r="AC18" s="39"/>
      <c r="AD18" s="40" t="s">
        <v>163</v>
      </c>
      <c r="AE18" s="39"/>
      <c r="AF18" s="154">
        <v>80</v>
      </c>
      <c r="AG18" s="156"/>
      <c r="AH18" s="31" t="s">
        <v>164</v>
      </c>
      <c r="AI18" s="48"/>
      <c r="AJ18" s="5"/>
      <c r="AK18" s="5"/>
      <c r="AL18" s="46"/>
      <c r="AM18" s="47"/>
      <c r="AN18" s="47" t="s">
        <v>207</v>
      </c>
      <c r="AO18" s="47" t="s">
        <v>166</v>
      </c>
      <c r="AP18" s="47">
        <v>0.38</v>
      </c>
    </row>
    <row r="19" spans="1:42" ht="15" customHeight="1">
      <c r="A19" s="14"/>
      <c r="B19" s="13"/>
      <c r="C19" s="18"/>
      <c r="D19" s="19" t="s">
        <v>208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28"/>
      <c r="V19" s="30"/>
      <c r="W19" s="32" t="s">
        <v>152</v>
      </c>
      <c r="X19" s="30"/>
      <c r="Y19" s="30"/>
      <c r="Z19" s="157" t="s">
        <v>92</v>
      </c>
      <c r="AA19" s="157"/>
      <c r="AB19" s="161">
        <f>AN12*AF18/100</f>
        <v>5.6548667764616276</v>
      </c>
      <c r="AC19" s="162"/>
      <c r="AD19" s="163"/>
      <c r="AE19" s="40" t="s">
        <v>153</v>
      </c>
      <c r="AF19" s="30"/>
      <c r="AG19" s="30"/>
      <c r="AH19" s="30"/>
      <c r="AI19" s="48"/>
      <c r="AJ19" s="5"/>
      <c r="AK19" s="5"/>
      <c r="AL19" s="46"/>
      <c r="AM19" s="47"/>
      <c r="AN19" s="47" t="s">
        <v>209</v>
      </c>
      <c r="AO19" s="47" t="s">
        <v>210</v>
      </c>
      <c r="AP19" s="47">
        <v>0.55000000000000004</v>
      </c>
    </row>
    <row r="20" spans="1:42" ht="15" customHeight="1">
      <c r="A20" s="14"/>
      <c r="B20" s="13"/>
      <c r="C20" s="16"/>
      <c r="D20" s="16"/>
      <c r="E20" s="16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33"/>
      <c r="V20" s="34"/>
      <c r="W20" s="34"/>
      <c r="X20" s="34"/>
      <c r="Y20" s="34"/>
      <c r="Z20" s="34"/>
      <c r="AA20" s="41"/>
      <c r="AB20" s="41"/>
      <c r="AC20" s="41"/>
      <c r="AD20" s="41"/>
      <c r="AE20" s="41"/>
      <c r="AF20" s="34"/>
      <c r="AG20" s="34"/>
      <c r="AH20" s="34"/>
      <c r="AI20" s="51"/>
      <c r="AJ20" s="5"/>
      <c r="AK20" s="5"/>
      <c r="AL20" s="46"/>
      <c r="AM20" s="47"/>
      <c r="AN20" s="47" t="s">
        <v>211</v>
      </c>
      <c r="AO20" s="47" t="s">
        <v>212</v>
      </c>
      <c r="AP20" s="47">
        <v>0.91</v>
      </c>
    </row>
    <row r="21" spans="1:42" ht="15" customHeight="1">
      <c r="A21" s="14"/>
      <c r="B21" s="13"/>
      <c r="C21" s="16"/>
      <c r="D21" s="16"/>
      <c r="E21" s="16"/>
      <c r="F21" s="15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5"/>
      <c r="V21" s="30"/>
      <c r="W21" s="30"/>
      <c r="X21" s="30"/>
      <c r="Y21" s="30"/>
      <c r="Z21" s="30"/>
      <c r="AA21" s="39"/>
      <c r="AB21" s="39"/>
      <c r="AC21" s="39"/>
      <c r="AD21" s="39"/>
      <c r="AE21" s="39"/>
      <c r="AF21" s="30"/>
      <c r="AG21" s="30"/>
      <c r="AH21" s="30"/>
      <c r="AI21" s="5"/>
      <c r="AJ21" s="5"/>
      <c r="AK21" s="5"/>
      <c r="AL21" s="46"/>
      <c r="AM21" s="47"/>
      <c r="AN21" s="47" t="s">
        <v>213</v>
      </c>
      <c r="AO21" s="47" t="s">
        <v>214</v>
      </c>
      <c r="AP21" s="47">
        <v>1.18</v>
      </c>
    </row>
    <row r="22" spans="1:42" ht="15" customHeight="1">
      <c r="A22" s="14"/>
      <c r="B22" s="13"/>
      <c r="C22" s="16"/>
      <c r="D22" s="16"/>
      <c r="E22" s="16"/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5"/>
      <c r="V22" s="30"/>
      <c r="W22" s="30"/>
      <c r="X22" s="30"/>
      <c r="Y22" s="30"/>
      <c r="Z22" s="30"/>
      <c r="AA22" s="39"/>
      <c r="AB22" s="39"/>
      <c r="AC22" s="39"/>
      <c r="AD22" s="39"/>
      <c r="AE22" s="39"/>
      <c r="AF22" s="30"/>
      <c r="AG22" s="30"/>
      <c r="AH22" s="30"/>
      <c r="AI22" s="5"/>
      <c r="AJ22" s="5"/>
      <c r="AK22" s="5"/>
      <c r="AL22" s="46"/>
      <c r="AM22" s="47"/>
      <c r="AN22" s="47" t="s">
        <v>215</v>
      </c>
      <c r="AO22" s="47" t="s">
        <v>175</v>
      </c>
      <c r="AP22" s="47">
        <v>1.85</v>
      </c>
    </row>
    <row r="23" spans="1:42" ht="15" customHeight="1">
      <c r="A23" s="14"/>
      <c r="B23" s="13"/>
      <c r="C23" s="16"/>
      <c r="D23" s="16"/>
      <c r="E23" s="16"/>
      <c r="F23" s="15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5"/>
      <c r="V23" s="30"/>
      <c r="W23" s="30"/>
      <c r="X23" s="30"/>
      <c r="Y23" s="30"/>
      <c r="Z23" s="30"/>
      <c r="AA23" s="39"/>
      <c r="AB23" s="39"/>
      <c r="AC23" s="39"/>
      <c r="AD23" s="39"/>
      <c r="AE23" s="39"/>
      <c r="AF23" s="30"/>
      <c r="AG23" s="30"/>
      <c r="AH23" s="30"/>
      <c r="AI23" s="5"/>
      <c r="AJ23" s="5"/>
      <c r="AK23" s="5"/>
      <c r="AL23" s="46"/>
      <c r="AM23" s="47"/>
      <c r="AN23" s="47" t="s">
        <v>216</v>
      </c>
      <c r="AO23" s="47" t="s">
        <v>177</v>
      </c>
      <c r="AP23" s="47">
        <v>3.2</v>
      </c>
    </row>
    <row r="24" spans="1:42" ht="15" customHeight="1">
      <c r="A24" s="14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5"/>
      <c r="V24" s="30"/>
      <c r="W24" s="30"/>
      <c r="X24" s="30"/>
      <c r="Y24" s="30"/>
      <c r="Z24" s="30"/>
      <c r="AA24" s="39"/>
      <c r="AB24" s="39"/>
      <c r="AC24" s="39"/>
      <c r="AD24" s="39"/>
      <c r="AE24" s="39"/>
      <c r="AF24" s="30"/>
      <c r="AG24" s="30"/>
      <c r="AH24" s="30"/>
      <c r="AI24" s="5"/>
      <c r="AJ24" s="5"/>
      <c r="AK24" s="5"/>
      <c r="AL24" s="46"/>
      <c r="AM24" s="47"/>
      <c r="AN24" s="47" t="s">
        <v>202</v>
      </c>
      <c r="AO24" s="47" t="s">
        <v>178</v>
      </c>
      <c r="AP24" s="47">
        <v>5.03</v>
      </c>
    </row>
    <row r="25" spans="1:42" ht="15" customHeight="1">
      <c r="A25" s="14"/>
      <c r="B25" s="13"/>
      <c r="C25" s="18" t="s">
        <v>9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5"/>
      <c r="V25" s="30"/>
      <c r="W25" s="30"/>
      <c r="X25" s="30"/>
      <c r="Y25" s="30"/>
      <c r="Z25" s="30"/>
      <c r="AA25" s="39"/>
      <c r="AB25" s="39"/>
      <c r="AC25" s="39"/>
      <c r="AD25" s="39"/>
      <c r="AE25" s="39"/>
      <c r="AF25" s="30"/>
      <c r="AG25" s="30"/>
      <c r="AH25" s="30"/>
      <c r="AI25" s="5"/>
      <c r="AJ25" s="5"/>
      <c r="AK25" s="5"/>
      <c r="AL25" s="46"/>
      <c r="AM25" s="47"/>
      <c r="AN25" s="47" t="s">
        <v>217</v>
      </c>
      <c r="AO25" s="47" t="s">
        <v>180</v>
      </c>
      <c r="AP25" s="47">
        <v>7.9</v>
      </c>
    </row>
    <row r="26" spans="1:42" ht="15" customHeight="1">
      <c r="A26" s="14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5"/>
      <c r="V26" s="30"/>
      <c r="W26" s="30"/>
      <c r="X26" s="30"/>
      <c r="Y26" s="30"/>
      <c r="Z26" s="30"/>
      <c r="AA26" s="39"/>
      <c r="AB26" s="39"/>
      <c r="AC26" s="39"/>
      <c r="AD26" s="39"/>
      <c r="AE26" s="39"/>
      <c r="AF26" s="30"/>
      <c r="AG26" s="30"/>
      <c r="AH26" s="30"/>
      <c r="AI26" s="5"/>
      <c r="AJ26" s="5"/>
      <c r="AK26" s="5"/>
      <c r="AL26" s="46"/>
      <c r="AM26" s="47"/>
      <c r="AN26" s="47" t="s">
        <v>218</v>
      </c>
      <c r="AO26" s="47" t="s">
        <v>182</v>
      </c>
      <c r="AP26" s="47">
        <v>9.6999999999999993</v>
      </c>
    </row>
    <row r="27" spans="1:42" ht="15" customHeight="1">
      <c r="A27" s="14"/>
      <c r="B27" s="13"/>
      <c r="C27" s="16"/>
      <c r="D27" s="16"/>
      <c r="E27" s="20" t="s">
        <v>73</v>
      </c>
      <c r="F27" s="20"/>
      <c r="G27" s="20"/>
      <c r="H27" s="21"/>
      <c r="I27" s="25"/>
      <c r="J27" s="146" t="s">
        <v>65</v>
      </c>
      <c r="K27" s="147"/>
      <c r="L27" s="147"/>
      <c r="M27" s="147"/>
      <c r="N27" s="148"/>
      <c r="O27" s="16"/>
      <c r="P27" s="16"/>
      <c r="Q27" s="16"/>
      <c r="R27" s="16"/>
      <c r="S27" s="16"/>
      <c r="T27" s="16"/>
      <c r="U27" s="5"/>
      <c r="V27" s="30"/>
      <c r="W27" s="30"/>
      <c r="X27" s="30"/>
      <c r="Y27" s="30"/>
      <c r="Z27" s="30"/>
      <c r="AA27" s="39"/>
      <c r="AB27" s="39"/>
      <c r="AC27" s="39"/>
      <c r="AD27" s="39"/>
      <c r="AE27" s="39"/>
      <c r="AF27" s="30"/>
      <c r="AG27" s="30"/>
      <c r="AH27" s="30"/>
      <c r="AI27" s="5"/>
      <c r="AJ27" s="5"/>
      <c r="AK27" s="5"/>
      <c r="AL27" s="46"/>
      <c r="AM27" s="47"/>
      <c r="AN27" s="47" t="s">
        <v>219</v>
      </c>
      <c r="AO27" s="47" t="s">
        <v>220</v>
      </c>
      <c r="AP27" s="47">
        <v>14.3</v>
      </c>
    </row>
    <row r="28" spans="1:42" ht="15" customHeight="1">
      <c r="A28" s="14"/>
      <c r="B28" s="13"/>
      <c r="C28" s="16"/>
      <c r="D28" s="16"/>
      <c r="E28" s="20" t="s">
        <v>74</v>
      </c>
      <c r="F28" s="20"/>
      <c r="G28" s="20"/>
      <c r="H28" s="21"/>
      <c r="I28" s="25"/>
      <c r="J28" s="146">
        <v>0.4</v>
      </c>
      <c r="K28" s="147"/>
      <c r="L28" s="147"/>
      <c r="M28" s="147"/>
      <c r="N28" s="148"/>
      <c r="O28" s="16"/>
      <c r="P28" s="16"/>
      <c r="Q28" s="16"/>
      <c r="R28" s="16"/>
      <c r="S28" s="16"/>
      <c r="T28" s="16"/>
      <c r="U28" s="5"/>
      <c r="V28" s="30"/>
      <c r="W28" s="30"/>
      <c r="X28" s="30"/>
      <c r="Y28" s="30"/>
      <c r="Z28" s="30"/>
      <c r="AA28" s="39"/>
      <c r="AB28" s="39"/>
      <c r="AC28" s="39"/>
      <c r="AD28" s="39"/>
      <c r="AE28" s="39"/>
      <c r="AF28" s="30"/>
      <c r="AG28" s="30"/>
      <c r="AH28" s="30"/>
      <c r="AI28" s="5"/>
      <c r="AJ28" s="5"/>
      <c r="AK28" s="5"/>
      <c r="AL28" s="46"/>
      <c r="AM28" s="47"/>
      <c r="AN28" s="47" t="s">
        <v>221</v>
      </c>
      <c r="AO28" s="47" t="s">
        <v>222</v>
      </c>
      <c r="AP28" s="47">
        <v>22.5</v>
      </c>
    </row>
    <row r="29" spans="1:42" ht="15" customHeight="1">
      <c r="A29" s="14"/>
      <c r="B29" s="13"/>
      <c r="C29" s="16"/>
      <c r="D29" s="16"/>
      <c r="E29" s="20" t="s">
        <v>75</v>
      </c>
      <c r="F29" s="20"/>
      <c r="G29" s="20"/>
      <c r="H29" s="21"/>
      <c r="I29" s="25"/>
      <c r="J29" s="146">
        <v>1</v>
      </c>
      <c r="K29" s="147"/>
      <c r="L29" s="147"/>
      <c r="M29" s="147"/>
      <c r="N29" s="148"/>
      <c r="O29" s="16"/>
      <c r="P29" s="16"/>
      <c r="Q29" s="16"/>
      <c r="R29" s="16"/>
      <c r="S29" s="16"/>
      <c r="T29" s="16"/>
      <c r="U29" s="5"/>
      <c r="V29" s="30"/>
      <c r="W29" s="30"/>
      <c r="X29" s="30"/>
      <c r="Y29" s="30"/>
      <c r="Z29" s="30"/>
      <c r="AA29" s="39"/>
      <c r="AB29" s="39"/>
      <c r="AC29" s="39"/>
      <c r="AD29" s="39"/>
      <c r="AE29" s="39"/>
      <c r="AF29" s="30"/>
      <c r="AG29" s="30"/>
      <c r="AH29" s="30"/>
      <c r="AI29" s="5"/>
      <c r="AJ29" s="5"/>
      <c r="AK29" s="5"/>
      <c r="AL29" s="46"/>
      <c r="AM29" s="47"/>
      <c r="AN29" s="47" t="s">
        <v>223</v>
      </c>
      <c r="AO29" s="47" t="s">
        <v>188</v>
      </c>
      <c r="AP29" s="47">
        <v>29.7</v>
      </c>
    </row>
    <row r="30" spans="1:42" ht="15" customHeight="1">
      <c r="A30" s="14"/>
      <c r="B30" s="13"/>
      <c r="C30" s="16"/>
      <c r="D30" s="16"/>
      <c r="E30" s="20" t="s">
        <v>76</v>
      </c>
      <c r="F30" s="20"/>
      <c r="G30" s="20"/>
      <c r="H30" s="21"/>
      <c r="I30" s="25"/>
      <c r="J30" s="146">
        <v>1.3</v>
      </c>
      <c r="K30" s="147"/>
      <c r="L30" s="147"/>
      <c r="M30" s="147"/>
      <c r="N30" s="148"/>
      <c r="O30" s="16"/>
      <c r="P30" s="16"/>
      <c r="Q30" s="16"/>
      <c r="R30" s="16"/>
      <c r="S30" s="16"/>
      <c r="T30" s="16"/>
      <c r="U30" s="5"/>
      <c r="V30" s="5"/>
      <c r="W30" s="5"/>
      <c r="X30" s="5"/>
      <c r="Y30" s="5"/>
      <c r="Z30" s="5"/>
      <c r="AA30" s="42"/>
      <c r="AB30" s="42"/>
      <c r="AC30" s="42"/>
      <c r="AD30" s="42"/>
      <c r="AE30" s="42"/>
      <c r="AF30" s="5"/>
      <c r="AG30" s="5"/>
      <c r="AH30" s="5"/>
      <c r="AI30" s="5"/>
      <c r="AJ30" s="5"/>
      <c r="AK30" s="5"/>
      <c r="AL30" s="46"/>
      <c r="AM30" s="47"/>
      <c r="AN30" s="47" t="s">
        <v>224</v>
      </c>
      <c r="AO30" s="47" t="s">
        <v>190</v>
      </c>
      <c r="AP30" s="47">
        <v>46.3</v>
      </c>
    </row>
    <row r="31" spans="1:42" ht="15" customHeight="1">
      <c r="A31" s="14"/>
      <c r="B31" s="13"/>
      <c r="C31" s="16"/>
      <c r="D31" s="16"/>
      <c r="E31" s="20" t="s">
        <v>77</v>
      </c>
      <c r="F31" s="20"/>
      <c r="G31" s="20"/>
      <c r="H31" s="21"/>
      <c r="I31" s="25"/>
      <c r="J31" s="146">
        <v>1.6</v>
      </c>
      <c r="K31" s="147"/>
      <c r="L31" s="147"/>
      <c r="M31" s="147"/>
      <c r="N31" s="148"/>
      <c r="O31" s="16"/>
      <c r="P31" s="16"/>
      <c r="Q31" s="16"/>
      <c r="R31" s="16"/>
      <c r="S31" s="16"/>
      <c r="T31" s="16"/>
      <c r="U31" s="5"/>
      <c r="V31" s="5"/>
      <c r="W31" s="5"/>
      <c r="X31" s="5"/>
      <c r="Y31" s="5"/>
      <c r="Z31" s="5"/>
      <c r="AA31" s="42"/>
      <c r="AB31" s="42"/>
      <c r="AC31" s="42"/>
      <c r="AD31" s="42"/>
      <c r="AE31" s="42"/>
      <c r="AF31" s="5"/>
      <c r="AG31" s="5"/>
      <c r="AH31" s="5"/>
      <c r="AI31" s="5"/>
      <c r="AJ31" s="5"/>
      <c r="AK31" s="5"/>
      <c r="AL31" s="46"/>
      <c r="AM31" s="47"/>
      <c r="AN31" s="47" t="s">
        <v>225</v>
      </c>
      <c r="AO31" s="47" t="s">
        <v>192</v>
      </c>
      <c r="AP31" s="47">
        <v>36</v>
      </c>
    </row>
    <row r="32" spans="1:42" ht="15" customHeight="1">
      <c r="A32" s="14"/>
      <c r="B32" s="13"/>
      <c r="C32" s="16"/>
      <c r="D32" s="16"/>
      <c r="E32" s="20" t="s">
        <v>78</v>
      </c>
      <c r="F32" s="20"/>
      <c r="G32" s="20"/>
      <c r="H32" s="21"/>
      <c r="I32" s="25"/>
      <c r="J32" s="146">
        <v>2</v>
      </c>
      <c r="K32" s="147"/>
      <c r="L32" s="147"/>
      <c r="M32" s="147"/>
      <c r="N32" s="148"/>
      <c r="O32" s="16"/>
      <c r="P32" s="16"/>
      <c r="Q32" s="16"/>
      <c r="R32" s="16"/>
      <c r="S32" s="16"/>
      <c r="T32" s="16"/>
      <c r="U32" s="5"/>
      <c r="V32" s="5"/>
      <c r="W32" s="5"/>
      <c r="X32" s="5"/>
      <c r="Y32" s="5"/>
      <c r="Z32" s="5"/>
      <c r="AA32" s="42"/>
      <c r="AB32" s="42"/>
      <c r="AC32" s="42"/>
      <c r="AD32" s="42"/>
      <c r="AE32" s="42"/>
      <c r="AF32" s="5"/>
      <c r="AG32" s="5"/>
      <c r="AH32" s="5"/>
      <c r="AI32" s="5"/>
      <c r="AJ32" s="5"/>
      <c r="AK32" s="5"/>
      <c r="AL32" s="46"/>
      <c r="AM32" s="47"/>
      <c r="AN32" s="47"/>
      <c r="AO32" s="47"/>
      <c r="AP32" s="47"/>
    </row>
    <row r="33" spans="1:42" ht="15" customHeight="1">
      <c r="A33" s="14"/>
      <c r="B33" s="13"/>
      <c r="C33" s="16"/>
      <c r="D33" s="16"/>
      <c r="E33" s="20" t="s">
        <v>79</v>
      </c>
      <c r="F33" s="20"/>
      <c r="G33" s="20"/>
      <c r="H33" s="21"/>
      <c r="I33" s="25"/>
      <c r="J33" s="146">
        <v>3.5</v>
      </c>
      <c r="K33" s="147"/>
      <c r="L33" s="147"/>
      <c r="M33" s="147"/>
      <c r="N33" s="148"/>
      <c r="O33" s="16"/>
      <c r="P33" s="16"/>
      <c r="Q33" s="16"/>
      <c r="R33" s="16"/>
      <c r="S33" s="16"/>
      <c r="T33" s="16"/>
      <c r="U33" s="5"/>
      <c r="V33" s="5"/>
      <c r="W33" s="5"/>
      <c r="X33" s="5"/>
      <c r="Y33" s="5"/>
      <c r="Z33" s="5"/>
      <c r="AA33" s="42"/>
      <c r="AB33" s="42"/>
      <c r="AC33" s="42"/>
      <c r="AD33" s="42"/>
      <c r="AE33" s="42"/>
      <c r="AF33" s="5"/>
      <c r="AG33" s="5"/>
      <c r="AH33" s="5"/>
      <c r="AI33" s="5"/>
      <c r="AJ33" s="5"/>
      <c r="AK33" s="5"/>
      <c r="AL33" s="46"/>
      <c r="AM33" s="47"/>
      <c r="AN33" s="47" t="s">
        <v>133</v>
      </c>
      <c r="AO33" s="47">
        <f>PI()/4*3^2</f>
        <v>7.0685834705770345</v>
      </c>
      <c r="AP33" s="47">
        <v>50</v>
      </c>
    </row>
    <row r="34" spans="1:42" ht="15" customHeight="1">
      <c r="A34" s="14"/>
      <c r="B34" s="13"/>
      <c r="C34" s="16"/>
      <c r="D34" s="16"/>
      <c r="E34" s="20" t="s">
        <v>80</v>
      </c>
      <c r="F34" s="20"/>
      <c r="G34" s="20"/>
      <c r="H34" s="21"/>
      <c r="I34" s="25"/>
      <c r="J34" s="146">
        <v>7.5</v>
      </c>
      <c r="K34" s="147"/>
      <c r="L34" s="147"/>
      <c r="M34" s="147"/>
      <c r="N34" s="148"/>
      <c r="O34" s="16"/>
      <c r="P34" s="16"/>
      <c r="Q34" s="16"/>
      <c r="R34" s="16"/>
      <c r="S34" s="16"/>
      <c r="T34" s="16"/>
      <c r="U34" s="5"/>
      <c r="V34" s="5"/>
      <c r="W34" s="5"/>
      <c r="X34" s="5"/>
      <c r="Y34" s="5"/>
      <c r="Z34" s="5"/>
      <c r="AA34" s="42"/>
      <c r="AB34" s="42"/>
      <c r="AC34" s="42"/>
      <c r="AD34" s="42"/>
      <c r="AE34" s="42"/>
      <c r="AF34" s="5"/>
      <c r="AG34" s="5"/>
      <c r="AH34" s="5"/>
      <c r="AI34" s="5"/>
      <c r="AJ34" s="5"/>
      <c r="AK34" s="5"/>
      <c r="AL34" s="46"/>
      <c r="AM34" s="47"/>
      <c r="AN34" s="47" t="s">
        <v>134</v>
      </c>
      <c r="AO34" s="47">
        <f>PI()/4*4.5^2</f>
        <v>15.904312808798327</v>
      </c>
      <c r="AP34" s="47">
        <v>60</v>
      </c>
    </row>
    <row r="35" spans="1:42" ht="15" customHeight="1">
      <c r="A35" s="14"/>
      <c r="B35" s="13"/>
      <c r="C35" s="16"/>
      <c r="D35" s="16"/>
      <c r="E35" s="20" t="s">
        <v>81</v>
      </c>
      <c r="F35" s="20"/>
      <c r="G35" s="20"/>
      <c r="H35" s="21"/>
      <c r="I35" s="25"/>
      <c r="J35" s="146">
        <v>12</v>
      </c>
      <c r="K35" s="147"/>
      <c r="L35" s="147"/>
      <c r="M35" s="147"/>
      <c r="N35" s="148"/>
      <c r="O35" s="16"/>
      <c r="P35" s="16"/>
      <c r="Q35" s="16"/>
      <c r="R35" s="16"/>
      <c r="S35" s="16"/>
      <c r="T35" s="16"/>
      <c r="U35" s="5"/>
      <c r="V35" s="5"/>
      <c r="W35" s="5"/>
      <c r="X35" s="5"/>
      <c r="Y35" s="5"/>
      <c r="Z35" s="5"/>
      <c r="AA35" s="42"/>
      <c r="AB35" s="42"/>
      <c r="AC35" s="42"/>
      <c r="AD35" s="42"/>
      <c r="AE35" s="42"/>
      <c r="AF35" s="5"/>
      <c r="AG35" s="5"/>
      <c r="AH35" s="5"/>
      <c r="AI35" s="5"/>
      <c r="AJ35" s="5"/>
      <c r="AK35" s="5"/>
      <c r="AL35" s="46"/>
      <c r="AM35" s="47"/>
      <c r="AN35" s="47" t="s">
        <v>135</v>
      </c>
      <c r="AO35" s="47">
        <f>PI()/4*6^2</f>
        <v>28.274333882308138</v>
      </c>
      <c r="AP35" s="47">
        <v>80</v>
      </c>
    </row>
    <row r="36" spans="1:42" ht="15" customHeight="1">
      <c r="A36" s="14"/>
      <c r="B36" s="13"/>
      <c r="C36" s="16"/>
      <c r="D36" s="16"/>
      <c r="E36" s="20" t="s">
        <v>82</v>
      </c>
      <c r="F36" s="20"/>
      <c r="G36" s="20"/>
      <c r="H36" s="21"/>
      <c r="I36" s="25"/>
      <c r="J36" s="146">
        <v>28</v>
      </c>
      <c r="K36" s="147"/>
      <c r="L36" s="147"/>
      <c r="M36" s="147"/>
      <c r="N36" s="148"/>
      <c r="O36" s="16"/>
      <c r="P36" s="16"/>
      <c r="Q36" s="16"/>
      <c r="R36" s="16"/>
      <c r="S36" s="16"/>
      <c r="T36" s="16"/>
      <c r="U36" s="5"/>
      <c r="V36" s="5"/>
      <c r="W36" s="5"/>
      <c r="X36" s="5"/>
      <c r="Y36" s="5"/>
      <c r="Z36" s="5"/>
      <c r="AA36" s="42"/>
      <c r="AB36" s="42"/>
      <c r="AC36" s="42"/>
      <c r="AD36" s="42"/>
      <c r="AE36" s="42"/>
      <c r="AF36" s="5"/>
      <c r="AG36" s="5"/>
      <c r="AH36" s="5"/>
      <c r="AI36" s="5"/>
      <c r="AJ36" s="5"/>
      <c r="AK36" s="5"/>
      <c r="AL36" s="46"/>
      <c r="AM36" s="47"/>
      <c r="AN36" s="47" t="s">
        <v>195</v>
      </c>
      <c r="AO36" s="47">
        <f>PI()/4*4.5^2*2</f>
        <v>31.808625617596654</v>
      </c>
      <c r="AP36" s="47"/>
    </row>
    <row r="37" spans="1:42" ht="15" customHeight="1">
      <c r="A37" s="14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5"/>
      <c r="V37" s="5"/>
      <c r="W37" s="5"/>
      <c r="X37" s="5"/>
      <c r="Y37" s="5"/>
      <c r="Z37" s="5"/>
      <c r="AA37" s="42"/>
      <c r="AB37" s="42"/>
      <c r="AC37" s="42"/>
      <c r="AD37" s="42"/>
      <c r="AE37" s="42"/>
      <c r="AF37" s="5"/>
      <c r="AG37" s="5"/>
      <c r="AH37" s="5"/>
      <c r="AI37" s="5"/>
      <c r="AJ37" s="5"/>
      <c r="AK37" s="5"/>
      <c r="AL37" s="46"/>
      <c r="AM37" s="47"/>
      <c r="AN37" s="47" t="s">
        <v>196</v>
      </c>
      <c r="AO37" s="47">
        <f>PI()/4*6^2*2</f>
        <v>56.548667764616276</v>
      </c>
      <c r="AP37" s="47"/>
    </row>
    <row r="38" spans="1:42" ht="15" customHeight="1">
      <c r="A38" s="14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7"/>
      <c r="AB38" s="37"/>
      <c r="AC38" s="37"/>
      <c r="AD38" s="37"/>
      <c r="AE38" s="37"/>
      <c r="AF38" s="16"/>
      <c r="AG38" s="16"/>
      <c r="AH38" s="16"/>
      <c r="AI38" s="16"/>
      <c r="AJ38" s="16"/>
      <c r="AK38" s="16"/>
      <c r="AL38" s="44"/>
    </row>
    <row r="39" spans="1:42" ht="15" customHeight="1">
      <c r="A39" s="14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37"/>
      <c r="AB39" s="37"/>
      <c r="AC39" s="37"/>
      <c r="AD39" s="37"/>
      <c r="AE39" s="37"/>
      <c r="AF39" s="16"/>
      <c r="AG39" s="16"/>
      <c r="AH39" s="16"/>
      <c r="AI39" s="16"/>
      <c r="AJ39" s="16"/>
      <c r="AK39" s="16"/>
      <c r="AL39" s="44"/>
    </row>
    <row r="40" spans="1:42" ht="15" customHeight="1">
      <c r="A40" s="14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37"/>
      <c r="AB40" s="37"/>
      <c r="AC40" s="37"/>
      <c r="AD40" s="37"/>
      <c r="AE40" s="37"/>
      <c r="AF40" s="16"/>
      <c r="AG40" s="16"/>
      <c r="AH40" s="16"/>
      <c r="AI40" s="16"/>
      <c r="AJ40" s="16"/>
      <c r="AK40" s="16"/>
      <c r="AL40" s="44"/>
    </row>
    <row r="41" spans="1:42" ht="15" customHeight="1">
      <c r="A41" s="14"/>
      <c r="B41" s="13"/>
      <c r="C41" s="16"/>
      <c r="D41" s="15" t="s">
        <v>83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37"/>
      <c r="Z41" s="37"/>
      <c r="AA41" s="37"/>
      <c r="AB41" s="37"/>
      <c r="AC41" s="37"/>
      <c r="AD41" s="16"/>
      <c r="AE41" s="16"/>
      <c r="AF41" s="16"/>
      <c r="AG41" s="16"/>
      <c r="AH41" s="16"/>
      <c r="AI41" s="16"/>
      <c r="AJ41" s="16"/>
      <c r="AK41" s="16"/>
      <c r="AL41" s="44"/>
    </row>
    <row r="42" spans="1:42" ht="15" customHeight="1"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7"/>
      <c r="AA42" s="37"/>
      <c r="AB42" s="37"/>
      <c r="AC42" s="37"/>
      <c r="AD42" s="37"/>
      <c r="AE42" s="16"/>
      <c r="AF42" s="16"/>
      <c r="AG42" s="16"/>
      <c r="AH42" s="16"/>
      <c r="AI42" s="16"/>
      <c r="AJ42" s="16"/>
      <c r="AK42" s="16"/>
      <c r="AL42" s="44"/>
    </row>
    <row r="43" spans="1:42" ht="15" customHeight="1"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37"/>
      <c r="AB43" s="37"/>
      <c r="AC43" s="37"/>
      <c r="AD43" s="37"/>
      <c r="AE43" s="37"/>
      <c r="AF43" s="16"/>
      <c r="AG43" s="16"/>
      <c r="AH43" s="16"/>
      <c r="AI43" s="16"/>
      <c r="AJ43" s="16"/>
      <c r="AK43" s="16"/>
      <c r="AL43" s="44"/>
    </row>
    <row r="44" spans="1:42" ht="15" customHeight="1"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37"/>
      <c r="AB44" s="37"/>
      <c r="AC44" s="37"/>
      <c r="AD44" s="37"/>
      <c r="AE44" s="37"/>
      <c r="AF44" s="16"/>
      <c r="AG44" s="16"/>
      <c r="AH44" s="16"/>
      <c r="AI44" s="16"/>
      <c r="AJ44" s="16"/>
      <c r="AK44" s="16"/>
      <c r="AL44" s="44"/>
    </row>
    <row r="45" spans="1:42" ht="15" customHeight="1"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37"/>
      <c r="AB45" s="37"/>
      <c r="AC45" s="37"/>
      <c r="AD45" s="37"/>
      <c r="AE45" s="37"/>
      <c r="AF45" s="16"/>
      <c r="AG45" s="16"/>
      <c r="AH45" s="16"/>
      <c r="AI45" s="16"/>
      <c r="AJ45" s="16"/>
      <c r="AK45" s="16"/>
      <c r="AL45" s="44"/>
    </row>
    <row r="46" spans="1:42" ht="15" customHeight="1"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37"/>
      <c r="AB46" s="37"/>
      <c r="AC46" s="37"/>
      <c r="AD46" s="37"/>
      <c r="AE46" s="37"/>
      <c r="AF46" s="16"/>
      <c r="AG46" s="16"/>
      <c r="AH46" s="16"/>
      <c r="AI46" s="16"/>
      <c r="AJ46" s="16"/>
      <c r="AK46" s="16"/>
      <c r="AL46" s="44"/>
    </row>
    <row r="47" spans="1:42" ht="15" customHeight="1"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37"/>
      <c r="AB47" s="37"/>
      <c r="AC47" s="37"/>
      <c r="AD47" s="37"/>
      <c r="AE47" s="37"/>
      <c r="AF47" s="16"/>
      <c r="AG47" s="16"/>
      <c r="AH47" s="16"/>
      <c r="AI47" s="16"/>
      <c r="AJ47" s="16"/>
      <c r="AK47" s="16"/>
      <c r="AL47" s="44"/>
    </row>
    <row r="48" spans="1:42" ht="15" customHeight="1"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37"/>
      <c r="AB48" s="37"/>
      <c r="AC48" s="37"/>
      <c r="AD48" s="37"/>
      <c r="AE48" s="37"/>
      <c r="AF48" s="16"/>
      <c r="AG48" s="16"/>
      <c r="AH48" s="16"/>
      <c r="AI48" s="16"/>
      <c r="AJ48" s="16"/>
      <c r="AK48" s="16"/>
      <c r="AL48" s="44"/>
    </row>
    <row r="49" spans="2:38" ht="15" customHeight="1"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37"/>
      <c r="AB49" s="37"/>
      <c r="AC49" s="37"/>
      <c r="AD49" s="37"/>
      <c r="AE49" s="37"/>
      <c r="AF49" s="16"/>
      <c r="AG49" s="16"/>
      <c r="AH49" s="16"/>
      <c r="AI49" s="16"/>
      <c r="AJ49" s="16"/>
      <c r="AK49" s="16"/>
      <c r="AL49" s="44"/>
    </row>
    <row r="50" spans="2:38" ht="15" customHeight="1"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37"/>
      <c r="AB50" s="37"/>
      <c r="AC50" s="37"/>
      <c r="AD50" s="37"/>
      <c r="AE50" s="37"/>
      <c r="AF50" s="16"/>
      <c r="AG50" s="16"/>
      <c r="AH50" s="16"/>
      <c r="AI50" s="16"/>
      <c r="AJ50" s="16"/>
      <c r="AK50" s="16"/>
      <c r="AL50" s="44"/>
    </row>
    <row r="51" spans="2:38" ht="15" customHeight="1"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37"/>
      <c r="AB51" s="37"/>
      <c r="AC51" s="37"/>
      <c r="AD51" s="37"/>
      <c r="AE51" s="37"/>
      <c r="AF51" s="16"/>
      <c r="AG51" s="16"/>
      <c r="AH51" s="16"/>
      <c r="AI51" s="16"/>
      <c r="AJ51" s="16"/>
      <c r="AK51" s="16"/>
      <c r="AL51" s="44"/>
    </row>
    <row r="52" spans="2:38" ht="15" customHeight="1"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37"/>
      <c r="AB52" s="37"/>
      <c r="AC52" s="37"/>
      <c r="AD52" s="37"/>
      <c r="AE52" s="37"/>
      <c r="AF52" s="16"/>
      <c r="AG52" s="16"/>
      <c r="AH52" s="16"/>
      <c r="AI52" s="16"/>
      <c r="AJ52" s="16"/>
      <c r="AK52" s="16"/>
      <c r="AL52" s="44"/>
    </row>
    <row r="53" spans="2:38" ht="15" customHeight="1"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37"/>
      <c r="AB53" s="37"/>
      <c r="AC53" s="37"/>
      <c r="AD53" s="37"/>
      <c r="AE53" s="37"/>
      <c r="AF53" s="16"/>
      <c r="AG53" s="16"/>
      <c r="AH53" s="16"/>
      <c r="AI53" s="16"/>
      <c r="AJ53" s="16"/>
      <c r="AK53" s="16"/>
      <c r="AL53" s="44"/>
    </row>
    <row r="54" spans="2:38" ht="15" customHeight="1"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36"/>
      <c r="AB54" s="36"/>
      <c r="AC54" s="36"/>
      <c r="AD54" s="36"/>
      <c r="AE54" s="36"/>
      <c r="AF54" s="14"/>
      <c r="AG54" s="14"/>
      <c r="AH54" s="14"/>
      <c r="AI54" s="14"/>
      <c r="AJ54" s="14"/>
      <c r="AK54" s="14"/>
      <c r="AL54" s="44"/>
    </row>
    <row r="55" spans="2:38" ht="15" customHeight="1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14"/>
      <c r="S55" s="14"/>
      <c r="T55" s="14"/>
      <c r="U55" s="14"/>
      <c r="V55" s="14"/>
      <c r="W55" s="14"/>
      <c r="X55" s="14"/>
      <c r="Y55" s="14"/>
      <c r="Z55" s="14"/>
      <c r="AA55" s="36"/>
      <c r="AB55" s="36"/>
      <c r="AC55" s="36"/>
      <c r="AD55" s="36"/>
      <c r="AE55" s="36"/>
      <c r="AF55" s="14"/>
      <c r="AG55" s="14"/>
      <c r="AH55" s="14"/>
      <c r="AI55" s="14"/>
      <c r="AJ55" s="14"/>
      <c r="AK55" s="14"/>
      <c r="AL55" s="44"/>
    </row>
    <row r="56" spans="2:38" ht="9.9499999999999993" customHeight="1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14" t="s">
        <v>27</v>
      </c>
      <c r="S56" s="115"/>
      <c r="T56" s="115"/>
      <c r="U56" s="116"/>
      <c r="V56" s="117"/>
      <c r="W56" s="118"/>
      <c r="X56" s="118"/>
      <c r="Y56" s="118"/>
      <c r="Z56" s="118"/>
      <c r="AA56" s="119"/>
      <c r="AB56" s="120" t="s">
        <v>28</v>
      </c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</row>
    <row r="57" spans="2:38" ht="9.9499999999999993" customHeight="1">
      <c r="B57" s="225" t="s">
        <v>198</v>
      </c>
      <c r="C57" s="226"/>
      <c r="D57" s="226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92"/>
      <c r="S57" s="93"/>
      <c r="T57" s="93"/>
      <c r="U57" s="94"/>
      <c r="V57" s="98"/>
      <c r="W57" s="99"/>
      <c r="X57" s="99"/>
      <c r="Y57" s="99"/>
      <c r="Z57" s="99"/>
      <c r="AA57" s="100"/>
      <c r="AB57" s="123"/>
      <c r="AC57" s="124"/>
      <c r="AD57" s="124"/>
      <c r="AE57" s="124"/>
      <c r="AF57" s="124"/>
      <c r="AG57" s="124"/>
      <c r="AH57" s="124"/>
      <c r="AI57" s="124"/>
      <c r="AJ57" s="124"/>
      <c r="AK57" s="124"/>
      <c r="AL57" s="125"/>
    </row>
    <row r="58" spans="2:38" ht="9.9499999999999993" customHeight="1">
      <c r="B58" s="225"/>
      <c r="C58" s="226"/>
      <c r="D58" s="226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89" t="s">
        <v>29</v>
      </c>
      <c r="S58" s="90"/>
      <c r="T58" s="90"/>
      <c r="U58" s="91"/>
      <c r="V58" s="95"/>
      <c r="W58" s="96"/>
      <c r="X58" s="96"/>
      <c r="Y58" s="96"/>
      <c r="Z58" s="96"/>
      <c r="AA58" s="97"/>
      <c r="AB58" s="126" t="s">
        <v>226</v>
      </c>
      <c r="AC58" s="127"/>
      <c r="AD58" s="127"/>
      <c r="AE58" s="127"/>
      <c r="AF58" s="127"/>
      <c r="AG58" s="127"/>
      <c r="AH58" s="127"/>
      <c r="AI58" s="127"/>
      <c r="AJ58" s="127"/>
      <c r="AK58" s="127"/>
      <c r="AL58" s="128"/>
    </row>
    <row r="59" spans="2:38" ht="9.9499999999999993" customHeight="1"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92"/>
      <c r="S59" s="93"/>
      <c r="T59" s="93"/>
      <c r="U59" s="94"/>
      <c r="V59" s="98"/>
      <c r="W59" s="99"/>
      <c r="X59" s="99"/>
      <c r="Y59" s="99"/>
      <c r="Z59" s="99"/>
      <c r="AA59" s="100"/>
      <c r="AB59" s="129"/>
      <c r="AC59" s="130"/>
      <c r="AD59" s="130"/>
      <c r="AE59" s="130"/>
      <c r="AF59" s="130"/>
      <c r="AG59" s="130"/>
      <c r="AH59" s="130"/>
      <c r="AI59" s="130"/>
      <c r="AJ59" s="130"/>
      <c r="AK59" s="130"/>
      <c r="AL59" s="131"/>
    </row>
    <row r="60" spans="2:38" ht="9.9499999999999993" customHeight="1">
      <c r="B60" s="225" t="s">
        <v>228</v>
      </c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14"/>
      <c r="Q60" s="14"/>
      <c r="R60" s="89" t="s">
        <v>31</v>
      </c>
      <c r="S60" s="90"/>
      <c r="T60" s="90"/>
      <c r="U60" s="91"/>
      <c r="V60" s="95"/>
      <c r="W60" s="96"/>
      <c r="X60" s="96"/>
      <c r="Y60" s="96"/>
      <c r="Z60" s="96"/>
      <c r="AA60" s="97"/>
      <c r="AB60" s="132"/>
      <c r="AC60" s="133"/>
      <c r="AD60" s="133"/>
      <c r="AE60" s="133"/>
      <c r="AF60" s="133"/>
      <c r="AG60" s="133"/>
      <c r="AH60" s="133"/>
      <c r="AI60" s="133"/>
      <c r="AJ60" s="133"/>
      <c r="AK60" s="133"/>
      <c r="AL60" s="134"/>
    </row>
    <row r="61" spans="2:38" ht="9.9499999999999993" customHeight="1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14"/>
      <c r="Q61" s="14"/>
      <c r="R61" s="92"/>
      <c r="S61" s="93"/>
      <c r="T61" s="93"/>
      <c r="U61" s="94"/>
      <c r="V61" s="98"/>
      <c r="W61" s="99"/>
      <c r="X61" s="99"/>
      <c r="Y61" s="99"/>
      <c r="Z61" s="99"/>
      <c r="AA61" s="100"/>
      <c r="AB61" s="101" t="s">
        <v>32</v>
      </c>
      <c r="AC61" s="102"/>
      <c r="AD61" s="102"/>
      <c r="AE61" s="103"/>
      <c r="AF61" s="95"/>
      <c r="AG61" s="96"/>
      <c r="AH61" s="96"/>
      <c r="AI61" s="96"/>
      <c r="AJ61" s="96"/>
      <c r="AK61" s="96"/>
      <c r="AL61" s="136"/>
    </row>
    <row r="62" spans="2:38" ht="9.9499999999999993" customHeight="1">
      <c r="B62" s="13"/>
      <c r="C62" s="14"/>
      <c r="D62" s="24"/>
      <c r="E62" s="24"/>
      <c r="F62" s="24"/>
      <c r="G62" s="24"/>
      <c r="H62" s="226"/>
      <c r="I62" s="226"/>
      <c r="J62" s="226"/>
      <c r="K62" s="226"/>
      <c r="L62" s="226"/>
      <c r="M62" s="24"/>
      <c r="N62" s="24"/>
      <c r="O62" s="14"/>
      <c r="P62" s="14"/>
      <c r="Q62" s="14"/>
      <c r="R62" s="89" t="s">
        <v>33</v>
      </c>
      <c r="S62" s="90"/>
      <c r="T62" s="90"/>
      <c r="U62" s="91"/>
      <c r="V62" s="95"/>
      <c r="W62" s="96"/>
      <c r="X62" s="96"/>
      <c r="Y62" s="96"/>
      <c r="Z62" s="96"/>
      <c r="AA62" s="97"/>
      <c r="AB62" s="123"/>
      <c r="AC62" s="124"/>
      <c r="AD62" s="124"/>
      <c r="AE62" s="135"/>
      <c r="AF62" s="137"/>
      <c r="AG62" s="138"/>
      <c r="AH62" s="138"/>
      <c r="AI62" s="138"/>
      <c r="AJ62" s="138"/>
      <c r="AK62" s="138"/>
      <c r="AL62" s="139"/>
    </row>
    <row r="63" spans="2:38" ht="9.9499999999999993" customHeight="1">
      <c r="B63" s="13"/>
      <c r="C63" s="14"/>
      <c r="D63" s="24"/>
      <c r="E63" s="24"/>
      <c r="F63" s="24"/>
      <c r="G63" s="24"/>
      <c r="H63" s="226"/>
      <c r="I63" s="226"/>
      <c r="J63" s="226"/>
      <c r="K63" s="226"/>
      <c r="L63" s="226"/>
      <c r="M63" s="24"/>
      <c r="N63" s="24"/>
      <c r="O63" s="14"/>
      <c r="P63" s="14"/>
      <c r="Q63" s="14"/>
      <c r="R63" s="92"/>
      <c r="S63" s="93"/>
      <c r="T63" s="93"/>
      <c r="U63" s="94"/>
      <c r="V63" s="98"/>
      <c r="W63" s="99"/>
      <c r="X63" s="99"/>
      <c r="Y63" s="99"/>
      <c r="Z63" s="99"/>
      <c r="AA63" s="100"/>
      <c r="AB63" s="101" t="s">
        <v>34</v>
      </c>
      <c r="AC63" s="102"/>
      <c r="AD63" s="102"/>
      <c r="AE63" s="103"/>
      <c r="AF63" s="137"/>
      <c r="AG63" s="138"/>
      <c r="AH63" s="138"/>
      <c r="AI63" s="138"/>
      <c r="AJ63" s="138"/>
      <c r="AK63" s="138"/>
      <c r="AL63" s="139"/>
    </row>
    <row r="64" spans="2:38" ht="9.9499999999999993" customHeight="1"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10"/>
      <c r="S64" s="96"/>
      <c r="T64" s="96"/>
      <c r="U64" s="96"/>
      <c r="V64" s="96"/>
      <c r="W64" s="96"/>
      <c r="X64" s="96"/>
      <c r="Y64" s="96"/>
      <c r="Z64" s="96"/>
      <c r="AA64" s="97"/>
      <c r="AB64" s="104"/>
      <c r="AC64" s="105"/>
      <c r="AD64" s="105"/>
      <c r="AE64" s="106"/>
      <c r="AF64" s="137"/>
      <c r="AG64" s="138"/>
      <c r="AH64" s="138"/>
      <c r="AI64" s="138"/>
      <c r="AJ64" s="138"/>
      <c r="AK64" s="138"/>
      <c r="AL64" s="139"/>
    </row>
    <row r="65" spans="2:38" ht="9.9499999999999993" customHeight="1">
      <c r="B65" s="22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111"/>
      <c r="S65" s="112"/>
      <c r="T65" s="112"/>
      <c r="U65" s="112"/>
      <c r="V65" s="112"/>
      <c r="W65" s="112"/>
      <c r="X65" s="112"/>
      <c r="Y65" s="112"/>
      <c r="Z65" s="112"/>
      <c r="AA65" s="113"/>
      <c r="AB65" s="107"/>
      <c r="AC65" s="108"/>
      <c r="AD65" s="108"/>
      <c r="AE65" s="109"/>
      <c r="AF65" s="140"/>
      <c r="AG65" s="112"/>
      <c r="AH65" s="112"/>
      <c r="AI65" s="112"/>
      <c r="AJ65" s="112"/>
      <c r="AK65" s="112"/>
      <c r="AL65" s="141"/>
    </row>
  </sheetData>
  <mergeCells count="50">
    <mergeCell ref="C2:AK3"/>
    <mergeCell ref="J8:K9"/>
    <mergeCell ref="B57:D58"/>
    <mergeCell ref="H62:L63"/>
    <mergeCell ref="B60:O61"/>
    <mergeCell ref="V56:AA57"/>
    <mergeCell ref="V58:AA59"/>
    <mergeCell ref="V60:AA61"/>
    <mergeCell ref="V62:AA63"/>
    <mergeCell ref="R56:U57"/>
    <mergeCell ref="AB56:AL57"/>
    <mergeCell ref="AB58:AL60"/>
    <mergeCell ref="AF61:AL65"/>
    <mergeCell ref="AB61:AE62"/>
    <mergeCell ref="AB63:AE65"/>
    <mergeCell ref="R60:U61"/>
    <mergeCell ref="R62:U63"/>
    <mergeCell ref="R58:U59"/>
    <mergeCell ref="R64:AA65"/>
    <mergeCell ref="J34:N34"/>
    <mergeCell ref="J35:N35"/>
    <mergeCell ref="J36:N36"/>
    <mergeCell ref="D8:D9"/>
    <mergeCell ref="D17:D18"/>
    <mergeCell ref="E8:E9"/>
    <mergeCell ref="E17:E18"/>
    <mergeCell ref="I8:I9"/>
    <mergeCell ref="I17:I18"/>
    <mergeCell ref="J17:K18"/>
    <mergeCell ref="J29:N29"/>
    <mergeCell ref="J30:N30"/>
    <mergeCell ref="J31:N31"/>
    <mergeCell ref="J32:N32"/>
    <mergeCell ref="J33:N33"/>
    <mergeCell ref="AF18:AG18"/>
    <mergeCell ref="Z19:AA19"/>
    <mergeCell ref="AB19:AD19"/>
    <mergeCell ref="J27:N27"/>
    <mergeCell ref="J28:N28"/>
    <mergeCell ref="Z14:AB14"/>
    <mergeCell ref="Z15:AA15"/>
    <mergeCell ref="AB15:AD15"/>
    <mergeCell ref="F17:H17"/>
    <mergeCell ref="F18:H18"/>
    <mergeCell ref="Z18:AB18"/>
    <mergeCell ref="F8:H8"/>
    <mergeCell ref="F9:H9"/>
    <mergeCell ref="F11:I11"/>
    <mergeCell ref="F12:I12"/>
    <mergeCell ref="F13:I13"/>
  </mergeCells>
  <phoneticPr fontId="22" type="noConversion"/>
  <dataValidations count="2">
    <dataValidation type="list" allowBlank="1" showInputMessage="1" showErrorMessage="1" sqref="Z18:AB18">
      <formula1>$AN$33:$AN$37</formula1>
    </dataValidation>
    <dataValidation type="list" allowBlank="1" showInputMessage="1" showErrorMessage="1" sqref="Z14:AB14">
      <formula1>$AN$16:$AN$31</formula1>
    </dataValidation>
  </dataValidations>
  <pageMargins left="0.70866141732283505" right="0.26" top="0.27559055118110198" bottom="0.31496062992126" header="0.15748031496063" footer="0.15748031496063"/>
  <pageSetup paperSize="9" scale="95" orientation="portrait" horizontalDpi="36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29"/>
  <sheetViews>
    <sheetView view="pageBreakPreview" zoomScale="115" zoomScaleNormal="100" zoomScaleSheetLayoutView="115" workbookViewId="0">
      <selection activeCell="G13" sqref="G13"/>
    </sheetView>
  </sheetViews>
  <sheetFormatPr defaultColWidth="9" defaultRowHeight="14.25"/>
  <cols>
    <col min="1" max="4" width="9" style="1"/>
    <col min="5" max="6" width="7.25" style="1"/>
    <col min="7" max="8" width="7.5" style="1"/>
    <col min="9" max="11" width="7.75" style="1"/>
    <col min="12" max="12" width="5.625" style="1"/>
    <col min="13" max="16384" width="9" style="1"/>
  </cols>
  <sheetData>
    <row r="1" spans="1:14">
      <c r="E1" s="227" t="s">
        <v>229</v>
      </c>
      <c r="F1" s="228"/>
      <c r="G1" s="228"/>
      <c r="H1" s="228"/>
      <c r="I1" s="228"/>
      <c r="J1" s="228"/>
      <c r="K1" s="228"/>
      <c r="L1" s="228"/>
      <c r="M1" s="6" t="s">
        <v>230</v>
      </c>
      <c r="N1" s="6" t="s">
        <v>231</v>
      </c>
    </row>
    <row r="2" spans="1:14" ht="16.5">
      <c r="B2" s="4"/>
      <c r="C2" s="5" t="s">
        <v>232</v>
      </c>
      <c r="D2" s="5" t="s">
        <v>233</v>
      </c>
      <c r="E2" s="1" t="s">
        <v>234</v>
      </c>
      <c r="F2" s="1" t="s">
        <v>235</v>
      </c>
      <c r="G2" s="1" t="s">
        <v>236</v>
      </c>
      <c r="H2" s="1" t="s">
        <v>237</v>
      </c>
      <c r="I2" s="1" t="s">
        <v>238</v>
      </c>
      <c r="J2" s="1" t="s">
        <v>239</v>
      </c>
      <c r="K2" s="1" t="s">
        <v>240</v>
      </c>
      <c r="L2" s="1" t="s">
        <v>241</v>
      </c>
    </row>
    <row r="3" spans="1:14" ht="15">
      <c r="A3" s="7"/>
      <c r="B3" s="5"/>
      <c r="C3" s="4" t="s">
        <v>112</v>
      </c>
      <c r="D3" s="4">
        <v>0.7</v>
      </c>
    </row>
    <row r="4" spans="1:14" ht="15">
      <c r="A4" s="7"/>
      <c r="B4" s="5"/>
      <c r="C4" s="4" t="s">
        <v>115</v>
      </c>
      <c r="D4" s="4">
        <v>1.6</v>
      </c>
    </row>
    <row r="5" spans="1:14" ht="15">
      <c r="A5" s="7"/>
      <c r="B5" s="5"/>
      <c r="C5" s="4" t="s">
        <v>118</v>
      </c>
      <c r="D5" s="4">
        <v>3.3</v>
      </c>
    </row>
    <row r="6" spans="1:14" ht="15">
      <c r="A6" s="7"/>
      <c r="B6" s="5"/>
      <c r="C6" s="4" t="s">
        <v>242</v>
      </c>
      <c r="D6" s="4">
        <v>6</v>
      </c>
    </row>
    <row r="7" spans="1:14" ht="15">
      <c r="A7" s="7"/>
      <c r="B7" s="5"/>
      <c r="C7" s="4" t="s">
        <v>243</v>
      </c>
      <c r="D7" s="4">
        <v>10</v>
      </c>
    </row>
    <row r="8" spans="1:14" ht="15">
      <c r="A8" s="7"/>
      <c r="B8" s="5"/>
      <c r="C8" s="4" t="s">
        <v>131</v>
      </c>
      <c r="D8" s="4">
        <v>8.1</v>
      </c>
    </row>
    <row r="9" spans="1:14" ht="15">
      <c r="A9" s="7"/>
      <c r="B9" s="5"/>
      <c r="C9" s="4" t="s">
        <v>133</v>
      </c>
      <c r="D9" s="4">
        <v>18</v>
      </c>
    </row>
    <row r="10" spans="1:14" ht="15">
      <c r="A10" s="7"/>
      <c r="B10" s="5"/>
      <c r="C10" s="4" t="s">
        <v>134</v>
      </c>
      <c r="D10" s="4">
        <v>75</v>
      </c>
    </row>
    <row r="11" spans="1:14" ht="15">
      <c r="A11" s="7"/>
      <c r="B11" s="5"/>
      <c r="C11" s="4" t="s">
        <v>135</v>
      </c>
      <c r="D11" s="4">
        <v>137</v>
      </c>
    </row>
    <row r="12" spans="1:14" ht="15">
      <c r="A12" s="7"/>
      <c r="B12" s="5"/>
      <c r="C12" s="5" t="s">
        <v>195</v>
      </c>
      <c r="D12" s="5">
        <f>PI()/4*4.5^2*2</f>
        <v>31.808625617596654</v>
      </c>
    </row>
    <row r="13" spans="1:14" ht="15">
      <c r="A13" s="7"/>
      <c r="B13" s="5"/>
      <c r="C13" s="5" t="s">
        <v>196</v>
      </c>
      <c r="D13" s="5">
        <f>PI()/4*6^2*2</f>
        <v>56.548667764616276</v>
      </c>
    </row>
    <row r="14" spans="1:14" ht="15">
      <c r="A14" s="7"/>
      <c r="B14" s="5" t="s">
        <v>159</v>
      </c>
      <c r="C14" s="5" t="s">
        <v>158</v>
      </c>
      <c r="D14" s="5">
        <v>0.16</v>
      </c>
    </row>
    <row r="15" spans="1:14" ht="15">
      <c r="A15" s="7"/>
      <c r="B15" s="5" t="s">
        <v>162</v>
      </c>
      <c r="C15" s="5" t="s">
        <v>161</v>
      </c>
      <c r="D15" s="5">
        <v>0.28000000000000003</v>
      </c>
    </row>
    <row r="16" spans="1:14" ht="15">
      <c r="A16" s="7"/>
      <c r="B16" s="5" t="s">
        <v>166</v>
      </c>
      <c r="C16" s="5" t="s">
        <v>165</v>
      </c>
      <c r="D16" s="5">
        <v>0.45</v>
      </c>
    </row>
    <row r="17" spans="1:4" ht="15">
      <c r="A17" s="7"/>
      <c r="B17" s="5" t="s">
        <v>169</v>
      </c>
      <c r="C17" s="5" t="s">
        <v>168</v>
      </c>
      <c r="D17" s="5">
        <v>0.76</v>
      </c>
    </row>
    <row r="18" spans="1:4" ht="15">
      <c r="A18" s="7"/>
      <c r="B18" s="5" t="s">
        <v>171</v>
      </c>
      <c r="C18" s="5" t="s">
        <v>170</v>
      </c>
      <c r="D18" s="5">
        <v>1.2</v>
      </c>
    </row>
    <row r="19" spans="1:4" ht="15">
      <c r="A19" s="7"/>
      <c r="B19" s="5" t="s">
        <v>173</v>
      </c>
      <c r="C19" s="5" t="s">
        <v>172</v>
      </c>
      <c r="D19" s="5">
        <v>1.5</v>
      </c>
    </row>
    <row r="20" spans="1:4" ht="15">
      <c r="A20" s="7"/>
      <c r="B20" s="5" t="s">
        <v>175</v>
      </c>
      <c r="C20" s="5" t="s">
        <v>174</v>
      </c>
      <c r="D20" s="5">
        <v>2.33</v>
      </c>
    </row>
    <row r="21" spans="1:4" ht="15">
      <c r="A21" s="7"/>
      <c r="B21" s="5" t="s">
        <v>177</v>
      </c>
      <c r="C21" s="5" t="s">
        <v>176</v>
      </c>
      <c r="D21" s="5">
        <v>3.76</v>
      </c>
    </row>
    <row r="22" spans="1:4" ht="15">
      <c r="A22" s="7"/>
      <c r="B22" s="5" t="s">
        <v>178</v>
      </c>
      <c r="C22" s="5" t="s">
        <v>149</v>
      </c>
      <c r="D22" s="5">
        <v>4.92</v>
      </c>
    </row>
    <row r="23" spans="1:4" ht="15">
      <c r="A23" s="7"/>
      <c r="B23" s="5" t="s">
        <v>180</v>
      </c>
      <c r="C23" s="5" t="s">
        <v>179</v>
      </c>
      <c r="D23" s="5">
        <v>6.98</v>
      </c>
    </row>
    <row r="24" spans="1:4" ht="15">
      <c r="A24" s="7"/>
      <c r="B24" s="5" t="s">
        <v>182</v>
      </c>
      <c r="C24" s="5" t="s">
        <v>181</v>
      </c>
      <c r="D24" s="5">
        <v>9.58</v>
      </c>
    </row>
    <row r="25" spans="1:4" ht="15">
      <c r="A25" s="7"/>
      <c r="B25" s="5" t="s">
        <v>184</v>
      </c>
      <c r="C25" s="5" t="s">
        <v>183</v>
      </c>
      <c r="D25" s="5">
        <v>15.4</v>
      </c>
    </row>
    <row r="26" spans="1:4" ht="15">
      <c r="A26" s="7"/>
      <c r="B26" s="5" t="s">
        <v>186</v>
      </c>
      <c r="C26" s="5" t="s">
        <v>185</v>
      </c>
      <c r="D26" s="5">
        <v>19</v>
      </c>
    </row>
    <row r="27" spans="1:4" ht="15">
      <c r="A27" s="7"/>
      <c r="B27" s="5" t="s">
        <v>188</v>
      </c>
      <c r="C27" s="5" t="s">
        <v>187</v>
      </c>
      <c r="D27" s="5">
        <v>24.35</v>
      </c>
    </row>
    <row r="28" spans="1:4">
      <c r="B28" s="5" t="s">
        <v>190</v>
      </c>
      <c r="C28" s="5" t="s">
        <v>189</v>
      </c>
      <c r="D28" s="5">
        <v>46.3</v>
      </c>
    </row>
    <row r="29" spans="1:4">
      <c r="B29" s="5" t="s">
        <v>192</v>
      </c>
      <c r="C29" s="5" t="s">
        <v>191</v>
      </c>
      <c r="D29" s="5">
        <v>36</v>
      </c>
    </row>
  </sheetData>
  <mergeCells count="1">
    <mergeCell ref="E1:L1"/>
  </mergeCells>
  <phoneticPr fontId="22" type="noConversion"/>
  <pageMargins left="0.70866141732283505" right="0.70866141732283505" top="0.74803149606299202" bottom="0.74803149606299202" header="0.31496062992126" footer="0.31496062992126"/>
  <pageSetup paperSize="9" scale="20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29"/>
  <sheetViews>
    <sheetView view="pageBreakPreview" zoomScale="115" zoomScaleNormal="100" zoomScaleSheetLayoutView="115" workbookViewId="0">
      <selection activeCell="F8" sqref="F8"/>
    </sheetView>
  </sheetViews>
  <sheetFormatPr defaultColWidth="9" defaultRowHeight="14.25"/>
  <cols>
    <col min="1" max="4" width="9" style="1"/>
    <col min="5" max="6" width="7.25" style="1"/>
    <col min="7" max="8" width="7.5" style="1"/>
    <col min="9" max="11" width="7.75" style="1"/>
    <col min="12" max="12" width="5.625" style="1"/>
    <col min="13" max="16384" width="9" style="1"/>
  </cols>
  <sheetData>
    <row r="1" spans="1:14">
      <c r="E1" s="2" t="s">
        <v>244</v>
      </c>
      <c r="F1" s="3"/>
      <c r="G1" s="3"/>
      <c r="H1" s="3"/>
      <c r="I1" s="3"/>
      <c r="J1" s="3"/>
      <c r="K1" s="3"/>
      <c r="L1" s="3"/>
      <c r="M1" s="6"/>
      <c r="N1" s="6"/>
    </row>
    <row r="2" spans="1:14">
      <c r="B2" s="4"/>
      <c r="C2" s="5" t="s">
        <v>232</v>
      </c>
      <c r="D2" s="5" t="s">
        <v>233</v>
      </c>
      <c r="E2" s="6" t="s">
        <v>245</v>
      </c>
      <c r="F2" s="6" t="s">
        <v>246</v>
      </c>
      <c r="G2" s="6" t="s">
        <v>247</v>
      </c>
      <c r="H2" s="6" t="s">
        <v>248</v>
      </c>
      <c r="I2" s="6" t="s">
        <v>249</v>
      </c>
      <c r="J2" s="6" t="s">
        <v>250</v>
      </c>
      <c r="K2" s="6" t="s">
        <v>251</v>
      </c>
    </row>
    <row r="3" spans="1:14" ht="15">
      <c r="A3" s="7"/>
      <c r="B3" s="5"/>
      <c r="C3" s="4" t="s">
        <v>112</v>
      </c>
      <c r="D3" s="4">
        <v>0.7</v>
      </c>
    </row>
    <row r="4" spans="1:14" ht="15">
      <c r="A4" s="7"/>
      <c r="B4" s="5"/>
      <c r="C4" s="4" t="s">
        <v>115</v>
      </c>
      <c r="D4" s="4">
        <v>1.6</v>
      </c>
    </row>
    <row r="5" spans="1:14" ht="15">
      <c r="A5" s="7"/>
      <c r="B5" s="5"/>
      <c r="C5" s="4" t="s">
        <v>118</v>
      </c>
      <c r="D5" s="4">
        <v>3.3</v>
      </c>
    </row>
    <row r="6" spans="1:14" ht="15">
      <c r="A6" s="7"/>
      <c r="B6" s="5"/>
      <c r="C6" s="4" t="s">
        <v>242</v>
      </c>
      <c r="D6" s="4">
        <v>6</v>
      </c>
    </row>
    <row r="7" spans="1:14" ht="15">
      <c r="A7" s="7"/>
      <c r="B7" s="5"/>
      <c r="C7" s="4" t="s">
        <v>243</v>
      </c>
      <c r="D7" s="4">
        <v>10</v>
      </c>
    </row>
    <row r="8" spans="1:14" ht="15">
      <c r="A8" s="7"/>
      <c r="B8" s="5"/>
      <c r="C8" s="4" t="s">
        <v>131</v>
      </c>
      <c r="D8" s="4">
        <v>8.1</v>
      </c>
    </row>
    <row r="9" spans="1:14" ht="15">
      <c r="A9" s="7"/>
      <c r="B9" s="5"/>
      <c r="C9" s="4" t="s">
        <v>133</v>
      </c>
      <c r="D9" s="4">
        <v>18</v>
      </c>
    </row>
    <row r="10" spans="1:14" ht="15">
      <c r="A10" s="7"/>
      <c r="B10" s="5"/>
      <c r="C10" s="4" t="s">
        <v>134</v>
      </c>
      <c r="D10" s="4">
        <v>75</v>
      </c>
    </row>
    <row r="11" spans="1:14" ht="15">
      <c r="A11" s="7"/>
      <c r="B11" s="5"/>
      <c r="C11" s="4" t="s">
        <v>135</v>
      </c>
      <c r="D11" s="4">
        <v>137</v>
      </c>
    </row>
    <row r="12" spans="1:14" ht="15">
      <c r="A12" s="7"/>
      <c r="B12" s="5"/>
      <c r="C12" s="5" t="s">
        <v>195</v>
      </c>
      <c r="D12" s="5">
        <v>31.8</v>
      </c>
    </row>
    <row r="13" spans="1:14" ht="15">
      <c r="A13" s="7"/>
      <c r="B13" s="5"/>
      <c r="C13" s="5" t="s">
        <v>196</v>
      </c>
      <c r="D13" s="5">
        <v>56.55</v>
      </c>
    </row>
    <row r="14" spans="1:14" ht="15">
      <c r="A14" s="7"/>
      <c r="B14" s="5" t="s">
        <v>159</v>
      </c>
      <c r="C14" s="5" t="s">
        <v>158</v>
      </c>
      <c r="D14" s="5">
        <v>0.16</v>
      </c>
    </row>
    <row r="15" spans="1:14" ht="15">
      <c r="A15" s="7"/>
      <c r="B15" s="5" t="s">
        <v>162</v>
      </c>
      <c r="C15" s="5" t="s">
        <v>161</v>
      </c>
      <c r="D15" s="5">
        <v>0.28000000000000003</v>
      </c>
    </row>
    <row r="16" spans="1:14" ht="15">
      <c r="A16" s="7"/>
      <c r="B16" s="5" t="s">
        <v>166</v>
      </c>
      <c r="C16" s="5" t="s">
        <v>165</v>
      </c>
      <c r="D16" s="5">
        <v>0.45</v>
      </c>
    </row>
    <row r="17" spans="1:4" ht="15">
      <c r="A17" s="7"/>
      <c r="B17" s="5" t="s">
        <v>169</v>
      </c>
      <c r="C17" s="5" t="s">
        <v>168</v>
      </c>
      <c r="D17" s="5">
        <v>0.76</v>
      </c>
    </row>
    <row r="18" spans="1:4" ht="15">
      <c r="A18" s="7"/>
      <c r="B18" s="5" t="s">
        <v>171</v>
      </c>
      <c r="C18" s="5" t="s">
        <v>170</v>
      </c>
      <c r="D18" s="5">
        <v>1.2</v>
      </c>
    </row>
    <row r="19" spans="1:4" ht="15">
      <c r="A19" s="7"/>
      <c r="B19" s="5" t="s">
        <v>173</v>
      </c>
      <c r="C19" s="5" t="s">
        <v>172</v>
      </c>
      <c r="D19" s="5">
        <v>1.5</v>
      </c>
    </row>
    <row r="20" spans="1:4" ht="15">
      <c r="A20" s="7"/>
      <c r="B20" s="5" t="s">
        <v>175</v>
      </c>
      <c r="C20" s="5" t="s">
        <v>174</v>
      </c>
      <c r="D20" s="5">
        <v>2.33</v>
      </c>
    </row>
    <row r="21" spans="1:4" ht="15">
      <c r="A21" s="7"/>
      <c r="B21" s="5" t="s">
        <v>177</v>
      </c>
      <c r="C21" s="5" t="s">
        <v>176</v>
      </c>
      <c r="D21" s="5">
        <v>3.76</v>
      </c>
    </row>
    <row r="22" spans="1:4" ht="15">
      <c r="A22" s="7"/>
      <c r="B22" s="5" t="s">
        <v>178</v>
      </c>
      <c r="C22" s="5" t="s">
        <v>149</v>
      </c>
      <c r="D22" s="5">
        <v>4.92</v>
      </c>
    </row>
    <row r="23" spans="1:4" ht="15">
      <c r="A23" s="7"/>
      <c r="B23" s="5" t="s">
        <v>180</v>
      </c>
      <c r="C23" s="5" t="s">
        <v>179</v>
      </c>
      <c r="D23" s="5">
        <v>6.98</v>
      </c>
    </row>
    <row r="24" spans="1:4" ht="15">
      <c r="A24" s="7"/>
      <c r="B24" s="5" t="s">
        <v>182</v>
      </c>
      <c r="C24" s="5" t="s">
        <v>181</v>
      </c>
      <c r="D24" s="5">
        <v>9.58</v>
      </c>
    </row>
    <row r="25" spans="1:4" ht="15">
      <c r="A25" s="7"/>
      <c r="B25" s="5" t="s">
        <v>184</v>
      </c>
      <c r="C25" s="5" t="s">
        <v>183</v>
      </c>
      <c r="D25" s="5">
        <v>15.4</v>
      </c>
    </row>
    <row r="26" spans="1:4" ht="15">
      <c r="A26" s="7"/>
      <c r="B26" s="5" t="s">
        <v>186</v>
      </c>
      <c r="C26" s="5" t="s">
        <v>185</v>
      </c>
      <c r="D26" s="5">
        <v>19</v>
      </c>
    </row>
    <row r="27" spans="1:4" ht="15">
      <c r="A27" s="7"/>
      <c r="B27" s="5" t="s">
        <v>188</v>
      </c>
      <c r="C27" s="5" t="s">
        <v>187</v>
      </c>
      <c r="D27" s="5">
        <v>24.35</v>
      </c>
    </row>
    <row r="28" spans="1:4">
      <c r="B28" s="5" t="s">
        <v>190</v>
      </c>
      <c r="C28" s="5" t="s">
        <v>189</v>
      </c>
      <c r="D28" s="5">
        <v>46.3</v>
      </c>
    </row>
    <row r="29" spans="1:4">
      <c r="B29" s="5" t="s">
        <v>192</v>
      </c>
      <c r="C29" s="5" t="s">
        <v>191</v>
      </c>
      <c r="D29" s="5">
        <v>36</v>
      </c>
    </row>
  </sheetData>
  <phoneticPr fontId="22" type="noConversion"/>
  <pageMargins left="0.70866141732283505" right="0.70866141732283505" top="0.74803149606299202" bottom="0.74803149606299202" header="0.31496062992126" footer="0.31496062992126"/>
  <pageSetup paperSize="9" scale="20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</vt:i4>
      </vt:variant>
    </vt:vector>
  </HeadingPairs>
  <TitlesOfParts>
    <vt:vector size="14" baseType="lpstr">
      <vt:lpstr>PA60RAWN</vt:lpstr>
      <vt:lpstr>PC28LAWN</vt:lpstr>
      <vt:lpstr>PC25LAWN</vt:lpstr>
      <vt:lpstr>PC16LAWN</vt:lpstr>
      <vt:lpstr>气缸耗气量SMC300</vt:lpstr>
      <vt:lpstr>气包容量计算</vt:lpstr>
      <vt:lpstr>ON-OFF-A</vt:lpstr>
      <vt:lpstr>control</vt:lpstr>
      <vt:lpstr>1</vt:lpstr>
      <vt:lpstr>2</vt:lpstr>
      <vt:lpstr>3</vt:lpstr>
      <vt:lpstr>Sheet1</vt:lpstr>
      <vt:lpstr>Sheet1 (2)</vt:lpstr>
      <vt:lpstr>气包容量计算!Print_Area</vt:lpstr>
    </vt:vector>
  </TitlesOfParts>
  <Company>YD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</dc:creator>
  <cp:lastModifiedBy>rong zhao</cp:lastModifiedBy>
  <cp:lastPrinted>2009-10-21T03:05:11Z</cp:lastPrinted>
  <dcterms:created xsi:type="dcterms:W3CDTF">2002-08-12T07:33:22Z</dcterms:created>
  <dcterms:modified xsi:type="dcterms:W3CDTF">2019-07-20T09:20:56Z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2052-10.8.2.6837</vt:lpwstr>
  </property>
</Properties>
</file>