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工作文档(ST)\设计资料\"/>
    </mc:Choice>
  </mc:AlternateContent>
  <xr:revisionPtr revIDLastSave="0" documentId="13_ncr:1_{7100CB19-64F5-45E3-AF92-80DB745009A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计算表" sheetId="1" r:id="rId1"/>
    <sheet name="Area 面积" sheetId="2" state="hidden" r:id="rId2"/>
    <sheet name="Density 密度" sheetId="3" state="hidden" r:id="rId3"/>
    <sheet name="Dynamic Viscosity 动力粘度" sheetId="4" state="hidden" r:id="rId4"/>
    <sheet name="Enthalpy 焓" sheetId="5" state="hidden" r:id="rId5"/>
    <sheet name="Flow Capacity 流通能力" sheetId="6" state="hidden" r:id="rId6"/>
    <sheet name="Force 力" sheetId="7" state="hidden" r:id="rId7"/>
    <sheet name="Gas Vol Flow Rate 气体体积流量" sheetId="8" state="hidden" r:id="rId8"/>
    <sheet name="Kinematic Viscosity 运动粘度" sheetId="9" state="hidden" r:id="rId9"/>
    <sheet name="Length 长度" sheetId="10" state="hidden" r:id="rId10"/>
    <sheet name="Liq Vol Flow Rate 液体体积流量" sheetId="11" state="hidden" r:id="rId11"/>
    <sheet name="Mass Flow Rate 质量流量" sheetId="12" state="hidden" r:id="rId12"/>
    <sheet name="Pressure 压力" sheetId="13" state="hidden" r:id="rId13"/>
    <sheet name="Pressure Drop 压降" sheetId="14" state="hidden" r:id="rId14"/>
    <sheet name="Power 功率" sheetId="15" state="hidden" r:id="rId15"/>
    <sheet name="Temp 温度" sheetId="16" state="hidden" r:id="rId16"/>
    <sheet name="Temp Differential 温差" sheetId="17" state="hidden" r:id="rId17"/>
    <sheet name="Velocity 速度" sheetId="18" state="hidden" r:id="rId18"/>
    <sheet name="Volume 体积" sheetId="19" state="hidden" r:id="rId19"/>
  </sheets>
  <functionGroups builtInGroupCount="19"/>
  <externalReferences>
    <externalReference r:id="rId20"/>
  </externalReferences>
  <definedNames>
    <definedName name="_Order1" hidden="1">255</definedName>
    <definedName name="_Order2" hidden="1">255</definedName>
    <definedName name="FluidNames">[1]FluidData!$A$10:$A$85</definedName>
    <definedName name="Materials">[1]MatlData!$A$6:$A$52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19" l="1"/>
  <c r="I4" i="19"/>
  <c r="G6" i="19"/>
  <c r="H10" i="19"/>
  <c r="C10" i="19"/>
  <c r="B6" i="19"/>
  <c r="D3" i="18"/>
  <c r="B7" i="18"/>
  <c r="C3" i="17"/>
  <c r="E3" i="16"/>
  <c r="B5" i="15"/>
  <c r="F8" i="14"/>
  <c r="C3" i="14"/>
  <c r="B7" i="14"/>
  <c r="H8" i="14"/>
  <c r="D11" i="14"/>
  <c r="E7" i="14"/>
  <c r="C8" i="14"/>
  <c r="N20" i="13"/>
  <c r="F18" i="13"/>
  <c r="R15" i="13"/>
  <c r="J13" i="13"/>
  <c r="B11" i="13"/>
  <c r="N8" i="13"/>
  <c r="I21" i="13"/>
  <c r="U18" i="13"/>
  <c r="M16" i="13"/>
  <c r="E14" i="13"/>
  <c r="K19" i="13"/>
  <c r="O14" i="13"/>
  <c r="C11" i="13"/>
  <c r="S7" i="13"/>
  <c r="K5" i="13"/>
  <c r="C3" i="13"/>
  <c r="N4" i="13"/>
  <c r="K16" i="13"/>
  <c r="C9" i="13"/>
  <c r="U4" i="13"/>
  <c r="D22" i="13"/>
  <c r="H17" i="13"/>
  <c r="S12" i="13"/>
  <c r="I9" i="13"/>
  <c r="J4" i="13"/>
  <c r="C16" i="13"/>
  <c r="Q8" i="13"/>
  <c r="H14" i="13"/>
  <c r="E12" i="13"/>
  <c r="M10" i="13"/>
  <c r="C10" i="13"/>
  <c r="H10" i="13"/>
  <c r="P14" i="13"/>
  <c r="C5" i="12"/>
  <c r="D5" i="12"/>
  <c r="I6" i="11"/>
  <c r="F4" i="11"/>
  <c r="D5" i="11"/>
  <c r="G9" i="11"/>
  <c r="G3" i="11"/>
  <c r="E9" i="10"/>
  <c r="F11" i="10"/>
  <c r="C6" i="10"/>
  <c r="E7" i="10"/>
  <c r="F9" i="10"/>
  <c r="F4" i="10"/>
  <c r="J5" i="10"/>
  <c r="C5" i="9"/>
  <c r="D6" i="9"/>
  <c r="B8" i="8"/>
  <c r="G9" i="8"/>
  <c r="B5" i="8"/>
  <c r="D8" i="8"/>
  <c r="B4" i="6"/>
  <c r="D8" i="4"/>
  <c r="G9" i="4"/>
  <c r="F3" i="4"/>
  <c r="E8" i="4"/>
  <c r="D4" i="3"/>
  <c r="E3" i="3"/>
  <c r="C5" i="2"/>
  <c r="F4" i="2"/>
  <c r="E10" i="1"/>
  <c r="E4" i="19"/>
  <c r="G5" i="19"/>
  <c r="D10" i="19"/>
  <c r="C9" i="19"/>
  <c r="F4" i="19"/>
  <c r="F7" i="18"/>
  <c r="D5" i="18"/>
  <c r="E4" i="17"/>
  <c r="D6" i="16"/>
  <c r="D5" i="15"/>
  <c r="B8" i="14"/>
  <c r="J11" i="14"/>
  <c r="G6" i="14"/>
  <c r="I7" i="14"/>
  <c r="E10" i="14"/>
  <c r="G5" i="14"/>
  <c r="R22" i="13"/>
  <c r="J20" i="13"/>
  <c r="B18" i="13"/>
  <c r="N15" i="13"/>
  <c r="F13" i="13"/>
  <c r="R10" i="13"/>
  <c r="J8" i="13"/>
  <c r="E21" i="13"/>
  <c r="Q18" i="13"/>
  <c r="I16" i="13"/>
  <c r="U13" i="13"/>
  <c r="C19" i="13"/>
  <c r="G14" i="13"/>
  <c r="Q10" i="13"/>
  <c r="O7" i="13"/>
  <c r="G5" i="13"/>
  <c r="T9" i="13"/>
  <c r="F4" i="13"/>
  <c r="O15" i="13"/>
  <c r="L8" i="13"/>
  <c r="Q4" i="13"/>
  <c r="P21" i="13"/>
  <c r="T16" i="13"/>
  <c r="M12" i="13"/>
  <c r="D9" i="13"/>
  <c r="B4" i="13"/>
  <c r="G15" i="13"/>
  <c r="G8" i="13"/>
  <c r="U12" i="13"/>
  <c r="U8" i="13"/>
  <c r="E10" i="19"/>
  <c r="I9" i="19"/>
  <c r="E9" i="19"/>
  <c r="E3" i="19"/>
  <c r="C4" i="19"/>
  <c r="D9" i="19"/>
  <c r="C7" i="19"/>
  <c r="E7" i="18"/>
  <c r="E4" i="18"/>
  <c r="D6" i="17"/>
  <c r="B5" i="17"/>
  <c r="D3" i="16"/>
  <c r="C5" i="15"/>
  <c r="C7" i="14"/>
  <c r="B11" i="14"/>
  <c r="H5" i="14"/>
  <c r="B6" i="14"/>
  <c r="G8" i="14"/>
  <c r="I10" i="14"/>
  <c r="J22" i="13"/>
  <c r="B20" i="13"/>
  <c r="N17" i="13"/>
  <c r="F15" i="13"/>
  <c r="R12" i="13"/>
  <c r="J10" i="13"/>
  <c r="B8" i="13"/>
  <c r="Q20" i="13"/>
  <c r="I18" i="13"/>
  <c r="U15" i="13"/>
  <c r="M13" i="13"/>
  <c r="G18" i="13"/>
  <c r="K13" i="13"/>
  <c r="G10" i="13"/>
  <c r="G7" i="13"/>
  <c r="S4" i="13"/>
  <c r="H8" i="13"/>
  <c r="J3" i="13"/>
  <c r="C14" i="13"/>
  <c r="M7" i="13"/>
  <c r="I4" i="13"/>
  <c r="T20" i="13"/>
  <c r="D16" i="13"/>
  <c r="C12" i="13"/>
  <c r="C8" i="13"/>
  <c r="F3" i="13"/>
  <c r="O13" i="13"/>
  <c r="I7" i="13"/>
  <c r="S10" i="13"/>
  <c r="T3" i="13"/>
  <c r="L7" i="13"/>
  <c r="D3" i="13"/>
  <c r="H7" i="13"/>
  <c r="P4" i="13"/>
  <c r="F6" i="12"/>
  <c r="D6" i="12"/>
  <c r="E5" i="11"/>
  <c r="H9" i="11"/>
  <c r="H3" i="11"/>
  <c r="C8" i="11"/>
  <c r="B8" i="11"/>
  <c r="B8" i="10"/>
  <c r="C10" i="10"/>
  <c r="H4" i="10"/>
  <c r="G4" i="10"/>
  <c r="G3" i="10"/>
  <c r="E11" i="10"/>
  <c r="F7" i="9"/>
  <c r="D7" i="9"/>
  <c r="F9" i="8"/>
  <c r="B6" i="8"/>
  <c r="C7" i="8"/>
  <c r="E8" i="8"/>
  <c r="B5" i="7"/>
  <c r="C3" i="5"/>
  <c r="F6" i="4"/>
  <c r="B8" i="4"/>
  <c r="G6" i="4"/>
  <c r="B5" i="4"/>
  <c r="C6" i="3"/>
  <c r="C6" i="2"/>
  <c r="D6" i="2"/>
  <c r="E12" i="1"/>
  <c r="E13" i="1"/>
  <c r="P22" i="13"/>
  <c r="B10" i="10"/>
  <c r="F4" i="8"/>
  <c r="E7" i="2"/>
  <c r="O9" i="13"/>
  <c r="C4" i="11"/>
  <c r="I8" i="19"/>
  <c r="D7" i="19"/>
  <c r="F10" i="19"/>
  <c r="H8" i="19"/>
  <c r="C6" i="19"/>
  <c r="F6" i="18"/>
  <c r="F3" i="18"/>
  <c r="D5" i="17"/>
  <c r="B4" i="17"/>
  <c r="B6" i="16"/>
  <c r="D3" i="15"/>
  <c r="H6" i="14"/>
  <c r="G10" i="14"/>
  <c r="D5" i="14"/>
  <c r="C5" i="14"/>
  <c r="H7" i="14"/>
  <c r="D7" i="14"/>
  <c r="F22" i="13"/>
  <c r="R19" i="13"/>
  <c r="J17" i="13"/>
  <c r="B15" i="13"/>
  <c r="N12" i="13"/>
  <c r="F10" i="13"/>
  <c r="U22" i="13"/>
  <c r="M20" i="13"/>
  <c r="E18" i="13"/>
  <c r="Q15" i="13"/>
  <c r="O22" i="13"/>
  <c r="S17" i="13"/>
  <c r="E13" i="13"/>
  <c r="U9" i="13"/>
  <c r="C7" i="13"/>
  <c r="O4" i="13"/>
  <c r="R7" i="13"/>
  <c r="S22" i="13"/>
  <c r="H13" i="13"/>
  <c r="E7" i="13"/>
  <c r="E4" i="13"/>
  <c r="L20" i="13"/>
  <c r="P15" i="13"/>
  <c r="Q11" i="13"/>
  <c r="N7" i="13"/>
  <c r="K22" i="13"/>
  <c r="C13" i="13"/>
  <c r="U6" i="13"/>
  <c r="Q9" i="13"/>
  <c r="T21" i="13"/>
  <c r="P6" i="13"/>
  <c r="L21" i="13"/>
  <c r="L6" i="13"/>
  <c r="D7" i="12"/>
  <c r="E5" i="12"/>
  <c r="I10" i="11"/>
  <c r="I4" i="11"/>
  <c r="D9" i="11"/>
  <c r="D3" i="11"/>
  <c r="G7" i="11"/>
  <c r="F6" i="11"/>
  <c r="G7" i="10"/>
  <c r="H9" i="10"/>
  <c r="D4" i="10"/>
  <c r="B4" i="10"/>
  <c r="H11" i="10"/>
  <c r="G9" i="10"/>
  <c r="B7" i="9"/>
  <c r="E6" i="9"/>
  <c r="E9" i="8"/>
  <c r="E5" i="8"/>
  <c r="E6" i="8"/>
  <c r="G7" i="8"/>
  <c r="D3" i="7"/>
  <c r="B4" i="5"/>
  <c r="B6" i="4"/>
  <c r="E7" i="4"/>
  <c r="G5" i="4"/>
  <c r="E4" i="4"/>
  <c r="C5" i="3"/>
  <c r="D5" i="2"/>
  <c r="D7" i="2"/>
  <c r="E8" i="1"/>
  <c r="E5" i="1"/>
  <c r="F5" i="18"/>
  <c r="E11" i="14"/>
  <c r="B14" i="13"/>
  <c r="O20" i="13"/>
  <c r="R5" i="13"/>
  <c r="L18" i="13"/>
  <c r="D19" i="13"/>
  <c r="F4" i="12"/>
  <c r="H10" i="10"/>
  <c r="E7" i="9"/>
  <c r="F7" i="4"/>
  <c r="E7" i="1"/>
  <c r="R4" i="13"/>
  <c r="I9" i="10"/>
  <c r="E8" i="19"/>
  <c r="H5" i="19"/>
  <c r="F9" i="19"/>
  <c r="D8" i="19"/>
  <c r="C5" i="19"/>
  <c r="B6" i="18"/>
  <c r="D4" i="18"/>
  <c r="D4" i="17"/>
  <c r="E5" i="17"/>
  <c r="B5" i="16"/>
  <c r="G11" i="14"/>
  <c r="D6" i="14"/>
  <c r="C10" i="14"/>
  <c r="I4" i="14"/>
  <c r="D4" i="14"/>
  <c r="I6" i="14"/>
  <c r="H3" i="14"/>
  <c r="B22" i="13"/>
  <c r="N19" i="13"/>
  <c r="F17" i="13"/>
  <c r="R14" i="13"/>
  <c r="J12" i="13"/>
  <c r="B10" i="13"/>
  <c r="Q22" i="13"/>
  <c r="I20" i="13"/>
  <c r="U17" i="13"/>
  <c r="M15" i="13"/>
  <c r="G22" i="13"/>
  <c r="K17" i="13"/>
  <c r="T12" i="13"/>
  <c r="P9" i="13"/>
  <c r="S6" i="13"/>
  <c r="K4" i="13"/>
  <c r="J7" i="13"/>
  <c r="C22" i="13"/>
  <c r="Q12" i="13"/>
  <c r="Q6" i="13"/>
  <c r="U3" i="13"/>
  <c r="D20" i="13"/>
  <c r="H15" i="13"/>
  <c r="L11" i="13"/>
  <c r="F7" i="13"/>
  <c r="O21" i="13"/>
  <c r="L12" i="13"/>
  <c r="M6" i="13"/>
  <c r="P8" i="13"/>
  <c r="H20" i="13"/>
  <c r="T5" i="13"/>
  <c r="T19" i="13"/>
  <c r="P5" i="13"/>
  <c r="E6" i="12"/>
  <c r="E4" i="12"/>
  <c r="E10" i="11"/>
  <c r="E4" i="11"/>
  <c r="H8" i="11"/>
  <c r="F10" i="11"/>
  <c r="C7" i="11"/>
  <c r="B5" i="11"/>
  <c r="C7" i="10"/>
  <c r="D9" i="10"/>
  <c r="I3" i="10"/>
  <c r="F3" i="10"/>
  <c r="I10" i="10"/>
  <c r="I7" i="10"/>
  <c r="C6" i="9"/>
  <c r="F5" i="9"/>
  <c r="H9" i="8"/>
  <c r="H4" i="8"/>
  <c r="H5" i="8"/>
  <c r="H6" i="8"/>
  <c r="D4" i="7"/>
  <c r="D5" i="5"/>
  <c r="H9" i="4"/>
  <c r="H6" i="4"/>
  <c r="C5" i="4"/>
  <c r="H3" i="4"/>
  <c r="C4" i="3"/>
  <c r="E4" i="2"/>
  <c r="E6" i="2"/>
  <c r="E4" i="1"/>
  <c r="E17" i="1"/>
  <c r="D5" i="19"/>
  <c r="C6" i="17"/>
  <c r="F4" i="14"/>
  <c r="D8" i="14"/>
  <c r="F21" i="13"/>
  <c r="F9" i="13"/>
  <c r="E17" i="13"/>
  <c r="O8" i="13"/>
  <c r="O10" i="13"/>
  <c r="P13" i="13"/>
  <c r="I10" i="13"/>
  <c r="L13" i="13"/>
  <c r="H6" i="11"/>
  <c r="E5" i="10"/>
  <c r="E10" i="10"/>
  <c r="E7" i="8"/>
  <c r="C5" i="7"/>
  <c r="C3" i="4"/>
  <c r="M9" i="13"/>
  <c r="B6" i="11"/>
  <c r="I7" i="19"/>
  <c r="H4" i="19"/>
  <c r="F8" i="19"/>
  <c r="H7" i="19"/>
  <c r="G3" i="19"/>
  <c r="E3" i="18"/>
  <c r="C7" i="18"/>
  <c r="D3" i="17"/>
  <c r="C6" i="16"/>
  <c r="B4" i="16"/>
  <c r="C11" i="14"/>
  <c r="I5" i="14"/>
  <c r="H9" i="14"/>
  <c r="E4" i="14"/>
  <c r="E3" i="14"/>
  <c r="J5" i="14"/>
  <c r="B9" i="14"/>
  <c r="R21" i="13"/>
  <c r="J19" i="13"/>
  <c r="B17" i="13"/>
  <c r="N14" i="13"/>
  <c r="F12" i="13"/>
  <c r="R9" i="13"/>
  <c r="M22" i="13"/>
  <c r="E20" i="13"/>
  <c r="Q17" i="13"/>
  <c r="I15" i="13"/>
  <c r="S21" i="13"/>
  <c r="C17" i="13"/>
  <c r="O12" i="13"/>
  <c r="K9" i="13"/>
  <c r="O6" i="13"/>
  <c r="G4" i="13"/>
  <c r="B7" i="13"/>
  <c r="G21" i="13"/>
  <c r="G12" i="13"/>
  <c r="I6" i="13"/>
  <c r="Q3" i="13"/>
  <c r="P19" i="13"/>
  <c r="T14" i="13"/>
  <c r="G11" i="13"/>
  <c r="R6" i="13"/>
  <c r="S20" i="13"/>
  <c r="U11" i="13"/>
  <c r="E6" i="13"/>
  <c r="P7" i="13"/>
  <c r="P18" i="13"/>
  <c r="D5" i="13"/>
  <c r="H18" i="13"/>
  <c r="T4" i="13"/>
  <c r="F5" i="12"/>
  <c r="E3" i="12"/>
  <c r="I9" i="11"/>
  <c r="I3" i="11"/>
  <c r="D8" i="11"/>
  <c r="B9" i="11"/>
  <c r="G6" i="11"/>
  <c r="F3" i="11"/>
  <c r="H6" i="10"/>
  <c r="I8" i="10"/>
  <c r="E3" i="10"/>
  <c r="F10" i="10"/>
  <c r="J9" i="10"/>
  <c r="B6" i="10"/>
  <c r="D5" i="9"/>
  <c r="B5" i="9"/>
  <c r="D9" i="8"/>
  <c r="D4" i="8"/>
  <c r="D5" i="8"/>
  <c r="D6" i="8"/>
  <c r="C3" i="7"/>
  <c r="C4" i="5"/>
  <c r="D9" i="4"/>
  <c r="F9" i="4"/>
  <c r="F4" i="4"/>
  <c r="D3" i="4"/>
  <c r="C3" i="3"/>
  <c r="F3" i="2"/>
  <c r="F5" i="2"/>
  <c r="E19" i="1"/>
  <c r="E9" i="1"/>
  <c r="B9" i="19"/>
  <c r="F4" i="18"/>
  <c r="D4" i="15"/>
  <c r="E8" i="14"/>
  <c r="J9" i="14"/>
  <c r="N11" i="13"/>
  <c r="M19" i="13"/>
  <c r="S11" i="13"/>
  <c r="S18" i="13"/>
  <c r="E3" i="13"/>
  <c r="K18" i="13"/>
  <c r="L19" i="13"/>
  <c r="E8" i="11"/>
  <c r="C5" i="11"/>
  <c r="E4" i="10"/>
  <c r="F7" i="8"/>
  <c r="B5" i="5"/>
  <c r="B5" i="3"/>
  <c r="G17" i="13"/>
  <c r="H5" i="11"/>
  <c r="E7" i="19"/>
  <c r="H3" i="19"/>
  <c r="F7" i="19"/>
  <c r="H6" i="19"/>
  <c r="C3" i="19"/>
  <c r="D7" i="18"/>
  <c r="D6" i="18"/>
  <c r="E6" i="17"/>
  <c r="C5" i="16"/>
  <c r="E4" i="16"/>
  <c r="H10" i="14"/>
  <c r="E5" i="14"/>
  <c r="D9" i="14"/>
  <c r="J3" i="14"/>
  <c r="J10" i="14"/>
  <c r="B5" i="14"/>
  <c r="H11" i="14"/>
  <c r="N21" i="13"/>
  <c r="F19" i="13"/>
  <c r="R16" i="13"/>
  <c r="J14" i="13"/>
  <c r="B12" i="13"/>
  <c r="N9" i="13"/>
  <c r="I22" i="13"/>
  <c r="U19" i="13"/>
  <c r="M17" i="13"/>
  <c r="E15" i="13"/>
  <c r="K21" i="13"/>
  <c r="O16" i="13"/>
  <c r="I12" i="13"/>
  <c r="E9" i="13"/>
  <c r="K6" i="13"/>
  <c r="C4" i="13"/>
  <c r="N6" i="13"/>
  <c r="K20" i="13"/>
  <c r="P11" i="13"/>
  <c r="U5" i="13"/>
  <c r="M3" i="13"/>
  <c r="H19" i="13"/>
  <c r="L14" i="13"/>
  <c r="U10" i="13"/>
  <c r="J6" i="13"/>
  <c r="C20" i="13"/>
  <c r="K11" i="13"/>
  <c r="H22" i="13"/>
  <c r="T6" i="13"/>
  <c r="D17" i="13"/>
  <c r="H4" i="13"/>
  <c r="P16" i="13"/>
  <c r="D4" i="13"/>
  <c r="B5" i="12"/>
  <c r="B6" i="12"/>
  <c r="E9" i="11"/>
  <c r="E3" i="11"/>
  <c r="H7" i="11"/>
  <c r="B7" i="11"/>
  <c r="C6" i="11"/>
  <c r="G11" i="10"/>
  <c r="D6" i="10"/>
  <c r="E8" i="10"/>
  <c r="I11" i="10"/>
  <c r="H8" i="10"/>
  <c r="B9" i="10"/>
  <c r="B5" i="10"/>
  <c r="E4" i="9"/>
  <c r="C4" i="9"/>
  <c r="G8" i="8"/>
  <c r="G3" i="8"/>
  <c r="G4" i="8"/>
  <c r="G5" i="8"/>
  <c r="C4" i="7"/>
  <c r="C5" i="5"/>
  <c r="G8" i="4"/>
  <c r="D7" i="4"/>
  <c r="B4" i="4"/>
  <c r="C6" i="4"/>
  <c r="E5" i="3"/>
  <c r="E5" i="2"/>
  <c r="B5" i="2"/>
  <c r="E15" i="1"/>
  <c r="E11" i="1"/>
  <c r="F5" i="19"/>
  <c r="C3" i="16"/>
  <c r="D3" i="14"/>
  <c r="J16" i="13"/>
  <c r="U21" i="13"/>
  <c r="S15" i="13"/>
  <c r="C6" i="13"/>
  <c r="M5" i="13"/>
  <c r="N5" i="13"/>
  <c r="H5" i="13"/>
  <c r="D3" i="12"/>
  <c r="B4" i="11"/>
  <c r="D7" i="10"/>
  <c r="F3" i="8"/>
  <c r="D5" i="4"/>
  <c r="P17" i="13"/>
  <c r="J11" i="10"/>
  <c r="I6" i="19"/>
  <c r="G10" i="19"/>
  <c r="F6" i="19"/>
  <c r="D6" i="19"/>
  <c r="B10" i="19"/>
  <c r="E6" i="18"/>
  <c r="E5" i="18"/>
  <c r="E3" i="17"/>
  <c r="C4" i="16"/>
  <c r="D4" i="16"/>
  <c r="D10" i="14"/>
  <c r="J4" i="14"/>
  <c r="I8" i="14"/>
  <c r="F3" i="14"/>
  <c r="C9" i="14"/>
  <c r="C4" i="14"/>
  <c r="G4" i="14"/>
  <c r="J21" i="13"/>
  <c r="B19" i="13"/>
  <c r="N16" i="13"/>
  <c r="F14" i="13"/>
  <c r="R11" i="13"/>
  <c r="J9" i="13"/>
  <c r="E22" i="13"/>
  <c r="Q19" i="13"/>
  <c r="I17" i="13"/>
  <c r="U14" i="13"/>
  <c r="C21" i="13"/>
  <c r="G16" i="13"/>
  <c r="D12" i="13"/>
  <c r="T8" i="13"/>
  <c r="G6" i="13"/>
  <c r="S3" i="13"/>
  <c r="F6" i="13"/>
  <c r="O19" i="13"/>
  <c r="E11" i="13"/>
  <c r="Q5" i="13"/>
  <c r="I3" i="13"/>
  <c r="T18" i="13"/>
  <c r="D14" i="13"/>
  <c r="P10" i="13"/>
  <c r="B6" i="13"/>
  <c r="G19" i="13"/>
  <c r="T10" i="13"/>
  <c r="P20" i="13"/>
  <c r="D6" i="13"/>
  <c r="L15" i="13"/>
  <c r="L3" i="13"/>
  <c r="D15" i="13"/>
  <c r="H3" i="13"/>
  <c r="C4" i="12"/>
  <c r="F3" i="12"/>
  <c r="I8" i="11"/>
  <c r="B10" i="11"/>
  <c r="D7" i="11"/>
  <c r="F5" i="11"/>
  <c r="G5" i="11"/>
  <c r="C11" i="10"/>
  <c r="I5" i="10"/>
  <c r="J7" i="10"/>
  <c r="J10" i="10"/>
  <c r="J6" i="10"/>
  <c r="C8" i="10"/>
  <c r="H3" i="10"/>
  <c r="F3" i="9"/>
  <c r="D3" i="9"/>
  <c r="C8" i="8"/>
  <c r="C3" i="8"/>
  <c r="C4" i="8"/>
  <c r="C5" i="8"/>
  <c r="D5" i="7"/>
  <c r="D3" i="5"/>
  <c r="C8" i="4"/>
  <c r="H5" i="4"/>
  <c r="E3" i="4"/>
  <c r="D4" i="4"/>
  <c r="B6" i="3"/>
  <c r="C3" i="2"/>
  <c r="C4" i="2"/>
  <c r="B4" i="2" s="1"/>
  <c r="G9" i="19"/>
  <c r="I9" i="14"/>
  <c r="R18" i="13"/>
  <c r="Q14" i="13"/>
  <c r="O3" i="13"/>
  <c r="K10" i="13"/>
  <c r="T13" i="13"/>
  <c r="F8" i="11"/>
  <c r="F7" i="10"/>
  <c r="F4" i="9"/>
  <c r="H7" i="4"/>
  <c r="D13" i="13"/>
  <c r="D8" i="10"/>
  <c r="E6" i="19"/>
  <c r="I5" i="19"/>
  <c r="G8" i="19"/>
  <c r="B5" i="19"/>
  <c r="D4" i="19"/>
  <c r="B8" i="19"/>
  <c r="B5" i="18"/>
  <c r="B4" i="18"/>
  <c r="C5" i="17"/>
  <c r="E6" i="16"/>
  <c r="C3" i="15"/>
  <c r="E9" i="14"/>
  <c r="B4" i="14"/>
  <c r="J7" i="14"/>
  <c r="F10" i="14"/>
  <c r="F6" i="14"/>
  <c r="I11" i="14"/>
  <c r="E6" i="14"/>
  <c r="B21" i="13"/>
  <c r="N18" i="13"/>
  <c r="F16" i="13"/>
  <c r="R13" i="13"/>
  <c r="J11" i="13"/>
  <c r="B9" i="13"/>
  <c r="Q21" i="13"/>
  <c r="I19" i="13"/>
  <c r="U16" i="13"/>
  <c r="M14" i="13"/>
  <c r="G20" i="13"/>
  <c r="K15" i="13"/>
  <c r="M11" i="13"/>
  <c r="I8" i="13"/>
  <c r="S5" i="13"/>
  <c r="K3" i="13"/>
  <c r="J5" i="13"/>
  <c r="C18" i="13"/>
  <c r="D10" i="13"/>
  <c r="I5" i="13"/>
  <c r="T22" i="13"/>
  <c r="D18" i="13"/>
  <c r="I13" i="13"/>
  <c r="E10" i="13"/>
  <c r="F5" i="13"/>
  <c r="O17" i="13"/>
  <c r="S9" i="13"/>
  <c r="L17" i="13"/>
  <c r="L4" i="13"/>
  <c r="P12" i="13"/>
  <c r="H16" i="13"/>
  <c r="K12" i="13"/>
  <c r="D21" i="13"/>
  <c r="C7" i="12"/>
  <c r="D4" i="12"/>
  <c r="I7" i="11"/>
  <c r="F7" i="11"/>
  <c r="D6" i="11"/>
  <c r="G10" i="11"/>
  <c r="G4" i="11"/>
  <c r="D10" i="10"/>
  <c r="I4" i="10"/>
  <c r="B7" i="10"/>
  <c r="C9" i="10"/>
  <c r="C3" i="10"/>
  <c r="E6" i="10"/>
  <c r="G8" i="10"/>
  <c r="F6" i="9"/>
  <c r="C7" i="9"/>
  <c r="B7" i="8"/>
  <c r="F5" i="8"/>
  <c r="B9" i="8"/>
  <c r="B4" i="8"/>
  <c r="B4" i="7"/>
  <c r="E9" i="4"/>
  <c r="B7" i="4"/>
  <c r="G4" i="4"/>
  <c r="E5" i="4"/>
  <c r="D6" i="3"/>
  <c r="B4" i="3"/>
  <c r="F6" i="2"/>
  <c r="D3" i="2"/>
  <c r="E18" i="1"/>
  <c r="G7" i="19"/>
  <c r="B4" i="19"/>
  <c r="D3" i="19"/>
  <c r="B7" i="19"/>
  <c r="C4" i="18"/>
  <c r="C3" i="18"/>
  <c r="C4" i="17"/>
  <c r="E5" i="16"/>
  <c r="B4" i="15"/>
  <c r="J8" i="14"/>
  <c r="G3" i="14"/>
  <c r="F7" i="14"/>
  <c r="G9" i="14"/>
  <c r="H4" i="14"/>
  <c r="F5" i="14"/>
  <c r="R20" i="13"/>
  <c r="J18" i="13"/>
  <c r="B16" i="13"/>
  <c r="F11" i="13"/>
  <c r="M21" i="13"/>
  <c r="Q16" i="13"/>
  <c r="S19" i="13"/>
  <c r="C15" i="13"/>
  <c r="D8" i="13"/>
  <c r="G3" i="13"/>
  <c r="E5" i="13"/>
  <c r="H9" i="13"/>
  <c r="O11" i="13"/>
  <c r="I11" i="13"/>
  <c r="C6" i="12"/>
  <c r="E7" i="11"/>
  <c r="G6" i="10"/>
  <c r="F5" i="10"/>
  <c r="H7" i="10"/>
  <c r="B4" i="9"/>
  <c r="G6" i="8"/>
  <c r="E6" i="4"/>
  <c r="E5" i="19"/>
  <c r="B10" i="14"/>
  <c r="N13" i="13"/>
  <c r="R8" i="13"/>
  <c r="E19" i="13"/>
  <c r="I14" i="13"/>
  <c r="H11" i="13"/>
  <c r="O5" i="13"/>
  <c r="B5" i="13"/>
  <c r="L22" i="13"/>
  <c r="S16" i="13"/>
  <c r="T15" i="13"/>
  <c r="P3" i="13"/>
  <c r="G13" i="13"/>
  <c r="T17" i="13"/>
  <c r="E7" i="12"/>
  <c r="C10" i="11"/>
  <c r="D11" i="10"/>
  <c r="I3" i="19"/>
  <c r="C6" i="14"/>
  <c r="M18" i="13"/>
  <c r="M4" i="13"/>
  <c r="D7" i="13"/>
  <c r="H10" i="11"/>
  <c r="H5" i="10"/>
  <c r="E3" i="9"/>
  <c r="C6" i="8"/>
  <c r="B9" i="4"/>
  <c r="E3" i="2"/>
  <c r="G3" i="4"/>
  <c r="C7" i="2"/>
  <c r="E20" i="1"/>
  <c r="F3" i="19"/>
  <c r="D11" i="13"/>
  <c r="D4" i="5"/>
  <c r="R17" i="13"/>
  <c r="C3" i="11"/>
  <c r="E21" i="1"/>
  <c r="Q7" i="13"/>
  <c r="E6" i="3"/>
  <c r="T11" i="13"/>
  <c r="C4" i="15"/>
  <c r="D3" i="8"/>
  <c r="E6" i="11"/>
  <c r="F11" i="14"/>
  <c r="D4" i="9"/>
  <c r="G4" i="19"/>
  <c r="J6" i="14"/>
  <c r="E16" i="13"/>
  <c r="H21" i="13"/>
  <c r="L5" i="13"/>
  <c r="D10" i="11"/>
  <c r="C5" i="10"/>
  <c r="C3" i="9"/>
  <c r="E4" i="8"/>
  <c r="F5" i="4"/>
  <c r="S13" i="13"/>
  <c r="D7" i="8"/>
  <c r="C5" i="18"/>
  <c r="J3" i="10"/>
  <c r="F9" i="11"/>
  <c r="D5" i="16"/>
  <c r="C9" i="4"/>
  <c r="F8" i="10"/>
  <c r="F8" i="13"/>
  <c r="C9" i="8"/>
  <c r="G10" i="10"/>
  <c r="H9" i="19"/>
  <c r="F9" i="14"/>
  <c r="Q13" i="13"/>
  <c r="L16" i="13"/>
  <c r="G9" i="13"/>
  <c r="H4" i="11"/>
  <c r="F6" i="10"/>
  <c r="E5" i="9"/>
  <c r="C3" i="6"/>
  <c r="D6" i="4"/>
  <c r="E16" i="1"/>
  <c r="N22" i="13"/>
  <c r="I6" i="10"/>
  <c r="E14" i="1"/>
  <c r="K14" i="13"/>
  <c r="H3" i="8"/>
  <c r="F7" i="12"/>
  <c r="B13" i="13"/>
  <c r="C4" i="10"/>
  <c r="R3" i="13"/>
  <c r="F8" i="4"/>
  <c r="S14" i="13"/>
  <c r="B6" i="2"/>
  <c r="I5" i="11"/>
  <c r="H4" i="4"/>
  <c r="C8" i="19"/>
  <c r="I3" i="14"/>
  <c r="O18" i="13"/>
  <c r="H12" i="13"/>
  <c r="E8" i="13"/>
  <c r="D4" i="11"/>
  <c r="G5" i="10"/>
  <c r="H8" i="8"/>
  <c r="C4" i="6"/>
  <c r="M8" i="13"/>
  <c r="C9" i="11"/>
  <c r="D5" i="3"/>
  <c r="K7" i="13"/>
  <c r="E4" i="3"/>
  <c r="D3" i="10"/>
  <c r="S8" i="13"/>
  <c r="H7" i="8"/>
  <c r="H6" i="13"/>
  <c r="B7" i="2"/>
  <c r="B11" i="10"/>
  <c r="U20" i="13"/>
  <c r="D4" i="2"/>
  <c r="C6" i="18"/>
  <c r="F20" i="13"/>
  <c r="L10" i="13"/>
  <c r="N3" i="13"/>
  <c r="T7" i="13"/>
  <c r="G8" i="11"/>
  <c r="J4" i="10"/>
  <c r="F6" i="8"/>
  <c r="H8" i="4"/>
  <c r="D3" i="3"/>
  <c r="E6" i="1"/>
  <c r="B4" i="12"/>
  <c r="G7" i="4"/>
  <c r="C5" i="13"/>
  <c r="C7" i="4"/>
  <c r="C3" i="12"/>
  <c r="F7" i="2"/>
  <c r="B7" i="12"/>
  <c r="G7" i="14"/>
  <c r="B6" i="9"/>
  <c r="U7" i="13"/>
  <c r="E3" i="8"/>
  <c r="B6" i="17"/>
  <c r="J15" i="13"/>
  <c r="F8" i="8"/>
  <c r="J8" i="10"/>
  <c r="N10" i="13"/>
  <c r="B3" i="10"/>
  <c r="L9" i="13"/>
  <c r="C4" i="4"/>
  <c r="K8" i="13"/>
</calcChain>
</file>

<file path=xl/sharedStrings.xml><?xml version="1.0" encoding="utf-8"?>
<sst xmlns="http://schemas.openxmlformats.org/spreadsheetml/2006/main" count="319" uniqueCount="161">
  <si>
    <t>A</t>
  </si>
  <si>
    <t>ft2</t>
  </si>
  <si>
    <t>cm2</t>
  </si>
  <si>
    <t>rho</t>
  </si>
  <si>
    <t>lb/ft3</t>
  </si>
  <si>
    <t>kg/m3</t>
  </si>
  <si>
    <t>mu</t>
  </si>
  <si>
    <t>Pa-s</t>
  </si>
  <si>
    <t>kgf-s/m2</t>
  </si>
  <si>
    <t>H</t>
  </si>
  <si>
    <t>kJ/kg</t>
  </si>
  <si>
    <t>Btu/lb</t>
  </si>
  <si>
    <t>C</t>
  </si>
  <si>
    <t>Cv</t>
  </si>
  <si>
    <t>Kv</t>
  </si>
  <si>
    <t>F</t>
  </si>
  <si>
    <t>N</t>
  </si>
  <si>
    <t>lbf</t>
  </si>
  <si>
    <t>Qg</t>
  </si>
  <si>
    <t>Nm3/h</t>
  </si>
  <si>
    <t>SCFH</t>
  </si>
  <si>
    <t>nu</t>
  </si>
  <si>
    <t>m2/s</t>
  </si>
  <si>
    <t>cSt</t>
  </si>
  <si>
    <t>L</t>
  </si>
  <si>
    <t>ft</t>
  </si>
  <si>
    <t>m</t>
  </si>
  <si>
    <t>Qf</t>
  </si>
  <si>
    <t>m3/h</t>
  </si>
  <si>
    <t>GPM</t>
  </si>
  <si>
    <t>kg/s</t>
  </si>
  <si>
    <t>kg/h</t>
  </si>
  <si>
    <t>W</t>
  </si>
  <si>
    <t>ft-lbf/s</t>
  </si>
  <si>
    <t>P</t>
  </si>
  <si>
    <t>atm</t>
  </si>
  <si>
    <t>mm Hg</t>
  </si>
  <si>
    <t>dP</t>
  </si>
  <si>
    <t>bar</t>
  </si>
  <si>
    <t>T</t>
  </si>
  <si>
    <t>deg R</t>
  </si>
  <si>
    <t>deg F</t>
  </si>
  <si>
    <t>dT</t>
  </si>
  <si>
    <t>K</t>
  </si>
  <si>
    <t>U</t>
  </si>
  <si>
    <t>m/s</t>
  </si>
  <si>
    <t>ft/min</t>
  </si>
  <si>
    <t>V</t>
  </si>
  <si>
    <t>barrels</t>
  </si>
  <si>
    <t>gal</t>
  </si>
  <si>
    <t>mm2</t>
  </si>
  <si>
    <t>in2</t>
  </si>
  <si>
    <t>kg/L</t>
  </si>
  <si>
    <t>g/cm3</t>
  </si>
  <si>
    <t>cP</t>
  </si>
  <si>
    <t>lb/ft-h</t>
  </si>
  <si>
    <t>lbf-s/ft2</t>
  </si>
  <si>
    <t>lb/ft-s</t>
  </si>
  <si>
    <t>kcal/kg</t>
  </si>
  <si>
    <t>kgf</t>
  </si>
  <si>
    <t>Sm3/h</t>
  </si>
  <si>
    <t>SCFM</t>
  </si>
  <si>
    <t>SCFD</t>
  </si>
  <si>
    <t>MMSCFD</t>
  </si>
  <si>
    <t>Nm3/s</t>
  </si>
  <si>
    <t>St</t>
  </si>
  <si>
    <t>cm2/s</t>
  </si>
  <si>
    <t>ft2/s</t>
  </si>
  <si>
    <t>mm</t>
  </si>
  <si>
    <t>in.</t>
  </si>
  <si>
    <t>cm</t>
  </si>
  <si>
    <t>km</t>
  </si>
  <si>
    <t>mi</t>
  </si>
  <si>
    <t>micron</t>
  </si>
  <si>
    <t>yd</t>
  </si>
  <si>
    <t>L/min</t>
  </si>
  <si>
    <t>BPD</t>
  </si>
  <si>
    <t>m3/s</t>
  </si>
  <si>
    <t>L/h</t>
  </si>
  <si>
    <t>kL/h</t>
  </si>
  <si>
    <t>cc/min</t>
  </si>
  <si>
    <t>mt/h</t>
  </si>
  <si>
    <t>lb/h</t>
  </si>
  <si>
    <t>kpph</t>
  </si>
  <si>
    <t>barA</t>
  </si>
  <si>
    <t>barG</t>
  </si>
  <si>
    <t>psiA</t>
  </si>
  <si>
    <t>psiG</t>
  </si>
  <si>
    <t>kPaA</t>
  </si>
  <si>
    <t>kPaG</t>
  </si>
  <si>
    <t>MPaA</t>
  </si>
  <si>
    <t>MPaG</t>
  </si>
  <si>
    <t>PaA</t>
  </si>
  <si>
    <t>PaG</t>
  </si>
  <si>
    <t>kg/cm2A</t>
  </si>
  <si>
    <t>kg/cm2G</t>
  </si>
  <si>
    <t>ft H2O</t>
  </si>
  <si>
    <t>in H2O</t>
  </si>
  <si>
    <t>mm H2O</t>
  </si>
  <si>
    <t>in Hg</t>
  </si>
  <si>
    <t>Torr</t>
  </si>
  <si>
    <t>dB</t>
  </si>
  <si>
    <t>psi</t>
  </si>
  <si>
    <t>kPa</t>
  </si>
  <si>
    <t>MPa</t>
  </si>
  <si>
    <t>Pa</t>
  </si>
  <si>
    <t>kg/cm2</t>
  </si>
  <si>
    <t>deg C</t>
  </si>
  <si>
    <t>ft/s</t>
  </si>
  <si>
    <t>km/h</t>
  </si>
  <si>
    <t>mi/h</t>
  </si>
  <si>
    <t>m3</t>
  </si>
  <si>
    <t>ft3</t>
  </si>
  <si>
    <t>in3</t>
  </si>
  <si>
    <t>mm3</t>
  </si>
  <si>
    <t>cm3</t>
  </si>
  <si>
    <r>
      <t>Power/</t>
    </r>
    <r>
      <rPr>
        <b/>
        <sz val="10"/>
        <color theme="0"/>
        <rFont val="宋体"/>
        <family val="3"/>
        <charset val="134"/>
      </rPr>
      <t>功率</t>
    </r>
    <phoneticPr fontId="2" type="noConversion"/>
  </si>
  <si>
    <r>
      <t>Dynamic Viscosity/</t>
    </r>
    <r>
      <rPr>
        <b/>
        <sz val="10"/>
        <color theme="0"/>
        <rFont val="宋体"/>
        <family val="3"/>
        <charset val="134"/>
      </rPr>
      <t>动力粘度</t>
    </r>
    <phoneticPr fontId="2" type="noConversion"/>
  </si>
  <si>
    <r>
      <t>Density/</t>
    </r>
    <r>
      <rPr>
        <b/>
        <sz val="10"/>
        <color theme="0"/>
        <rFont val="宋体"/>
        <family val="3"/>
        <charset val="134"/>
      </rPr>
      <t>密度</t>
    </r>
    <phoneticPr fontId="2" type="noConversion"/>
  </si>
  <si>
    <r>
      <t>Area/</t>
    </r>
    <r>
      <rPr>
        <b/>
        <sz val="10"/>
        <color theme="0"/>
        <rFont val="宋体"/>
        <family val="3"/>
        <charset val="134"/>
      </rPr>
      <t>面积</t>
    </r>
    <phoneticPr fontId="2" type="noConversion"/>
  </si>
  <si>
    <r>
      <t>Enthalpy/</t>
    </r>
    <r>
      <rPr>
        <b/>
        <sz val="10"/>
        <color theme="0"/>
        <rFont val="宋体"/>
        <family val="3"/>
        <charset val="134"/>
      </rPr>
      <t>焓</t>
    </r>
    <phoneticPr fontId="2" type="noConversion"/>
  </si>
  <si>
    <r>
      <t>Flow Capacity/</t>
    </r>
    <r>
      <rPr>
        <b/>
        <sz val="10"/>
        <color theme="0"/>
        <rFont val="宋体"/>
        <family val="3"/>
        <charset val="134"/>
      </rPr>
      <t>流通能力</t>
    </r>
    <phoneticPr fontId="2" type="noConversion"/>
  </si>
  <si>
    <r>
      <t>Force/</t>
    </r>
    <r>
      <rPr>
        <b/>
        <sz val="10"/>
        <color theme="0"/>
        <rFont val="宋体"/>
        <family val="3"/>
        <charset val="134"/>
      </rPr>
      <t>力</t>
    </r>
    <phoneticPr fontId="2" type="noConversion"/>
  </si>
  <si>
    <r>
      <t>Gas Vol Flow Rate/</t>
    </r>
    <r>
      <rPr>
        <b/>
        <sz val="10"/>
        <color theme="0"/>
        <rFont val="宋体"/>
        <family val="3"/>
        <charset val="134"/>
      </rPr>
      <t>气体体积流量</t>
    </r>
    <phoneticPr fontId="2" type="noConversion"/>
  </si>
  <si>
    <r>
      <t>Kinematic Viscosity/</t>
    </r>
    <r>
      <rPr>
        <b/>
        <sz val="10"/>
        <color theme="0"/>
        <rFont val="宋体"/>
        <family val="3"/>
        <charset val="134"/>
      </rPr>
      <t>运动粘度</t>
    </r>
    <phoneticPr fontId="2" type="noConversion"/>
  </si>
  <si>
    <r>
      <t>Length/</t>
    </r>
    <r>
      <rPr>
        <b/>
        <sz val="10"/>
        <color theme="0"/>
        <rFont val="宋体"/>
        <family val="3"/>
        <charset val="134"/>
      </rPr>
      <t>长度</t>
    </r>
    <phoneticPr fontId="2" type="noConversion"/>
  </si>
  <si>
    <r>
      <t>Liq Vol Flow Rate/</t>
    </r>
    <r>
      <rPr>
        <b/>
        <sz val="10"/>
        <color theme="0"/>
        <rFont val="宋体"/>
        <family val="3"/>
        <charset val="134"/>
      </rPr>
      <t>液体体积流量</t>
    </r>
    <phoneticPr fontId="2" type="noConversion"/>
  </si>
  <si>
    <r>
      <t>Mass Flow Rate/</t>
    </r>
    <r>
      <rPr>
        <b/>
        <sz val="10"/>
        <color theme="0"/>
        <rFont val="宋体"/>
        <family val="3"/>
        <charset val="134"/>
      </rPr>
      <t>质量流量</t>
    </r>
    <phoneticPr fontId="2" type="noConversion"/>
  </si>
  <si>
    <r>
      <t>Pressure/</t>
    </r>
    <r>
      <rPr>
        <b/>
        <sz val="10"/>
        <color theme="0"/>
        <rFont val="宋体"/>
        <family val="3"/>
        <charset val="134"/>
      </rPr>
      <t>压力</t>
    </r>
    <phoneticPr fontId="2" type="noConversion"/>
  </si>
  <si>
    <r>
      <t>Pressure Drop/</t>
    </r>
    <r>
      <rPr>
        <b/>
        <sz val="10"/>
        <color theme="0"/>
        <rFont val="宋体"/>
        <family val="3"/>
        <charset val="134"/>
      </rPr>
      <t>压降</t>
    </r>
    <phoneticPr fontId="2" type="noConversion"/>
  </si>
  <si>
    <r>
      <t>Temp/</t>
    </r>
    <r>
      <rPr>
        <b/>
        <sz val="10"/>
        <color theme="0"/>
        <rFont val="宋体"/>
        <family val="3"/>
        <charset val="134"/>
      </rPr>
      <t>温度</t>
    </r>
    <phoneticPr fontId="2" type="noConversion"/>
  </si>
  <si>
    <r>
      <t>Temp Differential/</t>
    </r>
    <r>
      <rPr>
        <b/>
        <sz val="10"/>
        <color theme="0"/>
        <rFont val="宋体"/>
        <family val="3"/>
        <charset val="134"/>
      </rPr>
      <t>温差</t>
    </r>
    <phoneticPr fontId="2" type="noConversion"/>
  </si>
  <si>
    <r>
      <t>Velocity/</t>
    </r>
    <r>
      <rPr>
        <b/>
        <sz val="10"/>
        <color theme="0"/>
        <rFont val="宋体"/>
        <family val="3"/>
        <charset val="134"/>
      </rPr>
      <t>速度</t>
    </r>
    <phoneticPr fontId="2" type="noConversion"/>
  </si>
  <si>
    <r>
      <t>Volume/</t>
    </r>
    <r>
      <rPr>
        <b/>
        <sz val="10"/>
        <color theme="0"/>
        <rFont val="宋体"/>
        <family val="3"/>
        <charset val="134"/>
      </rPr>
      <t>体积</t>
    </r>
    <phoneticPr fontId="2" type="noConversion"/>
  </si>
  <si>
    <t>Unit conversion 单位换算</t>
    <phoneticPr fontId="2" type="noConversion"/>
  </si>
  <si>
    <t>Unit Type
单位类型</t>
    <phoneticPr fontId="2" type="noConversion"/>
  </si>
  <si>
    <t>Abbreviation
代码</t>
    <phoneticPr fontId="2" type="noConversion"/>
  </si>
  <si>
    <t>Initial Value
初始值</t>
    <phoneticPr fontId="2" type="noConversion"/>
  </si>
  <si>
    <t>Initial Unit
单位</t>
    <phoneticPr fontId="2" type="noConversion"/>
  </si>
  <si>
    <t>Converted Value
换算结果</t>
    <phoneticPr fontId="2" type="noConversion"/>
  </si>
  <si>
    <t>Converted Unit
单位</t>
    <phoneticPr fontId="2" type="noConversion"/>
  </si>
  <si>
    <t>Area
面积</t>
    <phoneticPr fontId="2" type="noConversion"/>
  </si>
  <si>
    <t>Density
密度</t>
    <phoneticPr fontId="2" type="noConversion"/>
  </si>
  <si>
    <t>Dynamic Viscosity
动力粘度</t>
    <phoneticPr fontId="2" type="noConversion"/>
  </si>
  <si>
    <t>Enthalpy
焓</t>
    <phoneticPr fontId="2" type="noConversion"/>
  </si>
  <si>
    <t>Flow Capacity
流通能力</t>
    <phoneticPr fontId="2" type="noConversion"/>
  </si>
  <si>
    <t>Force
力</t>
    <phoneticPr fontId="2" type="noConversion"/>
  </si>
  <si>
    <t>Gas Volume Flow Rate
气体体积流量</t>
    <phoneticPr fontId="2" type="noConversion"/>
  </si>
  <si>
    <t>Kinematic Viscosity
运动粘度</t>
    <phoneticPr fontId="2" type="noConversion"/>
  </si>
  <si>
    <t>Length
长度</t>
    <phoneticPr fontId="2" type="noConversion"/>
  </si>
  <si>
    <t>Liquid Volume Flow Rate
液体体积流量</t>
    <phoneticPr fontId="2" type="noConversion"/>
  </si>
  <si>
    <t>Mass Flow Rate
质量流量</t>
    <phoneticPr fontId="2" type="noConversion"/>
  </si>
  <si>
    <t>Power
功率</t>
    <phoneticPr fontId="2" type="noConversion"/>
  </si>
  <si>
    <t>Pressure
压力</t>
    <phoneticPr fontId="2" type="noConversion"/>
  </si>
  <si>
    <t>Pressure Drop
压降</t>
    <phoneticPr fontId="2" type="noConversion"/>
  </si>
  <si>
    <t>Temperature
温度</t>
    <phoneticPr fontId="2" type="noConversion"/>
  </si>
  <si>
    <t>Temperature Differential
温差</t>
    <phoneticPr fontId="2" type="noConversion"/>
  </si>
  <si>
    <t>Velocity
速度</t>
    <phoneticPr fontId="2" type="noConversion"/>
  </si>
  <si>
    <t>Volume
体积</t>
    <phoneticPr fontId="2" type="noConversion"/>
  </si>
  <si>
    <r>
      <t>m</t>
    </r>
    <r>
      <rPr>
        <b/>
        <vertAlign val="superscript"/>
        <sz val="10"/>
        <color rgb="FFFFFF00"/>
        <rFont val="Arial"/>
        <family val="2"/>
      </rPr>
      <t>2</t>
    </r>
    <phoneticPr fontId="2" type="noConversion"/>
  </si>
  <si>
    <t>m2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</si>
</sst>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b/>
      <sz val="10"/>
      <color rgb="FFFFFF00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宋体"/>
      <family val="3"/>
      <charset val="134"/>
    </font>
    <font>
      <sz val="10"/>
      <name val="等线"/>
      <family val="3"/>
      <charset val="134"/>
    </font>
    <font>
      <b/>
      <sz val="10"/>
      <name val="等线"/>
      <family val="3"/>
      <charset val="134"/>
    </font>
    <font>
      <b/>
      <sz val="12"/>
      <color theme="0"/>
      <name val="等线"/>
      <family val="3"/>
      <charset val="134"/>
    </font>
    <font>
      <b/>
      <vertAlign val="superscript"/>
      <sz val="10"/>
      <color rgb="FFFFFF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55">
    <xf numFmtId="0" fontId="0" fillId="0" borderId="0" xfId="0">
      <alignment vertical="center"/>
    </xf>
    <xf numFmtId="0" fontId="1" fillId="0" borderId="0" xfId="1"/>
    <xf numFmtId="0" fontId="1" fillId="0" borderId="0" xfId="1" applyAlignment="1">
      <alignment horizontal="center"/>
    </xf>
    <xf numFmtId="0" fontId="3" fillId="0" borderId="0" xfId="1" applyFont="1" applyAlignment="1">
      <alignment horizontal="center"/>
    </xf>
    <xf numFmtId="0" fontId="5" fillId="3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9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5" fillId="3" borderId="1" xfId="1" applyFont="1" applyFill="1" applyBorder="1" applyAlignment="1">
      <alignment horizontal="center" vertical="center" wrapText="1"/>
    </xf>
    <xf numFmtId="0" fontId="7" fillId="0" borderId="0" xfId="1" applyFont="1" applyAlignment="1">
      <alignment horizontal="center"/>
    </xf>
    <xf numFmtId="0" fontId="7" fillId="0" borderId="0" xfId="1" applyFont="1"/>
    <xf numFmtId="0" fontId="7" fillId="7" borderId="11" xfId="1" applyFont="1" applyFill="1" applyBorder="1" applyAlignment="1">
      <alignment horizontal="center" vertical="center"/>
    </xf>
    <xf numFmtId="0" fontId="8" fillId="7" borderId="11" xfId="1" applyFont="1" applyFill="1" applyBorder="1" applyAlignment="1">
      <alignment horizontal="center" vertical="center"/>
    </xf>
    <xf numFmtId="0" fontId="8" fillId="7" borderId="12" xfId="1" applyFont="1" applyFill="1" applyBorder="1" applyAlignment="1">
      <alignment horizontal="center" vertical="center"/>
    </xf>
    <xf numFmtId="0" fontId="1" fillId="7" borderId="6" xfId="1" applyFill="1" applyBorder="1" applyAlignment="1">
      <alignment horizontal="center"/>
    </xf>
    <xf numFmtId="0" fontId="1" fillId="7" borderId="10" xfId="1" applyFill="1" applyBorder="1" applyAlignment="1">
      <alignment horizontal="center"/>
    </xf>
    <xf numFmtId="0" fontId="1" fillId="7" borderId="14" xfId="1" applyFill="1" applyBorder="1" applyAlignment="1">
      <alignment horizontal="center"/>
    </xf>
    <xf numFmtId="0" fontId="1" fillId="7" borderId="11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8" xfId="1" applyFill="1" applyBorder="1" applyAlignment="1">
      <alignment horizontal="center"/>
    </xf>
    <xf numFmtId="0" fontId="1" fillId="7" borderId="12" xfId="1" applyFill="1" applyBorder="1" applyAlignment="1">
      <alignment horizontal="center"/>
    </xf>
    <xf numFmtId="0" fontId="1" fillId="7" borderId="7" xfId="1" applyFill="1" applyBorder="1" applyAlignment="1">
      <alignment horizontal="center"/>
    </xf>
    <xf numFmtId="0" fontId="1" fillId="7" borderId="18" xfId="1" applyFill="1" applyBorder="1" applyAlignment="1">
      <alignment horizontal="center"/>
    </xf>
    <xf numFmtId="0" fontId="1" fillId="7" borderId="19" xfId="1" applyFill="1" applyBorder="1" applyAlignment="1">
      <alignment horizontal="center"/>
    </xf>
    <xf numFmtId="0" fontId="1" fillId="7" borderId="22" xfId="1" applyFill="1" applyBorder="1" applyAlignment="1">
      <alignment horizontal="center"/>
    </xf>
    <xf numFmtId="0" fontId="1" fillId="7" borderId="20" xfId="1" applyFill="1" applyBorder="1" applyAlignment="1">
      <alignment horizontal="center"/>
    </xf>
    <xf numFmtId="0" fontId="1" fillId="7" borderId="21" xfId="1" applyFill="1" applyBorder="1" applyAlignment="1">
      <alignment horizontal="center"/>
    </xf>
    <xf numFmtId="0" fontId="1" fillId="7" borderId="23" xfId="1" applyFill="1" applyBorder="1" applyAlignment="1">
      <alignment horizontal="center"/>
    </xf>
    <xf numFmtId="0" fontId="1" fillId="7" borderId="24" xfId="1" applyFill="1" applyBorder="1" applyAlignment="1">
      <alignment horizontal="center"/>
    </xf>
    <xf numFmtId="0" fontId="1" fillId="7" borderId="25" xfId="1" applyFill="1" applyBorder="1" applyAlignment="1">
      <alignment horizontal="center"/>
    </xf>
    <xf numFmtId="0" fontId="1" fillId="7" borderId="26" xfId="1" applyFill="1" applyBorder="1" applyAlignment="1">
      <alignment horizontal="center"/>
    </xf>
    <xf numFmtId="0" fontId="4" fillId="2" borderId="27" xfId="1" applyFont="1" applyFill="1" applyBorder="1" applyAlignment="1">
      <alignment horizontal="center"/>
    </xf>
    <xf numFmtId="0" fontId="7" fillId="5" borderId="11" xfId="1" applyFont="1" applyFill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7" fillId="5" borderId="15" xfId="1" applyFont="1" applyFill="1" applyBorder="1" applyAlignment="1">
      <alignment horizontal="center" vertical="center"/>
    </xf>
    <xf numFmtId="0" fontId="8" fillId="5" borderId="15" xfId="1" applyFont="1" applyFill="1" applyBorder="1" applyAlignment="1">
      <alignment horizontal="center" vertical="center"/>
    </xf>
    <xf numFmtId="0" fontId="8" fillId="5" borderId="16" xfId="1" applyFont="1" applyFill="1" applyBorder="1" applyAlignment="1">
      <alignment horizontal="center" vertical="center"/>
    </xf>
    <xf numFmtId="0" fontId="8" fillId="6" borderId="23" xfId="1" applyFont="1" applyFill="1" applyBorder="1" applyAlignment="1">
      <alignment vertical="center" wrapText="1"/>
    </xf>
    <xf numFmtId="0" fontId="7" fillId="6" borderId="23" xfId="1" applyFont="1" applyFill="1" applyBorder="1" applyAlignment="1">
      <alignment vertical="center" wrapText="1"/>
    </xf>
    <xf numFmtId="0" fontId="7" fillId="6" borderId="24" xfId="1" applyFont="1" applyFill="1" applyBorder="1" applyAlignment="1">
      <alignment vertical="center" wrapText="1"/>
    </xf>
    <xf numFmtId="0" fontId="8" fillId="6" borderId="11" xfId="1" applyFont="1" applyFill="1" applyBorder="1" applyAlignment="1">
      <alignment horizontal="center" vertical="center" wrapText="1"/>
    </xf>
    <xf numFmtId="0" fontId="8" fillId="6" borderId="12" xfId="1" applyFont="1" applyFill="1" applyBorder="1" applyAlignment="1">
      <alignment horizontal="center" vertical="center" wrapText="1"/>
    </xf>
    <xf numFmtId="0" fontId="4" fillId="2" borderId="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vertical="center"/>
    </xf>
    <xf numFmtId="0" fontId="9" fillId="4" borderId="17" xfId="1" applyFont="1" applyFill="1" applyBorder="1" applyAlignment="1">
      <alignment horizontal="center" vertical="center"/>
    </xf>
    <xf numFmtId="0" fontId="9" fillId="4" borderId="18" xfId="1" applyFont="1" applyFill="1" applyBorder="1" applyAlignment="1">
      <alignment horizontal="center" vertical="center"/>
    </xf>
    <xf numFmtId="0" fontId="9" fillId="4" borderId="19" xfId="1" applyFont="1" applyFill="1" applyBorder="1" applyAlignment="1">
      <alignment horizontal="center" vertical="center"/>
    </xf>
    <xf numFmtId="0" fontId="9" fillId="4" borderId="23" xfId="1" applyFont="1" applyFill="1" applyBorder="1" applyAlignment="1">
      <alignment horizontal="center" vertical="center"/>
    </xf>
    <xf numFmtId="0" fontId="9" fillId="4" borderId="11" xfId="1" applyFont="1" applyFill="1" applyBorder="1" applyAlignment="1">
      <alignment horizontal="center" vertical="center"/>
    </xf>
    <xf numFmtId="0" fontId="9" fillId="4" borderId="12" xfId="1" applyFont="1" applyFill="1" applyBorder="1" applyAlignment="1">
      <alignment horizontal="center" vertical="center"/>
    </xf>
  </cellXfs>
  <cellStyles count="2">
    <cellStyle name="Normal 2" xfId="1" xr:uid="{00000000-0005-0000-0000-000000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4037;&#20316;&#25991;&#26723;(K)/&#22791;&#20221;&#25991;&#20214;/&#25216;&#26415;&#20132;&#27969;/&#35774;&#35745;&#25163;&#20876;/From%20Larry/VB_Code_2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city"/>
      <sheetName val="Conversions"/>
      <sheetName val="Fluids"/>
      <sheetName val="FluidData"/>
      <sheetName val="H2O Properties"/>
      <sheetName val="Hardware"/>
      <sheetName val="Material"/>
      <sheetName val="MatlData"/>
      <sheetName val="Math"/>
      <sheetName val="Noise"/>
      <sheetName val="PipeData"/>
      <sheetName val="Orifice"/>
      <sheetName val="Revisions"/>
    </sheetNames>
    <sheetDataSet>
      <sheetData sheetId="0" refreshError="1"/>
      <sheetData sheetId="1" refreshError="1"/>
      <sheetData sheetId="2" refreshError="1"/>
      <sheetData sheetId="3">
        <row r="10">
          <cell r="A10" t="str">
            <v>Water/Steam</v>
          </cell>
        </row>
        <row r="11">
          <cell r="A11" t="str">
            <v>Custom</v>
          </cell>
        </row>
        <row r="12">
          <cell r="A12" t="str">
            <v>1-Propene, 2-methyl-</v>
          </cell>
        </row>
        <row r="13">
          <cell r="A13" t="str">
            <v>1,3-Butadiene, 2-methyl-</v>
          </cell>
        </row>
        <row r="14">
          <cell r="A14" t="str">
            <v>2-Methyl-1-propene</v>
          </cell>
        </row>
        <row r="15">
          <cell r="A15" t="str">
            <v xml:space="preserve">2-Methylbutadiene </v>
          </cell>
        </row>
        <row r="16">
          <cell r="A16" t="str">
            <v>2-Methylbutane</v>
          </cell>
        </row>
        <row r="17">
          <cell r="A17" t="str">
            <v>2-Methylpentane</v>
          </cell>
        </row>
        <row r="18">
          <cell r="A18" t="str">
            <v>2-Methylpropene</v>
          </cell>
        </row>
        <row r="19">
          <cell r="A19" t="str">
            <v>3-Methylpentane</v>
          </cell>
        </row>
        <row r="20">
          <cell r="A20" t="str">
            <v>Acetene</v>
          </cell>
        </row>
        <row r="21">
          <cell r="A21" t="str">
            <v>Acetylene</v>
          </cell>
        </row>
        <row r="22">
          <cell r="A22" t="str">
            <v>Air</v>
          </cell>
        </row>
        <row r="23">
          <cell r="A23" t="str">
            <v>Alcohol</v>
          </cell>
        </row>
        <row r="24">
          <cell r="A24" t="str">
            <v>Ammonia</v>
          </cell>
        </row>
        <row r="25">
          <cell r="A25" t="str">
            <v>Argon</v>
          </cell>
        </row>
        <row r="26">
          <cell r="A26" t="str">
            <v>Benzene</v>
          </cell>
        </row>
        <row r="27">
          <cell r="A27" t="str">
            <v>Benzene, (1-methylethyl)-</v>
          </cell>
        </row>
        <row r="28">
          <cell r="A28" t="str">
            <v>Butane</v>
          </cell>
        </row>
        <row r="29">
          <cell r="A29" t="str">
            <v>Butane, 2-methyl-</v>
          </cell>
        </row>
        <row r="30">
          <cell r="A30" t="str">
            <v>Carbon dioxide</v>
          </cell>
        </row>
        <row r="31">
          <cell r="A31" t="str">
            <v>Carbon monoxide</v>
          </cell>
        </row>
        <row r="32">
          <cell r="A32" t="str">
            <v>Chlorine</v>
          </cell>
        </row>
        <row r="33">
          <cell r="A33" t="str">
            <v>Cyclohexane</v>
          </cell>
        </row>
        <row r="34">
          <cell r="A34" t="str">
            <v>Cyclopentane</v>
          </cell>
        </row>
        <row r="35">
          <cell r="A35" t="str">
            <v>Decane</v>
          </cell>
        </row>
        <row r="36">
          <cell r="A36" t="str">
            <v>Dichlorodifluoromethane</v>
          </cell>
        </row>
        <row r="37">
          <cell r="A37" t="str">
            <v>Ethane</v>
          </cell>
        </row>
        <row r="38">
          <cell r="A38" t="str">
            <v>Ethanol</v>
          </cell>
        </row>
        <row r="39">
          <cell r="A39" t="str">
            <v>Ethene</v>
          </cell>
        </row>
        <row r="40">
          <cell r="A40" t="str">
            <v>Ethyl alcohol</v>
          </cell>
        </row>
        <row r="41">
          <cell r="A41" t="str">
            <v>Ethylbenzene</v>
          </cell>
        </row>
        <row r="42">
          <cell r="A42" t="str">
            <v>Ethylene</v>
          </cell>
        </row>
        <row r="43">
          <cell r="A43" t="str">
            <v>Freon (F-12)</v>
          </cell>
        </row>
        <row r="44">
          <cell r="A44" t="str">
            <v>Helium</v>
          </cell>
        </row>
        <row r="45">
          <cell r="A45" t="str">
            <v>Heptane</v>
          </cell>
        </row>
        <row r="46">
          <cell r="A46" t="str">
            <v>Hexane</v>
          </cell>
        </row>
        <row r="47">
          <cell r="A47" t="str">
            <v>Hydrogen</v>
          </cell>
        </row>
        <row r="48">
          <cell r="A48" t="str">
            <v>Hydrogen chloride</v>
          </cell>
        </row>
        <row r="49">
          <cell r="A49" t="str">
            <v>Hydrogen sulfide</v>
          </cell>
        </row>
        <row r="50">
          <cell r="A50" t="str">
            <v>Isobutane</v>
          </cell>
        </row>
        <row r="51">
          <cell r="A51" t="str">
            <v>Isobutene</v>
          </cell>
        </row>
        <row r="52">
          <cell r="A52" t="str">
            <v>Isobutylene</v>
          </cell>
        </row>
        <row r="53">
          <cell r="A53" t="str">
            <v>Isohexane</v>
          </cell>
        </row>
        <row r="54">
          <cell r="A54" t="str">
            <v>Isoprene</v>
          </cell>
        </row>
        <row r="55">
          <cell r="A55" t="str">
            <v>Isopropilbenzene</v>
          </cell>
        </row>
        <row r="56">
          <cell r="A56" t="str">
            <v>iso-Pentane</v>
          </cell>
        </row>
        <row r="57">
          <cell r="A57" t="str">
            <v>Methane</v>
          </cell>
        </row>
        <row r="58">
          <cell r="A58" t="str">
            <v>Methanol</v>
          </cell>
        </row>
        <row r="59">
          <cell r="A59" t="str">
            <v>Methyl alcohol</v>
          </cell>
        </row>
        <row r="60">
          <cell r="A60" t="str">
            <v>Methyl chloride</v>
          </cell>
        </row>
        <row r="61">
          <cell r="A61" t="str">
            <v>Natural gas</v>
          </cell>
        </row>
        <row r="62">
          <cell r="A62" t="str">
            <v>Neon</v>
          </cell>
        </row>
        <row r="63">
          <cell r="A63" t="str">
            <v>Nitrogen</v>
          </cell>
        </row>
        <row r="64">
          <cell r="A64" t="str">
            <v>Nitrous oxide</v>
          </cell>
        </row>
        <row r="65">
          <cell r="A65" t="str">
            <v>Nonane</v>
          </cell>
        </row>
        <row r="66">
          <cell r="A66" t="str">
            <v>n-Butane</v>
          </cell>
        </row>
        <row r="67">
          <cell r="A67" t="str">
            <v>n-Decane</v>
          </cell>
        </row>
        <row r="68">
          <cell r="A68" t="str">
            <v>n-Heptane</v>
          </cell>
        </row>
        <row r="69">
          <cell r="A69" t="str">
            <v>n-Hexane</v>
          </cell>
        </row>
        <row r="70">
          <cell r="A70" t="str">
            <v>n-Nonane</v>
          </cell>
        </row>
        <row r="71">
          <cell r="A71" t="str">
            <v>n-Octane</v>
          </cell>
        </row>
        <row r="72">
          <cell r="A72" t="str">
            <v>n-Pentane</v>
          </cell>
        </row>
        <row r="73">
          <cell r="A73" t="str">
            <v>n-Propane</v>
          </cell>
        </row>
        <row r="74">
          <cell r="A74" t="str">
            <v>Octane</v>
          </cell>
        </row>
        <row r="75">
          <cell r="A75" t="str">
            <v>Oxygen</v>
          </cell>
        </row>
        <row r="76">
          <cell r="A76" t="str">
            <v>Pentane</v>
          </cell>
        </row>
        <row r="77">
          <cell r="A77" t="str">
            <v>Pentane, 2-methyl-</v>
          </cell>
        </row>
        <row r="78">
          <cell r="A78" t="str">
            <v>Pentane, 3-methyl-</v>
          </cell>
        </row>
        <row r="79">
          <cell r="A79" t="str">
            <v>Propane</v>
          </cell>
        </row>
        <row r="80">
          <cell r="A80" t="str">
            <v>Propene</v>
          </cell>
        </row>
        <row r="81">
          <cell r="A81" t="str">
            <v>Propene, 2-methyl-</v>
          </cell>
        </row>
        <row r="82">
          <cell r="A82" t="str">
            <v>Propylene</v>
          </cell>
        </row>
        <row r="83">
          <cell r="A83" t="str">
            <v>Sulfur dioxide</v>
          </cell>
        </row>
        <row r="84">
          <cell r="A84" t="str">
            <v>Sulfur trioxide</v>
          </cell>
        </row>
        <row r="85">
          <cell r="A85" t="str">
            <v>Water</v>
          </cell>
        </row>
      </sheetData>
      <sheetData sheetId="4" refreshError="1"/>
      <sheetData sheetId="5" refreshError="1"/>
      <sheetData sheetId="6" refreshError="1"/>
      <sheetData sheetId="7">
        <row r="6">
          <cell r="A6" t="str">
            <v>A350 LF1</v>
          </cell>
        </row>
        <row r="7">
          <cell r="A7" t="str">
            <v>A106B</v>
          </cell>
        </row>
        <row r="8">
          <cell r="A8" t="str">
            <v>A352 LCB</v>
          </cell>
        </row>
        <row r="9">
          <cell r="A9" t="str">
            <v>A105</v>
          </cell>
        </row>
        <row r="10">
          <cell r="A10" t="str">
            <v>A234 WPB</v>
          </cell>
        </row>
        <row r="11">
          <cell r="A11" t="str">
            <v>A216 WCB</v>
          </cell>
        </row>
        <row r="12">
          <cell r="A12" t="str">
            <v>A350 LF2 Cl. 1</v>
          </cell>
        </row>
        <row r="13">
          <cell r="A13" t="str">
            <v>A350 LF2 Cl. 2</v>
          </cell>
        </row>
        <row r="14">
          <cell r="A14" t="str">
            <v>A106C</v>
          </cell>
        </row>
        <row r="15">
          <cell r="A15" t="str">
            <v>A216 WCC</v>
          </cell>
        </row>
        <row r="16">
          <cell r="A16" t="str">
            <v>A352 LCC</v>
          </cell>
        </row>
        <row r="17">
          <cell r="A17" t="str">
            <v>A352 LC1</v>
          </cell>
        </row>
        <row r="18">
          <cell r="A18" t="str">
            <v>A234 WP12 Cl. 1</v>
          </cell>
        </row>
        <row r="19">
          <cell r="A19" t="str">
            <v>A335 P12</v>
          </cell>
        </row>
        <row r="20">
          <cell r="A20" t="str">
            <v>A182 F12 Cl. 2</v>
          </cell>
        </row>
        <row r="21">
          <cell r="A21" t="str">
            <v>A217 WC6</v>
          </cell>
        </row>
        <row r="22">
          <cell r="A22" t="str">
            <v>A234 WP11 Cl. 1</v>
          </cell>
        </row>
        <row r="23">
          <cell r="A23" t="str">
            <v>A335 P11</v>
          </cell>
        </row>
        <row r="24">
          <cell r="A24" t="str">
            <v>A387 11 Cl. 2</v>
          </cell>
        </row>
        <row r="25">
          <cell r="A25" t="str">
            <v>A182 F11 Cl. 2</v>
          </cell>
        </row>
        <row r="26">
          <cell r="A26" t="str">
            <v>A234 WP22 Cl. 1</v>
          </cell>
        </row>
        <row r="27">
          <cell r="A27" t="str">
            <v>A335 P22</v>
          </cell>
        </row>
        <row r="28">
          <cell r="A28" t="str">
            <v>A217 WC9</v>
          </cell>
        </row>
        <row r="29">
          <cell r="A29" t="str">
            <v>A182 F22 Cl. 3</v>
          </cell>
        </row>
        <row r="30">
          <cell r="A30" t="str">
            <v>A335 P21</v>
          </cell>
        </row>
        <row r="31">
          <cell r="A31" t="str">
            <v>A182 F21</v>
          </cell>
        </row>
        <row r="32">
          <cell r="A32" t="str">
            <v>A217 C5</v>
          </cell>
        </row>
        <row r="33">
          <cell r="A33" t="str">
            <v>A182 F91 &lt;=3</v>
          </cell>
        </row>
        <row r="34">
          <cell r="A34" t="str">
            <v>A182 F91 &gt;3</v>
          </cell>
        </row>
        <row r="35">
          <cell r="A35" t="str">
            <v>A217 C12A</v>
          </cell>
        </row>
        <row r="36">
          <cell r="A36" t="str">
            <v>A234 WP91 &lt;=3</v>
          </cell>
        </row>
        <row r="37">
          <cell r="A37" t="str">
            <v>A234 WP91 &gt;3</v>
          </cell>
        </row>
        <row r="38">
          <cell r="A38" t="str">
            <v>A335 P91 &lt;3</v>
          </cell>
        </row>
        <row r="39">
          <cell r="A39" t="str">
            <v>A335 P91 &gt;=3</v>
          </cell>
        </row>
        <row r="40">
          <cell r="A40" t="str">
            <v>A240 410</v>
          </cell>
        </row>
        <row r="41">
          <cell r="A41" t="str">
            <v>A279 410</v>
          </cell>
        </row>
        <row r="42">
          <cell r="A42" t="str">
            <v>A182 F6a Cl. 2</v>
          </cell>
        </row>
        <row r="43">
          <cell r="A43" t="str">
            <v>A351-CF8M</v>
          </cell>
        </row>
        <row r="44">
          <cell r="A44" t="str">
            <v>A182 F316</v>
          </cell>
        </row>
        <row r="45">
          <cell r="A45" t="str">
            <v>A240 316</v>
          </cell>
        </row>
        <row r="46">
          <cell r="A46" t="str">
            <v>A312 TP316</v>
          </cell>
        </row>
        <row r="47">
          <cell r="A47" t="str">
            <v>A182 F304</v>
          </cell>
        </row>
        <row r="48">
          <cell r="A48" t="str">
            <v>A240 304</v>
          </cell>
        </row>
        <row r="49">
          <cell r="A49" t="str">
            <v>A312 TP304</v>
          </cell>
        </row>
        <row r="50">
          <cell r="A50" t="str">
            <v>A351-CK3MCuN</v>
          </cell>
        </row>
        <row r="51">
          <cell r="A51" t="str">
            <v>A182 F44</v>
          </cell>
        </row>
        <row r="52">
          <cell r="A52" t="str">
            <v>A182 F51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A1:H21"/>
  <sheetViews>
    <sheetView showGridLines="0" tabSelected="1" zoomScale="110" zoomScaleNormal="110" workbookViewId="0">
      <selection activeCell="I5" sqref="I5"/>
    </sheetView>
  </sheetViews>
  <sheetFormatPr defaultColWidth="9.125" defaultRowHeight="12.75" x14ac:dyDescent="0.2"/>
  <cols>
    <col min="1" max="1" width="19.875" style="13" bestFit="1" customWidth="1"/>
    <col min="2" max="4" width="13.625" style="13" customWidth="1"/>
    <col min="5" max="5" width="14.25" style="13" customWidth="1"/>
    <col min="6" max="6" width="13.625" style="13" customWidth="1"/>
    <col min="7" max="8" width="14.75" style="12" customWidth="1"/>
    <col min="9" max="20" width="14.75" style="13" customWidth="1"/>
    <col min="21" max="16384" width="9.125" style="13"/>
  </cols>
  <sheetData>
    <row r="1" spans="1:6" ht="15.75" customHeight="1" x14ac:dyDescent="0.2">
      <c r="A1" s="49" t="s">
        <v>134</v>
      </c>
      <c r="B1" s="50"/>
      <c r="C1" s="50"/>
      <c r="D1" s="50"/>
      <c r="E1" s="50"/>
      <c r="F1" s="51"/>
    </row>
    <row r="2" spans="1:6" x14ac:dyDescent="0.2">
      <c r="A2" s="52"/>
      <c r="B2" s="53"/>
      <c r="C2" s="53"/>
      <c r="D2" s="53"/>
      <c r="E2" s="53"/>
      <c r="F2" s="54"/>
    </row>
    <row r="3" spans="1:6" ht="27.75" customHeight="1" x14ac:dyDescent="0.2">
      <c r="A3" s="41" t="s">
        <v>135</v>
      </c>
      <c r="B3" s="44" t="s">
        <v>136</v>
      </c>
      <c r="C3" s="44" t="s">
        <v>137</v>
      </c>
      <c r="D3" s="44" t="s">
        <v>138</v>
      </c>
      <c r="E3" s="44" t="s">
        <v>139</v>
      </c>
      <c r="F3" s="45" t="s">
        <v>140</v>
      </c>
    </row>
    <row r="4" spans="1:6" ht="25.5" x14ac:dyDescent="0.2">
      <c r="A4" s="42" t="s">
        <v>141</v>
      </c>
      <c r="B4" s="14" t="s">
        <v>0</v>
      </c>
      <c r="C4" s="14">
        <v>2</v>
      </c>
      <c r="D4" s="15" t="s">
        <v>2</v>
      </c>
      <c r="E4" s="14">
        <f>conv(B4,C4,D4,F4)</f>
        <v>2</v>
      </c>
      <c r="F4" s="16" t="s">
        <v>2</v>
      </c>
    </row>
    <row r="5" spans="1:6" ht="25.5" x14ac:dyDescent="0.2">
      <c r="A5" s="42" t="s">
        <v>142</v>
      </c>
      <c r="B5" s="35" t="s">
        <v>3</v>
      </c>
      <c r="C5" s="35">
        <v>3</v>
      </c>
      <c r="D5" s="36" t="s">
        <v>4</v>
      </c>
      <c r="E5" s="35">
        <f t="shared" ref="E5:E21" si="0">conv(B5,C5,D5,F5)</f>
        <v>48.055390121880414</v>
      </c>
      <c r="F5" s="37" t="s">
        <v>5</v>
      </c>
    </row>
    <row r="6" spans="1:6" ht="25.5" x14ac:dyDescent="0.2">
      <c r="A6" s="42" t="s">
        <v>143</v>
      </c>
      <c r="B6" s="14" t="s">
        <v>6</v>
      </c>
      <c r="C6" s="14">
        <v>2</v>
      </c>
      <c r="D6" s="15" t="s">
        <v>7</v>
      </c>
      <c r="E6" s="14">
        <f t="shared" si="0"/>
        <v>1961.33</v>
      </c>
      <c r="F6" s="16" t="s">
        <v>8</v>
      </c>
    </row>
    <row r="7" spans="1:6" ht="25.5" x14ac:dyDescent="0.2">
      <c r="A7" s="42" t="s">
        <v>144</v>
      </c>
      <c r="B7" s="35" t="s">
        <v>9</v>
      </c>
      <c r="C7" s="35">
        <v>1</v>
      </c>
      <c r="D7" s="36" t="s">
        <v>10</v>
      </c>
      <c r="E7" s="35">
        <f t="shared" si="0"/>
        <v>0.42992261392949266</v>
      </c>
      <c r="F7" s="37" t="s">
        <v>11</v>
      </c>
    </row>
    <row r="8" spans="1:6" ht="25.5" x14ac:dyDescent="0.2">
      <c r="A8" s="42" t="s">
        <v>145</v>
      </c>
      <c r="B8" s="14" t="s">
        <v>12</v>
      </c>
      <c r="C8" s="14">
        <v>1</v>
      </c>
      <c r="D8" s="15" t="s">
        <v>14</v>
      </c>
      <c r="E8" s="14">
        <f t="shared" si="0"/>
        <v>1.156098638906943</v>
      </c>
      <c r="F8" s="16" t="s">
        <v>13</v>
      </c>
    </row>
    <row r="9" spans="1:6" ht="25.5" x14ac:dyDescent="0.2">
      <c r="A9" s="42" t="s">
        <v>146</v>
      </c>
      <c r="B9" s="35" t="s">
        <v>15</v>
      </c>
      <c r="C9" s="35">
        <v>1</v>
      </c>
      <c r="D9" s="36" t="s">
        <v>16</v>
      </c>
      <c r="E9" s="35">
        <f t="shared" si="0"/>
        <v>0.22480894309971047</v>
      </c>
      <c r="F9" s="37" t="s">
        <v>17</v>
      </c>
    </row>
    <row r="10" spans="1:6" ht="25.5" x14ac:dyDescent="0.2">
      <c r="A10" s="42" t="s">
        <v>147</v>
      </c>
      <c r="B10" s="14" t="s">
        <v>18</v>
      </c>
      <c r="C10" s="14">
        <v>1</v>
      </c>
      <c r="D10" s="15" t="s">
        <v>19</v>
      </c>
      <c r="E10" s="14">
        <f t="shared" si="0"/>
        <v>0.62209655714727263</v>
      </c>
      <c r="F10" s="16" t="s">
        <v>61</v>
      </c>
    </row>
    <row r="11" spans="1:6" ht="25.5" x14ac:dyDescent="0.2">
      <c r="A11" s="42" t="s">
        <v>148</v>
      </c>
      <c r="B11" s="35" t="s">
        <v>21</v>
      </c>
      <c r="C11" s="35">
        <v>1</v>
      </c>
      <c r="D11" s="36" t="s">
        <v>22</v>
      </c>
      <c r="E11" s="35">
        <f t="shared" ref="E11" si="1">conv(B11,C11,D11,F11)</f>
        <v>1000000</v>
      </c>
      <c r="F11" s="37" t="s">
        <v>23</v>
      </c>
    </row>
    <row r="12" spans="1:6" ht="25.5" x14ac:dyDescent="0.2">
      <c r="A12" s="42" t="s">
        <v>149</v>
      </c>
      <c r="B12" s="14" t="s">
        <v>24</v>
      </c>
      <c r="C12" s="14">
        <v>1</v>
      </c>
      <c r="D12" s="15" t="s">
        <v>25</v>
      </c>
      <c r="E12" s="14">
        <f t="shared" si="0"/>
        <v>0.30480000000000002</v>
      </c>
      <c r="F12" s="16" t="s">
        <v>26</v>
      </c>
    </row>
    <row r="13" spans="1:6" ht="25.5" x14ac:dyDescent="0.2">
      <c r="A13" s="42" t="s">
        <v>150</v>
      </c>
      <c r="B13" s="35" t="s">
        <v>27</v>
      </c>
      <c r="C13" s="35">
        <v>1</v>
      </c>
      <c r="D13" s="36" t="s">
        <v>29</v>
      </c>
      <c r="E13" s="35">
        <f t="shared" si="0"/>
        <v>0.22712470704000004</v>
      </c>
      <c r="F13" s="37" t="s">
        <v>28</v>
      </c>
    </row>
    <row r="14" spans="1:6" ht="25.5" x14ac:dyDescent="0.2">
      <c r="A14" s="42" t="s">
        <v>151</v>
      </c>
      <c r="B14" s="14" t="s">
        <v>26</v>
      </c>
      <c r="C14" s="14">
        <v>1</v>
      </c>
      <c r="D14" s="15" t="s">
        <v>30</v>
      </c>
      <c r="E14" s="14">
        <f t="shared" si="0"/>
        <v>3600</v>
      </c>
      <c r="F14" s="16" t="s">
        <v>31</v>
      </c>
    </row>
    <row r="15" spans="1:6" ht="25.5" x14ac:dyDescent="0.2">
      <c r="A15" s="42" t="s">
        <v>152</v>
      </c>
      <c r="B15" s="35" t="s">
        <v>32</v>
      </c>
      <c r="C15" s="35">
        <v>1</v>
      </c>
      <c r="D15" s="36" t="s">
        <v>32</v>
      </c>
      <c r="E15" s="35">
        <f t="shared" si="0"/>
        <v>0.73756214927726538</v>
      </c>
      <c r="F15" s="37" t="s">
        <v>33</v>
      </c>
    </row>
    <row r="16" spans="1:6" ht="25.5" x14ac:dyDescent="0.2">
      <c r="A16" s="42" t="s">
        <v>153</v>
      </c>
      <c r="B16" s="14" t="s">
        <v>34</v>
      </c>
      <c r="C16" s="14">
        <v>1</v>
      </c>
      <c r="D16" s="15" t="s">
        <v>84</v>
      </c>
      <c r="E16" s="14">
        <f t="shared" si="0"/>
        <v>14.503773773020921</v>
      </c>
      <c r="F16" s="16" t="s">
        <v>86</v>
      </c>
    </row>
    <row r="17" spans="1:6" ht="25.5" x14ac:dyDescent="0.2">
      <c r="A17" s="42" t="s">
        <v>154</v>
      </c>
      <c r="B17" s="35" t="s">
        <v>37</v>
      </c>
      <c r="C17" s="35">
        <v>1</v>
      </c>
      <c r="D17" s="36" t="s">
        <v>38</v>
      </c>
      <c r="E17" s="35">
        <f t="shared" si="0"/>
        <v>14.503773773020921</v>
      </c>
      <c r="F17" s="37" t="s">
        <v>102</v>
      </c>
    </row>
    <row r="18" spans="1:6" ht="25.5" x14ac:dyDescent="0.2">
      <c r="A18" s="42" t="s">
        <v>155</v>
      </c>
      <c r="B18" s="14" t="s">
        <v>39</v>
      </c>
      <c r="C18" s="14">
        <v>0</v>
      </c>
      <c r="D18" s="15" t="s">
        <v>107</v>
      </c>
      <c r="E18" s="14">
        <f t="shared" si="0"/>
        <v>273.14999999999998</v>
      </c>
      <c r="F18" s="16" t="s">
        <v>43</v>
      </c>
    </row>
    <row r="19" spans="1:6" ht="25.5" x14ac:dyDescent="0.2">
      <c r="A19" s="42" t="s">
        <v>156</v>
      </c>
      <c r="B19" s="35" t="s">
        <v>42</v>
      </c>
      <c r="C19" s="35">
        <v>6</v>
      </c>
      <c r="D19" s="36" t="s">
        <v>43</v>
      </c>
      <c r="E19" s="35">
        <f t="shared" si="0"/>
        <v>10.8</v>
      </c>
      <c r="F19" s="37" t="s">
        <v>41</v>
      </c>
    </row>
    <row r="20" spans="1:6" ht="25.5" x14ac:dyDescent="0.2">
      <c r="A20" s="42" t="s">
        <v>157</v>
      </c>
      <c r="B20" s="14" t="s">
        <v>44</v>
      </c>
      <c r="C20" s="14">
        <v>1</v>
      </c>
      <c r="D20" s="15" t="s">
        <v>45</v>
      </c>
      <c r="E20" s="14">
        <f t="shared" si="0"/>
        <v>196.85039370078738</v>
      </c>
      <c r="F20" s="16" t="s">
        <v>46</v>
      </c>
    </row>
    <row r="21" spans="1:6" ht="26.25" thickBot="1" x14ac:dyDescent="0.25">
      <c r="A21" s="43" t="s">
        <v>158</v>
      </c>
      <c r="B21" s="38" t="s">
        <v>47</v>
      </c>
      <c r="C21" s="38">
        <v>1</v>
      </c>
      <c r="D21" s="39" t="s">
        <v>24</v>
      </c>
      <c r="E21" s="38">
        <f t="shared" si="0"/>
        <v>1E-3</v>
      </c>
      <c r="F21" s="40" t="s">
        <v>111</v>
      </c>
    </row>
  </sheetData>
  <mergeCells count="1">
    <mergeCell ref="A1:F2"/>
  </mergeCells>
  <phoneticPr fontId="2" type="noConversion"/>
  <dataValidations count="17">
    <dataValidation type="list" allowBlank="1" showInputMessage="1" showErrorMessage="1" sqref="D6 F6" xr:uid="{00000000-0002-0000-0000-000000000000}">
      <formula1>"cP, P, Pa-s, kgf-s/m2, lb/ft-h, lbf-s/ft2, lb/ft-s"</formula1>
    </dataValidation>
    <dataValidation type="list" allowBlank="1" showInputMessage="1" showErrorMessage="1" sqref="D11 F11" xr:uid="{00000000-0002-0000-0000-000001000000}">
      <formula1>"cSt, St, cm2/s, m2/s, ft2/s"</formula1>
    </dataValidation>
    <dataValidation type="list" allowBlank="1" showInputMessage="1" showErrorMessage="1" sqref="D21 F21" xr:uid="{00000000-0002-0000-0000-000002000000}">
      <formula1>"m3, ft3, mm3, in3, cm3, gal, L, barrels"</formula1>
    </dataValidation>
    <dataValidation type="list" allowBlank="1" showInputMessage="1" showErrorMessage="1" sqref="D18:D19 F18:F19" xr:uid="{00000000-0002-0000-0000-000003000000}">
      <formula1>"deg C, deg F, K, deg R"</formula1>
    </dataValidation>
    <dataValidation type="list" allowBlank="1" showInputMessage="1" showErrorMessage="1" sqref="D16 F16" xr:uid="{00000000-0002-0000-0000-000004000000}">
      <formula1>"barA, barG, psiA, psiG, kPaA, kPaG, MPaA, MPaG, PaA, PaG, kg/cm2A, kg/cm2G, atm, ft H2O, in H2O, in Hg, mm Hg, Torr, dB"</formula1>
    </dataValidation>
    <dataValidation type="list" allowBlank="1" showInputMessage="1" showErrorMessage="1" sqref="D13 F13" xr:uid="{00000000-0002-0000-0000-000005000000}">
      <formula1>"m3/h, GPM, L/min, BPD, m3/s, L/h, kL/h"</formula1>
    </dataValidation>
    <dataValidation type="list" allowBlank="1" showInputMessage="1" showErrorMessage="1" sqref="D4 F4" xr:uid="{00000000-0002-0000-0000-000006000000}">
      <formula1>"m2, ft2, mm2, in2, cm2"</formula1>
    </dataValidation>
    <dataValidation type="list" allowBlank="1" showInputMessage="1" showErrorMessage="1" sqref="D5 F5" xr:uid="{00000000-0002-0000-0000-000007000000}">
      <formula1>"kg/m3, lb/ft3, kg/L, g/cm3"</formula1>
    </dataValidation>
    <dataValidation type="list" allowBlank="1" showInputMessage="1" showErrorMessage="1" sqref="D7 F7" xr:uid="{00000000-0002-0000-0000-000008000000}">
      <formula1>"kJ/kg, Btu/lb, kcal/kg"</formula1>
    </dataValidation>
    <dataValidation type="list" allowBlank="1" showInputMessage="1" showErrorMessage="1" sqref="D8 F8" xr:uid="{00000000-0002-0000-0000-000009000000}">
      <formula1>"Cv, Kv"</formula1>
    </dataValidation>
    <dataValidation type="list" allowBlank="1" showInputMessage="1" showErrorMessage="1" sqref="D9 F9" xr:uid="{00000000-0002-0000-0000-00000A000000}">
      <formula1>"N, lbf"</formula1>
    </dataValidation>
    <dataValidation type="list" allowBlank="1" showInputMessage="1" showErrorMessage="1" sqref="F10 D10" xr:uid="{00000000-0002-0000-0000-00000B000000}">
      <formula1>"Nm3/h, Sm3/h, SCFH, SCFM, SCFD, MMSCFD, Nm3/s"</formula1>
    </dataValidation>
    <dataValidation type="list" allowBlank="1" showInputMessage="1" showErrorMessage="1" sqref="D12 F12" xr:uid="{00000000-0002-0000-0000-00000C000000}">
      <formula1>"m, ft, mm, in., yd, cm, km, mi, micron"</formula1>
    </dataValidation>
    <dataValidation type="list" allowBlank="1" showInputMessage="1" showErrorMessage="1" sqref="D15 F15" xr:uid="{00000000-0002-0000-0000-00000D000000}">
      <formula1>"W, ft-lbf/s, dB"</formula1>
    </dataValidation>
    <dataValidation type="list" allowBlank="1" showInputMessage="1" showErrorMessage="1" sqref="D17 F17" xr:uid="{00000000-0002-0000-0000-00000E000000}">
      <formula1>"bar, psi, kPa, MPa, Pa, kg/cm2, ft H2O, in H2O, in Hg"</formula1>
    </dataValidation>
    <dataValidation type="list" allowBlank="1" showInputMessage="1" showErrorMessage="1" sqref="D20 F20" xr:uid="{00000000-0002-0000-0000-00000F000000}">
      <formula1>"m/s, ft/s, ft/min, km/h, mi/h"</formula1>
    </dataValidation>
    <dataValidation type="list" allowBlank="1" showInputMessage="1" showErrorMessage="1" sqref="D14 F14" xr:uid="{00000000-0002-0000-0000-000010000000}">
      <formula1>"kg/s, lb/h, kg/h, mt/h, kpph"</formula1>
    </dataValidation>
  </dataValidations>
  <pageMargins left="0.22" right="0.2" top="0.27" bottom="0.2" header="0.19" footer="0.17"/>
  <pageSetup scale="47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A1:U9"/>
  <sheetViews>
    <sheetView showGridLines="0" zoomScale="110" zoomScaleNormal="110" workbookViewId="0">
      <selection activeCell="B15" sqref="B15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s="2" customFormat="1" ht="13.5" thickBot="1" x14ac:dyDescent="0.25">
      <c r="A2" s="4" t="s">
        <v>119</v>
      </c>
      <c r="B2" s="5" t="s">
        <v>160</v>
      </c>
      <c r="C2" s="6" t="s">
        <v>1</v>
      </c>
      <c r="D2" s="6" t="s">
        <v>50</v>
      </c>
      <c r="E2" s="6" t="s">
        <v>51</v>
      </c>
      <c r="F2" s="7" t="s">
        <v>2</v>
      </c>
      <c r="G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s="2" customFormat="1" ht="15" thickBot="1" x14ac:dyDescent="0.25">
      <c r="A3" s="8" t="s">
        <v>159</v>
      </c>
      <c r="B3" s="4">
        <v>1</v>
      </c>
      <c r="C3" s="17">
        <f>conv("A",$B$3,$A3,C$2)</f>
        <v>10.763910416709722</v>
      </c>
      <c r="D3" s="24">
        <f t="shared" ref="C3:F7" si="0">conv("A",$B$3,$A3,D$2)</f>
        <v>1000000</v>
      </c>
      <c r="E3" s="24">
        <f t="shared" si="0"/>
        <v>1550.0031000062002</v>
      </c>
      <c r="F3" s="22">
        <f t="shared" si="0"/>
        <v>10000</v>
      </c>
      <c r="G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s="2" customFormat="1" ht="13.5" thickBot="1" x14ac:dyDescent="0.25">
      <c r="A4" s="9" t="s">
        <v>1</v>
      </c>
      <c r="B4" s="17">
        <f>conv("A",$C$4,$A4,B$2)</f>
        <v>9.2903040000000006E-2</v>
      </c>
      <c r="C4" s="4">
        <f t="shared" si="0"/>
        <v>1</v>
      </c>
      <c r="D4" s="20">
        <f t="shared" si="0"/>
        <v>92903.040000000008</v>
      </c>
      <c r="E4" s="20">
        <f t="shared" si="0"/>
        <v>144.00000000000003</v>
      </c>
      <c r="F4" s="23">
        <f t="shared" si="0"/>
        <v>929.0304000000001</v>
      </c>
      <c r="G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s="2" customFormat="1" ht="13.5" thickBot="1" x14ac:dyDescent="0.25">
      <c r="A5" s="9" t="s">
        <v>50</v>
      </c>
      <c r="B5" s="18">
        <f>conv("A",$B$3,$A5,B$2)</f>
        <v>9.9999999999999995E-7</v>
      </c>
      <c r="C5" s="20">
        <f t="shared" si="0"/>
        <v>1.0763910416709721E-5</v>
      </c>
      <c r="D5" s="4">
        <f t="shared" si="0"/>
        <v>1</v>
      </c>
      <c r="E5" s="20">
        <f t="shared" si="0"/>
        <v>1.5500031000062E-3</v>
      </c>
      <c r="F5" s="23">
        <f t="shared" si="0"/>
        <v>0.01</v>
      </c>
      <c r="G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s="2" customFormat="1" ht="13.5" thickBot="1" x14ac:dyDescent="0.25">
      <c r="A6" s="9" t="s">
        <v>51</v>
      </c>
      <c r="B6" s="18">
        <f>conv("A",$B$3,$A6,B$2)</f>
        <v>6.4515999999999998E-4</v>
      </c>
      <c r="C6" s="20">
        <f t="shared" si="0"/>
        <v>6.9444444444444441E-3</v>
      </c>
      <c r="D6" s="20">
        <f t="shared" si="0"/>
        <v>645.16</v>
      </c>
      <c r="E6" s="4">
        <f t="shared" si="0"/>
        <v>1</v>
      </c>
      <c r="F6" s="23">
        <f t="shared" si="0"/>
        <v>6.4516</v>
      </c>
      <c r="G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s="2" customFormat="1" ht="13.5" thickBot="1" x14ac:dyDescent="0.25">
      <c r="A7" s="10" t="s">
        <v>2</v>
      </c>
      <c r="B7" s="19">
        <f>conv("A",$B$3,$A7,B$2)</f>
        <v>1E-4</v>
      </c>
      <c r="C7" s="21">
        <f t="shared" si="0"/>
        <v>1.0763910416709723E-3</v>
      </c>
      <c r="D7" s="21">
        <f t="shared" si="0"/>
        <v>100</v>
      </c>
      <c r="E7" s="19">
        <f t="shared" si="0"/>
        <v>0.15500031000062003</v>
      </c>
      <c r="F7" s="4">
        <f t="shared" si="0"/>
        <v>1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s="2" customFormat="1" x14ac:dyDescent="0.2">
      <c r="A8" s="3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s="2" customFormat="1" x14ac:dyDescent="0.2">
      <c r="A9" s="1"/>
      <c r="B9" s="1"/>
      <c r="C9" s="1"/>
      <c r="D9" s="1"/>
      <c r="E9" s="1"/>
      <c r="F9" s="1"/>
      <c r="G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A1:U8"/>
  <sheetViews>
    <sheetView showGridLines="0" zoomScale="110" zoomScaleNormal="110" workbookViewId="0">
      <selection activeCell="G24" sqref="G24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s="2" customFormat="1" ht="13.5" thickBot="1" x14ac:dyDescent="0.25">
      <c r="A2" s="4" t="s">
        <v>118</v>
      </c>
      <c r="B2" s="5" t="s">
        <v>5</v>
      </c>
      <c r="C2" s="5" t="s">
        <v>4</v>
      </c>
      <c r="D2" s="5" t="s">
        <v>52</v>
      </c>
      <c r="E2" s="5" t="s">
        <v>53</v>
      </c>
      <c r="F2" s="1"/>
      <c r="G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s="2" customFormat="1" ht="13.5" thickBot="1" x14ac:dyDescent="0.25">
      <c r="A3" s="8" t="s">
        <v>5</v>
      </c>
      <c r="B3" s="4">
        <v>1</v>
      </c>
      <c r="C3" s="24">
        <f t="shared" ref="C3:D5" si="0">conv("rho",$B$3,$A3,C$2)</f>
        <v>6.2427960576144616E-2</v>
      </c>
      <c r="D3" s="24">
        <f>conv("rho",$B$3,$A3,D$2)</f>
        <v>1E-3</v>
      </c>
      <c r="E3" s="22">
        <f>conv("rho",$B$3,$A3,E$2)</f>
        <v>1E-3</v>
      </c>
      <c r="F3" s="1"/>
      <c r="G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s="2" customFormat="1" ht="13.5" thickBot="1" x14ac:dyDescent="0.25">
      <c r="A4" s="9" t="s">
        <v>4</v>
      </c>
      <c r="B4" s="18">
        <f>conv("rho",$B$3,$A4,B$2)</f>
        <v>16.018463373960138</v>
      </c>
      <c r="C4" s="4">
        <f t="shared" si="0"/>
        <v>1</v>
      </c>
      <c r="D4" s="20">
        <f t="shared" si="0"/>
        <v>1.6018463373960137E-2</v>
      </c>
      <c r="E4" s="23">
        <f>conv("rho",$B$3,$A4,E$2)</f>
        <v>1.6018463373960137E-2</v>
      </c>
      <c r="F4" s="1"/>
      <c r="G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s="2" customFormat="1" ht="13.5" thickBot="1" x14ac:dyDescent="0.25">
      <c r="A5" s="9" t="s">
        <v>52</v>
      </c>
      <c r="B5" s="18">
        <f>conv("rho",$B$3,$A5,B$2)</f>
        <v>1000</v>
      </c>
      <c r="C5" s="20">
        <f t="shared" si="0"/>
        <v>62.427960576144613</v>
      </c>
      <c r="D5" s="4">
        <f t="shared" si="0"/>
        <v>1</v>
      </c>
      <c r="E5" s="23">
        <f>conv("rho",$B$3,$A5,E$2)</f>
        <v>1</v>
      </c>
      <c r="F5" s="1"/>
      <c r="G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s="2" customFormat="1" ht="13.5" thickBot="1" x14ac:dyDescent="0.25">
      <c r="A6" s="9" t="s">
        <v>53</v>
      </c>
      <c r="B6" s="19">
        <f>conv("rho",$B$3,$A6,B$2)</f>
        <v>1000</v>
      </c>
      <c r="C6" s="21">
        <f>conv("rho",$B$3,$A6,C$2)</f>
        <v>62.427960576144613</v>
      </c>
      <c r="D6" s="21">
        <f>conv("rho",$B$3,$A6,D$2)</f>
        <v>1</v>
      </c>
      <c r="E6" s="4">
        <f>conv("rho",$B$3,$A6,E$2)</f>
        <v>1</v>
      </c>
      <c r="F6" s="1"/>
      <c r="G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s="2" customFormat="1" x14ac:dyDescent="0.2">
      <c r="A7" s="3"/>
      <c r="E7" s="1"/>
      <c r="F7" s="1"/>
      <c r="G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s="2" customFormat="1" x14ac:dyDescent="0.2">
      <c r="A8" s="1"/>
      <c r="B8" s="1"/>
      <c r="C8" s="1"/>
      <c r="D8" s="1"/>
      <c r="E8" s="1"/>
      <c r="F8" s="1"/>
      <c r="G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U9"/>
  <sheetViews>
    <sheetView showGridLines="0" zoomScale="110" zoomScaleNormal="110" workbookViewId="0">
      <selection activeCell="F24" sqref="F24"/>
    </sheetView>
  </sheetViews>
  <sheetFormatPr defaultColWidth="9.125" defaultRowHeight="12.75" x14ac:dyDescent="0.2"/>
  <cols>
    <col min="1" max="1" width="16.5" style="1" customWidth="1"/>
    <col min="2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s="47" customFormat="1" ht="25.5" thickBot="1" x14ac:dyDescent="0.25">
      <c r="A2" s="11" t="s">
        <v>117</v>
      </c>
      <c r="B2" s="46" t="s">
        <v>54</v>
      </c>
      <c r="C2" s="46" t="s">
        <v>34</v>
      </c>
      <c r="D2" s="46" t="s">
        <v>7</v>
      </c>
      <c r="E2" s="46" t="s">
        <v>8</v>
      </c>
      <c r="F2" s="46" t="s">
        <v>55</v>
      </c>
      <c r="G2" s="46" t="s">
        <v>56</v>
      </c>
      <c r="H2" s="46" t="s">
        <v>57</v>
      </c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</row>
    <row r="3" spans="1:21" s="2" customFormat="1" ht="13.5" thickBot="1" x14ac:dyDescent="0.25">
      <c r="A3" s="8" t="s">
        <v>54</v>
      </c>
      <c r="B3" s="4">
        <v>1</v>
      </c>
      <c r="C3" s="24">
        <f t="shared" ref="C3:H9" si="0">conv("mu",$B$3,$A3,C$2)</f>
        <v>0.01</v>
      </c>
      <c r="D3" s="24">
        <f t="shared" si="0"/>
        <v>1E-3</v>
      </c>
      <c r="E3" s="24">
        <f t="shared" si="0"/>
        <v>0.98066500000000001</v>
      </c>
      <c r="F3" s="24">
        <f t="shared" si="0"/>
        <v>2.4190883105022247</v>
      </c>
      <c r="G3" s="24">
        <f t="shared" si="0"/>
        <v>2.088543423315013E-5</v>
      </c>
      <c r="H3" s="22">
        <f t="shared" si="0"/>
        <v>6.719689751395069E-4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s="2" customFormat="1" ht="13.5" thickBot="1" x14ac:dyDescent="0.25">
      <c r="A4" s="8" t="s">
        <v>34</v>
      </c>
      <c r="B4" s="18">
        <f t="shared" ref="B4:B9" si="1">conv("mu",$B$3,$A4,B$2)</f>
        <v>100</v>
      </c>
      <c r="C4" s="4">
        <f t="shared" si="0"/>
        <v>1</v>
      </c>
      <c r="D4" s="20">
        <f t="shared" si="0"/>
        <v>0.1</v>
      </c>
      <c r="E4" s="20">
        <f t="shared" si="0"/>
        <v>98.066500000000005</v>
      </c>
      <c r="F4" s="20">
        <f t="shared" si="0"/>
        <v>241.90883105022246</v>
      </c>
      <c r="G4" s="20">
        <f t="shared" si="0"/>
        <v>2.0885434233150128E-3</v>
      </c>
      <c r="H4" s="23">
        <f t="shared" si="0"/>
        <v>6.7196897513950693E-2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s="2" customFormat="1" ht="13.5" thickBot="1" x14ac:dyDescent="0.25">
      <c r="A5" s="8" t="s">
        <v>7</v>
      </c>
      <c r="B5" s="18">
        <f t="shared" si="1"/>
        <v>1000</v>
      </c>
      <c r="C5" s="20">
        <f t="shared" si="0"/>
        <v>10</v>
      </c>
      <c r="D5" s="4">
        <f t="shared" si="0"/>
        <v>1</v>
      </c>
      <c r="E5" s="20">
        <f t="shared" si="0"/>
        <v>980.66499999999996</v>
      </c>
      <c r="F5" s="20">
        <f t="shared" si="0"/>
        <v>2419.0883105022249</v>
      </c>
      <c r="G5" s="20">
        <f t="shared" si="0"/>
        <v>2.0885434233150129E-2</v>
      </c>
      <c r="H5" s="23">
        <f t="shared" si="0"/>
        <v>0.67196897513950693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s="2" customFormat="1" ht="13.5" thickBot="1" x14ac:dyDescent="0.25">
      <c r="A6" s="8" t="s">
        <v>8</v>
      </c>
      <c r="B6" s="18">
        <f t="shared" si="1"/>
        <v>1.0197162129779282</v>
      </c>
      <c r="C6" s="20">
        <f t="shared" si="0"/>
        <v>1.0197162129779282E-2</v>
      </c>
      <c r="D6" s="20">
        <f t="shared" si="0"/>
        <v>1.0197162129779282E-3</v>
      </c>
      <c r="E6" s="4">
        <f t="shared" si="0"/>
        <v>1</v>
      </c>
      <c r="F6" s="20">
        <f t="shared" si="0"/>
        <v>2.4667835708445032</v>
      </c>
      <c r="G6" s="20">
        <f t="shared" si="0"/>
        <v>2.1297215902627431E-5</v>
      </c>
      <c r="H6" s="23">
        <f t="shared" si="0"/>
        <v>6.8521765856791755E-4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s="2" customFormat="1" ht="13.5" thickBot="1" x14ac:dyDescent="0.25">
      <c r="A7" s="8" t="s">
        <v>55</v>
      </c>
      <c r="B7" s="18">
        <f t="shared" si="1"/>
        <v>0.41337887321376493</v>
      </c>
      <c r="C7" s="20">
        <f t="shared" si="0"/>
        <v>4.1337887321376493E-3</v>
      </c>
      <c r="D7" s="20">
        <f t="shared" si="0"/>
        <v>4.1337887321376491E-4</v>
      </c>
      <c r="E7" s="20">
        <f t="shared" si="0"/>
        <v>0.40538619270017678</v>
      </c>
      <c r="F7" s="4">
        <f t="shared" si="0"/>
        <v>1</v>
      </c>
      <c r="G7" s="20">
        <f t="shared" si="0"/>
        <v>8.6335972698797928E-6</v>
      </c>
      <c r="H7" s="23">
        <f t="shared" si="0"/>
        <v>2.7777777777777778E-4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s="2" customFormat="1" ht="13.5" thickBot="1" x14ac:dyDescent="0.25">
      <c r="A8" s="8" t="s">
        <v>56</v>
      </c>
      <c r="B8" s="18">
        <f t="shared" si="1"/>
        <v>47880.258980335842</v>
      </c>
      <c r="C8" s="20">
        <f t="shared" si="0"/>
        <v>478.80258980335844</v>
      </c>
      <c r="D8" s="20">
        <f t="shared" si="0"/>
        <v>47.880258980335846</v>
      </c>
      <c r="E8" s="20">
        <f t="shared" si="0"/>
        <v>46954.494172951046</v>
      </c>
      <c r="F8" s="20">
        <f t="shared" si="0"/>
        <v>115826.5748031496</v>
      </c>
      <c r="G8" s="4">
        <f t="shared" si="0"/>
        <v>1.0000000000000002</v>
      </c>
      <c r="H8" s="23">
        <f t="shared" si="0"/>
        <v>32.174048556430449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s="2" customFormat="1" ht="13.5" thickBot="1" x14ac:dyDescent="0.25">
      <c r="A9" s="8" t="s">
        <v>57</v>
      </c>
      <c r="B9" s="19">
        <f t="shared" si="1"/>
        <v>1488.1639435695538</v>
      </c>
      <c r="C9" s="21">
        <f t="shared" si="0"/>
        <v>14.881639435695538</v>
      </c>
      <c r="D9" s="21">
        <f t="shared" si="0"/>
        <v>1.4881639435695537</v>
      </c>
      <c r="E9" s="21">
        <f t="shared" si="0"/>
        <v>1459.3902937206365</v>
      </c>
      <c r="F9" s="21">
        <f t="shared" si="0"/>
        <v>3600</v>
      </c>
      <c r="G9" s="21">
        <f t="shared" si="0"/>
        <v>3.1080950171567256E-2</v>
      </c>
      <c r="H9" s="4">
        <f t="shared" si="0"/>
        <v>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U5"/>
  <sheetViews>
    <sheetView showGridLines="0" zoomScale="110" zoomScaleNormal="110" workbookViewId="0">
      <selection activeCell="D17" sqref="D17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120</v>
      </c>
      <c r="B2" s="5" t="s">
        <v>10</v>
      </c>
      <c r="C2" s="5" t="s">
        <v>11</v>
      </c>
      <c r="D2" s="5" t="s">
        <v>58</v>
      </c>
    </row>
    <row r="3" spans="1:21" ht="13.5" thickBot="1" x14ac:dyDescent="0.25">
      <c r="A3" s="8" t="s">
        <v>10</v>
      </c>
      <c r="B3" s="4">
        <v>1</v>
      </c>
      <c r="C3" s="25">
        <f t="shared" ref="C3:D5" si="0">conv("H",$B$3,$A3,C$2)</f>
        <v>0.42992261392949266</v>
      </c>
      <c r="D3" s="26">
        <f t="shared" si="0"/>
        <v>0.23884589662749595</v>
      </c>
    </row>
    <row r="4" spans="1:21" ht="13.5" thickBot="1" x14ac:dyDescent="0.25">
      <c r="A4" s="8" t="s">
        <v>11</v>
      </c>
      <c r="B4" s="28">
        <f>conv("H",$B$3,$A4,B$2)</f>
        <v>2.3260000000000001</v>
      </c>
      <c r="C4" s="4">
        <f t="shared" si="0"/>
        <v>1</v>
      </c>
      <c r="D4" s="22">
        <f t="shared" si="0"/>
        <v>0.55555555555555558</v>
      </c>
    </row>
    <row r="5" spans="1:21" ht="13.5" thickBot="1" x14ac:dyDescent="0.25">
      <c r="A5" s="8" t="s">
        <v>58</v>
      </c>
      <c r="B5" s="29">
        <f>conv("H",$B$3,$A5,B$2)</f>
        <v>4.1867999999999999</v>
      </c>
      <c r="C5" s="27">
        <f t="shared" si="0"/>
        <v>1.7999999999999998</v>
      </c>
      <c r="D5" s="4">
        <f t="shared" si="0"/>
        <v>1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4"/>
  <sheetViews>
    <sheetView showGridLines="0" zoomScale="110" zoomScaleNormal="110" workbookViewId="0">
      <selection activeCell="F26" sqref="F26"/>
    </sheetView>
  </sheetViews>
  <sheetFormatPr defaultColWidth="9.125" defaultRowHeight="12.75" x14ac:dyDescent="0.2"/>
  <cols>
    <col min="1" max="1" width="21.375" style="1" bestFit="1" customWidth="1"/>
    <col min="2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121</v>
      </c>
      <c r="B2" s="5" t="s">
        <v>13</v>
      </c>
      <c r="C2" s="5" t="s">
        <v>14</v>
      </c>
    </row>
    <row r="3" spans="1:21" ht="13.5" thickBot="1" x14ac:dyDescent="0.25">
      <c r="A3" s="8" t="s">
        <v>13</v>
      </c>
      <c r="B3" s="4">
        <v>1</v>
      </c>
      <c r="C3" s="22">
        <f>conv("C",$B$3,$A3,C$2)</f>
        <v>0.86497809645850843</v>
      </c>
    </row>
    <row r="4" spans="1:21" ht="13.5" thickBot="1" x14ac:dyDescent="0.25">
      <c r="A4" s="8" t="s">
        <v>14</v>
      </c>
      <c r="B4" s="19">
        <f>conv("C",$B$3,$A4,B$2)</f>
        <v>1.156098638906943</v>
      </c>
      <c r="C4" s="4">
        <f>conv("C",$B$3,$A4,C$2)</f>
        <v>1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/>
  <dimension ref="A1:U152"/>
  <sheetViews>
    <sheetView showGridLines="0" zoomScale="110" zoomScaleNormal="110" workbookViewId="0">
      <selection activeCell="E14" sqref="E14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122</v>
      </c>
      <c r="B2" s="5" t="s">
        <v>16</v>
      </c>
      <c r="C2" s="5" t="s">
        <v>17</v>
      </c>
      <c r="D2" s="5" t="s">
        <v>59</v>
      </c>
    </row>
    <row r="3" spans="1:21" ht="13.5" thickBot="1" x14ac:dyDescent="0.25">
      <c r="A3" s="8" t="s">
        <v>16</v>
      </c>
      <c r="B3" s="4">
        <v>1</v>
      </c>
      <c r="C3" s="19">
        <f t="shared" ref="C3:D5" si="0">conv("F",$B$3,$A3,C$2)</f>
        <v>0.22480894309971047</v>
      </c>
      <c r="D3" s="22">
        <f t="shared" si="0"/>
        <v>0.10197162129779283</v>
      </c>
    </row>
    <row r="4" spans="1:21" ht="13.5" thickBot="1" x14ac:dyDescent="0.25">
      <c r="A4" s="8" t="s">
        <v>17</v>
      </c>
      <c r="B4" s="19">
        <f>conv("F",$B$3,$A4,B$2)</f>
        <v>4.4482216152604996</v>
      </c>
      <c r="C4" s="4">
        <f t="shared" si="0"/>
        <v>0.99999999999999989</v>
      </c>
      <c r="D4" s="22">
        <f t="shared" si="0"/>
        <v>0.45359236999999997</v>
      </c>
    </row>
    <row r="5" spans="1:21" ht="13.5" thickBot="1" x14ac:dyDescent="0.25">
      <c r="A5" s="8" t="s">
        <v>59</v>
      </c>
      <c r="B5" s="19">
        <f>conv("F",$B$3,$A5,B$2)</f>
        <v>9.8066499999999994</v>
      </c>
      <c r="C5" s="19">
        <f t="shared" si="0"/>
        <v>2.2046226218487757</v>
      </c>
      <c r="D5" s="4">
        <f t="shared" si="0"/>
        <v>1</v>
      </c>
    </row>
    <row r="7" spans="1:21" s="2" customFormat="1" x14ac:dyDescent="0.2">
      <c r="A7" s="1"/>
      <c r="B7" s="1"/>
      <c r="C7" s="1"/>
      <c r="D7" s="1"/>
      <c r="E7" s="1"/>
      <c r="F7" s="1"/>
      <c r="G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s="2" customFormat="1" x14ac:dyDescent="0.2">
      <c r="A8" s="1"/>
      <c r="B8" s="1"/>
      <c r="C8" s="1"/>
      <c r="D8" s="1"/>
      <c r="E8" s="1"/>
      <c r="F8" s="1"/>
      <c r="G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s="2" customFormat="1" x14ac:dyDescent="0.2">
      <c r="A9" s="1"/>
      <c r="B9" s="1"/>
      <c r="C9" s="1"/>
      <c r="D9" s="1"/>
      <c r="E9" s="1"/>
      <c r="F9" s="1"/>
      <c r="G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s="2" customFormat="1" x14ac:dyDescent="0.2">
      <c r="A10" s="1"/>
      <c r="B10" s="1"/>
      <c r="C10" s="1"/>
      <c r="D10" s="1"/>
      <c r="E10" s="1"/>
      <c r="F10" s="1"/>
      <c r="G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s="2" customFormat="1" x14ac:dyDescent="0.2">
      <c r="A11" s="1"/>
      <c r="B11" s="1"/>
      <c r="C11" s="1"/>
      <c r="D11" s="1"/>
      <c r="E11" s="1"/>
      <c r="F11" s="1"/>
      <c r="G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s="2" customFormat="1" x14ac:dyDescent="0.2">
      <c r="A12" s="1"/>
      <c r="B12" s="1"/>
      <c r="C12" s="1"/>
      <c r="D12" s="1"/>
      <c r="E12" s="1"/>
      <c r="F12" s="1"/>
      <c r="G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s="2" customFormat="1" x14ac:dyDescent="0.2">
      <c r="A13" s="1"/>
      <c r="B13" s="1"/>
      <c r="C13" s="1"/>
      <c r="D13" s="1"/>
      <c r="E13" s="1"/>
      <c r="F13" s="1"/>
      <c r="G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s="2" customFormat="1" x14ac:dyDescent="0.2">
      <c r="A14" s="1"/>
      <c r="B14" s="1"/>
      <c r="C14" s="1"/>
      <c r="D14" s="1"/>
      <c r="E14" s="1"/>
      <c r="F14" s="1"/>
      <c r="G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s="2" customFormat="1" x14ac:dyDescent="0.2">
      <c r="A15" s="1"/>
      <c r="B15" s="1"/>
      <c r="C15" s="1"/>
      <c r="D15" s="1"/>
      <c r="E15" s="1"/>
      <c r="F15" s="1"/>
      <c r="G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s="2" customFormat="1" x14ac:dyDescent="0.2">
      <c r="A16" s="1"/>
      <c r="B16" s="1"/>
      <c r="C16" s="1"/>
      <c r="D16" s="1"/>
      <c r="E16" s="1"/>
      <c r="F16" s="1"/>
      <c r="G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1:21" s="2" customFormat="1" x14ac:dyDescent="0.2">
      <c r="A17" s="1"/>
      <c r="B17" s="1"/>
      <c r="C17" s="1"/>
      <c r="D17" s="1"/>
      <c r="E17" s="1"/>
      <c r="F17" s="1"/>
      <c r="G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1:21" s="2" customFormat="1" x14ac:dyDescent="0.2">
      <c r="A18" s="1"/>
      <c r="B18" s="1"/>
      <c r="C18" s="1"/>
      <c r="D18" s="1"/>
      <c r="E18" s="1"/>
      <c r="F18" s="1"/>
      <c r="G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1:21" s="2" customFormat="1" x14ac:dyDescent="0.2">
      <c r="A19" s="1"/>
      <c r="B19" s="1"/>
      <c r="C19" s="1"/>
      <c r="D19" s="1"/>
      <c r="E19" s="1"/>
      <c r="F19" s="1"/>
      <c r="G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 s="2" customFormat="1" x14ac:dyDescent="0.2">
      <c r="A20" s="1"/>
      <c r="B20" s="1"/>
      <c r="C20" s="1"/>
      <c r="D20" s="1"/>
      <c r="E20" s="1"/>
      <c r="F20" s="1"/>
      <c r="G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1" s="2" customFormat="1" x14ac:dyDescent="0.2">
      <c r="A21" s="1"/>
      <c r="B21" s="1"/>
      <c r="C21" s="1"/>
      <c r="D21" s="1"/>
      <c r="E21" s="1"/>
      <c r="F21" s="1"/>
      <c r="G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1:21" s="2" customFormat="1" x14ac:dyDescent="0.2">
      <c r="A22" s="1"/>
      <c r="B22" s="1"/>
      <c r="C22" s="1"/>
      <c r="D22" s="1"/>
      <c r="E22" s="1"/>
      <c r="F22" s="1"/>
      <c r="G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1:21" s="2" customFormat="1" x14ac:dyDescent="0.2">
      <c r="A23" s="1"/>
      <c r="B23" s="1"/>
      <c r="C23" s="1"/>
      <c r="D23" s="1"/>
      <c r="E23" s="1"/>
      <c r="F23" s="1"/>
      <c r="G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1:21" s="2" customFormat="1" x14ac:dyDescent="0.2">
      <c r="A24" s="1"/>
      <c r="B24" s="1"/>
      <c r="C24" s="1"/>
      <c r="D24" s="1"/>
      <c r="E24" s="1"/>
      <c r="F24" s="1"/>
      <c r="G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1:21" s="2" customFormat="1" x14ac:dyDescent="0.2">
      <c r="A25" s="1"/>
      <c r="B25" s="1"/>
      <c r="C25" s="1"/>
      <c r="D25" s="1"/>
      <c r="E25" s="1"/>
      <c r="F25" s="1"/>
      <c r="G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1:21" s="2" customFormat="1" x14ac:dyDescent="0.2">
      <c r="A26" s="1"/>
      <c r="B26" s="1"/>
      <c r="C26" s="1"/>
      <c r="D26" s="1"/>
      <c r="E26" s="1"/>
      <c r="F26" s="1"/>
      <c r="G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  <row r="27" spans="1:21" s="2" customFormat="1" x14ac:dyDescent="0.2">
      <c r="A27" s="1"/>
      <c r="B27" s="1"/>
      <c r="C27" s="1"/>
      <c r="D27" s="1"/>
      <c r="E27" s="1"/>
      <c r="F27" s="1"/>
      <c r="G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</row>
    <row r="28" spans="1:21" s="2" customFormat="1" x14ac:dyDescent="0.2">
      <c r="A28" s="1"/>
      <c r="B28" s="1"/>
      <c r="C28" s="1"/>
      <c r="D28" s="1"/>
      <c r="E28" s="1"/>
      <c r="F28" s="1"/>
      <c r="G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</row>
    <row r="29" spans="1:21" s="2" customFormat="1" x14ac:dyDescent="0.2">
      <c r="A29" s="1"/>
      <c r="B29" s="1"/>
      <c r="C29" s="1"/>
      <c r="D29" s="1"/>
      <c r="E29" s="1"/>
      <c r="F29" s="1"/>
      <c r="G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1:21" s="2" customFormat="1" x14ac:dyDescent="0.2">
      <c r="A30" s="1"/>
      <c r="B30" s="1"/>
      <c r="C30" s="1"/>
      <c r="D30" s="1"/>
      <c r="E30" s="1"/>
      <c r="F30" s="1"/>
      <c r="G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1:21" s="2" customFormat="1" x14ac:dyDescent="0.2">
      <c r="A31" s="1"/>
      <c r="B31" s="1"/>
      <c r="C31" s="1"/>
      <c r="D31" s="1"/>
      <c r="E31" s="1"/>
      <c r="F31" s="1"/>
      <c r="G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</row>
    <row r="32" spans="1:21" s="2" customFormat="1" x14ac:dyDescent="0.2">
      <c r="A32" s="1"/>
      <c r="B32" s="1"/>
      <c r="C32" s="1"/>
      <c r="D32" s="1"/>
      <c r="E32" s="1"/>
      <c r="F32" s="1"/>
      <c r="G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s="2" customFormat="1" x14ac:dyDescent="0.2">
      <c r="A33" s="1"/>
      <c r="B33" s="1"/>
      <c r="C33" s="1"/>
      <c r="D33" s="1"/>
      <c r="E33" s="1"/>
      <c r="F33" s="1"/>
      <c r="G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s="2" customFormat="1" x14ac:dyDescent="0.2">
      <c r="A34" s="1"/>
      <c r="B34" s="1"/>
      <c r="C34" s="1"/>
      <c r="D34" s="1"/>
      <c r="E34" s="1"/>
      <c r="F34" s="1"/>
      <c r="G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s="2" customFormat="1" x14ac:dyDescent="0.2">
      <c r="A35" s="1"/>
      <c r="B35" s="1"/>
      <c r="C35" s="1"/>
      <c r="D35" s="1"/>
      <c r="E35" s="1"/>
      <c r="F35" s="1"/>
      <c r="G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s="2" customFormat="1" x14ac:dyDescent="0.2">
      <c r="A36" s="1"/>
      <c r="B36" s="1"/>
      <c r="C36" s="1"/>
      <c r="D36" s="1"/>
      <c r="E36" s="1"/>
      <c r="F36" s="1"/>
      <c r="G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s="2" customFormat="1" x14ac:dyDescent="0.2">
      <c r="A37" s="1"/>
      <c r="B37" s="1"/>
      <c r="C37" s="1"/>
      <c r="D37" s="1"/>
      <c r="E37" s="1"/>
      <c r="F37" s="1"/>
      <c r="G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s="2" customFormat="1" x14ac:dyDescent="0.2">
      <c r="A38" s="1"/>
      <c r="B38" s="1"/>
      <c r="C38" s="1"/>
      <c r="D38" s="1"/>
      <c r="E38" s="1"/>
      <c r="F38" s="1"/>
      <c r="G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s="2" customFormat="1" x14ac:dyDescent="0.2">
      <c r="A39" s="1"/>
      <c r="B39" s="1"/>
      <c r="C39" s="1"/>
      <c r="D39" s="1"/>
      <c r="E39" s="1"/>
      <c r="F39" s="1"/>
      <c r="G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s="2" customFormat="1" x14ac:dyDescent="0.2">
      <c r="A40" s="1"/>
      <c r="B40" s="1"/>
      <c r="C40" s="1"/>
      <c r="D40" s="1"/>
      <c r="E40" s="1"/>
      <c r="F40" s="1"/>
      <c r="G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s="2" customFormat="1" x14ac:dyDescent="0.2">
      <c r="A41" s="1"/>
      <c r="B41" s="1"/>
      <c r="C41" s="1"/>
      <c r="D41" s="1"/>
      <c r="E41" s="1"/>
      <c r="F41" s="1"/>
      <c r="G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s="2" customFormat="1" x14ac:dyDescent="0.2">
      <c r="A42" s="1"/>
      <c r="B42" s="1"/>
      <c r="C42" s="1"/>
      <c r="D42" s="1"/>
      <c r="E42" s="1"/>
      <c r="F42" s="1"/>
      <c r="G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s="2" customFormat="1" x14ac:dyDescent="0.2">
      <c r="A43" s="1"/>
      <c r="B43" s="1"/>
      <c r="C43" s="1"/>
      <c r="D43" s="1"/>
      <c r="E43" s="1"/>
      <c r="F43" s="1"/>
      <c r="G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s="2" customFormat="1" x14ac:dyDescent="0.2">
      <c r="A44" s="1"/>
      <c r="B44" s="1"/>
      <c r="C44" s="1"/>
      <c r="D44" s="1"/>
      <c r="E44" s="1"/>
      <c r="F44" s="1"/>
      <c r="G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s="2" customFormat="1" x14ac:dyDescent="0.2">
      <c r="A45" s="1"/>
      <c r="B45" s="1"/>
      <c r="C45" s="1"/>
      <c r="D45" s="1"/>
      <c r="E45" s="1"/>
      <c r="F45" s="1"/>
      <c r="G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s="2" customFormat="1" x14ac:dyDescent="0.2">
      <c r="A46" s="1"/>
      <c r="B46" s="1"/>
      <c r="C46" s="1"/>
      <c r="D46" s="1"/>
      <c r="E46" s="1"/>
      <c r="F46" s="1"/>
      <c r="G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s="2" customFormat="1" x14ac:dyDescent="0.2">
      <c r="A47" s="1"/>
      <c r="B47" s="1"/>
      <c r="C47" s="1"/>
      <c r="D47" s="1"/>
      <c r="E47" s="1"/>
      <c r="F47" s="1"/>
      <c r="G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s="2" customFormat="1" x14ac:dyDescent="0.2">
      <c r="A48" s="1"/>
      <c r="B48" s="1"/>
      <c r="C48" s="1"/>
      <c r="D48" s="1"/>
      <c r="E48" s="1"/>
      <c r="F48" s="1"/>
      <c r="G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s="2" customFormat="1" x14ac:dyDescent="0.2">
      <c r="A49" s="1"/>
      <c r="B49" s="1"/>
      <c r="C49" s="1"/>
      <c r="D49" s="1"/>
      <c r="E49" s="1"/>
      <c r="F49" s="1"/>
      <c r="G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s="2" customFormat="1" x14ac:dyDescent="0.2">
      <c r="A50" s="1"/>
      <c r="B50" s="1"/>
      <c r="C50" s="1"/>
      <c r="D50" s="1"/>
      <c r="E50" s="1"/>
      <c r="F50" s="1"/>
      <c r="G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s="2" customFormat="1" x14ac:dyDescent="0.2">
      <c r="A51" s="1"/>
      <c r="B51" s="1"/>
      <c r="C51" s="1"/>
      <c r="D51" s="1"/>
      <c r="E51" s="1"/>
      <c r="F51" s="1"/>
      <c r="G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s="2" customFormat="1" x14ac:dyDescent="0.2">
      <c r="A52" s="1"/>
      <c r="B52" s="1"/>
      <c r="C52" s="1"/>
      <c r="D52" s="1"/>
      <c r="E52" s="1"/>
      <c r="F52" s="1"/>
      <c r="G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s="2" customFormat="1" x14ac:dyDescent="0.2">
      <c r="A53" s="1"/>
      <c r="B53" s="1"/>
      <c r="C53" s="1"/>
      <c r="D53" s="1"/>
      <c r="E53" s="1"/>
      <c r="F53" s="1"/>
      <c r="G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s="2" customFormat="1" x14ac:dyDescent="0.2">
      <c r="A54" s="1"/>
      <c r="B54" s="1"/>
      <c r="C54" s="1"/>
      <c r="D54" s="1"/>
      <c r="E54" s="1"/>
      <c r="F54" s="1"/>
      <c r="G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s="2" customFormat="1" x14ac:dyDescent="0.2">
      <c r="A55" s="1"/>
      <c r="B55" s="1"/>
      <c r="C55" s="1"/>
      <c r="D55" s="1"/>
      <c r="E55" s="1"/>
      <c r="F55" s="1"/>
      <c r="G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s="2" customFormat="1" x14ac:dyDescent="0.2">
      <c r="A56" s="1"/>
      <c r="B56" s="1"/>
      <c r="C56" s="1"/>
      <c r="D56" s="1"/>
      <c r="E56" s="1"/>
      <c r="F56" s="1"/>
      <c r="G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s="2" customFormat="1" x14ac:dyDescent="0.2">
      <c r="A57" s="1"/>
      <c r="B57" s="1"/>
      <c r="C57" s="1"/>
      <c r="D57" s="1"/>
      <c r="E57" s="1"/>
      <c r="F57" s="1"/>
      <c r="G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s="2" customFormat="1" x14ac:dyDescent="0.2">
      <c r="A58" s="1"/>
      <c r="B58" s="1"/>
      <c r="C58" s="1"/>
      <c r="D58" s="1"/>
      <c r="E58" s="1"/>
      <c r="F58" s="1"/>
      <c r="G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s="2" customFormat="1" x14ac:dyDescent="0.2">
      <c r="A59" s="1"/>
      <c r="B59" s="1"/>
      <c r="C59" s="1"/>
      <c r="D59" s="1"/>
      <c r="E59" s="1"/>
      <c r="F59" s="1"/>
      <c r="G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s="2" customFormat="1" x14ac:dyDescent="0.2">
      <c r="A60" s="1"/>
      <c r="B60" s="1"/>
      <c r="C60" s="1"/>
      <c r="D60" s="1"/>
      <c r="E60" s="1"/>
      <c r="F60" s="1"/>
      <c r="G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s="2" customFormat="1" x14ac:dyDescent="0.2">
      <c r="A61" s="1"/>
      <c r="B61" s="1"/>
      <c r="C61" s="1"/>
      <c r="D61" s="1"/>
      <c r="E61" s="1"/>
      <c r="F61" s="1"/>
      <c r="G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s="2" customFormat="1" x14ac:dyDescent="0.2">
      <c r="A62" s="1"/>
      <c r="B62" s="1"/>
      <c r="C62" s="1"/>
      <c r="D62" s="1"/>
      <c r="E62" s="1"/>
      <c r="F62" s="1"/>
      <c r="G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1:21" s="2" customFormat="1" x14ac:dyDescent="0.2">
      <c r="A63" s="1"/>
      <c r="B63" s="1"/>
      <c r="C63" s="1"/>
      <c r="D63" s="1"/>
      <c r="E63" s="1"/>
      <c r="F63" s="1"/>
      <c r="G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1:21" s="2" customFormat="1" x14ac:dyDescent="0.2">
      <c r="A64" s="1"/>
      <c r="B64" s="1"/>
      <c r="C64" s="1"/>
      <c r="D64" s="1"/>
      <c r="E64" s="1"/>
      <c r="F64" s="1"/>
      <c r="G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s="2" customFormat="1" x14ac:dyDescent="0.2">
      <c r="A65" s="1"/>
      <c r="B65" s="1"/>
      <c r="C65" s="1"/>
      <c r="D65" s="1"/>
      <c r="E65" s="1"/>
      <c r="F65" s="1"/>
      <c r="G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s="2" customFormat="1" x14ac:dyDescent="0.2">
      <c r="A66" s="1"/>
      <c r="B66" s="1"/>
      <c r="C66" s="1"/>
      <c r="D66" s="1"/>
      <c r="E66" s="1"/>
      <c r="F66" s="1"/>
      <c r="G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s="2" customFormat="1" x14ac:dyDescent="0.2">
      <c r="A67" s="1"/>
      <c r="B67" s="1"/>
      <c r="C67" s="1"/>
      <c r="D67" s="1"/>
      <c r="E67" s="1"/>
      <c r="F67" s="1"/>
      <c r="G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s="2" customFormat="1" x14ac:dyDescent="0.2">
      <c r="A68" s="1"/>
      <c r="B68" s="1"/>
      <c r="C68" s="1"/>
      <c r="D68" s="1"/>
      <c r="E68" s="1"/>
      <c r="F68" s="1"/>
      <c r="G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s="2" customFormat="1" x14ac:dyDescent="0.2">
      <c r="A69" s="1"/>
      <c r="B69" s="1"/>
      <c r="C69" s="1"/>
      <c r="D69" s="1"/>
      <c r="E69" s="1"/>
      <c r="F69" s="1"/>
      <c r="G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s="2" customFormat="1" x14ac:dyDescent="0.2">
      <c r="A70" s="1"/>
      <c r="B70" s="1"/>
      <c r="C70" s="1"/>
      <c r="D70" s="1"/>
      <c r="E70" s="1"/>
      <c r="F70" s="1"/>
      <c r="G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s="2" customFormat="1" x14ac:dyDescent="0.2">
      <c r="A71" s="1"/>
      <c r="B71" s="1"/>
      <c r="C71" s="1"/>
      <c r="D71" s="1"/>
      <c r="E71" s="1"/>
      <c r="F71" s="1"/>
      <c r="G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s="2" customFormat="1" x14ac:dyDescent="0.2">
      <c r="A72" s="1"/>
      <c r="B72" s="1"/>
      <c r="C72" s="1"/>
      <c r="D72" s="1"/>
      <c r="E72" s="1"/>
      <c r="F72" s="1"/>
      <c r="G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s="2" customFormat="1" x14ac:dyDescent="0.2">
      <c r="A73" s="1"/>
      <c r="B73" s="1"/>
      <c r="C73" s="1"/>
      <c r="D73" s="1"/>
      <c r="E73" s="1"/>
      <c r="F73" s="1"/>
      <c r="G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s="2" customFormat="1" x14ac:dyDescent="0.2">
      <c r="A74" s="1"/>
      <c r="B74" s="1"/>
      <c r="C74" s="1"/>
      <c r="D74" s="1"/>
      <c r="E74" s="1"/>
      <c r="F74" s="1"/>
      <c r="G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s="2" customFormat="1" x14ac:dyDescent="0.2">
      <c r="A75" s="1"/>
      <c r="B75" s="1"/>
      <c r="C75" s="1"/>
      <c r="D75" s="1"/>
      <c r="E75" s="1"/>
      <c r="F75" s="1"/>
      <c r="G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s="2" customFormat="1" x14ac:dyDescent="0.2">
      <c r="A76" s="1"/>
      <c r="B76" s="1"/>
      <c r="C76" s="1"/>
      <c r="D76" s="1"/>
      <c r="E76" s="1"/>
      <c r="F76" s="1"/>
      <c r="G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s="2" customFormat="1" x14ac:dyDescent="0.2">
      <c r="A77" s="1"/>
      <c r="B77" s="1"/>
      <c r="C77" s="1"/>
      <c r="D77" s="1"/>
      <c r="E77" s="1"/>
      <c r="F77" s="1"/>
      <c r="G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s="2" customFormat="1" x14ac:dyDescent="0.2">
      <c r="A78" s="1"/>
      <c r="B78" s="1"/>
      <c r="C78" s="1"/>
      <c r="D78" s="1"/>
      <c r="E78" s="1"/>
      <c r="F78" s="1"/>
      <c r="G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s="2" customFormat="1" x14ac:dyDescent="0.2">
      <c r="A79" s="1"/>
      <c r="B79" s="1"/>
      <c r="C79" s="1"/>
      <c r="D79" s="1"/>
      <c r="E79" s="1"/>
      <c r="F79" s="1"/>
      <c r="G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s="2" customFormat="1" x14ac:dyDescent="0.2">
      <c r="A80" s="1"/>
      <c r="B80" s="1"/>
      <c r="C80" s="1"/>
      <c r="D80" s="1"/>
      <c r="E80" s="1"/>
      <c r="F80" s="1"/>
      <c r="G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s="2" customFormat="1" x14ac:dyDescent="0.2">
      <c r="A81" s="1"/>
      <c r="B81" s="1"/>
      <c r="C81" s="1"/>
      <c r="D81" s="1"/>
      <c r="E81" s="1"/>
      <c r="F81" s="1"/>
      <c r="G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s="2" customFormat="1" x14ac:dyDescent="0.2">
      <c r="A82" s="1"/>
      <c r="B82" s="1"/>
      <c r="C82" s="1"/>
      <c r="D82" s="1"/>
      <c r="E82" s="1"/>
      <c r="F82" s="1"/>
      <c r="G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s="2" customFormat="1" x14ac:dyDescent="0.2">
      <c r="A83" s="1"/>
      <c r="B83" s="1"/>
      <c r="C83" s="1"/>
      <c r="D83" s="1"/>
      <c r="E83" s="1"/>
      <c r="F83" s="1"/>
      <c r="G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s="2" customFormat="1" x14ac:dyDescent="0.2">
      <c r="A84" s="1"/>
      <c r="B84" s="1"/>
      <c r="C84" s="1"/>
      <c r="D84" s="1"/>
      <c r="E84" s="1"/>
      <c r="F84" s="1"/>
      <c r="G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s="2" customFormat="1" x14ac:dyDescent="0.2">
      <c r="A85" s="1"/>
      <c r="B85" s="1"/>
      <c r="C85" s="1"/>
      <c r="D85" s="1"/>
      <c r="E85" s="1"/>
      <c r="F85" s="1"/>
      <c r="G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s="2" customFormat="1" x14ac:dyDescent="0.2">
      <c r="A86" s="1"/>
      <c r="B86" s="1"/>
      <c r="C86" s="1"/>
      <c r="D86" s="1"/>
      <c r="E86" s="1"/>
      <c r="F86" s="1"/>
      <c r="G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s="2" customFormat="1" x14ac:dyDescent="0.2">
      <c r="A87" s="1"/>
      <c r="B87" s="1"/>
      <c r="C87" s="1"/>
      <c r="D87" s="1"/>
      <c r="E87" s="1"/>
      <c r="F87" s="1"/>
      <c r="G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s="2" customFormat="1" x14ac:dyDescent="0.2">
      <c r="A88" s="1"/>
      <c r="B88" s="1"/>
      <c r="C88" s="1"/>
      <c r="D88" s="1"/>
      <c r="E88" s="1"/>
      <c r="F88" s="1"/>
      <c r="G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s="2" customFormat="1" x14ac:dyDescent="0.2">
      <c r="A89" s="1"/>
      <c r="B89" s="1"/>
      <c r="C89" s="1"/>
      <c r="D89" s="1"/>
      <c r="E89" s="1"/>
      <c r="F89" s="1"/>
      <c r="G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s="2" customFormat="1" x14ac:dyDescent="0.2">
      <c r="A90" s="1"/>
      <c r="B90" s="1"/>
      <c r="C90" s="1"/>
      <c r="D90" s="1"/>
      <c r="E90" s="1"/>
      <c r="F90" s="1"/>
      <c r="G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s="2" customFormat="1" x14ac:dyDescent="0.2">
      <c r="A91" s="1"/>
      <c r="B91" s="1"/>
      <c r="C91" s="1"/>
      <c r="D91" s="1"/>
      <c r="E91" s="1"/>
      <c r="F91" s="1"/>
      <c r="G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s="2" customFormat="1" x14ac:dyDescent="0.2">
      <c r="A92" s="1"/>
      <c r="B92" s="1"/>
      <c r="C92" s="1"/>
      <c r="D92" s="1"/>
      <c r="E92" s="1"/>
      <c r="F92" s="1"/>
      <c r="G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s="2" customFormat="1" x14ac:dyDescent="0.2">
      <c r="A93" s="1"/>
      <c r="B93" s="1"/>
      <c r="C93" s="1"/>
      <c r="D93" s="1"/>
      <c r="E93" s="1"/>
      <c r="F93" s="1"/>
      <c r="G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s="2" customFormat="1" x14ac:dyDescent="0.2">
      <c r="A94" s="1"/>
      <c r="B94" s="1"/>
      <c r="C94" s="1"/>
      <c r="D94" s="1"/>
      <c r="E94" s="1"/>
      <c r="F94" s="1"/>
      <c r="G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s="2" customFormat="1" x14ac:dyDescent="0.2">
      <c r="A95" s="1"/>
      <c r="B95" s="1"/>
      <c r="C95" s="1"/>
      <c r="D95" s="1"/>
      <c r="E95" s="1"/>
      <c r="F95" s="1"/>
      <c r="G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s="2" customFormat="1" x14ac:dyDescent="0.2">
      <c r="A96" s="1"/>
      <c r="B96" s="1"/>
      <c r="C96" s="1"/>
      <c r="D96" s="1"/>
      <c r="E96" s="1"/>
      <c r="F96" s="1"/>
      <c r="G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s="2" customFormat="1" x14ac:dyDescent="0.2">
      <c r="A97" s="1"/>
      <c r="B97" s="1"/>
      <c r="C97" s="1"/>
      <c r="D97" s="1"/>
      <c r="E97" s="1"/>
      <c r="F97" s="1"/>
      <c r="G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s="2" customFormat="1" x14ac:dyDescent="0.2">
      <c r="A98" s="1"/>
      <c r="B98" s="1"/>
      <c r="C98" s="1"/>
      <c r="D98" s="1"/>
      <c r="E98" s="1"/>
      <c r="F98" s="1"/>
      <c r="G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s="2" customFormat="1" x14ac:dyDescent="0.2">
      <c r="A99" s="1"/>
      <c r="B99" s="1"/>
      <c r="C99" s="1"/>
      <c r="D99" s="1"/>
      <c r="E99" s="1"/>
      <c r="F99" s="1"/>
      <c r="G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s="2" customFormat="1" x14ac:dyDescent="0.2">
      <c r="A100" s="1"/>
      <c r="B100" s="1"/>
      <c r="C100" s="1"/>
      <c r="D100" s="1"/>
      <c r="E100" s="1"/>
      <c r="F100" s="1"/>
      <c r="G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s="2" customFormat="1" x14ac:dyDescent="0.2">
      <c r="A101" s="1"/>
      <c r="B101" s="1"/>
      <c r="C101" s="1"/>
      <c r="D101" s="1"/>
      <c r="E101" s="1"/>
      <c r="F101" s="1"/>
      <c r="G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s="2" customFormat="1" x14ac:dyDescent="0.2">
      <c r="A102" s="1"/>
      <c r="B102" s="1"/>
      <c r="C102" s="1"/>
      <c r="D102" s="1"/>
      <c r="E102" s="1"/>
      <c r="F102" s="1"/>
      <c r="G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s="2" customFormat="1" x14ac:dyDescent="0.2">
      <c r="A103" s="1"/>
      <c r="B103" s="1"/>
      <c r="C103" s="1"/>
      <c r="D103" s="1"/>
      <c r="E103" s="1"/>
      <c r="F103" s="1"/>
      <c r="G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s="2" customFormat="1" x14ac:dyDescent="0.2">
      <c r="A104" s="1"/>
      <c r="B104" s="1"/>
      <c r="C104" s="1"/>
      <c r="D104" s="1"/>
      <c r="E104" s="1"/>
      <c r="F104" s="1"/>
      <c r="G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s="2" customFormat="1" x14ac:dyDescent="0.2">
      <c r="A105" s="1"/>
      <c r="B105" s="1"/>
      <c r="C105" s="1"/>
      <c r="D105" s="1"/>
      <c r="E105" s="1"/>
      <c r="F105" s="1"/>
      <c r="G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s="2" customFormat="1" x14ac:dyDescent="0.2">
      <c r="A106" s="1"/>
      <c r="B106" s="1"/>
      <c r="C106" s="1"/>
      <c r="D106" s="1"/>
      <c r="E106" s="1"/>
      <c r="F106" s="1"/>
      <c r="G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s="2" customFormat="1" x14ac:dyDescent="0.2">
      <c r="A107" s="1"/>
      <c r="B107" s="1"/>
      <c r="C107" s="1"/>
      <c r="D107" s="1"/>
      <c r="E107" s="1"/>
      <c r="F107" s="1"/>
      <c r="G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s="2" customFormat="1" x14ac:dyDescent="0.2">
      <c r="A108" s="1"/>
      <c r="B108" s="1"/>
      <c r="C108" s="1"/>
      <c r="D108" s="1"/>
      <c r="E108" s="1"/>
      <c r="F108" s="1"/>
      <c r="G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s="2" customFormat="1" x14ac:dyDescent="0.2">
      <c r="A109" s="1"/>
      <c r="B109" s="1"/>
      <c r="C109" s="1"/>
      <c r="D109" s="1"/>
      <c r="E109" s="1"/>
      <c r="F109" s="1"/>
      <c r="G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s="2" customFormat="1" x14ac:dyDescent="0.2">
      <c r="A110" s="1"/>
      <c r="B110" s="1"/>
      <c r="C110" s="1"/>
      <c r="D110" s="1"/>
      <c r="E110" s="1"/>
      <c r="F110" s="1"/>
      <c r="G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s="2" customFormat="1" x14ac:dyDescent="0.2">
      <c r="A111" s="1"/>
      <c r="B111" s="1"/>
      <c r="C111" s="1"/>
      <c r="D111" s="1"/>
      <c r="E111" s="1"/>
      <c r="F111" s="1"/>
      <c r="G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s="2" customFormat="1" x14ac:dyDescent="0.2">
      <c r="A112" s="1"/>
      <c r="B112" s="1"/>
      <c r="C112" s="1"/>
      <c r="D112" s="1"/>
      <c r="E112" s="1"/>
      <c r="F112" s="1"/>
      <c r="G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s="2" customFormat="1" x14ac:dyDescent="0.2">
      <c r="A113" s="1"/>
      <c r="B113" s="1"/>
      <c r="C113" s="1"/>
      <c r="D113" s="1"/>
      <c r="E113" s="1"/>
      <c r="F113" s="1"/>
      <c r="G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s="2" customFormat="1" x14ac:dyDescent="0.2">
      <c r="A114" s="1"/>
      <c r="B114" s="1"/>
      <c r="C114" s="1"/>
      <c r="D114" s="1"/>
      <c r="E114" s="1"/>
      <c r="F114" s="1"/>
      <c r="G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s="2" customFormat="1" x14ac:dyDescent="0.2">
      <c r="A115" s="1"/>
      <c r="B115" s="1"/>
      <c r="C115" s="1"/>
      <c r="D115" s="1"/>
      <c r="E115" s="1"/>
      <c r="F115" s="1"/>
      <c r="G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s="2" customFormat="1" x14ac:dyDescent="0.2">
      <c r="A116" s="1"/>
      <c r="B116" s="1"/>
      <c r="C116" s="1"/>
      <c r="D116" s="1"/>
      <c r="E116" s="1"/>
      <c r="F116" s="1"/>
      <c r="G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s="2" customFormat="1" x14ac:dyDescent="0.2">
      <c r="A117" s="1"/>
      <c r="B117" s="1"/>
      <c r="C117" s="1"/>
      <c r="D117" s="1"/>
      <c r="E117" s="1"/>
      <c r="F117" s="1"/>
      <c r="G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s="2" customFormat="1" x14ac:dyDescent="0.2">
      <c r="A118" s="1"/>
      <c r="B118" s="1"/>
      <c r="C118" s="1"/>
      <c r="D118" s="1"/>
      <c r="E118" s="1"/>
      <c r="F118" s="1"/>
      <c r="G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s="2" customFormat="1" x14ac:dyDescent="0.2">
      <c r="A119" s="1"/>
      <c r="B119" s="1"/>
      <c r="C119" s="1"/>
      <c r="D119" s="1"/>
      <c r="E119" s="1"/>
      <c r="F119" s="1"/>
      <c r="G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s="2" customFormat="1" x14ac:dyDescent="0.2">
      <c r="A120" s="1"/>
      <c r="B120" s="1"/>
      <c r="C120" s="1"/>
      <c r="D120" s="1"/>
      <c r="E120" s="1"/>
      <c r="F120" s="1"/>
      <c r="G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s="2" customFormat="1" x14ac:dyDescent="0.2">
      <c r="A121" s="1"/>
      <c r="B121" s="1"/>
      <c r="C121" s="1"/>
      <c r="D121" s="1"/>
      <c r="E121" s="1"/>
      <c r="F121" s="1"/>
      <c r="G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s="2" customFormat="1" x14ac:dyDescent="0.2">
      <c r="A122" s="1"/>
      <c r="B122" s="1"/>
      <c r="C122" s="1"/>
      <c r="D122" s="1"/>
      <c r="E122" s="1"/>
      <c r="F122" s="1"/>
      <c r="G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s="2" customFormat="1" x14ac:dyDescent="0.2">
      <c r="A123" s="1"/>
      <c r="B123" s="1"/>
      <c r="C123" s="1"/>
      <c r="D123" s="1"/>
      <c r="E123" s="1"/>
      <c r="F123" s="1"/>
      <c r="G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s="2" customFormat="1" x14ac:dyDescent="0.2">
      <c r="A124" s="1"/>
      <c r="B124" s="1"/>
      <c r="C124" s="1"/>
      <c r="D124" s="1"/>
      <c r="E124" s="1"/>
      <c r="F124" s="1"/>
      <c r="G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s="2" customFormat="1" x14ac:dyDescent="0.2">
      <c r="A125" s="1"/>
      <c r="B125" s="1"/>
      <c r="C125" s="1"/>
      <c r="D125" s="1"/>
      <c r="E125" s="1"/>
      <c r="F125" s="1"/>
      <c r="G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s="2" customFormat="1" x14ac:dyDescent="0.2">
      <c r="A126" s="1"/>
      <c r="B126" s="1"/>
      <c r="C126" s="1"/>
      <c r="D126" s="1"/>
      <c r="E126" s="1"/>
      <c r="F126" s="1"/>
      <c r="G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s="2" customFormat="1" x14ac:dyDescent="0.2">
      <c r="A127" s="1"/>
      <c r="B127" s="1"/>
      <c r="C127" s="1"/>
      <c r="D127" s="1"/>
      <c r="E127" s="1"/>
      <c r="F127" s="1"/>
      <c r="G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s="2" customFormat="1" x14ac:dyDescent="0.2">
      <c r="A128" s="1"/>
      <c r="B128" s="1"/>
      <c r="C128" s="1"/>
      <c r="D128" s="1"/>
      <c r="E128" s="1"/>
      <c r="F128" s="1"/>
      <c r="G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s="2" customFormat="1" x14ac:dyDescent="0.2">
      <c r="A129" s="1"/>
      <c r="B129" s="1"/>
      <c r="C129" s="1"/>
      <c r="D129" s="1"/>
      <c r="E129" s="1"/>
      <c r="F129" s="1"/>
      <c r="G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s="2" customFormat="1" x14ac:dyDescent="0.2">
      <c r="A130" s="1"/>
      <c r="B130" s="1"/>
      <c r="C130" s="1"/>
      <c r="D130" s="1"/>
      <c r="E130" s="1"/>
      <c r="F130" s="1"/>
      <c r="G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s="2" customFormat="1" x14ac:dyDescent="0.2">
      <c r="A131" s="1"/>
      <c r="B131" s="1"/>
      <c r="C131" s="1"/>
      <c r="D131" s="1"/>
      <c r="E131" s="1"/>
      <c r="F131" s="1"/>
      <c r="G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s="2" customFormat="1" x14ac:dyDescent="0.2">
      <c r="A132" s="1"/>
      <c r="B132" s="1"/>
      <c r="C132" s="1"/>
      <c r="D132" s="1"/>
      <c r="E132" s="1"/>
      <c r="F132" s="1"/>
      <c r="G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s="2" customFormat="1" x14ac:dyDescent="0.2">
      <c r="A133" s="1"/>
      <c r="B133" s="1"/>
      <c r="C133" s="1"/>
      <c r="D133" s="1"/>
      <c r="E133" s="1"/>
      <c r="F133" s="1"/>
      <c r="G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s="2" customFormat="1" x14ac:dyDescent="0.2">
      <c r="A134" s="1"/>
      <c r="B134" s="1"/>
      <c r="C134" s="1"/>
      <c r="D134" s="1"/>
      <c r="E134" s="1"/>
      <c r="F134" s="1"/>
      <c r="G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s="2" customFormat="1" x14ac:dyDescent="0.2">
      <c r="A135" s="1"/>
      <c r="B135" s="1"/>
      <c r="C135" s="1"/>
      <c r="D135" s="1"/>
      <c r="E135" s="1"/>
      <c r="F135" s="1"/>
      <c r="G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s="2" customFormat="1" x14ac:dyDescent="0.2">
      <c r="A136" s="1"/>
      <c r="B136" s="1"/>
      <c r="C136" s="1"/>
      <c r="D136" s="1"/>
      <c r="E136" s="1"/>
      <c r="F136" s="1"/>
      <c r="G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s="2" customFormat="1" x14ac:dyDescent="0.2">
      <c r="A137" s="1"/>
      <c r="B137" s="1"/>
      <c r="C137" s="1"/>
      <c r="D137" s="1"/>
      <c r="E137" s="1"/>
      <c r="F137" s="1"/>
      <c r="G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s="2" customFormat="1" x14ac:dyDescent="0.2">
      <c r="A138" s="1"/>
      <c r="B138" s="1"/>
      <c r="C138" s="1"/>
      <c r="D138" s="1"/>
      <c r="E138" s="1"/>
      <c r="F138" s="1"/>
      <c r="G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s="2" customFormat="1" x14ac:dyDescent="0.2">
      <c r="A139" s="1"/>
      <c r="B139" s="1"/>
      <c r="C139" s="1"/>
      <c r="D139" s="1"/>
      <c r="E139" s="1"/>
      <c r="F139" s="1"/>
      <c r="G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s="2" customFormat="1" x14ac:dyDescent="0.2">
      <c r="A140" s="1"/>
      <c r="B140" s="1"/>
      <c r="C140" s="1"/>
      <c r="D140" s="1"/>
      <c r="E140" s="1"/>
      <c r="F140" s="1"/>
      <c r="G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s="2" customFormat="1" x14ac:dyDescent="0.2">
      <c r="A141" s="1"/>
      <c r="B141" s="1"/>
      <c r="C141" s="1"/>
      <c r="D141" s="1"/>
      <c r="E141" s="1"/>
      <c r="F141" s="1"/>
      <c r="G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s="2" customFormat="1" x14ac:dyDescent="0.2">
      <c r="A142" s="1"/>
      <c r="B142" s="1"/>
      <c r="C142" s="1"/>
      <c r="D142" s="1"/>
      <c r="E142" s="1"/>
      <c r="F142" s="1"/>
      <c r="G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s="2" customFormat="1" x14ac:dyDescent="0.2">
      <c r="A143" s="1"/>
      <c r="B143" s="1"/>
      <c r="C143" s="1"/>
      <c r="D143" s="1"/>
      <c r="E143" s="1"/>
      <c r="F143" s="1"/>
      <c r="G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s="2" customFormat="1" x14ac:dyDescent="0.2">
      <c r="A144" s="1"/>
      <c r="B144" s="1"/>
      <c r="C144" s="1"/>
      <c r="D144" s="1"/>
      <c r="E144" s="1"/>
      <c r="F144" s="1"/>
      <c r="G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s="2" customFormat="1" x14ac:dyDescent="0.2">
      <c r="A145" s="1"/>
      <c r="B145" s="1"/>
      <c r="C145" s="1"/>
      <c r="D145" s="1"/>
      <c r="E145" s="1"/>
      <c r="F145" s="1"/>
      <c r="G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s="2" customFormat="1" x14ac:dyDescent="0.2">
      <c r="A146" s="1"/>
      <c r="B146" s="1"/>
      <c r="C146" s="1"/>
      <c r="D146" s="1"/>
      <c r="E146" s="1"/>
      <c r="F146" s="1"/>
      <c r="G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s="2" customFormat="1" x14ac:dyDescent="0.2">
      <c r="A147" s="1"/>
      <c r="B147" s="1"/>
      <c r="C147" s="1"/>
      <c r="D147" s="1"/>
      <c r="E147" s="1"/>
      <c r="F147" s="1"/>
      <c r="G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s="2" customFormat="1" x14ac:dyDescent="0.2">
      <c r="A148" s="1"/>
      <c r="B148" s="1"/>
      <c r="C148" s="1"/>
      <c r="D148" s="1"/>
      <c r="E148" s="1"/>
      <c r="F148" s="1"/>
      <c r="G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s="2" customFormat="1" x14ac:dyDescent="0.2">
      <c r="A149" s="1"/>
      <c r="B149" s="1"/>
      <c r="C149" s="1"/>
      <c r="D149" s="1"/>
      <c r="E149" s="1"/>
      <c r="F149" s="1"/>
      <c r="G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s="2" customFormat="1" x14ac:dyDescent="0.2">
      <c r="A150" s="1"/>
      <c r="B150" s="1"/>
      <c r="C150" s="1"/>
      <c r="D150" s="1"/>
      <c r="E150" s="1"/>
      <c r="F150" s="1"/>
      <c r="G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s="2" customFormat="1" x14ac:dyDescent="0.2">
      <c r="A151" s="1"/>
      <c r="B151" s="1"/>
      <c r="C151" s="1"/>
      <c r="D151" s="1"/>
      <c r="E151" s="1"/>
      <c r="F151" s="1"/>
      <c r="G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s="2" customFormat="1" x14ac:dyDescent="0.2">
      <c r="A152" s="1"/>
      <c r="B152" s="1"/>
      <c r="C152" s="1"/>
      <c r="D152" s="1"/>
      <c r="E152" s="1"/>
      <c r="F152" s="1"/>
      <c r="G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A1:U11"/>
  <sheetViews>
    <sheetView showGridLines="0" zoomScale="110" zoomScaleNormal="110" workbookViewId="0">
      <selection activeCell="E25" sqref="E25"/>
    </sheetView>
  </sheetViews>
  <sheetFormatPr defaultColWidth="9.125" defaultRowHeight="12.75" x14ac:dyDescent="0.2"/>
  <cols>
    <col min="1" max="1" width="16.25" style="1" customWidth="1"/>
    <col min="2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s="47" customFormat="1" ht="25.5" thickBot="1" x14ac:dyDescent="0.25">
      <c r="A2" s="11" t="s">
        <v>123</v>
      </c>
      <c r="B2" s="46" t="s">
        <v>19</v>
      </c>
      <c r="C2" s="46" t="s">
        <v>60</v>
      </c>
      <c r="D2" s="46" t="s">
        <v>20</v>
      </c>
      <c r="E2" s="46" t="s">
        <v>61</v>
      </c>
      <c r="F2" s="46" t="s">
        <v>62</v>
      </c>
      <c r="G2" s="46" t="s">
        <v>63</v>
      </c>
      <c r="H2" s="46" t="s">
        <v>64</v>
      </c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</row>
    <row r="3" spans="1:21" s="2" customFormat="1" ht="13.5" thickBot="1" x14ac:dyDescent="0.25">
      <c r="A3" s="8" t="s">
        <v>19</v>
      </c>
      <c r="B3" s="4">
        <v>1</v>
      </c>
      <c r="C3" s="24">
        <f t="shared" ref="C3:H9" si="0">conv("Qg",$B$3,$A3,C$2)</f>
        <v>1.0569487664490411</v>
      </c>
      <c r="D3" s="24">
        <f t="shared" si="0"/>
        <v>37.325793428836363</v>
      </c>
      <c r="E3" s="24">
        <f t="shared" si="0"/>
        <v>0.62209655714727263</v>
      </c>
      <c r="F3" s="24">
        <f t="shared" si="0"/>
        <v>895.8190422920726</v>
      </c>
      <c r="G3" s="24">
        <f t="shared" si="0"/>
        <v>8.9581904229207258E-4</v>
      </c>
      <c r="H3" s="22">
        <f t="shared" si="0"/>
        <v>2.7777777777777778E-4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s="2" customFormat="1" ht="13.5" thickBot="1" x14ac:dyDescent="0.25">
      <c r="A4" s="8" t="s">
        <v>60</v>
      </c>
      <c r="B4" s="30">
        <f t="shared" ref="B4:B9" si="1">conv("Qg",$B$3,$A4,B$2)</f>
        <v>0.94611965285662059</v>
      </c>
      <c r="C4" s="4">
        <f t="shared" si="0"/>
        <v>1.0000000000000002</v>
      </c>
      <c r="D4" s="24">
        <f t="shared" si="0"/>
        <v>35.314666721488592</v>
      </c>
      <c r="E4" s="24">
        <f t="shared" si="0"/>
        <v>0.58857777869147643</v>
      </c>
      <c r="F4" s="24">
        <f t="shared" si="0"/>
        <v>847.55200131572599</v>
      </c>
      <c r="G4" s="24">
        <f t="shared" si="0"/>
        <v>8.4755200131572607E-4</v>
      </c>
      <c r="H4" s="22">
        <f t="shared" si="0"/>
        <v>2.6281101468239462E-4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s="2" customFormat="1" ht="13.5" thickBot="1" x14ac:dyDescent="0.25">
      <c r="A5" s="8" t="s">
        <v>20</v>
      </c>
      <c r="B5" s="30">
        <f t="shared" si="1"/>
        <v>2.6791125067617223E-2</v>
      </c>
      <c r="C5" s="24">
        <f t="shared" si="0"/>
        <v>2.8316846592000008E-2</v>
      </c>
      <c r="D5" s="4">
        <f t="shared" si="0"/>
        <v>1</v>
      </c>
      <c r="E5" s="20">
        <f t="shared" si="0"/>
        <v>1.6666666666666666E-2</v>
      </c>
      <c r="F5" s="20">
        <f t="shared" si="0"/>
        <v>24</v>
      </c>
      <c r="G5" s="20">
        <f t="shared" si="0"/>
        <v>2.4000000000000001E-5</v>
      </c>
      <c r="H5" s="23">
        <f t="shared" si="0"/>
        <v>7.4419791854492284E-6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s="2" customFormat="1" ht="13.5" thickBot="1" x14ac:dyDescent="0.25">
      <c r="A6" s="8" t="s">
        <v>61</v>
      </c>
      <c r="B6" s="30">
        <f t="shared" si="1"/>
        <v>1.6074675040570334</v>
      </c>
      <c r="C6" s="24">
        <f t="shared" si="0"/>
        <v>1.6990107955200004</v>
      </c>
      <c r="D6" s="20">
        <f t="shared" si="0"/>
        <v>60.000000000000007</v>
      </c>
      <c r="E6" s="4">
        <f t="shared" si="0"/>
        <v>1</v>
      </c>
      <c r="F6" s="20">
        <f t="shared" si="0"/>
        <v>1440</v>
      </c>
      <c r="G6" s="20">
        <f t="shared" si="0"/>
        <v>1.4399999999999999E-3</v>
      </c>
      <c r="H6" s="23">
        <f t="shared" si="0"/>
        <v>4.4651875112695374E-4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s="2" customFormat="1" ht="13.5" thickBot="1" x14ac:dyDescent="0.25">
      <c r="A7" s="8" t="s">
        <v>62</v>
      </c>
      <c r="B7" s="30">
        <f t="shared" si="1"/>
        <v>1.1162968778173842E-3</v>
      </c>
      <c r="C7" s="24">
        <f t="shared" si="0"/>
        <v>1.1798686080000003E-3</v>
      </c>
      <c r="D7" s="20">
        <f t="shared" si="0"/>
        <v>4.1666666666666671E-2</v>
      </c>
      <c r="E7" s="20">
        <f t="shared" si="0"/>
        <v>6.9444444444444436E-4</v>
      </c>
      <c r="F7" s="4">
        <f t="shared" si="0"/>
        <v>0.99999999999999989</v>
      </c>
      <c r="G7" s="20">
        <f t="shared" si="0"/>
        <v>9.9999999999999995E-7</v>
      </c>
      <c r="H7" s="23">
        <f t="shared" si="0"/>
        <v>3.1008246606038448E-7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s="2" customFormat="1" ht="13.5" thickBot="1" x14ac:dyDescent="0.25">
      <c r="A8" s="8" t="s">
        <v>63</v>
      </c>
      <c r="B8" s="30">
        <f t="shared" si="1"/>
        <v>1116.2968778173843</v>
      </c>
      <c r="C8" s="24">
        <f t="shared" si="0"/>
        <v>1179.8686080000002</v>
      </c>
      <c r="D8" s="20">
        <f t="shared" si="0"/>
        <v>41666.666666666672</v>
      </c>
      <c r="E8" s="20">
        <f t="shared" si="0"/>
        <v>694.44444444444446</v>
      </c>
      <c r="F8" s="20">
        <f t="shared" si="0"/>
        <v>999999.99999999988</v>
      </c>
      <c r="G8" s="4">
        <f t="shared" si="0"/>
        <v>0.99999999999999989</v>
      </c>
      <c r="H8" s="23">
        <f t="shared" si="0"/>
        <v>0.31008246606038453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s="2" customFormat="1" ht="13.5" thickBot="1" x14ac:dyDescent="0.25">
      <c r="A9" s="8" t="s">
        <v>64</v>
      </c>
      <c r="B9" s="31">
        <f t="shared" si="1"/>
        <v>3600</v>
      </c>
      <c r="C9" s="27">
        <f t="shared" si="0"/>
        <v>3805.0155592165479</v>
      </c>
      <c r="D9" s="21">
        <f t="shared" si="0"/>
        <v>134372.85634381091</v>
      </c>
      <c r="E9" s="21">
        <f t="shared" si="0"/>
        <v>2239.5476057301817</v>
      </c>
      <c r="F9" s="21">
        <f t="shared" si="0"/>
        <v>3224948.5522514614</v>
      </c>
      <c r="G9" s="21">
        <f t="shared" si="0"/>
        <v>3.2249485522514614</v>
      </c>
      <c r="H9" s="4">
        <f t="shared" si="0"/>
        <v>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1" spans="1:21" s="2" customFormat="1" x14ac:dyDescent="0.2">
      <c r="A11" s="1"/>
      <c r="B11" s="1"/>
      <c r="C11" s="1"/>
      <c r="D11" s="1"/>
      <c r="E11" s="1"/>
      <c r="F11" s="1"/>
      <c r="G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U7"/>
  <sheetViews>
    <sheetView showGridLines="0" zoomScale="110" zoomScaleNormal="110" workbookViewId="0">
      <selection activeCell="E27" sqref="E27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s="2" customFormat="1" ht="13.5" thickBot="1" x14ac:dyDescent="0.25">
      <c r="A2" s="4" t="s">
        <v>124</v>
      </c>
      <c r="B2" s="5" t="s">
        <v>23</v>
      </c>
      <c r="C2" s="5" t="s">
        <v>65</v>
      </c>
      <c r="D2" s="5" t="s">
        <v>66</v>
      </c>
      <c r="E2" s="5" t="s">
        <v>22</v>
      </c>
      <c r="F2" s="5" t="s">
        <v>67</v>
      </c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s="2" customFormat="1" ht="13.5" thickBot="1" x14ac:dyDescent="0.25">
      <c r="A3" s="8" t="s">
        <v>23</v>
      </c>
      <c r="B3" s="4">
        <v>1</v>
      </c>
      <c r="C3" s="24">
        <f>conv("nu",$B$3,$A3,C$2)</f>
        <v>0.01</v>
      </c>
      <c r="D3" s="24">
        <f>conv("nu",$B$3,$A3,D$2)</f>
        <v>0.01</v>
      </c>
      <c r="E3" s="24">
        <f>conv("nu",$B$3,$A3,E$2)</f>
        <v>9.9999999999999995E-7</v>
      </c>
      <c r="F3" s="22">
        <f>conv("nu",$B$3,$A3,F$2)</f>
        <v>1.0763910416709721E-5</v>
      </c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s="2" customFormat="1" ht="13.5" thickBot="1" x14ac:dyDescent="0.25">
      <c r="A4" s="8" t="s">
        <v>65</v>
      </c>
      <c r="B4" s="24">
        <f t="shared" ref="B4:F7" si="0">conv("nu",$B$3,$A4,B$2)</f>
        <v>100</v>
      </c>
      <c r="C4" s="4">
        <f t="shared" si="0"/>
        <v>1</v>
      </c>
      <c r="D4" s="24">
        <f t="shared" si="0"/>
        <v>1</v>
      </c>
      <c r="E4" s="24">
        <f t="shared" si="0"/>
        <v>9.9999999999999991E-5</v>
      </c>
      <c r="F4" s="22">
        <f t="shared" si="0"/>
        <v>1.0763910416709721E-3</v>
      </c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s="2" customFormat="1" ht="13.5" thickBot="1" x14ac:dyDescent="0.25">
      <c r="A5" s="8" t="s">
        <v>66</v>
      </c>
      <c r="B5" s="24">
        <f t="shared" si="0"/>
        <v>100</v>
      </c>
      <c r="C5" s="24">
        <f t="shared" si="0"/>
        <v>1</v>
      </c>
      <c r="D5" s="4">
        <f t="shared" si="0"/>
        <v>1</v>
      </c>
      <c r="E5" s="24">
        <f t="shared" si="0"/>
        <v>9.9999999999999991E-5</v>
      </c>
      <c r="F5" s="22">
        <f t="shared" si="0"/>
        <v>1.0763910416709721E-3</v>
      </c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ht="13.5" thickBot="1" x14ac:dyDescent="0.25">
      <c r="A6" s="8" t="s">
        <v>22</v>
      </c>
      <c r="B6" s="24">
        <f t="shared" si="0"/>
        <v>1000000</v>
      </c>
      <c r="C6" s="24">
        <f t="shared" si="0"/>
        <v>10000</v>
      </c>
      <c r="D6" s="24">
        <f t="shared" si="0"/>
        <v>10000</v>
      </c>
      <c r="E6" s="4">
        <f t="shared" si="0"/>
        <v>1</v>
      </c>
      <c r="F6" s="22">
        <f t="shared" si="0"/>
        <v>10.763910416709722</v>
      </c>
      <c r="H6" s="1"/>
    </row>
    <row r="7" spans="1:21" ht="13.5" thickBot="1" x14ac:dyDescent="0.25">
      <c r="A7" s="8" t="s">
        <v>67</v>
      </c>
      <c r="B7" s="27">
        <f t="shared" si="0"/>
        <v>92903.040000000008</v>
      </c>
      <c r="C7" s="27">
        <f t="shared" si="0"/>
        <v>929.0304000000001</v>
      </c>
      <c r="D7" s="27">
        <f t="shared" si="0"/>
        <v>929.0304000000001</v>
      </c>
      <c r="E7" s="27">
        <f t="shared" si="0"/>
        <v>9.2903040000000006E-2</v>
      </c>
      <c r="F7" s="4">
        <f t="shared" si="0"/>
        <v>1</v>
      </c>
      <c r="H7" s="1"/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5"/>
  <dimension ref="A1:U11"/>
  <sheetViews>
    <sheetView showGridLines="0" zoomScale="110" zoomScaleNormal="110" workbookViewId="0">
      <selection activeCell="F19" sqref="F19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125</v>
      </c>
      <c r="B2" s="5" t="s">
        <v>68</v>
      </c>
      <c r="C2" s="5" t="s">
        <v>69</v>
      </c>
      <c r="D2" s="5" t="s">
        <v>26</v>
      </c>
      <c r="E2" s="5" t="s">
        <v>25</v>
      </c>
      <c r="F2" s="5" t="s">
        <v>70</v>
      </c>
      <c r="G2" s="5" t="s">
        <v>71</v>
      </c>
      <c r="H2" s="5" t="s">
        <v>72</v>
      </c>
      <c r="I2" s="5" t="s">
        <v>73</v>
      </c>
      <c r="J2" s="5" t="s">
        <v>74</v>
      </c>
    </row>
    <row r="3" spans="1:21" ht="13.5" thickBot="1" x14ac:dyDescent="0.25">
      <c r="A3" s="8" t="s">
        <v>68</v>
      </c>
      <c r="B3" s="4">
        <f t="shared" ref="B3:J11" si="0">conv("L",$D$5,$A3,B$2)</f>
        <v>1</v>
      </c>
      <c r="C3" s="20">
        <f t="shared" si="0"/>
        <v>3.937007874015748E-2</v>
      </c>
      <c r="D3" s="18">
        <f t="shared" si="0"/>
        <v>1E-3</v>
      </c>
      <c r="E3" s="20">
        <f t="shared" si="0"/>
        <v>3.2808398950131229E-3</v>
      </c>
      <c r="F3" s="20">
        <f t="shared" si="0"/>
        <v>0.1</v>
      </c>
      <c r="G3" s="20">
        <f t="shared" si="0"/>
        <v>9.9999999999999995E-7</v>
      </c>
      <c r="H3" s="20">
        <f t="shared" si="0"/>
        <v>6.2137119223733397E-7</v>
      </c>
      <c r="I3" s="20">
        <f t="shared" si="0"/>
        <v>1000</v>
      </c>
      <c r="J3" s="23">
        <f t="shared" si="0"/>
        <v>1.0936132983377078E-3</v>
      </c>
    </row>
    <row r="4" spans="1:21" ht="13.5" thickBot="1" x14ac:dyDescent="0.25">
      <c r="A4" s="8" t="s">
        <v>69</v>
      </c>
      <c r="B4" s="20">
        <f t="shared" si="0"/>
        <v>25.4</v>
      </c>
      <c r="C4" s="4">
        <f t="shared" si="0"/>
        <v>1</v>
      </c>
      <c r="D4" s="18">
        <f t="shared" si="0"/>
        <v>2.5399999999999999E-2</v>
      </c>
      <c r="E4" s="20">
        <f t="shared" si="0"/>
        <v>8.3333333333333315E-2</v>
      </c>
      <c r="F4" s="20">
        <f t="shared" si="0"/>
        <v>2.54</v>
      </c>
      <c r="G4" s="20">
        <f t="shared" si="0"/>
        <v>2.5400000000000001E-5</v>
      </c>
      <c r="H4" s="20">
        <f t="shared" si="0"/>
        <v>1.5782828282828279E-5</v>
      </c>
      <c r="I4" s="20">
        <f t="shared" si="0"/>
        <v>25400</v>
      </c>
      <c r="J4" s="23">
        <f t="shared" si="0"/>
        <v>2.7777777777777776E-2</v>
      </c>
    </row>
    <row r="5" spans="1:21" ht="13.5" thickBot="1" x14ac:dyDescent="0.25">
      <c r="A5" s="8" t="s">
        <v>26</v>
      </c>
      <c r="B5" s="24">
        <f t="shared" si="0"/>
        <v>1000</v>
      </c>
      <c r="C5" s="24">
        <f t="shared" si="0"/>
        <v>39.370078740157481</v>
      </c>
      <c r="D5" s="4">
        <v>1</v>
      </c>
      <c r="E5" s="24">
        <f t="shared" si="0"/>
        <v>3.280839895013123</v>
      </c>
      <c r="F5" s="24">
        <f t="shared" si="0"/>
        <v>100</v>
      </c>
      <c r="G5" s="24">
        <f t="shared" si="0"/>
        <v>1E-3</v>
      </c>
      <c r="H5" s="24">
        <f t="shared" si="0"/>
        <v>6.2137119223733392E-4</v>
      </c>
      <c r="I5" s="24">
        <f t="shared" si="0"/>
        <v>1000000</v>
      </c>
      <c r="J5" s="22">
        <f t="shared" si="0"/>
        <v>1.0936132983377078</v>
      </c>
    </row>
    <row r="6" spans="1:21" ht="13.5" thickBot="1" x14ac:dyDescent="0.25">
      <c r="A6" s="8" t="s">
        <v>25</v>
      </c>
      <c r="B6" s="20">
        <f t="shared" si="0"/>
        <v>304.8</v>
      </c>
      <c r="C6" s="20">
        <f t="shared" si="0"/>
        <v>12.000000000000002</v>
      </c>
      <c r="D6" s="18">
        <f t="shared" si="0"/>
        <v>0.30480000000000002</v>
      </c>
      <c r="E6" s="4">
        <f t="shared" si="0"/>
        <v>0.99999999999999989</v>
      </c>
      <c r="F6" s="20">
        <f t="shared" si="0"/>
        <v>30.48</v>
      </c>
      <c r="G6" s="20">
        <f t="shared" si="0"/>
        <v>3.0480000000000004E-4</v>
      </c>
      <c r="H6" s="20">
        <f t="shared" si="0"/>
        <v>1.8939393939393939E-4</v>
      </c>
      <c r="I6" s="20">
        <f t="shared" si="0"/>
        <v>304800</v>
      </c>
      <c r="J6" s="23">
        <f t="shared" si="0"/>
        <v>0.33333333333333337</v>
      </c>
    </row>
    <row r="7" spans="1:21" ht="13.5" thickBot="1" x14ac:dyDescent="0.25">
      <c r="A7" s="8" t="s">
        <v>70</v>
      </c>
      <c r="B7" s="20">
        <f t="shared" si="0"/>
        <v>10</v>
      </c>
      <c r="C7" s="20">
        <f t="shared" si="0"/>
        <v>0.39370078740157483</v>
      </c>
      <c r="D7" s="18">
        <f t="shared" si="0"/>
        <v>0.01</v>
      </c>
      <c r="E7" s="20">
        <f t="shared" si="0"/>
        <v>3.2808398950131233E-2</v>
      </c>
      <c r="F7" s="4">
        <f t="shared" si="0"/>
        <v>1</v>
      </c>
      <c r="G7" s="20">
        <f t="shared" si="0"/>
        <v>1.0000000000000001E-5</v>
      </c>
      <c r="H7" s="20">
        <f t="shared" si="0"/>
        <v>6.2137119223733393E-6</v>
      </c>
      <c r="I7" s="20">
        <f t="shared" si="0"/>
        <v>10000</v>
      </c>
      <c r="J7" s="23">
        <f t="shared" si="0"/>
        <v>1.0936132983377079E-2</v>
      </c>
    </row>
    <row r="8" spans="1:21" ht="13.5" thickBot="1" x14ac:dyDescent="0.25">
      <c r="A8" s="8" t="s">
        <v>71</v>
      </c>
      <c r="B8" s="20">
        <f t="shared" si="0"/>
        <v>1000000</v>
      </c>
      <c r="C8" s="20">
        <f t="shared" si="0"/>
        <v>39370.078740157478</v>
      </c>
      <c r="D8" s="18">
        <f t="shared" si="0"/>
        <v>1000</v>
      </c>
      <c r="E8" s="20">
        <f t="shared" si="0"/>
        <v>3280.8398950131232</v>
      </c>
      <c r="F8" s="20">
        <f t="shared" si="0"/>
        <v>100000</v>
      </c>
      <c r="G8" s="4">
        <f t="shared" si="0"/>
        <v>1</v>
      </c>
      <c r="H8" s="20">
        <f t="shared" si="0"/>
        <v>0.62137119223733395</v>
      </c>
      <c r="I8" s="20">
        <f t="shared" si="0"/>
        <v>1000000000</v>
      </c>
      <c r="J8" s="23">
        <f t="shared" si="0"/>
        <v>1093.6132983377079</v>
      </c>
    </row>
    <row r="9" spans="1:21" ht="13.5" thickBot="1" x14ac:dyDescent="0.25">
      <c r="A9" s="8" t="s">
        <v>72</v>
      </c>
      <c r="B9" s="20">
        <f t="shared" si="0"/>
        <v>1609344</v>
      </c>
      <c r="C9" s="20">
        <f t="shared" si="0"/>
        <v>63360.000000000007</v>
      </c>
      <c r="D9" s="18">
        <f t="shared" si="0"/>
        <v>1609.3440000000001</v>
      </c>
      <c r="E9" s="20">
        <f t="shared" si="0"/>
        <v>5280</v>
      </c>
      <c r="F9" s="20">
        <f t="shared" si="0"/>
        <v>160934.39999999999</v>
      </c>
      <c r="G9" s="20">
        <f t="shared" si="0"/>
        <v>1.6093440000000001</v>
      </c>
      <c r="H9" s="4">
        <f t="shared" si="0"/>
        <v>1</v>
      </c>
      <c r="I9" s="20">
        <f t="shared" si="0"/>
        <v>1609344000</v>
      </c>
      <c r="J9" s="23">
        <f t="shared" si="0"/>
        <v>1760</v>
      </c>
    </row>
    <row r="10" spans="1:21" ht="13.5" thickBot="1" x14ac:dyDescent="0.25">
      <c r="A10" s="8" t="s">
        <v>73</v>
      </c>
      <c r="B10" s="20">
        <f t="shared" si="0"/>
        <v>1E-3</v>
      </c>
      <c r="C10" s="20">
        <f t="shared" si="0"/>
        <v>3.9370078740157478E-5</v>
      </c>
      <c r="D10" s="18">
        <f t="shared" si="0"/>
        <v>9.9999999999999995E-7</v>
      </c>
      <c r="E10" s="20">
        <f t="shared" si="0"/>
        <v>3.2808398950131231E-6</v>
      </c>
      <c r="F10" s="20">
        <f t="shared" si="0"/>
        <v>9.9999999999999991E-5</v>
      </c>
      <c r="G10" s="20">
        <f t="shared" si="0"/>
        <v>1.0000000000000001E-9</v>
      </c>
      <c r="H10" s="20">
        <f t="shared" si="0"/>
        <v>6.2137119223733385E-10</v>
      </c>
      <c r="I10" s="4">
        <f t="shared" si="0"/>
        <v>1</v>
      </c>
      <c r="J10" s="23">
        <f t="shared" si="0"/>
        <v>1.0936132983377078E-6</v>
      </c>
    </row>
    <row r="11" spans="1:21" ht="13.5" thickBot="1" x14ac:dyDescent="0.25">
      <c r="A11" s="8" t="s">
        <v>74</v>
      </c>
      <c r="B11" s="21">
        <f t="shared" si="0"/>
        <v>914.40000000000009</v>
      </c>
      <c r="C11" s="21">
        <f t="shared" si="0"/>
        <v>36.000000000000007</v>
      </c>
      <c r="D11" s="19">
        <f t="shared" si="0"/>
        <v>0.9144000000000001</v>
      </c>
      <c r="E11" s="21">
        <f t="shared" si="0"/>
        <v>3</v>
      </c>
      <c r="F11" s="21">
        <f t="shared" si="0"/>
        <v>91.440000000000012</v>
      </c>
      <c r="G11" s="21">
        <f t="shared" si="0"/>
        <v>9.1440000000000011E-4</v>
      </c>
      <c r="H11" s="21">
        <f t="shared" si="0"/>
        <v>5.6818181818181815E-4</v>
      </c>
      <c r="I11" s="21">
        <f t="shared" si="0"/>
        <v>914400.00000000012</v>
      </c>
      <c r="J11" s="4">
        <f t="shared" si="0"/>
        <v>1.0000000000000002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/>
  <dimension ref="A1:U10"/>
  <sheetViews>
    <sheetView showGridLines="0" zoomScale="110" zoomScaleNormal="110" workbookViewId="0">
      <selection activeCell="F19" sqref="F19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126</v>
      </c>
      <c r="B2" s="5" t="s">
        <v>28</v>
      </c>
      <c r="C2" s="5" t="s">
        <v>29</v>
      </c>
      <c r="D2" s="5" t="s">
        <v>75</v>
      </c>
      <c r="E2" s="5" t="s">
        <v>76</v>
      </c>
      <c r="F2" s="5" t="s">
        <v>77</v>
      </c>
      <c r="G2" s="5" t="s">
        <v>78</v>
      </c>
      <c r="H2" s="5" t="s">
        <v>79</v>
      </c>
      <c r="I2" s="5" t="s">
        <v>80</v>
      </c>
    </row>
    <row r="3" spans="1:21" ht="13.5" thickBot="1" x14ac:dyDescent="0.25">
      <c r="A3" s="8" t="s">
        <v>28</v>
      </c>
      <c r="B3" s="4">
        <v>1</v>
      </c>
      <c r="C3" s="25">
        <f>conv("Qf",$B$3,$A3,C$2)</f>
        <v>4.4028675393024725</v>
      </c>
      <c r="D3" s="25">
        <f t="shared" ref="D3:H3" si="0">conv("Qf",$B$3,$A3,D$2)</f>
        <v>16.666666666666668</v>
      </c>
      <c r="E3" s="25">
        <f t="shared" si="0"/>
        <v>150.95545849037049</v>
      </c>
      <c r="F3" s="25">
        <f t="shared" si="0"/>
        <v>2.7777777777777778E-4</v>
      </c>
      <c r="G3" s="25">
        <f t="shared" si="0"/>
        <v>1000</v>
      </c>
      <c r="H3" s="25">
        <f t="shared" si="0"/>
        <v>1</v>
      </c>
      <c r="I3" s="26">
        <f>conv("Qf",$B$3,$A3,I$2)</f>
        <v>16666.666666666668</v>
      </c>
    </row>
    <row r="4" spans="1:21" ht="13.5" thickBot="1" x14ac:dyDescent="0.25">
      <c r="A4" s="8" t="s">
        <v>29</v>
      </c>
      <c r="B4" s="30">
        <f>conv("Qf",$B$3,$A4,B$2)</f>
        <v>0.22712470704000004</v>
      </c>
      <c r="C4" s="4">
        <f t="shared" ref="C4:I9" si="1">conv("Qf",$B$3,$A4,C$2)</f>
        <v>0.99999999999999989</v>
      </c>
      <c r="D4" s="20">
        <f t="shared" si="1"/>
        <v>3.7854117840000008</v>
      </c>
      <c r="E4" s="20">
        <f t="shared" si="1"/>
        <v>34.285714285714285</v>
      </c>
      <c r="F4" s="20">
        <f t="shared" si="1"/>
        <v>6.3090196400000017E-5</v>
      </c>
      <c r="G4" s="20">
        <f t="shared" si="1"/>
        <v>227.12470704000003</v>
      </c>
      <c r="H4" s="20">
        <f t="shared" si="1"/>
        <v>0.22712470704000004</v>
      </c>
      <c r="I4" s="23">
        <f>conv("Qf",$B$3,$A4,I$2)</f>
        <v>3785.4117840000008</v>
      </c>
    </row>
    <row r="5" spans="1:21" ht="13.5" thickBot="1" x14ac:dyDescent="0.25">
      <c r="A5" s="8" t="s">
        <v>75</v>
      </c>
      <c r="B5" s="30">
        <f>conv("Qf",$B$3,$A5,B$2)</f>
        <v>0.06</v>
      </c>
      <c r="C5" s="20">
        <f t="shared" si="1"/>
        <v>0.26417205235814833</v>
      </c>
      <c r="D5" s="4">
        <f t="shared" si="1"/>
        <v>1</v>
      </c>
      <c r="E5" s="20">
        <f t="shared" si="1"/>
        <v>9.0573275094222296</v>
      </c>
      <c r="F5" s="20">
        <f t="shared" si="1"/>
        <v>1.6666666666666667E-5</v>
      </c>
      <c r="G5" s="20">
        <f t="shared" si="1"/>
        <v>60</v>
      </c>
      <c r="H5" s="20">
        <f t="shared" si="1"/>
        <v>0.06</v>
      </c>
      <c r="I5" s="23">
        <f>conv("Qf",$B$3,$A5,I$2)</f>
        <v>1000</v>
      </c>
    </row>
    <row r="6" spans="1:21" ht="13.5" thickBot="1" x14ac:dyDescent="0.25">
      <c r="A6" s="8" t="s">
        <v>76</v>
      </c>
      <c r="B6" s="30">
        <f>conv("Qf",$B$3,$A6,B$2)</f>
        <v>6.6244706220000013E-3</v>
      </c>
      <c r="C6" s="20">
        <f t="shared" si="1"/>
        <v>2.9166666666666667E-2</v>
      </c>
      <c r="D6" s="20">
        <f t="shared" si="1"/>
        <v>0.11040784370000004</v>
      </c>
      <c r="E6" s="4">
        <f t="shared" si="1"/>
        <v>1</v>
      </c>
      <c r="F6" s="20">
        <f t="shared" si="1"/>
        <v>1.8401307283333338E-6</v>
      </c>
      <c r="G6" s="20">
        <f t="shared" si="1"/>
        <v>6.6244706220000014</v>
      </c>
      <c r="H6" s="20">
        <f t="shared" si="1"/>
        <v>6.6244706220000013E-3</v>
      </c>
      <c r="I6" s="23">
        <f>conv("Qf",$B$3,$A6,I$2)</f>
        <v>110.40784370000003</v>
      </c>
    </row>
    <row r="7" spans="1:21" ht="13.5" thickBot="1" x14ac:dyDescent="0.25">
      <c r="A7" s="8" t="s">
        <v>77</v>
      </c>
      <c r="B7" s="30">
        <f>conv("Qf",$B$3,$A7,B$2)</f>
        <v>3600</v>
      </c>
      <c r="C7" s="20">
        <f t="shared" si="1"/>
        <v>15850.323141488901</v>
      </c>
      <c r="D7" s="20">
        <f t="shared" si="1"/>
        <v>60000.000000000007</v>
      </c>
      <c r="E7" s="20">
        <f t="shared" si="1"/>
        <v>543439.65056533378</v>
      </c>
      <c r="F7" s="4">
        <f t="shared" si="1"/>
        <v>1</v>
      </c>
      <c r="G7" s="20">
        <f t="shared" si="1"/>
        <v>3600000</v>
      </c>
      <c r="H7" s="20">
        <f t="shared" si="1"/>
        <v>3600</v>
      </c>
      <c r="I7" s="23">
        <f>conv("Qf",$B$3,$A7,I$2)</f>
        <v>60000000.000000007</v>
      </c>
    </row>
    <row r="8" spans="1:21" ht="13.5" thickBot="1" x14ac:dyDescent="0.25">
      <c r="A8" s="8" t="s">
        <v>78</v>
      </c>
      <c r="B8" s="30">
        <f>conv("Qf",$B$3,$A8,B$2)</f>
        <v>1E-3</v>
      </c>
      <c r="C8" s="20">
        <f t="shared" si="1"/>
        <v>4.4028675393024729E-3</v>
      </c>
      <c r="D8" s="20">
        <f t="shared" si="1"/>
        <v>1.666666666666667E-2</v>
      </c>
      <c r="E8" s="20">
        <f t="shared" si="1"/>
        <v>0.15095545849037048</v>
      </c>
      <c r="F8" s="20">
        <f t="shared" si="1"/>
        <v>2.7777777777777776E-7</v>
      </c>
      <c r="G8" s="4">
        <f t="shared" si="1"/>
        <v>1</v>
      </c>
      <c r="H8" s="20">
        <f t="shared" si="1"/>
        <v>1E-3</v>
      </c>
      <c r="I8" s="23">
        <f t="shared" si="1"/>
        <v>16.666666666666668</v>
      </c>
    </row>
    <row r="9" spans="1:21" ht="13.5" thickBot="1" x14ac:dyDescent="0.25">
      <c r="A9" s="8" t="s">
        <v>79</v>
      </c>
      <c r="B9" s="30">
        <f t="shared" ref="B9:H10" si="2">conv("Qf",$B$3,$A9,B$2)</f>
        <v>1</v>
      </c>
      <c r="C9" s="20">
        <f t="shared" si="1"/>
        <v>4.4028675393024725</v>
      </c>
      <c r="D9" s="20">
        <f t="shared" si="1"/>
        <v>16.666666666666668</v>
      </c>
      <c r="E9" s="20">
        <f t="shared" si="1"/>
        <v>150.95545849037049</v>
      </c>
      <c r="F9" s="20">
        <f t="shared" si="1"/>
        <v>2.7777777777777778E-4</v>
      </c>
      <c r="G9" s="20">
        <f t="shared" si="1"/>
        <v>1000</v>
      </c>
      <c r="H9" s="4">
        <f t="shared" si="1"/>
        <v>1</v>
      </c>
      <c r="I9" s="23">
        <f t="shared" si="1"/>
        <v>16666.666666666668</v>
      </c>
    </row>
    <row r="10" spans="1:21" ht="13.5" thickBot="1" x14ac:dyDescent="0.25">
      <c r="A10" s="8" t="s">
        <v>80</v>
      </c>
      <c r="B10" s="31">
        <f t="shared" si="2"/>
        <v>6.0000000000000002E-5</v>
      </c>
      <c r="C10" s="21">
        <f t="shared" si="2"/>
        <v>2.6417205235814838E-4</v>
      </c>
      <c r="D10" s="21">
        <f t="shared" si="2"/>
        <v>1E-3</v>
      </c>
      <c r="E10" s="21">
        <f t="shared" si="2"/>
        <v>9.0573275094222288E-3</v>
      </c>
      <c r="F10" s="21">
        <f t="shared" si="2"/>
        <v>1.6666666666666667E-8</v>
      </c>
      <c r="G10" s="21">
        <f t="shared" si="2"/>
        <v>6.0000000000000005E-2</v>
      </c>
      <c r="H10" s="21">
        <f t="shared" si="2"/>
        <v>6.0000000000000002E-5</v>
      </c>
      <c r="I10" s="4">
        <f>conv("Qf",$B$3,$A10,I$2)</f>
        <v>1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/>
  <dimension ref="A1:U7"/>
  <sheetViews>
    <sheetView showGridLines="0" zoomScale="110" zoomScaleNormal="110" workbookViewId="0">
      <selection activeCell="F19" sqref="F19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127</v>
      </c>
      <c r="B2" s="5" t="s">
        <v>31</v>
      </c>
      <c r="C2" s="5" t="s">
        <v>30</v>
      </c>
      <c r="D2" s="5" t="s">
        <v>81</v>
      </c>
      <c r="E2" s="5" t="s">
        <v>82</v>
      </c>
      <c r="F2" s="5" t="s">
        <v>83</v>
      </c>
    </row>
    <row r="3" spans="1:21" ht="13.5" thickBot="1" x14ac:dyDescent="0.25">
      <c r="A3" s="8" t="s">
        <v>31</v>
      </c>
      <c r="B3" s="4">
        <v>1</v>
      </c>
      <c r="C3" s="25">
        <f t="shared" ref="C3:F7" si="0">conv("m",$B$3,$A3,C$2)</f>
        <v>2.7777777777777778E-4</v>
      </c>
      <c r="D3" s="25">
        <f t="shared" si="0"/>
        <v>1E-3</v>
      </c>
      <c r="E3" s="25">
        <f t="shared" si="0"/>
        <v>2.2046226218487757</v>
      </c>
      <c r="F3" s="26">
        <f t="shared" si="0"/>
        <v>2.2046226218487759E-3</v>
      </c>
    </row>
    <row r="4" spans="1:21" ht="13.5" thickBot="1" x14ac:dyDescent="0.25">
      <c r="A4" s="8" t="s">
        <v>30</v>
      </c>
      <c r="B4" s="30">
        <f>conv("m",$B$3,$A4,B$2)</f>
        <v>3600</v>
      </c>
      <c r="C4" s="4">
        <f t="shared" si="0"/>
        <v>1</v>
      </c>
      <c r="D4" s="20">
        <f t="shared" si="0"/>
        <v>3.6</v>
      </c>
      <c r="E4" s="20">
        <f t="shared" si="0"/>
        <v>7936.6414386555925</v>
      </c>
      <c r="F4" s="23">
        <f t="shared" si="0"/>
        <v>7.9366414386555926</v>
      </c>
    </row>
    <row r="5" spans="1:21" ht="13.5" thickBot="1" x14ac:dyDescent="0.25">
      <c r="A5" s="8" t="s">
        <v>81</v>
      </c>
      <c r="B5" s="30">
        <f>conv("m",$B$3,$A5,B$2)</f>
        <v>1000</v>
      </c>
      <c r="C5" s="20">
        <f t="shared" si="0"/>
        <v>0.27777777777777779</v>
      </c>
      <c r="D5" s="4">
        <f t="shared" si="0"/>
        <v>1</v>
      </c>
      <c r="E5" s="20">
        <f t="shared" si="0"/>
        <v>2204.6226218487759</v>
      </c>
      <c r="F5" s="23">
        <f t="shared" si="0"/>
        <v>2.2046226218487757</v>
      </c>
    </row>
    <row r="6" spans="1:21" ht="13.5" thickBot="1" x14ac:dyDescent="0.25">
      <c r="A6" s="8" t="s">
        <v>82</v>
      </c>
      <c r="B6" s="30">
        <f>conv("m",$B$3,$A6,B$2)</f>
        <v>0.45359237000000002</v>
      </c>
      <c r="C6" s="20">
        <f t="shared" si="0"/>
        <v>1.2599788055555556E-4</v>
      </c>
      <c r="D6" s="20">
        <f t="shared" si="0"/>
        <v>4.5359237000000004E-4</v>
      </c>
      <c r="E6" s="4">
        <f t="shared" si="0"/>
        <v>1</v>
      </c>
      <c r="F6" s="23">
        <f t="shared" si="0"/>
        <v>1E-3</v>
      </c>
    </row>
    <row r="7" spans="1:21" ht="13.5" thickBot="1" x14ac:dyDescent="0.25">
      <c r="A7" s="8" t="s">
        <v>83</v>
      </c>
      <c r="B7" s="31">
        <f>conv("m",$B$3,$A7,B$2)</f>
        <v>453.59237000000002</v>
      </c>
      <c r="C7" s="21">
        <f t="shared" si="0"/>
        <v>0.12599788055555555</v>
      </c>
      <c r="D7" s="21">
        <f t="shared" si="0"/>
        <v>0.45359237000000002</v>
      </c>
      <c r="E7" s="21">
        <f t="shared" si="0"/>
        <v>999.99999999999989</v>
      </c>
      <c r="F7" s="4">
        <f t="shared" si="0"/>
        <v>0.99999999999999989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U22"/>
  <sheetViews>
    <sheetView showGridLines="0" topLeftCell="H1" zoomScale="110" zoomScaleNormal="110" workbookViewId="0">
      <selection activeCell="F19" sqref="F19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128</v>
      </c>
      <c r="B2" s="5" t="s">
        <v>84</v>
      </c>
      <c r="C2" s="5" t="s">
        <v>85</v>
      </c>
      <c r="D2" s="5" t="s">
        <v>86</v>
      </c>
      <c r="E2" s="5" t="s">
        <v>87</v>
      </c>
      <c r="F2" s="5" t="s">
        <v>88</v>
      </c>
      <c r="G2" s="5" t="s">
        <v>89</v>
      </c>
      <c r="H2" s="5" t="s">
        <v>90</v>
      </c>
      <c r="I2" s="5" t="s">
        <v>91</v>
      </c>
      <c r="J2" s="5" t="s">
        <v>92</v>
      </c>
      <c r="K2" s="5" t="s">
        <v>93</v>
      </c>
      <c r="L2" s="5" t="s">
        <v>94</v>
      </c>
      <c r="M2" s="5" t="s">
        <v>95</v>
      </c>
      <c r="N2" s="5" t="s">
        <v>35</v>
      </c>
      <c r="O2" s="5" t="s">
        <v>96</v>
      </c>
      <c r="P2" s="5" t="s">
        <v>97</v>
      </c>
      <c r="Q2" s="5" t="s">
        <v>98</v>
      </c>
      <c r="R2" s="5" t="s">
        <v>99</v>
      </c>
      <c r="S2" s="5" t="s">
        <v>36</v>
      </c>
      <c r="T2" s="5" t="s">
        <v>100</v>
      </c>
      <c r="U2" s="34" t="s">
        <v>101</v>
      </c>
    </row>
    <row r="3" spans="1:21" ht="13.5" thickBot="1" x14ac:dyDescent="0.25">
      <c r="A3" s="8" t="s">
        <v>84</v>
      </c>
      <c r="B3" s="4">
        <v>1</v>
      </c>
      <c r="C3" s="33">
        <f>conv("P",$B$3,$A3,C$2)</f>
        <v>-1.325E-2</v>
      </c>
      <c r="D3" s="24">
        <f t="shared" ref="D3:T18" si="0">conv("P",$B$3,$A3,D$2)</f>
        <v>14.503773773020921</v>
      </c>
      <c r="E3" s="24">
        <f t="shared" si="0"/>
        <v>-0.1921750024925272</v>
      </c>
      <c r="F3" s="24">
        <f t="shared" si="0"/>
        <v>100</v>
      </c>
      <c r="G3" s="24">
        <f t="shared" si="0"/>
        <v>-1.325</v>
      </c>
      <c r="H3" s="24">
        <f t="shared" si="0"/>
        <v>0.1</v>
      </c>
      <c r="I3" s="24">
        <f t="shared" si="0"/>
        <v>-1.325E-3</v>
      </c>
      <c r="J3" s="24">
        <f t="shared" si="0"/>
        <v>100000</v>
      </c>
      <c r="K3" s="24">
        <f t="shared" si="0"/>
        <v>-1325</v>
      </c>
      <c r="L3" s="24">
        <f t="shared" si="0"/>
        <v>1.0197162129779282</v>
      </c>
      <c r="M3" s="24">
        <f t="shared" si="0"/>
        <v>-1.3511239821957548E-2</v>
      </c>
      <c r="N3" s="24">
        <f t="shared" si="0"/>
        <v>0.98692326671601283</v>
      </c>
      <c r="O3" s="24">
        <f t="shared" si="0"/>
        <v>33.512956191204466</v>
      </c>
      <c r="P3" s="24">
        <f t="shared" si="0"/>
        <v>402.1554742944536</v>
      </c>
      <c r="Q3" s="24">
        <f t="shared" si="0"/>
        <v>10214.749047079122</v>
      </c>
      <c r="R3" s="24">
        <f t="shared" si="0"/>
        <v>29.530007411394148</v>
      </c>
      <c r="S3" s="24">
        <f>conv("P",$B$3,$A3,S$2)</f>
        <v>750.06218824941129</v>
      </c>
      <c r="T3" s="24">
        <f>conv("P",$B$3,$A3,T$2)</f>
        <v>750.06218824941129</v>
      </c>
      <c r="U3" s="22">
        <f t="shared" ref="U3:U22" si="1">conv("P",$B$3,$A3,U$2)</f>
        <v>193.97940008672035</v>
      </c>
    </row>
    <row r="4" spans="1:21" ht="13.5" thickBot="1" x14ac:dyDescent="0.25">
      <c r="A4" s="8" t="s">
        <v>85</v>
      </c>
      <c r="B4" s="32">
        <f t="shared" ref="B4:Q19" si="2">conv("P",$B$3,$A4,B$2)</f>
        <v>2.0132500000000002</v>
      </c>
      <c r="C4" s="4">
        <f t="shared" si="2"/>
        <v>1</v>
      </c>
      <c r="D4" s="18">
        <f t="shared" si="0"/>
        <v>29.199722548534371</v>
      </c>
      <c r="E4" s="20">
        <f t="shared" si="0"/>
        <v>14.503773773020921</v>
      </c>
      <c r="F4" s="20">
        <f t="shared" si="0"/>
        <v>201.32499999999999</v>
      </c>
      <c r="G4" s="20">
        <f t="shared" si="0"/>
        <v>100</v>
      </c>
      <c r="H4" s="20">
        <f t="shared" si="0"/>
        <v>0.201325</v>
      </c>
      <c r="I4" s="20">
        <f t="shared" si="0"/>
        <v>0.1</v>
      </c>
      <c r="J4" s="20">
        <f t="shared" si="0"/>
        <v>201325</v>
      </c>
      <c r="K4" s="20">
        <f t="shared" si="0"/>
        <v>100000</v>
      </c>
      <c r="L4" s="20">
        <f t="shared" si="0"/>
        <v>2.0529436657778142</v>
      </c>
      <c r="M4" s="20">
        <f t="shared" si="0"/>
        <v>1.0197162129779282</v>
      </c>
      <c r="N4" s="20">
        <f t="shared" si="0"/>
        <v>1.9869232667160128</v>
      </c>
      <c r="O4" s="20">
        <f t="shared" si="0"/>
        <v>67.469959051942396</v>
      </c>
      <c r="P4" s="20">
        <f t="shared" si="0"/>
        <v>809.63950862330876</v>
      </c>
      <c r="Q4" s="20">
        <f t="shared" si="0"/>
        <v>20564.843519032042</v>
      </c>
      <c r="R4" s="20">
        <f t="shared" si="0"/>
        <v>59.451287420989267</v>
      </c>
      <c r="S4" s="20">
        <f t="shared" si="0"/>
        <v>1510.0627004931273</v>
      </c>
      <c r="T4" s="20">
        <f t="shared" si="0"/>
        <v>1510.0627004931273</v>
      </c>
      <c r="U4" s="23">
        <f t="shared" si="1"/>
        <v>200.05735424200964</v>
      </c>
    </row>
    <row r="5" spans="1:21" ht="13.5" thickBot="1" x14ac:dyDescent="0.25">
      <c r="A5" s="8" t="s">
        <v>86</v>
      </c>
      <c r="B5" s="18">
        <f t="shared" si="2"/>
        <v>6.8947572931683618E-2</v>
      </c>
      <c r="C5" s="24">
        <f t="shared" si="2"/>
        <v>-0.94430242706831635</v>
      </c>
      <c r="D5" s="4">
        <f t="shared" si="0"/>
        <v>1</v>
      </c>
      <c r="E5" s="20">
        <f t="shared" si="0"/>
        <v>-13.695948775513449</v>
      </c>
      <c r="F5" s="20">
        <f t="shared" si="0"/>
        <v>6.8947572931683618</v>
      </c>
      <c r="G5" s="20">
        <f t="shared" si="0"/>
        <v>-94.430242706831635</v>
      </c>
      <c r="H5" s="20">
        <f t="shared" si="0"/>
        <v>6.8947572931683616E-3</v>
      </c>
      <c r="I5" s="20">
        <f t="shared" si="0"/>
        <v>-9.4430242706831632E-2</v>
      </c>
      <c r="J5" s="20">
        <f t="shared" si="0"/>
        <v>6894.7572931683617</v>
      </c>
      <c r="K5" s="20">
        <f t="shared" si="0"/>
        <v>-94430.242706831632</v>
      </c>
      <c r="L5" s="20">
        <f t="shared" si="0"/>
        <v>7.0306957963915936E-2</v>
      </c>
      <c r="M5" s="20">
        <f t="shared" si="0"/>
        <v>-0.96292049483596986</v>
      </c>
      <c r="N5" s="20">
        <f t="shared" si="0"/>
        <v>6.8045963909877744E-2</v>
      </c>
      <c r="O5" s="20">
        <f t="shared" si="0"/>
        <v>2.310636991149388</v>
      </c>
      <c r="P5" s="20">
        <f t="shared" si="0"/>
        <v>27.727643893792656</v>
      </c>
      <c r="Q5" s="20">
        <f t="shared" si="0"/>
        <v>704.28215490233345</v>
      </c>
      <c r="R5" s="20">
        <f t="shared" si="0"/>
        <v>2.0360223396702555</v>
      </c>
      <c r="S5" s="20">
        <f t="shared" si="0"/>
        <v>51.714967427624494</v>
      </c>
      <c r="T5" s="20">
        <f t="shared" si="0"/>
        <v>51.714967427624494</v>
      </c>
      <c r="U5" s="23">
        <f t="shared" si="1"/>
        <v>170.74977974469402</v>
      </c>
    </row>
    <row r="6" spans="1:21" ht="13.5" thickBot="1" x14ac:dyDescent="0.25">
      <c r="A6" s="8" t="s">
        <v>87</v>
      </c>
      <c r="B6" s="18">
        <f t="shared" si="2"/>
        <v>1.0821975729316837</v>
      </c>
      <c r="C6" s="20">
        <f t="shared" si="2"/>
        <v>6.8947572931683687E-2</v>
      </c>
      <c r="D6" s="20">
        <f t="shared" si="0"/>
        <v>15.695948775513449</v>
      </c>
      <c r="E6" s="4">
        <f t="shared" si="0"/>
        <v>1.0000000000000009</v>
      </c>
      <c r="F6" s="20">
        <f t="shared" si="0"/>
        <v>108.21975729316837</v>
      </c>
      <c r="G6" s="20">
        <f t="shared" si="0"/>
        <v>6.8947572931683681</v>
      </c>
      <c r="H6" s="20">
        <f t="shared" si="0"/>
        <v>0.10821975729316836</v>
      </c>
      <c r="I6" s="20">
        <f t="shared" si="0"/>
        <v>6.8947572931683677E-3</v>
      </c>
      <c r="J6" s="20">
        <f t="shared" si="0"/>
        <v>108219.75729316837</v>
      </c>
      <c r="K6" s="20">
        <f t="shared" si="0"/>
        <v>6894.7572931683681</v>
      </c>
      <c r="L6" s="20">
        <f t="shared" si="0"/>
        <v>1.1035344107638019</v>
      </c>
      <c r="M6" s="20">
        <f t="shared" si="0"/>
        <v>7.0306957963915992E-2</v>
      </c>
      <c r="N6" s="20">
        <f t="shared" si="0"/>
        <v>1.0680459639098778</v>
      </c>
      <c r="O6" s="20">
        <f t="shared" si="0"/>
        <v>36.267639851887317</v>
      </c>
      <c r="P6" s="20">
        <f t="shared" si="0"/>
        <v>435.21167822264778</v>
      </c>
      <c r="Q6" s="20">
        <f t="shared" si="0"/>
        <v>11054.376626855255</v>
      </c>
      <c r="R6" s="20">
        <f t="shared" si="0"/>
        <v>31.957302349265376</v>
      </c>
      <c r="S6" s="20">
        <f t="shared" si="0"/>
        <v>811.71547967134063</v>
      </c>
      <c r="T6" s="20">
        <f t="shared" si="0"/>
        <v>811.71547967134063</v>
      </c>
      <c r="U6" s="23">
        <f t="shared" si="1"/>
        <v>194.66553119863758</v>
      </c>
    </row>
    <row r="7" spans="1:21" ht="13.5" thickBot="1" x14ac:dyDescent="0.25">
      <c r="A7" s="8" t="s">
        <v>88</v>
      </c>
      <c r="B7" s="18">
        <f t="shared" si="2"/>
        <v>0.01</v>
      </c>
      <c r="C7" s="20">
        <f t="shared" si="2"/>
        <v>-1.00325</v>
      </c>
      <c r="D7" s="20">
        <f t="shared" si="0"/>
        <v>0.14503773773020923</v>
      </c>
      <c r="E7" s="20">
        <f t="shared" si="0"/>
        <v>-14.550911037783239</v>
      </c>
      <c r="F7" s="4">
        <f t="shared" si="0"/>
        <v>1</v>
      </c>
      <c r="G7" s="20">
        <f t="shared" si="0"/>
        <v>-100.325</v>
      </c>
      <c r="H7" s="20">
        <f t="shared" si="0"/>
        <v>1E-3</v>
      </c>
      <c r="I7" s="20">
        <f t="shared" si="0"/>
        <v>-0.100325</v>
      </c>
      <c r="J7" s="20">
        <f t="shared" si="0"/>
        <v>1000</v>
      </c>
      <c r="K7" s="20">
        <f t="shared" si="0"/>
        <v>-100325</v>
      </c>
      <c r="L7" s="20">
        <f t="shared" si="0"/>
        <v>1.0197162129779282E-2</v>
      </c>
      <c r="M7" s="20">
        <f t="shared" si="0"/>
        <v>-1.0230302906701065</v>
      </c>
      <c r="N7" s="20">
        <f t="shared" si="0"/>
        <v>9.8692326671601278E-3</v>
      </c>
      <c r="O7" s="20">
        <f t="shared" si="0"/>
        <v>0.33512956191204468</v>
      </c>
      <c r="P7" s="20">
        <f t="shared" si="0"/>
        <v>4.0215547429445362</v>
      </c>
      <c r="Q7" s="20">
        <f t="shared" si="0"/>
        <v>102.14749047079123</v>
      </c>
      <c r="R7" s="20">
        <f t="shared" si="0"/>
        <v>0.29530007411394149</v>
      </c>
      <c r="S7" s="20">
        <f t="shared" si="0"/>
        <v>7.5006218824941131</v>
      </c>
      <c r="T7" s="20">
        <f t="shared" si="0"/>
        <v>7.5006218824941131</v>
      </c>
      <c r="U7" s="23">
        <f t="shared" si="1"/>
        <v>153.97940008672035</v>
      </c>
    </row>
    <row r="8" spans="1:21" ht="13.5" thickBot="1" x14ac:dyDescent="0.25">
      <c r="A8" s="8" t="s">
        <v>89</v>
      </c>
      <c r="B8" s="18">
        <f t="shared" si="2"/>
        <v>1.02325</v>
      </c>
      <c r="C8" s="20">
        <f t="shared" si="2"/>
        <v>0.01</v>
      </c>
      <c r="D8" s="20">
        <f t="shared" si="0"/>
        <v>14.840986513243658</v>
      </c>
      <c r="E8" s="20">
        <f t="shared" si="0"/>
        <v>0.14503773773020923</v>
      </c>
      <c r="F8" s="20">
        <f t="shared" si="0"/>
        <v>102.325</v>
      </c>
      <c r="G8" s="4">
        <f t="shared" si="0"/>
        <v>1</v>
      </c>
      <c r="H8" s="20">
        <f t="shared" si="0"/>
        <v>0.102325</v>
      </c>
      <c r="I8" s="20">
        <f t="shared" si="0"/>
        <v>1E-3</v>
      </c>
      <c r="J8" s="20">
        <f t="shared" si="0"/>
        <v>102325</v>
      </c>
      <c r="K8" s="20">
        <f t="shared" si="0"/>
        <v>1000</v>
      </c>
      <c r="L8" s="20">
        <f t="shared" si="0"/>
        <v>1.0434246149296651</v>
      </c>
      <c r="M8" s="20">
        <f t="shared" si="0"/>
        <v>1.0197162129779282E-2</v>
      </c>
      <c r="N8" s="20">
        <f t="shared" si="0"/>
        <v>1.0098692326671601</v>
      </c>
      <c r="O8" s="20">
        <f t="shared" si="0"/>
        <v>34.292132422649971</v>
      </c>
      <c r="P8" s="20">
        <f t="shared" si="0"/>
        <v>411.50558907179965</v>
      </c>
      <c r="Q8" s="20">
        <f t="shared" si="0"/>
        <v>10452.241962423712</v>
      </c>
      <c r="R8" s="20">
        <f t="shared" si="0"/>
        <v>30.216580083709061</v>
      </c>
      <c r="S8" s="20">
        <f t="shared" si="0"/>
        <v>767.5011341262101</v>
      </c>
      <c r="T8" s="20">
        <f t="shared" si="0"/>
        <v>767.5011341262101</v>
      </c>
      <c r="U8" s="23">
        <f t="shared" si="1"/>
        <v>194.17903515306651</v>
      </c>
    </row>
    <row r="9" spans="1:21" ht="13.5" thickBot="1" x14ac:dyDescent="0.25">
      <c r="A9" s="8" t="s">
        <v>90</v>
      </c>
      <c r="B9" s="18">
        <f t="shared" si="2"/>
        <v>10</v>
      </c>
      <c r="C9" s="20">
        <f t="shared" si="2"/>
        <v>8.9867500000000007</v>
      </c>
      <c r="D9" s="20">
        <f t="shared" si="0"/>
        <v>145.03773773020922</v>
      </c>
      <c r="E9" s="20">
        <f t="shared" si="0"/>
        <v>130.34178895469577</v>
      </c>
      <c r="F9" s="20">
        <f t="shared" si="0"/>
        <v>1000</v>
      </c>
      <c r="G9" s="20">
        <f t="shared" si="0"/>
        <v>898.67499999999995</v>
      </c>
      <c r="H9" s="4">
        <f t="shared" si="0"/>
        <v>1</v>
      </c>
      <c r="I9" s="20">
        <f t="shared" si="0"/>
        <v>0.898675</v>
      </c>
      <c r="J9" s="20">
        <f t="shared" si="0"/>
        <v>1000000</v>
      </c>
      <c r="K9" s="20">
        <f t="shared" si="0"/>
        <v>898675</v>
      </c>
      <c r="L9" s="20">
        <f t="shared" si="0"/>
        <v>10.197162129779283</v>
      </c>
      <c r="M9" s="20">
        <f t="shared" si="0"/>
        <v>9.1639346769793963</v>
      </c>
      <c r="N9" s="20">
        <f t="shared" si="0"/>
        <v>9.8692326671601283</v>
      </c>
      <c r="O9" s="20">
        <f t="shared" si="0"/>
        <v>335.12956191204466</v>
      </c>
      <c r="P9" s="20">
        <f t="shared" si="0"/>
        <v>4021.554742944536</v>
      </c>
      <c r="Q9" s="20">
        <f t="shared" si="0"/>
        <v>102147.49047079122</v>
      </c>
      <c r="R9" s="20">
        <f t="shared" si="0"/>
        <v>295.30007411394149</v>
      </c>
      <c r="S9" s="20">
        <f t="shared" si="0"/>
        <v>7500.6218824941134</v>
      </c>
      <c r="T9" s="20">
        <f t="shared" si="0"/>
        <v>7500.6218824941134</v>
      </c>
      <c r="U9" s="23">
        <f t="shared" si="1"/>
        <v>213.97940008672035</v>
      </c>
    </row>
    <row r="10" spans="1:21" ht="13.5" thickBot="1" x14ac:dyDescent="0.25">
      <c r="A10" s="8" t="s">
        <v>91</v>
      </c>
      <c r="B10" s="18">
        <f t="shared" si="2"/>
        <v>11.013249999999999</v>
      </c>
      <c r="C10" s="20">
        <f t="shared" si="2"/>
        <v>10</v>
      </c>
      <c r="D10" s="20">
        <f t="shared" si="0"/>
        <v>159.73368650572266</v>
      </c>
      <c r="E10" s="20">
        <f t="shared" si="0"/>
        <v>145.03773773020922</v>
      </c>
      <c r="F10" s="20">
        <f t="shared" si="0"/>
        <v>1101.325</v>
      </c>
      <c r="G10" s="20">
        <f t="shared" si="0"/>
        <v>1000</v>
      </c>
      <c r="H10" s="20">
        <f t="shared" si="0"/>
        <v>1.1013250000000001</v>
      </c>
      <c r="I10" s="4">
        <f t="shared" si="0"/>
        <v>1</v>
      </c>
      <c r="J10" s="20">
        <f t="shared" si="0"/>
        <v>1101325</v>
      </c>
      <c r="K10" s="20">
        <f t="shared" si="0"/>
        <v>1000000</v>
      </c>
      <c r="L10" s="20">
        <f t="shared" si="0"/>
        <v>11.230389582579168</v>
      </c>
      <c r="M10" s="20">
        <f t="shared" si="0"/>
        <v>10.197162129779283</v>
      </c>
      <c r="N10" s="20">
        <f t="shared" si="0"/>
        <v>10.869232667160128</v>
      </c>
      <c r="O10" s="20">
        <f t="shared" si="0"/>
        <v>369.08656477278259</v>
      </c>
      <c r="P10" s="20">
        <f t="shared" si="0"/>
        <v>4429.0387772733911</v>
      </c>
      <c r="Q10" s="20">
        <f t="shared" si="0"/>
        <v>112497.58494274414</v>
      </c>
      <c r="R10" s="20">
        <f t="shared" si="0"/>
        <v>325.22135412353657</v>
      </c>
      <c r="S10" s="20">
        <f t="shared" si="0"/>
        <v>8260.6223947378294</v>
      </c>
      <c r="T10" s="20">
        <f t="shared" si="0"/>
        <v>8260.6223947378294</v>
      </c>
      <c r="U10" s="23">
        <f t="shared" si="1"/>
        <v>214.81771004251479</v>
      </c>
    </row>
    <row r="11" spans="1:21" ht="13.5" thickBot="1" x14ac:dyDescent="0.25">
      <c r="A11" s="8" t="s">
        <v>92</v>
      </c>
      <c r="B11" s="18">
        <f t="shared" si="2"/>
        <v>1.0000000000000001E-5</v>
      </c>
      <c r="C11" s="20">
        <f t="shared" si="2"/>
        <v>-1.0132399999999999</v>
      </c>
      <c r="D11" s="20">
        <f t="shared" si="0"/>
        <v>1.4503773773020921E-4</v>
      </c>
      <c r="E11" s="20">
        <f t="shared" si="0"/>
        <v>-14.695803737775718</v>
      </c>
      <c r="F11" s="20">
        <f t="shared" si="0"/>
        <v>1E-3</v>
      </c>
      <c r="G11" s="20">
        <f t="shared" si="0"/>
        <v>-101.324</v>
      </c>
      <c r="H11" s="20">
        <f t="shared" si="0"/>
        <v>9.9999999999999995E-7</v>
      </c>
      <c r="I11" s="20">
        <f t="shared" si="0"/>
        <v>-0.101324</v>
      </c>
      <c r="J11" s="4">
        <f t="shared" si="0"/>
        <v>1</v>
      </c>
      <c r="K11" s="20">
        <f t="shared" si="0"/>
        <v>-101324</v>
      </c>
      <c r="L11" s="20">
        <f t="shared" si="0"/>
        <v>1.0197162129779282E-5</v>
      </c>
      <c r="M11" s="20">
        <f t="shared" si="0"/>
        <v>-1.0332172556377559</v>
      </c>
      <c r="N11" s="20">
        <f t="shared" si="0"/>
        <v>9.8692326671601285E-6</v>
      </c>
      <c r="O11" s="20">
        <f t="shared" si="0"/>
        <v>3.3512956191204465E-4</v>
      </c>
      <c r="P11" s="20">
        <f t="shared" si="0"/>
        <v>4.0215547429445359E-3</v>
      </c>
      <c r="Q11" s="20">
        <f t="shared" si="0"/>
        <v>0.10214749047079122</v>
      </c>
      <c r="R11" s="20">
        <f t="shared" si="0"/>
        <v>2.9530007411394146E-4</v>
      </c>
      <c r="S11" s="20">
        <f t="shared" si="0"/>
        <v>7.5006218824941132E-3</v>
      </c>
      <c r="T11" s="20">
        <f t="shared" si="0"/>
        <v>7.5006218824941132E-3</v>
      </c>
      <c r="U11" s="23">
        <f t="shared" si="1"/>
        <v>93.979400086720375</v>
      </c>
    </row>
    <row r="12" spans="1:21" ht="13.5" thickBot="1" x14ac:dyDescent="0.25">
      <c r="A12" s="8" t="s">
        <v>93</v>
      </c>
      <c r="B12" s="18">
        <f t="shared" si="2"/>
        <v>1.01326</v>
      </c>
      <c r="C12" s="20">
        <f t="shared" si="2"/>
        <v>1.0000000000000001E-5</v>
      </c>
      <c r="D12" s="20">
        <f t="shared" si="0"/>
        <v>14.696093813251178</v>
      </c>
      <c r="E12" s="20">
        <f t="shared" si="0"/>
        <v>1.4503773773020921E-4</v>
      </c>
      <c r="F12" s="20">
        <f t="shared" si="0"/>
        <v>101.32599999999999</v>
      </c>
      <c r="G12" s="20">
        <f t="shared" si="0"/>
        <v>1E-3</v>
      </c>
      <c r="H12" s="20">
        <f t="shared" si="0"/>
        <v>0.101326</v>
      </c>
      <c r="I12" s="20">
        <f t="shared" si="0"/>
        <v>9.9999999999999995E-7</v>
      </c>
      <c r="J12" s="20">
        <f t="shared" si="0"/>
        <v>101326</v>
      </c>
      <c r="K12" s="4">
        <f t="shared" si="0"/>
        <v>1</v>
      </c>
      <c r="L12" s="20">
        <f t="shared" si="0"/>
        <v>1.0332376499620155</v>
      </c>
      <c r="M12" s="20">
        <f t="shared" si="0"/>
        <v>1.0197162129779282E-5</v>
      </c>
      <c r="N12" s="20">
        <f t="shared" si="0"/>
        <v>1.0000098692326671</v>
      </c>
      <c r="O12" s="20">
        <f t="shared" si="0"/>
        <v>33.957337990299841</v>
      </c>
      <c r="P12" s="20">
        <f t="shared" si="0"/>
        <v>407.48805588359807</v>
      </c>
      <c r="Q12" s="20">
        <f t="shared" si="0"/>
        <v>10350.196619443392</v>
      </c>
      <c r="R12" s="20">
        <f t="shared" si="0"/>
        <v>29.921575309669233</v>
      </c>
      <c r="S12" s="20">
        <f t="shared" si="0"/>
        <v>760.00801286559852</v>
      </c>
      <c r="T12" s="20">
        <f t="shared" si="0"/>
        <v>760.00801286559852</v>
      </c>
      <c r="U12" s="23">
        <f t="shared" si="1"/>
        <v>194.09381805763772</v>
      </c>
    </row>
    <row r="13" spans="1:21" ht="13.5" thickBot="1" x14ac:dyDescent="0.25">
      <c r="A13" s="8" t="s">
        <v>94</v>
      </c>
      <c r="B13" s="18">
        <f t="shared" si="2"/>
        <v>0.98066500000000001</v>
      </c>
      <c r="C13" s="20">
        <f t="shared" si="2"/>
        <v>-3.2585000000000003E-2</v>
      </c>
      <c r="D13" s="20">
        <f t="shared" si="0"/>
        <v>14.223343307119562</v>
      </c>
      <c r="E13" s="20">
        <f t="shared" si="0"/>
        <v>-0.47260546839388673</v>
      </c>
      <c r="F13" s="20">
        <f t="shared" si="0"/>
        <v>98.066500000000005</v>
      </c>
      <c r="G13" s="20">
        <f t="shared" si="0"/>
        <v>-3.2585000000000002</v>
      </c>
      <c r="H13" s="20">
        <f t="shared" si="0"/>
        <v>9.8066500000000001E-2</v>
      </c>
      <c r="I13" s="20">
        <f t="shared" si="0"/>
        <v>-3.2585000000000001E-3</v>
      </c>
      <c r="J13" s="20">
        <f t="shared" si="0"/>
        <v>98066.5</v>
      </c>
      <c r="K13" s="20">
        <f t="shared" si="0"/>
        <v>-3258.5</v>
      </c>
      <c r="L13" s="4">
        <f t="shared" si="0"/>
        <v>1</v>
      </c>
      <c r="M13" s="20">
        <f t="shared" si="0"/>
        <v>-3.3227452799885794E-2</v>
      </c>
      <c r="N13" s="20">
        <f t="shared" si="0"/>
        <v>0.96784110535405876</v>
      </c>
      <c r="O13" s="20">
        <f t="shared" si="0"/>
        <v>32.864983183247531</v>
      </c>
      <c r="P13" s="20">
        <f t="shared" si="0"/>
        <v>394.37979819897032</v>
      </c>
      <c r="Q13" s="20">
        <f t="shared" si="0"/>
        <v>10017.246874253848</v>
      </c>
      <c r="R13" s="20">
        <f t="shared" si="0"/>
        <v>28.959044718094841</v>
      </c>
      <c r="S13" s="20">
        <f t="shared" si="0"/>
        <v>735.55973583960895</v>
      </c>
      <c r="T13" s="20">
        <f t="shared" si="0"/>
        <v>735.55973583960895</v>
      </c>
      <c r="U13" s="23">
        <f t="shared" si="1"/>
        <v>193.80981359826572</v>
      </c>
    </row>
    <row r="14" spans="1:21" ht="13.5" thickBot="1" x14ac:dyDescent="0.25">
      <c r="A14" s="8" t="s">
        <v>95</v>
      </c>
      <c r="B14" s="18">
        <f t="shared" si="2"/>
        <v>1.9939150000000001</v>
      </c>
      <c r="C14" s="20">
        <f t="shared" si="2"/>
        <v>0.98066500000000001</v>
      </c>
      <c r="D14" s="20">
        <f t="shared" si="0"/>
        <v>28.91929208263301</v>
      </c>
      <c r="E14" s="20">
        <f t="shared" si="0"/>
        <v>14.223343307119562</v>
      </c>
      <c r="F14" s="20">
        <f t="shared" si="0"/>
        <v>199.39150000000001</v>
      </c>
      <c r="G14" s="20">
        <f t="shared" si="0"/>
        <v>98.066500000000005</v>
      </c>
      <c r="H14" s="20">
        <f t="shared" si="0"/>
        <v>0.1993915</v>
      </c>
      <c r="I14" s="20">
        <f t="shared" si="0"/>
        <v>9.8066500000000001E-2</v>
      </c>
      <c r="J14" s="20">
        <f t="shared" si="0"/>
        <v>199391.5</v>
      </c>
      <c r="K14" s="20">
        <f t="shared" si="0"/>
        <v>98066.5</v>
      </c>
      <c r="L14" s="20">
        <f t="shared" si="0"/>
        <v>2.0332274527998857</v>
      </c>
      <c r="M14" s="4">
        <f t="shared" si="0"/>
        <v>1</v>
      </c>
      <c r="N14" s="20">
        <f t="shared" si="0"/>
        <v>1.9678411053540588</v>
      </c>
      <c r="O14" s="20">
        <f t="shared" si="0"/>
        <v>66.821986043985461</v>
      </c>
      <c r="P14" s="20">
        <f t="shared" si="0"/>
        <v>801.86383252782548</v>
      </c>
      <c r="Q14" s="20">
        <f t="shared" si="0"/>
        <v>20367.341346206769</v>
      </c>
      <c r="R14" s="20">
        <f t="shared" si="0"/>
        <v>58.88032472768996</v>
      </c>
      <c r="S14" s="20">
        <f t="shared" si="0"/>
        <v>1495.560248083325</v>
      </c>
      <c r="T14" s="20">
        <f t="shared" si="0"/>
        <v>1495.560248083325</v>
      </c>
      <c r="U14" s="23">
        <f t="shared" si="1"/>
        <v>199.97353289724825</v>
      </c>
    </row>
    <row r="15" spans="1:21" ht="13.5" thickBot="1" x14ac:dyDescent="0.25">
      <c r="A15" s="8" t="s">
        <v>35</v>
      </c>
      <c r="B15" s="18">
        <f t="shared" si="2"/>
        <v>1.01325</v>
      </c>
      <c r="C15" s="20">
        <f t="shared" si="2"/>
        <v>0</v>
      </c>
      <c r="D15" s="20">
        <f t="shared" si="2"/>
        <v>14.695948775513449</v>
      </c>
      <c r="E15" s="20">
        <f t="shared" si="2"/>
        <v>0</v>
      </c>
      <c r="F15" s="20">
        <f t="shared" si="2"/>
        <v>101.325</v>
      </c>
      <c r="G15" s="20">
        <f t="shared" si="2"/>
        <v>0</v>
      </c>
      <c r="H15" s="20">
        <f t="shared" si="2"/>
        <v>0.101325</v>
      </c>
      <c r="I15" s="20">
        <f t="shared" si="2"/>
        <v>0</v>
      </c>
      <c r="J15" s="20">
        <f t="shared" si="2"/>
        <v>101325</v>
      </c>
      <c r="K15" s="20">
        <f t="shared" si="2"/>
        <v>0</v>
      </c>
      <c r="L15" s="20">
        <f t="shared" si="2"/>
        <v>1.0332274527998857</v>
      </c>
      <c r="M15" s="20">
        <f t="shared" si="2"/>
        <v>0</v>
      </c>
      <c r="N15" s="4">
        <f t="shared" si="2"/>
        <v>1</v>
      </c>
      <c r="O15" s="20">
        <f t="shared" si="2"/>
        <v>33.957002860737923</v>
      </c>
      <c r="P15" s="20">
        <f t="shared" si="2"/>
        <v>407.4840343288551</v>
      </c>
      <c r="Q15" s="20">
        <f t="shared" si="2"/>
        <v>10350.09447195292</v>
      </c>
      <c r="R15" s="20">
        <f t="shared" si="0"/>
        <v>29.921280009595119</v>
      </c>
      <c r="S15" s="20">
        <f t="shared" si="0"/>
        <v>760.000512243716</v>
      </c>
      <c r="T15" s="20">
        <f t="shared" si="0"/>
        <v>760.000512243716</v>
      </c>
      <c r="U15" s="23">
        <f t="shared" si="1"/>
        <v>194.09373233499497</v>
      </c>
    </row>
    <row r="16" spans="1:21" ht="13.5" thickBot="1" x14ac:dyDescent="0.25">
      <c r="A16" s="8" t="s">
        <v>96</v>
      </c>
      <c r="B16" s="18">
        <f t="shared" si="2"/>
        <v>2.9839205896806317E-2</v>
      </c>
      <c r="C16" s="20">
        <f t="shared" si="2"/>
        <v>-0.98341079410319365</v>
      </c>
      <c r="D16" s="20">
        <f t="shared" si="2"/>
        <v>0.43278109189387065</v>
      </c>
      <c r="E16" s="20">
        <f t="shared" si="2"/>
        <v>-14.263167683619578</v>
      </c>
      <c r="F16" s="20">
        <f t="shared" si="2"/>
        <v>2.9839205896806318</v>
      </c>
      <c r="G16" s="20">
        <f t="shared" si="2"/>
        <v>-98.341079410319367</v>
      </c>
      <c r="H16" s="20">
        <f t="shared" si="2"/>
        <v>2.9839205896806317E-3</v>
      </c>
      <c r="I16" s="20">
        <f t="shared" si="2"/>
        <v>-9.8341079410319374E-2</v>
      </c>
      <c r="J16" s="20">
        <f t="shared" si="2"/>
        <v>2983.9205896806316</v>
      </c>
      <c r="K16" s="20">
        <f t="shared" si="2"/>
        <v>-98341.079410319362</v>
      </c>
      <c r="L16" s="20">
        <f t="shared" si="2"/>
        <v>3.0427522035360002E-2</v>
      </c>
      <c r="M16" s="20">
        <f t="shared" si="2"/>
        <v>-1.0027999307645259</v>
      </c>
      <c r="N16" s="20">
        <f t="shared" si="2"/>
        <v>2.9449006559887803E-2</v>
      </c>
      <c r="O16" s="4">
        <f t="shared" si="2"/>
        <v>1</v>
      </c>
      <c r="P16" s="20">
        <f t="shared" si="2"/>
        <v>12</v>
      </c>
      <c r="Q16" s="20">
        <f t="shared" si="2"/>
        <v>304.8</v>
      </c>
      <c r="R16" s="20">
        <f t="shared" si="0"/>
        <v>0.88115197128280642</v>
      </c>
      <c r="S16" s="20">
        <f t="shared" si="0"/>
        <v>22.381260070583284</v>
      </c>
      <c r="T16" s="20">
        <f t="shared" si="0"/>
        <v>22.381260070583284</v>
      </c>
      <c r="U16" s="23">
        <f t="shared" si="1"/>
        <v>163.47514531043802</v>
      </c>
    </row>
    <row r="17" spans="1:21" ht="13.5" thickBot="1" x14ac:dyDescent="0.25">
      <c r="A17" s="8" t="s">
        <v>97</v>
      </c>
      <c r="B17" s="18">
        <f t="shared" si="2"/>
        <v>2.486600491400526E-3</v>
      </c>
      <c r="C17" s="20">
        <f t="shared" si="2"/>
        <v>-1.0107633995085994</v>
      </c>
      <c r="D17" s="20">
        <f t="shared" si="2"/>
        <v>3.6065090991155888E-2</v>
      </c>
      <c r="E17" s="20">
        <f t="shared" si="2"/>
        <v>-14.659883684522292</v>
      </c>
      <c r="F17" s="20">
        <f t="shared" si="2"/>
        <v>0.24866004914005263</v>
      </c>
      <c r="G17" s="20">
        <f t="shared" si="2"/>
        <v>-101.07633995085995</v>
      </c>
      <c r="H17" s="20">
        <f t="shared" si="2"/>
        <v>2.4866004914005264E-4</v>
      </c>
      <c r="I17" s="20">
        <f t="shared" si="2"/>
        <v>-0.10107633995085995</v>
      </c>
      <c r="J17" s="20">
        <f t="shared" si="2"/>
        <v>248.66004914005262</v>
      </c>
      <c r="K17" s="20">
        <f t="shared" si="2"/>
        <v>-101076.33995085995</v>
      </c>
      <c r="L17" s="20">
        <f t="shared" si="2"/>
        <v>2.5356268362800001E-3</v>
      </c>
      <c r="M17" s="20">
        <f t="shared" si="2"/>
        <v>-1.0306918259636058</v>
      </c>
      <c r="N17" s="20">
        <f t="shared" si="0"/>
        <v>2.4540838799906499E-3</v>
      </c>
      <c r="O17" s="20">
        <f t="shared" si="0"/>
        <v>8.3333333333333329E-2</v>
      </c>
      <c r="P17" s="4">
        <f t="shared" si="0"/>
        <v>1</v>
      </c>
      <c r="Q17" s="20">
        <f t="shared" si="0"/>
        <v>25.400000000000002</v>
      </c>
      <c r="R17" s="20">
        <f t="shared" si="0"/>
        <v>7.3429330940233864E-2</v>
      </c>
      <c r="S17" s="20">
        <f t="shared" si="0"/>
        <v>1.8651050058819403</v>
      </c>
      <c r="T17" s="20">
        <f t="shared" si="0"/>
        <v>1.8651050058819403</v>
      </c>
      <c r="U17" s="23">
        <f t="shared" si="1"/>
        <v>141.89152038948552</v>
      </c>
    </row>
    <row r="18" spans="1:21" ht="13.5" thickBot="1" x14ac:dyDescent="0.25">
      <c r="A18" s="8" t="s">
        <v>98</v>
      </c>
      <c r="B18" s="18">
        <f t="shared" si="2"/>
        <v>9.7897657141752988E-5</v>
      </c>
      <c r="C18" s="20">
        <f t="shared" si="2"/>
        <v>-1.0131521023428582</v>
      </c>
      <c r="D18" s="20">
        <f t="shared" si="2"/>
        <v>1.4198854720927515E-3</v>
      </c>
      <c r="E18" s="20">
        <f t="shared" si="2"/>
        <v>-14.694528890041356</v>
      </c>
      <c r="F18" s="20">
        <f t="shared" si="2"/>
        <v>9.7897657141752994E-3</v>
      </c>
      <c r="G18" s="20">
        <f t="shared" si="2"/>
        <v>-101.31521023428583</v>
      </c>
      <c r="H18" s="20">
        <f t="shared" si="2"/>
        <v>9.7897657141752992E-6</v>
      </c>
      <c r="I18" s="20">
        <f t="shared" si="2"/>
        <v>-0.10131521023428583</v>
      </c>
      <c r="J18" s="20">
        <f t="shared" si="2"/>
        <v>9.7897657141752994</v>
      </c>
      <c r="K18" s="20">
        <f t="shared" si="2"/>
        <v>-101315.21023428583</v>
      </c>
      <c r="L18" s="20">
        <f t="shared" si="2"/>
        <v>9.98278282E-5</v>
      </c>
      <c r="M18" s="20">
        <f t="shared" si="2"/>
        <v>-1.0331276249716859</v>
      </c>
      <c r="N18" s="20">
        <f t="shared" si="0"/>
        <v>9.6617475590183067E-5</v>
      </c>
      <c r="O18" s="20">
        <f t="shared" si="0"/>
        <v>3.2808398950131233E-3</v>
      </c>
      <c r="P18" s="20">
        <f t="shared" si="0"/>
        <v>3.937007874015748E-2</v>
      </c>
      <c r="Q18" s="4">
        <f t="shared" si="0"/>
        <v>1</v>
      </c>
      <c r="R18" s="20">
        <f t="shared" si="0"/>
        <v>2.8909185409540889E-3</v>
      </c>
      <c r="S18" s="20">
        <f t="shared" si="0"/>
        <v>7.3429330940233864E-2</v>
      </c>
      <c r="T18" s="20">
        <f t="shared" si="0"/>
        <v>7.3429330940233864E-2</v>
      </c>
      <c r="U18" s="23">
        <f t="shared" si="1"/>
        <v>113.79484605708677</v>
      </c>
    </row>
    <row r="19" spans="1:21" ht="13.5" thickBot="1" x14ac:dyDescent="0.25">
      <c r="A19" s="8" t="s">
        <v>99</v>
      </c>
      <c r="B19" s="18">
        <f t="shared" si="2"/>
        <v>3.3863858754540989E-2</v>
      </c>
      <c r="C19" s="20">
        <f t="shared" si="2"/>
        <v>-0.97938614124545897</v>
      </c>
      <c r="D19" s="20">
        <f t="shared" si="2"/>
        <v>0.49115374645739651</v>
      </c>
      <c r="E19" s="20">
        <f t="shared" si="2"/>
        <v>-14.204795029056053</v>
      </c>
      <c r="F19" s="20">
        <f t="shared" si="2"/>
        <v>3.3863858754540987</v>
      </c>
      <c r="G19" s="20">
        <f t="shared" si="2"/>
        <v>-97.938614124545907</v>
      </c>
      <c r="H19" s="20">
        <f t="shared" si="2"/>
        <v>3.386385875454099E-3</v>
      </c>
      <c r="I19" s="20">
        <f t="shared" si="2"/>
        <v>-9.7938614124545895E-2</v>
      </c>
      <c r="J19" s="20">
        <f t="shared" si="2"/>
        <v>3386.3858754540988</v>
      </c>
      <c r="K19" s="20">
        <f t="shared" si="2"/>
        <v>-97938.6141245459</v>
      </c>
      <c r="L19" s="20">
        <f t="shared" si="2"/>
        <v>3.4531525805999996E-2</v>
      </c>
      <c r="M19" s="20">
        <f t="shared" si="2"/>
        <v>-0.99869592699388576</v>
      </c>
      <c r="N19" s="20">
        <f t="shared" si="2"/>
        <v>3.3421030105641243E-2</v>
      </c>
      <c r="O19" s="20">
        <f t="shared" si="2"/>
        <v>1.134878014906068</v>
      </c>
      <c r="P19" s="20">
        <f t="shared" si="2"/>
        <v>13.618536178872816</v>
      </c>
      <c r="Q19" s="20">
        <f t="shared" si="2"/>
        <v>345.91081894336952</v>
      </c>
      <c r="R19" s="4">
        <f t="shared" ref="R19:T22" si="3">conv("P",$B$3,$A19,R$2)</f>
        <v>0.99999999999999989</v>
      </c>
      <c r="S19" s="20">
        <f t="shared" si="3"/>
        <v>25.4</v>
      </c>
      <c r="T19" s="20">
        <f t="shared" si="3"/>
        <v>25.4</v>
      </c>
      <c r="U19" s="23">
        <f t="shared" si="1"/>
        <v>164.57412896744779</v>
      </c>
    </row>
    <row r="20" spans="1:21" ht="13.5" thickBot="1" x14ac:dyDescent="0.25">
      <c r="A20" s="8" t="s">
        <v>36</v>
      </c>
      <c r="B20" s="18">
        <f t="shared" ref="B20:Q22" si="4">conv("P",$B$3,$A20,B$2)</f>
        <v>1.3332227856118499E-3</v>
      </c>
      <c r="C20" s="20">
        <f>conv("P",$B$3,$A20,C$2)</f>
        <v>-1.0119167772143882</v>
      </c>
      <c r="D20" s="20">
        <f t="shared" ref="D20:S21" si="5">conv("P",$B$3,$A20,D$2)</f>
        <v>1.9336761671551041E-2</v>
      </c>
      <c r="E20" s="20">
        <f t="shared" si="5"/>
        <v>-14.676612013841897</v>
      </c>
      <c r="F20" s="20">
        <f t="shared" si="5"/>
        <v>0.13332227856118498</v>
      </c>
      <c r="G20" s="20">
        <f t="shared" si="5"/>
        <v>-101.19167772143882</v>
      </c>
      <c r="H20" s="20">
        <f t="shared" si="5"/>
        <v>1.3332227856118498E-4</v>
      </c>
      <c r="I20" s="20">
        <f t="shared" si="5"/>
        <v>-0.10119167772143882</v>
      </c>
      <c r="J20" s="20">
        <f t="shared" si="5"/>
        <v>133.32227856118499</v>
      </c>
      <c r="K20" s="20">
        <f t="shared" si="5"/>
        <v>-101191.67772143881</v>
      </c>
      <c r="L20" s="20">
        <f t="shared" si="5"/>
        <v>1.3595088899999999E-3</v>
      </c>
      <c r="M20" s="20">
        <f t="shared" si="5"/>
        <v>-1.0318679439098859</v>
      </c>
      <c r="N20" s="20">
        <f t="shared" si="5"/>
        <v>1.3157885868362693E-3</v>
      </c>
      <c r="O20" s="20">
        <f t="shared" si="5"/>
        <v>4.468023680732551E-2</v>
      </c>
      <c r="P20" s="20">
        <f t="shared" si="5"/>
        <v>0.53616284168790607</v>
      </c>
      <c r="Q20" s="20">
        <f t="shared" si="5"/>
        <v>13.618536178872816</v>
      </c>
      <c r="R20" s="20">
        <f t="shared" si="5"/>
        <v>3.937007874015748E-2</v>
      </c>
      <c r="S20" s="4">
        <f t="shared" si="5"/>
        <v>0.99999999999999989</v>
      </c>
      <c r="T20" s="20">
        <f t="shared" si="3"/>
        <v>0.99999999999999989</v>
      </c>
      <c r="U20" s="23">
        <f t="shared" si="1"/>
        <v>136.47745463504904</v>
      </c>
    </row>
    <row r="21" spans="1:21" ht="13.5" thickBot="1" x14ac:dyDescent="0.25">
      <c r="A21" s="8" t="s">
        <v>100</v>
      </c>
      <c r="B21" s="18">
        <f t="shared" si="4"/>
        <v>1.3332227856118499E-3</v>
      </c>
      <c r="C21" s="20">
        <f>conv("P",$B$3,$A21,C$2)</f>
        <v>-1.0119167772143882</v>
      </c>
      <c r="D21" s="20">
        <f t="shared" si="5"/>
        <v>1.9336761671551041E-2</v>
      </c>
      <c r="E21" s="20">
        <f t="shared" si="5"/>
        <v>-14.676612013841897</v>
      </c>
      <c r="F21" s="20">
        <f t="shared" si="5"/>
        <v>0.13332227856118498</v>
      </c>
      <c r="G21" s="20">
        <f t="shared" si="5"/>
        <v>-101.19167772143882</v>
      </c>
      <c r="H21" s="20">
        <f t="shared" si="5"/>
        <v>1.3332227856118498E-4</v>
      </c>
      <c r="I21" s="20">
        <f t="shared" si="5"/>
        <v>-0.10119167772143882</v>
      </c>
      <c r="J21" s="20">
        <f t="shared" si="5"/>
        <v>133.32227856118499</v>
      </c>
      <c r="K21" s="20">
        <f t="shared" si="5"/>
        <v>-101191.67772143881</v>
      </c>
      <c r="L21" s="20">
        <f t="shared" si="5"/>
        <v>1.3595088899999999E-3</v>
      </c>
      <c r="M21" s="20">
        <f t="shared" si="5"/>
        <v>-1.0318679439098859</v>
      </c>
      <c r="N21" s="20">
        <f t="shared" si="5"/>
        <v>1.3157885868362693E-3</v>
      </c>
      <c r="O21" s="20">
        <f t="shared" si="5"/>
        <v>4.468023680732551E-2</v>
      </c>
      <c r="P21" s="20">
        <f t="shared" si="5"/>
        <v>0.53616284168790607</v>
      </c>
      <c r="Q21" s="20">
        <f t="shared" si="5"/>
        <v>13.618536178872816</v>
      </c>
      <c r="R21" s="20">
        <f t="shared" si="5"/>
        <v>3.937007874015748E-2</v>
      </c>
      <c r="S21" s="20">
        <f t="shared" si="5"/>
        <v>0.99999999999999989</v>
      </c>
      <c r="T21" s="4">
        <f t="shared" si="3"/>
        <v>0.99999999999999989</v>
      </c>
      <c r="U21" s="23">
        <f t="shared" si="1"/>
        <v>136.47745463504904</v>
      </c>
    </row>
    <row r="22" spans="1:21" ht="13.5" thickBot="1" x14ac:dyDescent="0.25">
      <c r="A22" s="10" t="s">
        <v>101</v>
      </c>
      <c r="B22" s="19">
        <f t="shared" si="4"/>
        <v>2.2440369086039271E-10</v>
      </c>
      <c r="C22" s="21">
        <f t="shared" si="4"/>
        <v>-1.0132499997755964</v>
      </c>
      <c r="D22" s="21">
        <f t="shared" si="4"/>
        <v>3.2547003660700584E-9</v>
      </c>
      <c r="E22" s="21">
        <f t="shared" si="4"/>
        <v>-14.695948772258749</v>
      </c>
      <c r="F22" s="21">
        <f t="shared" si="4"/>
        <v>2.244036908603927E-8</v>
      </c>
      <c r="G22" s="21">
        <f t="shared" si="4"/>
        <v>-101.32499997755963</v>
      </c>
      <c r="H22" s="21">
        <f t="shared" si="4"/>
        <v>2.2440369086039271E-11</v>
      </c>
      <c r="I22" s="21">
        <f t="shared" si="4"/>
        <v>-0.10132499997755963</v>
      </c>
      <c r="J22" s="21">
        <f t="shared" si="4"/>
        <v>2.244036908603927E-5</v>
      </c>
      <c r="K22" s="21">
        <f t="shared" si="4"/>
        <v>-101324.99997755964</v>
      </c>
      <c r="L22" s="21">
        <f t="shared" si="4"/>
        <v>2.2882808182242939E-10</v>
      </c>
      <c r="M22" s="21">
        <f t="shared" si="4"/>
        <v>-1.0332274525710576</v>
      </c>
      <c r="N22" s="21">
        <f t="shared" si="4"/>
        <v>2.2146922364706905E-10</v>
      </c>
      <c r="O22" s="21">
        <f t="shared" si="4"/>
        <v>7.5204310609489313E-9</v>
      </c>
      <c r="P22" s="21">
        <f t="shared" si="4"/>
        <v>9.0245172731387169E-8</v>
      </c>
      <c r="Q22" s="21">
        <f t="shared" si="4"/>
        <v>2.2922273873772344E-6</v>
      </c>
      <c r="R22" s="21">
        <f t="shared" si="3"/>
        <v>6.6266426542515973E-9</v>
      </c>
      <c r="S22" s="21">
        <f t="shared" si="3"/>
        <v>1.6831672341799057E-7</v>
      </c>
      <c r="T22" s="21">
        <f t="shared" si="3"/>
        <v>1.6831672341799057E-7</v>
      </c>
      <c r="U22" s="4">
        <f t="shared" si="1"/>
        <v>0.99999999999999911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9"/>
  <dimension ref="A1:U11"/>
  <sheetViews>
    <sheetView showGridLines="0" zoomScale="110" zoomScaleNormal="110" workbookViewId="0">
      <selection activeCell="F19" sqref="F19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129</v>
      </c>
      <c r="B2" s="5" t="s">
        <v>38</v>
      </c>
      <c r="C2" s="5" t="s">
        <v>102</v>
      </c>
      <c r="D2" s="5" t="s">
        <v>103</v>
      </c>
      <c r="E2" s="5" t="s">
        <v>104</v>
      </c>
      <c r="F2" s="5" t="s">
        <v>105</v>
      </c>
      <c r="G2" s="5" t="s">
        <v>106</v>
      </c>
      <c r="H2" s="5" t="s">
        <v>96</v>
      </c>
      <c r="I2" s="5" t="s">
        <v>97</v>
      </c>
      <c r="J2" s="5" t="s">
        <v>99</v>
      </c>
    </row>
    <row r="3" spans="1:21" ht="13.5" thickBot="1" x14ac:dyDescent="0.25">
      <c r="A3" s="8" t="s">
        <v>38</v>
      </c>
      <c r="B3" s="4">
        <v>1</v>
      </c>
      <c r="C3" s="24">
        <f t="shared" ref="C3:J11" si="0">conv("dP",$B$3,$A3,C$2)</f>
        <v>14.503773773020921</v>
      </c>
      <c r="D3" s="24">
        <f t="shared" si="0"/>
        <v>100</v>
      </c>
      <c r="E3" s="24">
        <f t="shared" si="0"/>
        <v>9.9999999999999992E-2</v>
      </c>
      <c r="F3" s="24">
        <f t="shared" si="0"/>
        <v>100000</v>
      </c>
      <c r="G3" s="24">
        <f t="shared" si="0"/>
        <v>1.0197162129779282</v>
      </c>
      <c r="H3" s="24">
        <f t="shared" si="0"/>
        <v>33.512956191204466</v>
      </c>
      <c r="I3" s="24">
        <f t="shared" si="0"/>
        <v>402.1554742944536</v>
      </c>
      <c r="J3" s="22">
        <f t="shared" si="0"/>
        <v>29.530007411394145</v>
      </c>
    </row>
    <row r="4" spans="1:21" ht="13.5" thickBot="1" x14ac:dyDescent="0.25">
      <c r="A4" s="8" t="s">
        <v>102</v>
      </c>
      <c r="B4" s="18">
        <f t="shared" ref="B4:B11" si="1">conv("dP",$B$3,$A4,B$2)</f>
        <v>6.8947572931683618E-2</v>
      </c>
      <c r="C4" s="4">
        <f t="shared" si="0"/>
        <v>1</v>
      </c>
      <c r="D4" s="20">
        <f t="shared" si="0"/>
        <v>6.8947572931683618</v>
      </c>
      <c r="E4" s="20">
        <f t="shared" si="0"/>
        <v>6.8947572931683616E-3</v>
      </c>
      <c r="F4" s="20">
        <f t="shared" si="0"/>
        <v>6894.7572931683617</v>
      </c>
      <c r="G4" s="20">
        <f t="shared" si="0"/>
        <v>7.0306957963915923E-2</v>
      </c>
      <c r="H4" s="20">
        <f t="shared" si="0"/>
        <v>2.310636991149388</v>
      </c>
      <c r="I4" s="20">
        <f t="shared" si="0"/>
        <v>27.727643893792656</v>
      </c>
      <c r="J4" s="23">
        <f t="shared" si="0"/>
        <v>2.0360223396702555</v>
      </c>
    </row>
    <row r="5" spans="1:21" ht="13.5" thickBot="1" x14ac:dyDescent="0.25">
      <c r="A5" s="8" t="s">
        <v>103</v>
      </c>
      <c r="B5" s="18">
        <f>conv("dP",$B$3,$A5,B$2)</f>
        <v>0.01</v>
      </c>
      <c r="C5" s="20">
        <f t="shared" si="0"/>
        <v>0.1450377377302092</v>
      </c>
      <c r="D5" s="4">
        <f t="shared" si="0"/>
        <v>1</v>
      </c>
      <c r="E5" s="20">
        <f t="shared" si="0"/>
        <v>1E-3</v>
      </c>
      <c r="F5" s="20">
        <f t="shared" si="0"/>
        <v>1000</v>
      </c>
      <c r="G5" s="20">
        <f t="shared" si="0"/>
        <v>1.0197162129779282E-2</v>
      </c>
      <c r="H5" s="20">
        <f t="shared" si="0"/>
        <v>0.33512956191204468</v>
      </c>
      <c r="I5" s="20">
        <f t="shared" si="0"/>
        <v>4.0215547429445362</v>
      </c>
      <c r="J5" s="23">
        <f t="shared" si="0"/>
        <v>0.29530007411394144</v>
      </c>
    </row>
    <row r="6" spans="1:21" ht="13.5" thickBot="1" x14ac:dyDescent="0.25">
      <c r="A6" s="8" t="s">
        <v>104</v>
      </c>
      <c r="B6" s="18">
        <f t="shared" si="1"/>
        <v>10</v>
      </c>
      <c r="C6" s="20">
        <f t="shared" si="0"/>
        <v>145.03773773020922</v>
      </c>
      <c r="D6" s="20">
        <f t="shared" si="0"/>
        <v>1000</v>
      </c>
      <c r="E6" s="4">
        <f t="shared" si="0"/>
        <v>1</v>
      </c>
      <c r="F6" s="20">
        <f t="shared" si="0"/>
        <v>1000000</v>
      </c>
      <c r="G6" s="20">
        <f t="shared" si="0"/>
        <v>10.197162129779281</v>
      </c>
      <c r="H6" s="20">
        <f t="shared" si="0"/>
        <v>335.12956191204466</v>
      </c>
      <c r="I6" s="20">
        <f t="shared" si="0"/>
        <v>4021.554742944536</v>
      </c>
      <c r="J6" s="23">
        <f t="shared" si="0"/>
        <v>295.30007411394143</v>
      </c>
    </row>
    <row r="7" spans="1:21" ht="13.5" thickBot="1" x14ac:dyDescent="0.25">
      <c r="A7" s="8" t="s">
        <v>105</v>
      </c>
      <c r="B7" s="18">
        <f t="shared" si="1"/>
        <v>1.0000000000000001E-5</v>
      </c>
      <c r="C7" s="20">
        <f t="shared" si="0"/>
        <v>1.4503773773020921E-4</v>
      </c>
      <c r="D7" s="20">
        <f t="shared" si="0"/>
        <v>1E-3</v>
      </c>
      <c r="E7" s="20">
        <f t="shared" si="0"/>
        <v>9.9999999999999995E-7</v>
      </c>
      <c r="F7" s="4">
        <f t="shared" si="0"/>
        <v>1</v>
      </c>
      <c r="G7" s="20">
        <f t="shared" si="0"/>
        <v>1.0197162129779282E-5</v>
      </c>
      <c r="H7" s="20">
        <f t="shared" si="0"/>
        <v>3.3512956191204465E-4</v>
      </c>
      <c r="I7" s="20">
        <f t="shared" si="0"/>
        <v>4.0215547429445359E-3</v>
      </c>
      <c r="J7" s="23">
        <f t="shared" si="0"/>
        <v>2.9530007411394146E-4</v>
      </c>
    </row>
    <row r="8" spans="1:21" ht="13.5" thickBot="1" x14ac:dyDescent="0.25">
      <c r="A8" s="8" t="s">
        <v>106</v>
      </c>
      <c r="B8" s="18">
        <f t="shared" si="1"/>
        <v>0.98066500000000012</v>
      </c>
      <c r="C8" s="20">
        <f t="shared" si="0"/>
        <v>14.223343307119562</v>
      </c>
      <c r="D8" s="20">
        <f t="shared" si="0"/>
        <v>98.066500000000005</v>
      </c>
      <c r="E8" s="20">
        <f t="shared" si="0"/>
        <v>9.8066500000000001E-2</v>
      </c>
      <c r="F8" s="20">
        <f t="shared" si="0"/>
        <v>98066.5</v>
      </c>
      <c r="G8" s="4">
        <f t="shared" si="0"/>
        <v>1</v>
      </c>
      <c r="H8" s="20">
        <f t="shared" si="0"/>
        <v>32.864983183247524</v>
      </c>
      <c r="I8" s="20">
        <f t="shared" si="0"/>
        <v>394.37979819897032</v>
      </c>
      <c r="J8" s="23">
        <f t="shared" si="0"/>
        <v>28.959044718094841</v>
      </c>
    </row>
    <row r="9" spans="1:21" ht="13.5" thickBot="1" x14ac:dyDescent="0.25">
      <c r="A9" s="8" t="s">
        <v>96</v>
      </c>
      <c r="B9" s="18">
        <f t="shared" si="1"/>
        <v>2.9839205896806317E-2</v>
      </c>
      <c r="C9" s="20">
        <f t="shared" si="0"/>
        <v>0.43278109189387065</v>
      </c>
      <c r="D9" s="20">
        <f t="shared" si="0"/>
        <v>2.9839205896806318</v>
      </c>
      <c r="E9" s="20">
        <f t="shared" si="0"/>
        <v>2.9839205896806313E-3</v>
      </c>
      <c r="F9" s="20">
        <f t="shared" si="0"/>
        <v>2983.9205896806316</v>
      </c>
      <c r="G9" s="20">
        <f t="shared" si="0"/>
        <v>3.0427522035359998E-2</v>
      </c>
      <c r="H9" s="4">
        <f t="shared" si="0"/>
        <v>1</v>
      </c>
      <c r="I9" s="20">
        <f t="shared" si="0"/>
        <v>12</v>
      </c>
      <c r="J9" s="23">
        <f t="shared" si="0"/>
        <v>0.88115197128280642</v>
      </c>
    </row>
    <row r="10" spans="1:21" ht="13.5" thickBot="1" x14ac:dyDescent="0.25">
      <c r="A10" s="8" t="s">
        <v>97</v>
      </c>
      <c r="B10" s="18">
        <f t="shared" si="1"/>
        <v>2.4866004914005264E-3</v>
      </c>
      <c r="C10" s="20">
        <f t="shared" si="0"/>
        <v>3.6065090991155888E-2</v>
      </c>
      <c r="D10" s="20">
        <f t="shared" si="0"/>
        <v>0.24866004914005263</v>
      </c>
      <c r="E10" s="20">
        <f t="shared" si="0"/>
        <v>2.4866004914005259E-4</v>
      </c>
      <c r="F10" s="20">
        <f t="shared" si="0"/>
        <v>248.66004914005262</v>
      </c>
      <c r="G10" s="20">
        <f t="shared" si="0"/>
        <v>2.5356268362799997E-3</v>
      </c>
      <c r="H10" s="20">
        <f t="shared" si="0"/>
        <v>8.3333333333333329E-2</v>
      </c>
      <c r="I10" s="4">
        <f t="shared" si="0"/>
        <v>1</v>
      </c>
      <c r="J10" s="23">
        <f t="shared" si="0"/>
        <v>7.3429330940233864E-2</v>
      </c>
    </row>
    <row r="11" spans="1:21" ht="13.5" thickBot="1" x14ac:dyDescent="0.25">
      <c r="A11" s="8" t="s">
        <v>99</v>
      </c>
      <c r="B11" s="19">
        <f t="shared" si="1"/>
        <v>3.3863858754540989E-2</v>
      </c>
      <c r="C11" s="21">
        <f t="shared" si="0"/>
        <v>0.49115374645739651</v>
      </c>
      <c r="D11" s="21">
        <f t="shared" si="0"/>
        <v>3.3863858754540987</v>
      </c>
      <c r="E11" s="21">
        <f t="shared" si="0"/>
        <v>3.3863858754540985E-3</v>
      </c>
      <c r="F11" s="21">
        <f t="shared" si="0"/>
        <v>3386.3858754540988</v>
      </c>
      <c r="G11" s="21">
        <f t="shared" si="0"/>
        <v>3.4531525805999996E-2</v>
      </c>
      <c r="H11" s="21">
        <f t="shared" si="0"/>
        <v>1.134878014906068</v>
      </c>
      <c r="I11" s="21">
        <f t="shared" si="0"/>
        <v>13.618536178872816</v>
      </c>
      <c r="J11" s="4">
        <f t="shared" si="0"/>
        <v>0.99999999999999989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/>
  <dimension ref="A1:U5"/>
  <sheetViews>
    <sheetView showGridLines="0" zoomScale="110" zoomScaleNormal="110" workbookViewId="0">
      <selection activeCell="F19" sqref="F19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116</v>
      </c>
      <c r="B2" s="5" t="s">
        <v>32</v>
      </c>
      <c r="C2" s="5" t="s">
        <v>33</v>
      </c>
      <c r="D2" s="5" t="s">
        <v>101</v>
      </c>
    </row>
    <row r="3" spans="1:21" ht="13.5" thickBot="1" x14ac:dyDescent="0.25">
      <c r="A3" s="8" t="s">
        <v>32</v>
      </c>
      <c r="B3" s="4">
        <v>1</v>
      </c>
      <c r="C3" s="24">
        <f t="shared" ref="C3:D5" si="0">conv("W",$B$3,$A3,C$2)</f>
        <v>0.73756214927726538</v>
      </c>
      <c r="D3" s="22">
        <f t="shared" si="0"/>
        <v>119.99999999999999</v>
      </c>
    </row>
    <row r="4" spans="1:21" ht="13.5" thickBot="1" x14ac:dyDescent="0.25">
      <c r="A4" s="8" t="s">
        <v>33</v>
      </c>
      <c r="B4" s="18">
        <f>conv("W",$B$3,$A4,B$2)</f>
        <v>1.3558179483314003</v>
      </c>
      <c r="C4" s="4">
        <f t="shared" si="0"/>
        <v>0.99999999999999989</v>
      </c>
      <c r="D4" s="23">
        <f t="shared" si="0"/>
        <v>121.32201378806121</v>
      </c>
    </row>
    <row r="5" spans="1:21" ht="13.5" thickBot="1" x14ac:dyDescent="0.25">
      <c r="A5" s="8" t="s">
        <v>101</v>
      </c>
      <c r="B5" s="19">
        <f>conv("W",$B$3,$A5,B$2)</f>
        <v>1.2589254117941673E-12</v>
      </c>
      <c r="C5" s="21">
        <f t="shared" si="0"/>
        <v>9.285357325026723E-13</v>
      </c>
      <c r="D5" s="4">
        <f t="shared" si="0"/>
        <v>1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"/>
  <dimension ref="A1:U6"/>
  <sheetViews>
    <sheetView showGridLines="0" zoomScale="110" zoomScaleNormal="110" workbookViewId="0">
      <selection activeCell="F19" sqref="F19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130</v>
      </c>
      <c r="B2" s="5" t="s">
        <v>107</v>
      </c>
      <c r="C2" s="5" t="s">
        <v>41</v>
      </c>
      <c r="D2" s="5" t="s">
        <v>43</v>
      </c>
      <c r="E2" s="5" t="s">
        <v>40</v>
      </c>
    </row>
    <row r="3" spans="1:21" ht="13.5" thickBot="1" x14ac:dyDescent="0.25">
      <c r="A3" s="8" t="s">
        <v>107</v>
      </c>
      <c r="B3" s="4">
        <v>0</v>
      </c>
      <c r="C3" s="24">
        <f>conv("T",$B$3,$A3,C$2)</f>
        <v>32</v>
      </c>
      <c r="D3" s="24">
        <f t="shared" ref="D3:E6" si="0">conv("T",$B$3,$A3,D$2)</f>
        <v>273.14999999999998</v>
      </c>
      <c r="E3" s="22">
        <f t="shared" si="0"/>
        <v>491.66999999999996</v>
      </c>
    </row>
    <row r="4" spans="1:21" ht="13.5" thickBot="1" x14ac:dyDescent="0.25">
      <c r="A4" s="8" t="s">
        <v>41</v>
      </c>
      <c r="B4" s="18">
        <f>conv("T",$B$3,$A4,B$2)</f>
        <v>-17.777777777777771</v>
      </c>
      <c r="C4" s="4">
        <f>conv("T",$B$3,$A4,C$2)</f>
        <v>1.057834375650657E-14</v>
      </c>
      <c r="D4" s="20">
        <f t="shared" si="0"/>
        <v>255.37222222222221</v>
      </c>
      <c r="E4" s="23">
        <f t="shared" si="0"/>
        <v>459.66999999999996</v>
      </c>
    </row>
    <row r="5" spans="1:21" ht="13.5" thickBot="1" x14ac:dyDescent="0.25">
      <c r="A5" s="8" t="s">
        <v>43</v>
      </c>
      <c r="B5" s="18">
        <f>conv("T",$B$3,$A5,B$2)</f>
        <v>-273.14999999999998</v>
      </c>
      <c r="C5" s="20">
        <f>conv("T",$B$3,$A5,C$2)</f>
        <v>-459.66999999999996</v>
      </c>
      <c r="D5" s="4">
        <f t="shared" si="0"/>
        <v>0</v>
      </c>
      <c r="E5" s="23">
        <f t="shared" si="0"/>
        <v>0</v>
      </c>
    </row>
    <row r="6" spans="1:21" ht="13.5" thickBot="1" x14ac:dyDescent="0.25">
      <c r="A6" s="8" t="s">
        <v>40</v>
      </c>
      <c r="B6" s="19">
        <f>conv("T",$B$3,$A6,B$2)</f>
        <v>-273.14999999999998</v>
      </c>
      <c r="C6" s="21">
        <f>conv("T",$B$3,$A6,C$2)</f>
        <v>-459.66999999999996</v>
      </c>
      <c r="D6" s="21">
        <f t="shared" si="0"/>
        <v>0</v>
      </c>
      <c r="E6" s="4">
        <f t="shared" si="0"/>
        <v>0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2"/>
  <dimension ref="A1:U6"/>
  <sheetViews>
    <sheetView showGridLines="0" zoomScale="110" zoomScaleNormal="110" workbookViewId="0">
      <selection activeCell="E11" sqref="E11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131</v>
      </c>
      <c r="B2" s="5" t="s">
        <v>43</v>
      </c>
      <c r="C2" s="5" t="s">
        <v>41</v>
      </c>
      <c r="D2" s="5" t="s">
        <v>107</v>
      </c>
      <c r="E2" s="5" t="s">
        <v>40</v>
      </c>
    </row>
    <row r="3" spans="1:21" ht="13.5" thickBot="1" x14ac:dyDescent="0.25">
      <c r="A3" s="8" t="s">
        <v>43</v>
      </c>
      <c r="B3" s="4">
        <v>1</v>
      </c>
      <c r="C3" s="24">
        <f>conv("dT",$B$3,$A3,C$2)</f>
        <v>1.8</v>
      </c>
      <c r="D3" s="24">
        <f t="shared" ref="D3:E6" si="0">conv("dT",$B$3,$A3,D$2)</f>
        <v>1</v>
      </c>
      <c r="E3" s="22">
        <f t="shared" si="0"/>
        <v>1.8</v>
      </c>
    </row>
    <row r="4" spans="1:21" ht="13.5" thickBot="1" x14ac:dyDescent="0.25">
      <c r="A4" s="8" t="s">
        <v>41</v>
      </c>
      <c r="B4" s="18">
        <f>conv("dT",$B$3,$A4,B$2)</f>
        <v>0.55555555555555558</v>
      </c>
      <c r="C4" s="4">
        <f>conv("dT",$B$3,$A4,C$2)</f>
        <v>1</v>
      </c>
      <c r="D4" s="20">
        <f t="shared" si="0"/>
        <v>0.55555555555555558</v>
      </c>
      <c r="E4" s="23">
        <f t="shared" si="0"/>
        <v>1</v>
      </c>
    </row>
    <row r="5" spans="1:21" ht="13.5" thickBot="1" x14ac:dyDescent="0.25">
      <c r="A5" s="8" t="s">
        <v>107</v>
      </c>
      <c r="B5" s="18">
        <f>conv("dT",$B$3,$A5,B$2)</f>
        <v>1</v>
      </c>
      <c r="C5" s="20">
        <f>conv("dT",$B$3,$A5,C$2)</f>
        <v>1.8</v>
      </c>
      <c r="D5" s="4">
        <f t="shared" si="0"/>
        <v>1</v>
      </c>
      <c r="E5" s="23">
        <f t="shared" si="0"/>
        <v>1.8</v>
      </c>
    </row>
    <row r="6" spans="1:21" ht="13.5" thickBot="1" x14ac:dyDescent="0.25">
      <c r="A6" s="8" t="s">
        <v>40</v>
      </c>
      <c r="B6" s="19">
        <f>conv("dT",$B$3,$A6,B$2)</f>
        <v>0.55555555555555558</v>
      </c>
      <c r="C6" s="21">
        <f>conv("dT",$B$3,$A6,C$2)</f>
        <v>1</v>
      </c>
      <c r="D6" s="21">
        <f t="shared" si="0"/>
        <v>0.55555555555555558</v>
      </c>
      <c r="E6" s="4">
        <f t="shared" si="0"/>
        <v>1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3"/>
  <dimension ref="A1:U7"/>
  <sheetViews>
    <sheetView showGridLines="0" zoomScale="110" zoomScaleNormal="110" workbookViewId="0">
      <selection activeCell="E13" sqref="E13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132</v>
      </c>
      <c r="B2" s="5" t="s">
        <v>45</v>
      </c>
      <c r="C2" s="5" t="s">
        <v>108</v>
      </c>
      <c r="D2" s="5" t="s">
        <v>46</v>
      </c>
      <c r="E2" s="5" t="s">
        <v>109</v>
      </c>
      <c r="F2" s="5" t="s">
        <v>110</v>
      </c>
    </row>
    <row r="3" spans="1:21" ht="13.5" thickBot="1" x14ac:dyDescent="0.25">
      <c r="A3" s="8" t="s">
        <v>45</v>
      </c>
      <c r="B3" s="4">
        <v>1</v>
      </c>
      <c r="C3" s="24">
        <f>conv("U",$B$3,$A3,C$2)</f>
        <v>3.280839895013123</v>
      </c>
      <c r="D3" s="24">
        <f t="shared" ref="D3:F7" si="0">conv("U",$B$3,$A3,D$2)</f>
        <v>196.85039370078738</v>
      </c>
      <c r="E3" s="24">
        <f t="shared" si="0"/>
        <v>3.6</v>
      </c>
      <c r="F3" s="22">
        <f t="shared" si="0"/>
        <v>2.236936292054402</v>
      </c>
    </row>
    <row r="4" spans="1:21" ht="13.5" thickBot="1" x14ac:dyDescent="0.25">
      <c r="A4" s="8" t="s">
        <v>108</v>
      </c>
      <c r="B4" s="18">
        <f>conv("U",$B$3,$A4,B$2)</f>
        <v>0.30480000000000002</v>
      </c>
      <c r="C4" s="4">
        <f>conv("U",$B$3,$A4,C$2)</f>
        <v>0.99999999999999989</v>
      </c>
      <c r="D4" s="20">
        <f t="shared" si="0"/>
        <v>59.999999999999993</v>
      </c>
      <c r="E4" s="20">
        <f t="shared" si="0"/>
        <v>1.09728</v>
      </c>
      <c r="F4" s="23">
        <f t="shared" si="0"/>
        <v>0.68181818181818177</v>
      </c>
    </row>
    <row r="5" spans="1:21" ht="13.5" thickBot="1" x14ac:dyDescent="0.25">
      <c r="A5" s="8" t="s">
        <v>46</v>
      </c>
      <c r="B5" s="18">
        <f>conv("U",$B$3,$A5,B$2)</f>
        <v>5.0800000000000003E-3</v>
      </c>
      <c r="C5" s="20">
        <f>conv("U",$B$3,$A5,C$2)</f>
        <v>1.6666666666666666E-2</v>
      </c>
      <c r="D5" s="4">
        <f t="shared" si="0"/>
        <v>1</v>
      </c>
      <c r="E5" s="20">
        <f t="shared" si="0"/>
        <v>1.8288000000000002E-2</v>
      </c>
      <c r="F5" s="23">
        <f t="shared" si="0"/>
        <v>1.1363636363636362E-2</v>
      </c>
    </row>
    <row r="6" spans="1:21" ht="13.5" thickBot="1" x14ac:dyDescent="0.25">
      <c r="A6" s="8" t="s">
        <v>109</v>
      </c>
      <c r="B6" s="18">
        <f>conv("U",$B$3,$A6,B$2)</f>
        <v>0.27777777777777779</v>
      </c>
      <c r="C6" s="20">
        <f>conv("U",$B$3,$A6,C$2)</f>
        <v>0.91134441528142307</v>
      </c>
      <c r="D6" s="20">
        <f t="shared" si="0"/>
        <v>54.680664916885384</v>
      </c>
      <c r="E6" s="4">
        <f t="shared" si="0"/>
        <v>1</v>
      </c>
      <c r="F6" s="23">
        <f t="shared" si="0"/>
        <v>0.62137119223733395</v>
      </c>
    </row>
    <row r="7" spans="1:21" ht="13.5" thickBot="1" x14ac:dyDescent="0.25">
      <c r="A7" s="8" t="s">
        <v>110</v>
      </c>
      <c r="B7" s="19">
        <f>conv("U",$B$3,$A7,B$2)</f>
        <v>0.44704000000000005</v>
      </c>
      <c r="C7" s="21">
        <f>conv("U",$B$3,$A7,C$2)</f>
        <v>1.4666666666666666</v>
      </c>
      <c r="D7" s="21">
        <f t="shared" si="0"/>
        <v>88</v>
      </c>
      <c r="E7" s="21">
        <f t="shared" si="0"/>
        <v>1.6093440000000001</v>
      </c>
      <c r="F7" s="4">
        <f t="shared" si="0"/>
        <v>1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4"/>
  <dimension ref="A1:U10"/>
  <sheetViews>
    <sheetView showGridLines="0" zoomScale="110" zoomScaleNormal="110" workbookViewId="0">
      <selection activeCell="E13" sqref="E13"/>
    </sheetView>
  </sheetViews>
  <sheetFormatPr defaultColWidth="9.125" defaultRowHeight="12.75" x14ac:dyDescent="0.2"/>
  <cols>
    <col min="1" max="7" width="14.75" style="1" customWidth="1"/>
    <col min="8" max="9" width="14.75" style="2" customWidth="1"/>
    <col min="10" max="21" width="14.75" style="1" customWidth="1"/>
    <col min="22" max="16384" width="9.125" style="1"/>
  </cols>
  <sheetData>
    <row r="1" spans="1:21" s="2" customFormat="1" ht="13.5" thickBot="1" x14ac:dyDescent="0.25">
      <c r="A1" s="1"/>
      <c r="B1" s="1"/>
      <c r="C1" s="1"/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3.5" thickBot="1" x14ac:dyDescent="0.25">
      <c r="A2" s="4" t="s">
        <v>133</v>
      </c>
      <c r="B2" s="5" t="s">
        <v>111</v>
      </c>
      <c r="C2" s="5" t="s">
        <v>112</v>
      </c>
      <c r="D2" s="5" t="s">
        <v>113</v>
      </c>
      <c r="E2" s="5" t="s">
        <v>114</v>
      </c>
      <c r="F2" s="5" t="s">
        <v>115</v>
      </c>
      <c r="G2" s="5" t="s">
        <v>49</v>
      </c>
      <c r="H2" s="5" t="s">
        <v>24</v>
      </c>
      <c r="I2" s="5" t="s">
        <v>48</v>
      </c>
    </row>
    <row r="3" spans="1:21" ht="13.5" thickBot="1" x14ac:dyDescent="0.25">
      <c r="A3" s="8" t="s">
        <v>111</v>
      </c>
      <c r="B3" s="4">
        <v>1</v>
      </c>
      <c r="C3" s="25">
        <f t="shared" ref="C3:I9" si="0">conv("V",$B$3,$A3,C$2)</f>
        <v>35.314666721488585</v>
      </c>
      <c r="D3" s="25">
        <f t="shared" si="0"/>
        <v>61023.74409473229</v>
      </c>
      <c r="E3" s="25">
        <f t="shared" si="0"/>
        <v>1000000000</v>
      </c>
      <c r="F3" s="25">
        <f t="shared" si="0"/>
        <v>1000000</v>
      </c>
      <c r="G3" s="25">
        <f t="shared" si="0"/>
        <v>264.17205235814845</v>
      </c>
      <c r="H3" s="25">
        <f t="shared" si="0"/>
        <v>1000</v>
      </c>
      <c r="I3" s="26">
        <f t="shared" si="0"/>
        <v>6.2898107704321058</v>
      </c>
    </row>
    <row r="4" spans="1:21" ht="13.5" thickBot="1" x14ac:dyDescent="0.25">
      <c r="A4" s="8" t="s">
        <v>112</v>
      </c>
      <c r="B4" s="30">
        <f t="shared" ref="B4:I10" si="1">conv("V",$B$3,$A4,B$2)</f>
        <v>2.8316846592000004E-2</v>
      </c>
      <c r="C4" s="4">
        <f t="shared" si="0"/>
        <v>1</v>
      </c>
      <c r="D4" s="20">
        <f t="shared" si="0"/>
        <v>1728.0000000000005</v>
      </c>
      <c r="E4" s="20">
        <f t="shared" si="0"/>
        <v>28316846.592000004</v>
      </c>
      <c r="F4" s="20">
        <f t="shared" si="0"/>
        <v>28316.846592000005</v>
      </c>
      <c r="G4" s="20">
        <f t="shared" si="0"/>
        <v>7.480519480519483</v>
      </c>
      <c r="H4" s="20">
        <f t="shared" si="0"/>
        <v>28.316846592000005</v>
      </c>
      <c r="I4" s="23">
        <f t="shared" si="0"/>
        <v>0.1781076066790353</v>
      </c>
    </row>
    <row r="5" spans="1:21" ht="13.5" thickBot="1" x14ac:dyDescent="0.25">
      <c r="A5" s="8" t="s">
        <v>113</v>
      </c>
      <c r="B5" s="30">
        <f t="shared" si="1"/>
        <v>1.6387063999999999E-5</v>
      </c>
      <c r="C5" s="30">
        <f t="shared" si="0"/>
        <v>5.7870370370370356E-4</v>
      </c>
      <c r="D5" s="4">
        <f t="shared" si="0"/>
        <v>1</v>
      </c>
      <c r="E5" s="20">
        <f t="shared" si="0"/>
        <v>16387.063999999998</v>
      </c>
      <c r="F5" s="20">
        <f t="shared" si="0"/>
        <v>16.387063999999999</v>
      </c>
      <c r="G5" s="20">
        <f t="shared" si="0"/>
        <v>4.329004329004329E-3</v>
      </c>
      <c r="H5" s="20">
        <f t="shared" si="0"/>
        <v>1.6387064E-2</v>
      </c>
      <c r="I5" s="23">
        <f t="shared" si="0"/>
        <v>1.0307153164296022E-4</v>
      </c>
    </row>
    <row r="6" spans="1:21" ht="13.5" thickBot="1" x14ac:dyDescent="0.25">
      <c r="A6" s="8" t="s">
        <v>114</v>
      </c>
      <c r="B6" s="30">
        <f t="shared" si="1"/>
        <v>1.0000000000000001E-9</v>
      </c>
      <c r="C6" s="20">
        <f t="shared" si="0"/>
        <v>3.5314666721488584E-8</v>
      </c>
      <c r="D6" s="20">
        <f t="shared" si="0"/>
        <v>6.1023744094732297E-5</v>
      </c>
      <c r="E6" s="4">
        <f t="shared" si="0"/>
        <v>1</v>
      </c>
      <c r="F6" s="20">
        <f t="shared" si="0"/>
        <v>1E-3</v>
      </c>
      <c r="G6" s="20">
        <f t="shared" si="0"/>
        <v>2.6417205235814845E-7</v>
      </c>
      <c r="H6" s="20">
        <f t="shared" si="0"/>
        <v>1.0000000000000002E-6</v>
      </c>
      <c r="I6" s="23">
        <f t="shared" si="0"/>
        <v>6.2898107704321061E-9</v>
      </c>
    </row>
    <row r="7" spans="1:21" ht="13.5" thickBot="1" x14ac:dyDescent="0.25">
      <c r="A7" s="8" t="s">
        <v>115</v>
      </c>
      <c r="B7" s="30">
        <f t="shared" si="1"/>
        <v>1.0000000000000002E-6</v>
      </c>
      <c r="C7" s="20">
        <f t="shared" si="0"/>
        <v>3.5314666721488593E-5</v>
      </c>
      <c r="D7" s="20">
        <f t="shared" si="0"/>
        <v>6.1023744094732303E-2</v>
      </c>
      <c r="E7" s="20">
        <f t="shared" si="0"/>
        <v>1000.0000000000001</v>
      </c>
      <c r="F7" s="4">
        <f t="shared" si="0"/>
        <v>1.0000000000000002</v>
      </c>
      <c r="G7" s="20">
        <f t="shared" si="0"/>
        <v>2.6417205235814849E-4</v>
      </c>
      <c r="H7" s="20">
        <f t="shared" si="0"/>
        <v>1.0000000000000002E-3</v>
      </c>
      <c r="I7" s="23">
        <f t="shared" si="0"/>
        <v>6.2898107704321065E-6</v>
      </c>
    </row>
    <row r="8" spans="1:21" ht="13.5" thickBot="1" x14ac:dyDescent="0.25">
      <c r="A8" s="8" t="s">
        <v>49</v>
      </c>
      <c r="B8" s="30">
        <f t="shared" si="1"/>
        <v>3.7854117839999997E-3</v>
      </c>
      <c r="C8" s="20">
        <f t="shared" si="0"/>
        <v>0.13368055555555552</v>
      </c>
      <c r="D8" s="20">
        <f t="shared" si="0"/>
        <v>231</v>
      </c>
      <c r="E8" s="20">
        <f t="shared" si="0"/>
        <v>3785411.7839999995</v>
      </c>
      <c r="F8" s="20">
        <f t="shared" si="0"/>
        <v>3785.4117839999999</v>
      </c>
      <c r="G8" s="4">
        <f t="shared" si="0"/>
        <v>1</v>
      </c>
      <c r="H8" s="20">
        <f t="shared" si="0"/>
        <v>3.7854117839999999</v>
      </c>
      <c r="I8" s="23">
        <f t="shared" si="0"/>
        <v>2.3809523809523812E-2</v>
      </c>
    </row>
    <row r="9" spans="1:21" ht="13.5" thickBot="1" x14ac:dyDescent="0.25">
      <c r="A9" s="8" t="s">
        <v>24</v>
      </c>
      <c r="B9" s="30">
        <f t="shared" si="1"/>
        <v>1E-3</v>
      </c>
      <c r="C9" s="20">
        <f t="shared" si="0"/>
        <v>3.5314666721488586E-2</v>
      </c>
      <c r="D9" s="20">
        <f t="shared" si="0"/>
        <v>61.023744094732294</v>
      </c>
      <c r="E9" s="20">
        <f t="shared" si="0"/>
        <v>1000000</v>
      </c>
      <c r="F9" s="20">
        <f t="shared" si="0"/>
        <v>1000</v>
      </c>
      <c r="G9" s="20">
        <f t="shared" si="0"/>
        <v>0.26417205235814845</v>
      </c>
      <c r="H9" s="4">
        <f t="shared" si="0"/>
        <v>1</v>
      </c>
      <c r="I9" s="23">
        <f t="shared" si="0"/>
        <v>6.289810770432106E-3</v>
      </c>
    </row>
    <row r="10" spans="1:21" ht="13.5" thickBot="1" x14ac:dyDescent="0.25">
      <c r="A10" s="8" t="s">
        <v>48</v>
      </c>
      <c r="B10" s="31">
        <f t="shared" si="1"/>
        <v>0.15898729492799998</v>
      </c>
      <c r="C10" s="21">
        <f t="shared" si="1"/>
        <v>5.6145833333333321</v>
      </c>
      <c r="D10" s="21">
        <f t="shared" si="1"/>
        <v>9702</v>
      </c>
      <c r="E10" s="21">
        <f t="shared" si="1"/>
        <v>158987294.92799997</v>
      </c>
      <c r="F10" s="21">
        <f t="shared" si="1"/>
        <v>158987.29492799999</v>
      </c>
      <c r="G10" s="21">
        <f t="shared" si="1"/>
        <v>42</v>
      </c>
      <c r="H10" s="21">
        <f t="shared" si="1"/>
        <v>158.98729492799998</v>
      </c>
      <c r="I10" s="4">
        <f t="shared" si="1"/>
        <v>1</v>
      </c>
    </row>
  </sheetData>
  <phoneticPr fontId="2" type="noConversion"/>
  <pageMargins left="0.22" right="0.2" top="0.27" bottom="0.2" header="0.19" footer="0.17"/>
  <pageSetup scale="47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计算表</vt:lpstr>
      <vt:lpstr>Area 面积</vt:lpstr>
      <vt:lpstr>Density 密度</vt:lpstr>
      <vt:lpstr>Dynamic Viscosity 动力粘度</vt:lpstr>
      <vt:lpstr>Enthalpy 焓</vt:lpstr>
      <vt:lpstr>Flow Capacity 流通能力</vt:lpstr>
      <vt:lpstr>Force 力</vt:lpstr>
      <vt:lpstr>Gas Vol Flow Rate 气体体积流量</vt:lpstr>
      <vt:lpstr>Kinematic Viscosity 运动粘度</vt:lpstr>
      <vt:lpstr>Length 长度</vt:lpstr>
      <vt:lpstr>Liq Vol Flow Rate 液体体积流量</vt:lpstr>
      <vt:lpstr>Mass Flow Rate 质量流量</vt:lpstr>
      <vt:lpstr>Pressure 压力</vt:lpstr>
      <vt:lpstr>Pressure Drop 压降</vt:lpstr>
      <vt:lpstr>Power 功率</vt:lpstr>
      <vt:lpstr>Temp 温度</vt:lpstr>
      <vt:lpstr>Temp Differential 温差</vt:lpstr>
      <vt:lpstr>Velocity 速度</vt:lpstr>
      <vt:lpstr>Volume 体积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 Rong</dc:creator>
  <cp:lastModifiedBy>rong zhao</cp:lastModifiedBy>
  <dcterms:created xsi:type="dcterms:W3CDTF">2018-10-25T07:40:30Z</dcterms:created>
  <dcterms:modified xsi:type="dcterms:W3CDTF">2023-02-27T01:46:02Z</dcterms:modified>
</cp:coreProperties>
</file>